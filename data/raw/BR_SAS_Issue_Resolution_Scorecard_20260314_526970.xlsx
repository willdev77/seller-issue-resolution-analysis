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vinicuri\Desktop\Vini - Amazon\SAS\"/>
    </mc:Choice>
  </mc:AlternateContent>
  <bookViews>
    <workbookView xWindow="19090" yWindow="-110" windowWidth="38620" windowHeight="21100" tabRatio="660"/>
  </bookViews>
  <sheets>
    <sheet name="Scorecard" sheetId="1" r:id="rId1"/>
    <sheet name="Goals" sheetId="4" r:id="rId2"/>
    <sheet name="Goal Description" sheetId="7" r:id="rId3"/>
    <sheet name="Strikes" sheetId="9" r:id="rId4"/>
    <sheet name="Survey Q1" sheetId="3" r:id="rId5"/>
    <sheet name="Survey Q2" sheetId="10" r:id="rId6"/>
    <sheet name="Survey Q3" sheetId="11" r:id="rId7"/>
    <sheet name="Survey Q4" sheetId="12" r:id="rId8"/>
    <sheet name="Sellers Pro" sheetId="6" r:id="rId9"/>
    <sheet name="Base" sheetId="2" r:id="rId10"/>
  </sheets>
  <externalReferences>
    <externalReference r:id="rId11"/>
  </externalReferences>
  <definedNames>
    <definedName name="_xlnm._FilterDatabase" localSheetId="9" hidden="1">Base!$A$1:$AI$1864</definedName>
    <definedName name="_xlnm._FilterDatabase" localSheetId="0" hidden="1">Scorecard!$A$5:$BU$233</definedName>
    <definedName name="_xlnm._FilterDatabase" localSheetId="8" hidden="1">'Sellers Pro'!$A$1:$R$469</definedName>
    <definedName name="_xlnm._FilterDatabase" localSheetId="4" hidden="1">'Survey Q1'!$A$2:$BP$423</definedName>
  </definedNames>
  <calcPr calcId="15251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10" i="1" l="1"/>
  <c r="BE10" i="1"/>
  <c r="BD10" i="1"/>
  <c r="BC10" i="1"/>
  <c r="BB10" i="1"/>
  <c r="BA10" i="1"/>
  <c r="AZ10" i="1"/>
  <c r="AY10" i="1"/>
  <c r="AX10" i="1"/>
  <c r="AW10" i="1"/>
  <c r="AV10" i="1"/>
  <c r="BF9" i="1"/>
  <c r="BE9" i="1"/>
  <c r="BD9" i="1"/>
  <c r="BC9" i="1"/>
  <c r="BB9" i="1"/>
  <c r="BA9" i="1"/>
  <c r="AZ9" i="1"/>
  <c r="AY9" i="1"/>
  <c r="AX9" i="1"/>
  <c r="AW9" i="1"/>
  <c r="AV9" i="1"/>
  <c r="BF8" i="1"/>
  <c r="BE8" i="1"/>
  <c r="BD8" i="1"/>
  <c r="BC8" i="1"/>
  <c r="BB8" i="1"/>
  <c r="BA8" i="1"/>
  <c r="AZ8" i="1"/>
  <c r="AY8" i="1"/>
  <c r="AX8" i="1"/>
  <c r="AW8" i="1"/>
  <c r="AV8" i="1"/>
  <c r="BF7" i="1"/>
  <c r="BE7" i="1"/>
  <c r="BD7" i="1"/>
  <c r="BC7" i="1"/>
  <c r="BB7" i="1"/>
  <c r="BA7" i="1"/>
  <c r="AZ7" i="1"/>
  <c r="AY7" i="1"/>
  <c r="AX7" i="1"/>
  <c r="AW7" i="1"/>
  <c r="AV7" i="1"/>
  <c r="BF6" i="1"/>
  <c r="BE6" i="1"/>
  <c r="BD6" i="1"/>
  <c r="BC6" i="1"/>
  <c r="BB6" i="1"/>
  <c r="BA6" i="1"/>
  <c r="AZ6" i="1"/>
  <c r="AY6" i="1"/>
  <c r="AX6" i="1"/>
  <c r="AW6" i="1"/>
  <c r="AV6" i="1"/>
  <c r="A2" i="1" a="1"/>
  <c r="A2" i="1"/>
  <c r="AR10" i="1"/>
  <c r="AQ10" i="1"/>
  <c r="AP10" i="1"/>
  <c r="AO10" i="1"/>
  <c r="AN10" i="1"/>
  <c r="AM10" i="1"/>
  <c r="AL10" i="1"/>
  <c r="AK10" i="1"/>
  <c r="AJ10" i="1"/>
  <c r="AI10" i="1"/>
  <c r="AH10" i="1"/>
  <c r="AR9" i="1"/>
  <c r="AQ9" i="1"/>
  <c r="AP9" i="1"/>
  <c r="AO9" i="1"/>
  <c r="AN9" i="1"/>
  <c r="AM9" i="1"/>
  <c r="AL9" i="1"/>
  <c r="AK9" i="1"/>
  <c r="AJ9" i="1"/>
  <c r="AI9" i="1"/>
  <c r="AH9" i="1"/>
  <c r="AR8" i="1"/>
  <c r="AQ8" i="1"/>
  <c r="AP8" i="1"/>
  <c r="AO8" i="1"/>
  <c r="AN8" i="1"/>
  <c r="AM8" i="1"/>
  <c r="AL8" i="1"/>
  <c r="AK8" i="1"/>
  <c r="AJ8" i="1"/>
  <c r="AI8" i="1"/>
  <c r="AH8" i="1"/>
  <c r="AR7" i="1"/>
  <c r="AQ7" i="1"/>
  <c r="AP7" i="1"/>
  <c r="AO7" i="1"/>
  <c r="AN7" i="1"/>
  <c r="AM7" i="1"/>
  <c r="AL7" i="1"/>
  <c r="AK7" i="1"/>
  <c r="AJ7" i="1"/>
  <c r="AI7" i="1"/>
  <c r="AH7" i="1"/>
  <c r="AR6" i="1"/>
  <c r="AQ6" i="1"/>
  <c r="AP6" i="1"/>
  <c r="AO6" i="1"/>
  <c r="AN6" i="1"/>
  <c r="AM6" i="1"/>
  <c r="AL6" i="1"/>
  <c r="AK6" i="1"/>
  <c r="AJ6" i="1"/>
  <c r="AI6" i="1"/>
  <c r="AH6" i="1"/>
  <c r="AG10" i="1"/>
  <c r="AG9" i="1"/>
  <c r="AG8" i="1"/>
  <c r="AG7" i="1"/>
  <c r="AG6" i="1"/>
  <c r="AU10" i="1"/>
  <c r="AU9" i="1"/>
  <c r="AU7" i="1"/>
  <c r="AU6" i="1"/>
  <c r="AU8" i="1"/>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E179" i="3"/>
  <c r="F179" i="3"/>
  <c r="E178" i="3"/>
  <c r="F178" i="3"/>
  <c r="E177" i="3"/>
  <c r="F177" i="3"/>
  <c r="E176" i="3"/>
  <c r="F176" i="3"/>
  <c r="E175" i="3"/>
  <c r="F175" i="3"/>
  <c r="E174" i="3"/>
  <c r="F174" i="3"/>
  <c r="E173" i="3"/>
  <c r="F173" i="3"/>
  <c r="E172" i="3"/>
  <c r="F172" i="3"/>
  <c r="E171" i="3"/>
  <c r="F171" i="3"/>
  <c r="E170" i="3"/>
  <c r="F170" i="3"/>
  <c r="E169" i="3"/>
  <c r="F169" i="3"/>
  <c r="E168" i="3"/>
  <c r="F168" i="3"/>
  <c r="E167" i="3"/>
  <c r="F167" i="3"/>
  <c r="E166" i="3"/>
  <c r="F166" i="3"/>
  <c r="E165" i="3"/>
  <c r="F165" i="3"/>
  <c r="E164" i="3"/>
  <c r="F164" i="3"/>
  <c r="E163" i="3"/>
  <c r="F163" i="3"/>
  <c r="E162" i="3"/>
  <c r="F162" i="3"/>
  <c r="E161" i="3"/>
  <c r="F161" i="3"/>
  <c r="E160" i="3"/>
  <c r="F160" i="3"/>
  <c r="E159" i="3"/>
  <c r="F159" i="3"/>
  <c r="E158" i="3"/>
  <c r="F158" i="3"/>
  <c r="E157" i="3"/>
  <c r="F157" i="3"/>
  <c r="E156" i="3"/>
  <c r="F156" i="3"/>
  <c r="E155" i="3"/>
  <c r="F155" i="3"/>
  <c r="E154" i="3"/>
  <c r="F154" i="3"/>
  <c r="E153" i="3"/>
  <c r="F153" i="3"/>
  <c r="E152" i="3"/>
  <c r="F152" i="3"/>
  <c r="E151" i="3"/>
  <c r="F151" i="3"/>
  <c r="E150" i="3"/>
  <c r="F150" i="3"/>
  <c r="E149" i="3"/>
  <c r="F149" i="3"/>
  <c r="E148" i="3"/>
  <c r="F148" i="3"/>
  <c r="E147" i="3"/>
  <c r="F147" i="3"/>
  <c r="E146" i="3"/>
  <c r="F146" i="3"/>
  <c r="E145" i="3"/>
  <c r="F145" i="3"/>
  <c r="E144" i="3"/>
  <c r="F144" i="3"/>
  <c r="E143" i="3"/>
  <c r="F143" i="3"/>
  <c r="E142" i="3"/>
  <c r="F142" i="3"/>
  <c r="E141" i="3"/>
  <c r="F141" i="3"/>
  <c r="E140" i="3"/>
  <c r="F140" i="3"/>
  <c r="E139" i="3"/>
  <c r="F139" i="3"/>
  <c r="E138" i="3"/>
  <c r="F138" i="3"/>
  <c r="E137" i="3"/>
  <c r="F137" i="3"/>
  <c r="E136" i="3"/>
  <c r="F136" i="3"/>
  <c r="E135" i="3"/>
  <c r="F135" i="3"/>
  <c r="E134" i="3"/>
  <c r="F134" i="3"/>
  <c r="E133" i="3"/>
  <c r="F133" i="3"/>
  <c r="E132" i="3"/>
  <c r="F132" i="3"/>
  <c r="E131" i="3"/>
  <c r="F131" i="3"/>
  <c r="E130" i="3"/>
  <c r="F130" i="3"/>
  <c r="E129" i="3"/>
  <c r="F129" i="3"/>
  <c r="E128" i="3"/>
  <c r="F128" i="3"/>
  <c r="E127" i="3"/>
  <c r="F127" i="3"/>
  <c r="E126" i="3"/>
  <c r="F126" i="3"/>
  <c r="E125" i="3"/>
  <c r="F125" i="3"/>
  <c r="E124" i="3"/>
  <c r="F124" i="3"/>
  <c r="E123" i="3"/>
  <c r="F123" i="3"/>
  <c r="E122" i="3"/>
  <c r="F122" i="3"/>
  <c r="E121" i="3"/>
  <c r="F121" i="3"/>
  <c r="E120" i="3"/>
  <c r="F120" i="3"/>
  <c r="E119" i="3"/>
  <c r="F119" i="3"/>
  <c r="E118" i="3"/>
  <c r="F118" i="3"/>
  <c r="E117" i="3"/>
  <c r="F117" i="3"/>
  <c r="E116" i="3"/>
  <c r="F116" i="3"/>
  <c r="E115" i="3"/>
  <c r="F115" i="3"/>
  <c r="E114" i="3"/>
  <c r="F114" i="3"/>
  <c r="E113" i="3"/>
  <c r="F113" i="3"/>
  <c r="E112" i="3"/>
  <c r="F112" i="3"/>
  <c r="E111" i="3"/>
  <c r="F111" i="3"/>
  <c r="E110" i="3"/>
  <c r="F110" i="3"/>
  <c r="E109" i="3"/>
  <c r="F109" i="3"/>
  <c r="E108" i="3"/>
  <c r="F108" i="3"/>
  <c r="E107" i="3"/>
  <c r="F107" i="3"/>
  <c r="E106" i="3"/>
  <c r="F106" i="3"/>
  <c r="E105" i="3"/>
  <c r="F105" i="3"/>
  <c r="E104" i="3"/>
  <c r="F104" i="3"/>
  <c r="E103" i="3"/>
  <c r="F103" i="3"/>
  <c r="E102" i="3"/>
  <c r="F102" i="3"/>
  <c r="E101" i="3"/>
  <c r="F101" i="3"/>
  <c r="E100" i="3"/>
  <c r="F100" i="3"/>
  <c r="E99" i="3"/>
  <c r="F99" i="3"/>
  <c r="E98" i="3"/>
  <c r="F98" i="3"/>
  <c r="E97" i="3"/>
  <c r="F97" i="3"/>
  <c r="E96" i="3"/>
  <c r="F96" i="3"/>
  <c r="E95" i="3"/>
  <c r="F95" i="3"/>
  <c r="E94" i="3"/>
  <c r="F94" i="3"/>
  <c r="E93" i="3"/>
  <c r="F93" i="3"/>
  <c r="E92" i="3"/>
  <c r="F92" i="3"/>
  <c r="E91" i="3"/>
  <c r="F91" i="3"/>
  <c r="E90" i="3"/>
  <c r="F90" i="3"/>
  <c r="E89" i="3"/>
  <c r="F89" i="3"/>
  <c r="E88" i="3"/>
  <c r="F88" i="3"/>
  <c r="E87" i="3"/>
  <c r="F87" i="3"/>
  <c r="E86" i="3"/>
  <c r="F86" i="3"/>
  <c r="E85" i="3"/>
  <c r="F85" i="3"/>
  <c r="E84" i="3"/>
  <c r="F84" i="3"/>
  <c r="E83" i="3"/>
  <c r="F83" i="3"/>
  <c r="E82" i="3"/>
  <c r="F82" i="3"/>
  <c r="E81" i="3"/>
  <c r="F81" i="3"/>
  <c r="E80" i="3"/>
  <c r="F80" i="3"/>
  <c r="E79" i="3"/>
  <c r="F79" i="3"/>
  <c r="E78" i="3"/>
  <c r="F78" i="3"/>
  <c r="E77" i="3"/>
  <c r="F77" i="3"/>
  <c r="E76" i="3"/>
  <c r="F76" i="3"/>
  <c r="E75" i="3"/>
  <c r="F75" i="3"/>
  <c r="E74" i="3"/>
  <c r="F74" i="3"/>
  <c r="E73" i="3"/>
  <c r="F73" i="3"/>
  <c r="E72" i="3"/>
  <c r="F72" i="3"/>
  <c r="E71" i="3"/>
  <c r="F71" i="3"/>
  <c r="E70" i="3"/>
  <c r="F70" i="3"/>
  <c r="E69" i="3"/>
  <c r="F69" i="3"/>
  <c r="E68" i="3"/>
  <c r="F68" i="3"/>
  <c r="E67" i="3"/>
  <c r="F67" i="3"/>
  <c r="E66" i="3"/>
  <c r="F66" i="3"/>
  <c r="E65" i="3"/>
  <c r="F65" i="3"/>
  <c r="E64" i="3"/>
  <c r="F64" i="3"/>
  <c r="E63" i="3"/>
  <c r="F63" i="3"/>
  <c r="E62" i="3"/>
  <c r="F62" i="3"/>
  <c r="E61" i="3"/>
  <c r="F61" i="3"/>
  <c r="E60" i="3"/>
  <c r="F60" i="3"/>
  <c r="E59" i="3"/>
  <c r="F59" i="3"/>
  <c r="E58" i="3"/>
  <c r="F58" i="3"/>
  <c r="E57" i="3"/>
  <c r="F57" i="3"/>
  <c r="E56" i="3"/>
  <c r="F56" i="3"/>
  <c r="E55" i="3"/>
  <c r="F55" i="3"/>
  <c r="E54" i="3"/>
  <c r="F54" i="3"/>
  <c r="E53" i="3"/>
  <c r="F53" i="3"/>
  <c r="E52" i="3"/>
  <c r="F52" i="3"/>
  <c r="E51" i="3"/>
  <c r="F51" i="3"/>
  <c r="E50" i="3"/>
  <c r="F50" i="3"/>
  <c r="E49" i="3"/>
  <c r="F49" i="3"/>
  <c r="E48" i="3"/>
  <c r="F48" i="3"/>
  <c r="E47" i="3"/>
  <c r="F47" i="3"/>
  <c r="E46" i="3"/>
  <c r="F46" i="3"/>
  <c r="E45" i="3"/>
  <c r="F45" i="3"/>
  <c r="E44" i="3"/>
  <c r="F44" i="3"/>
  <c r="E43" i="3"/>
  <c r="F43" i="3"/>
  <c r="E42" i="3"/>
  <c r="F42" i="3"/>
  <c r="E41" i="3"/>
  <c r="F41" i="3"/>
  <c r="E40" i="3"/>
  <c r="F40" i="3"/>
  <c r="E39" i="3"/>
  <c r="F39" i="3"/>
  <c r="E38" i="3"/>
  <c r="F38" i="3"/>
  <c r="E37" i="3"/>
  <c r="F37" i="3"/>
  <c r="E36" i="3"/>
  <c r="F36" i="3"/>
  <c r="E35" i="3"/>
  <c r="F35" i="3"/>
  <c r="E34" i="3"/>
  <c r="F34" i="3"/>
  <c r="E33" i="3"/>
  <c r="F33" i="3"/>
  <c r="E32" i="3"/>
  <c r="F32" i="3"/>
  <c r="E31" i="3"/>
  <c r="F31" i="3"/>
  <c r="E30" i="3"/>
  <c r="F30" i="3"/>
  <c r="E29" i="3"/>
  <c r="F29" i="3"/>
  <c r="E28" i="3"/>
  <c r="F28" i="3"/>
  <c r="E27" i="3"/>
  <c r="F27" i="3"/>
  <c r="E26" i="3"/>
  <c r="F26" i="3"/>
  <c r="E25" i="3"/>
  <c r="F25" i="3"/>
  <c r="E24" i="3"/>
  <c r="F24" i="3"/>
  <c r="E23" i="3"/>
  <c r="F23" i="3"/>
  <c r="E22" i="3"/>
  <c r="F22" i="3"/>
  <c r="E21" i="3"/>
  <c r="F21" i="3"/>
  <c r="E20" i="3"/>
  <c r="F20" i="3"/>
  <c r="E19" i="3"/>
  <c r="F19" i="3"/>
  <c r="E18" i="3"/>
  <c r="F18" i="3"/>
  <c r="E17" i="3"/>
  <c r="F17" i="3"/>
  <c r="E16" i="3"/>
  <c r="F16" i="3"/>
  <c r="E15" i="3"/>
  <c r="F15" i="3"/>
  <c r="E14" i="3"/>
  <c r="F14" i="3"/>
  <c r="E13" i="3"/>
  <c r="F13" i="3"/>
  <c r="E12" i="3"/>
  <c r="F12" i="3"/>
  <c r="E11" i="3"/>
  <c r="F11" i="3"/>
  <c r="E10" i="3"/>
  <c r="F10" i="3"/>
  <c r="E9" i="3"/>
  <c r="F9" i="3"/>
  <c r="E8" i="3"/>
  <c r="F8" i="3"/>
  <c r="E7" i="3"/>
  <c r="F7" i="3"/>
  <c r="E6" i="3"/>
  <c r="F6" i="3"/>
  <c r="E5" i="3"/>
  <c r="F5" i="3"/>
  <c r="E4" i="3"/>
  <c r="F4" i="3"/>
  <c r="G3"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D4" i="3"/>
  <c r="BI6" i="1"/>
  <c r="BT9" i="1"/>
  <c r="BS9" i="1"/>
  <c r="BR9" i="1"/>
  <c r="BQ9" i="1"/>
  <c r="BP9" i="1"/>
  <c r="BO9" i="1"/>
  <c r="BN9" i="1"/>
  <c r="BM9" i="1"/>
  <c r="BL9" i="1"/>
  <c r="BK9" i="1"/>
  <c r="BJ9" i="1"/>
  <c r="BT10" i="1"/>
  <c r="BS10" i="1"/>
  <c r="BR10" i="1"/>
  <c r="BQ10" i="1"/>
  <c r="BP10" i="1"/>
  <c r="BO10" i="1"/>
  <c r="BN10" i="1"/>
  <c r="BM10" i="1"/>
  <c r="BL10" i="1"/>
  <c r="BK10" i="1"/>
  <c r="BJ10" i="1"/>
  <c r="BT8" i="1"/>
  <c r="BS8" i="1"/>
  <c r="BR8" i="1"/>
  <c r="BQ8" i="1"/>
  <c r="BP8" i="1"/>
  <c r="BO8" i="1"/>
  <c r="BN8" i="1"/>
  <c r="BM8" i="1"/>
  <c r="BL8" i="1"/>
  <c r="BK8" i="1"/>
  <c r="BJ8" i="1"/>
  <c r="BT7" i="1"/>
  <c r="BS7" i="1"/>
  <c r="BR7" i="1"/>
  <c r="BQ7" i="1"/>
  <c r="BP7" i="1"/>
  <c r="BO7" i="1"/>
  <c r="BN7" i="1"/>
  <c r="BM7" i="1"/>
  <c r="BL7" i="1"/>
  <c r="BK7" i="1"/>
  <c r="BJ7" i="1"/>
  <c r="BT6" i="1"/>
  <c r="BS6" i="1"/>
  <c r="BR6" i="1"/>
  <c r="BQ6" i="1"/>
  <c r="BP6" i="1"/>
  <c r="BO6" i="1"/>
  <c r="BN6" i="1"/>
  <c r="BM6" i="1"/>
  <c r="BL6" i="1"/>
  <c r="BK6" i="1"/>
  <c r="BJ6" i="1"/>
  <c r="BU6" i="1"/>
  <c r="M9" i="1"/>
  <c r="L9" i="1"/>
  <c r="K9" i="1"/>
  <c r="J9" i="1"/>
  <c r="I9" i="1"/>
  <c r="H9" i="1"/>
  <c r="G9" i="1"/>
  <c r="F9" i="1"/>
  <c r="E9" i="1"/>
  <c r="D9" i="1"/>
  <c r="C9" i="1"/>
  <c r="M10" i="1"/>
  <c r="L10" i="1"/>
  <c r="K10" i="1"/>
  <c r="J10" i="1"/>
  <c r="I10" i="1"/>
  <c r="H10" i="1"/>
  <c r="G10" i="1"/>
  <c r="F10" i="1"/>
  <c r="E10" i="1"/>
  <c r="D10" i="1"/>
  <c r="C10" i="1"/>
  <c r="M8" i="1"/>
  <c r="L8" i="1"/>
  <c r="K8" i="1"/>
  <c r="J8" i="1"/>
  <c r="I8" i="1"/>
  <c r="H8" i="1"/>
  <c r="G8" i="1"/>
  <c r="F8" i="1"/>
  <c r="E8" i="1"/>
  <c r="D8" i="1"/>
  <c r="C8" i="1"/>
  <c r="M7" i="1"/>
  <c r="L7" i="1"/>
  <c r="K7" i="1"/>
  <c r="J7" i="1"/>
  <c r="I7" i="1"/>
  <c r="H7" i="1"/>
  <c r="G7" i="1"/>
  <c r="F7" i="1"/>
  <c r="E7" i="1"/>
  <c r="D7" i="1"/>
  <c r="C7" i="1"/>
  <c r="M6" i="1"/>
  <c r="L6" i="1"/>
  <c r="K6" i="1"/>
  <c r="J6" i="1"/>
  <c r="I6" i="1"/>
  <c r="H6" i="1"/>
  <c r="G6" i="1"/>
  <c r="F6" i="1"/>
  <c r="E6" i="1"/>
  <c r="D6" i="1"/>
  <c r="C6" i="1"/>
  <c r="B9" i="1"/>
  <c r="N9" i="1"/>
  <c r="B10" i="1"/>
  <c r="B8" i="1"/>
  <c r="B7" i="1"/>
  <c r="B6" i="1"/>
  <c r="BV6" i="1"/>
  <c r="BI9" i="1"/>
  <c r="BU9" i="1"/>
  <c r="BV9" i="1"/>
  <c r="BI10" i="1"/>
  <c r="BI8" i="1"/>
  <c r="BU8" i="1"/>
  <c r="BV8" i="1"/>
  <c r="BI7" i="1"/>
  <c r="BU7" i="1"/>
  <c r="BV7" i="1"/>
  <c r="G204" i="12"/>
  <c r="E204" i="12"/>
  <c r="C204" i="12"/>
  <c r="F204" i="12"/>
  <c r="G203" i="12"/>
  <c r="E203" i="12"/>
  <c r="C203" i="12"/>
  <c r="D203" i="12"/>
  <c r="G202" i="12"/>
  <c r="E202" i="12"/>
  <c r="C202" i="12"/>
  <c r="F202" i="12"/>
  <c r="G201" i="12"/>
  <c r="E201" i="12"/>
  <c r="C201" i="12"/>
  <c r="F201" i="12"/>
  <c r="G200" i="12"/>
  <c r="E200" i="12"/>
  <c r="C200" i="12"/>
  <c r="F200" i="12"/>
  <c r="G199" i="12"/>
  <c r="E199" i="12"/>
  <c r="C199" i="12"/>
  <c r="F199" i="12"/>
  <c r="G198" i="12"/>
  <c r="E198" i="12"/>
  <c r="C198" i="12"/>
  <c r="F198" i="12"/>
  <c r="G197" i="12"/>
  <c r="E197" i="12"/>
  <c r="C197" i="12"/>
  <c r="F197" i="12"/>
  <c r="G196" i="12"/>
  <c r="E196" i="12"/>
  <c r="C196" i="12"/>
  <c r="F196" i="12"/>
  <c r="G195" i="12"/>
  <c r="F195" i="12"/>
  <c r="E195" i="12"/>
  <c r="D195" i="12"/>
  <c r="G194" i="12"/>
  <c r="F194" i="12"/>
  <c r="E194" i="12"/>
  <c r="D194" i="12"/>
  <c r="G193" i="12"/>
  <c r="F193" i="12"/>
  <c r="E193" i="12"/>
  <c r="D193" i="12"/>
  <c r="G192" i="12"/>
  <c r="F192" i="12"/>
  <c r="E192" i="12"/>
  <c r="D192" i="12"/>
  <c r="G191" i="12"/>
  <c r="F191" i="12"/>
  <c r="E191" i="12"/>
  <c r="D191" i="12"/>
  <c r="G190" i="12"/>
  <c r="F190" i="12"/>
  <c r="E190" i="12"/>
  <c r="D190" i="12"/>
  <c r="G189" i="12"/>
  <c r="F189" i="12"/>
  <c r="E189" i="12"/>
  <c r="D189" i="12"/>
  <c r="G188" i="12"/>
  <c r="F188" i="12"/>
  <c r="E188" i="12"/>
  <c r="D188" i="12"/>
  <c r="G187" i="12"/>
  <c r="E187" i="12"/>
  <c r="C187" i="12"/>
  <c r="D187" i="12"/>
  <c r="G186" i="12"/>
  <c r="E186" i="12"/>
  <c r="C186" i="12"/>
  <c r="F186" i="12"/>
  <c r="G185" i="12"/>
  <c r="F185" i="12"/>
  <c r="E185" i="12"/>
  <c r="D185" i="12"/>
  <c r="G184" i="12"/>
  <c r="E184" i="12"/>
  <c r="C184" i="12"/>
  <c r="F184" i="12"/>
  <c r="G183" i="12"/>
  <c r="E183" i="12"/>
  <c r="C183" i="12"/>
  <c r="F183" i="12"/>
  <c r="G182" i="12"/>
  <c r="E182" i="12"/>
  <c r="C182" i="12"/>
  <c r="D182" i="12"/>
  <c r="G181" i="12"/>
  <c r="F181" i="12"/>
  <c r="E181" i="12"/>
  <c r="D181" i="12"/>
  <c r="G180" i="12"/>
  <c r="E180" i="12"/>
  <c r="C180" i="12"/>
  <c r="D180" i="12"/>
  <c r="G179" i="12"/>
  <c r="E179" i="12"/>
  <c r="C179" i="12"/>
  <c r="F179" i="12"/>
  <c r="G178" i="12"/>
  <c r="E178" i="12"/>
  <c r="C178" i="12"/>
  <c r="F178" i="12"/>
  <c r="G177" i="12"/>
  <c r="E177" i="12"/>
  <c r="C177" i="12"/>
  <c r="D177" i="12"/>
  <c r="G176" i="12"/>
  <c r="E176" i="12"/>
  <c r="C176" i="12"/>
  <c r="D176" i="12"/>
  <c r="G175" i="12"/>
  <c r="E175" i="12"/>
  <c r="C175" i="12"/>
  <c r="F175" i="12"/>
  <c r="G174" i="12"/>
  <c r="E174" i="12"/>
  <c r="C174" i="12"/>
  <c r="F174" i="12"/>
  <c r="G173" i="12"/>
  <c r="F173" i="12"/>
  <c r="E173" i="12"/>
  <c r="D173" i="12"/>
  <c r="G172" i="12"/>
  <c r="E172" i="12"/>
  <c r="C172" i="12"/>
  <c r="D172" i="12"/>
  <c r="G171" i="12"/>
  <c r="F171" i="12"/>
  <c r="E171" i="12"/>
  <c r="D171" i="12"/>
  <c r="G170" i="12"/>
  <c r="E170" i="12"/>
  <c r="C170" i="12"/>
  <c r="F170" i="12"/>
  <c r="G169" i="12"/>
  <c r="E169" i="12"/>
  <c r="C169" i="12"/>
  <c r="F169" i="12"/>
  <c r="G168" i="12"/>
  <c r="E168" i="12"/>
  <c r="C168" i="12"/>
  <c r="F168" i="12"/>
  <c r="G167" i="12"/>
  <c r="E167" i="12"/>
  <c r="C167" i="12"/>
  <c r="D167" i="12"/>
  <c r="G166" i="12"/>
  <c r="E166" i="12"/>
  <c r="C166" i="12"/>
  <c r="F166" i="12"/>
  <c r="G165" i="12"/>
  <c r="E165" i="12"/>
  <c r="C165" i="12"/>
  <c r="F165" i="12"/>
  <c r="G164" i="12"/>
  <c r="F164" i="12"/>
  <c r="E164" i="12"/>
  <c r="D164" i="12"/>
  <c r="G163" i="12"/>
  <c r="E163" i="12"/>
  <c r="C163" i="12"/>
  <c r="F163" i="12"/>
  <c r="G162" i="12"/>
  <c r="E162" i="12"/>
  <c r="C162" i="12"/>
  <c r="D162" i="12"/>
  <c r="G161" i="12"/>
  <c r="F161" i="12"/>
  <c r="E161" i="12"/>
  <c r="D161" i="12"/>
  <c r="G160" i="12"/>
  <c r="E160" i="12"/>
  <c r="C160" i="12"/>
  <c r="D160" i="12"/>
  <c r="G159" i="12"/>
  <c r="E159" i="12"/>
  <c r="C159" i="12"/>
  <c r="F159" i="12"/>
  <c r="G158" i="12"/>
  <c r="F158" i="12"/>
  <c r="E158" i="12"/>
  <c r="D158" i="12"/>
  <c r="G157" i="12"/>
  <c r="F157" i="12"/>
  <c r="E157" i="12"/>
  <c r="D157" i="12"/>
  <c r="G156" i="12"/>
  <c r="F156" i="12"/>
  <c r="E156" i="12"/>
  <c r="D156" i="12"/>
  <c r="G155" i="12"/>
  <c r="F155" i="12"/>
  <c r="E155" i="12"/>
  <c r="D155" i="12"/>
  <c r="G154" i="12"/>
  <c r="E154" i="12"/>
  <c r="C154" i="12"/>
  <c r="F154" i="12"/>
  <c r="G153" i="12"/>
  <c r="F153" i="12"/>
  <c r="E153" i="12"/>
  <c r="D153" i="12"/>
  <c r="G152" i="12"/>
  <c r="E152" i="12"/>
  <c r="C152" i="12"/>
  <c r="D152" i="12"/>
  <c r="G151" i="12"/>
  <c r="E151" i="12"/>
  <c r="C151" i="12"/>
  <c r="D151" i="12"/>
  <c r="G150" i="12"/>
  <c r="F150" i="12"/>
  <c r="E150" i="12"/>
  <c r="D150" i="12"/>
  <c r="G149" i="12"/>
  <c r="E149" i="12"/>
  <c r="C149" i="12"/>
  <c r="F149" i="12"/>
  <c r="G148" i="12"/>
  <c r="E148" i="12"/>
  <c r="C148" i="12"/>
  <c r="D148" i="12"/>
  <c r="G147" i="12"/>
  <c r="F147" i="12"/>
  <c r="E147" i="12"/>
  <c r="D147" i="12"/>
  <c r="G146" i="12"/>
  <c r="E146" i="12"/>
  <c r="C146" i="12"/>
  <c r="D146" i="12"/>
  <c r="G145" i="12"/>
  <c r="E145" i="12"/>
  <c r="C145" i="12"/>
  <c r="D145" i="12"/>
  <c r="G144" i="12"/>
  <c r="F144" i="12"/>
  <c r="E144" i="12"/>
  <c r="D144" i="12"/>
  <c r="G143" i="12"/>
  <c r="F143" i="12"/>
  <c r="E143" i="12"/>
  <c r="D143" i="12"/>
  <c r="G142" i="12"/>
  <c r="E142" i="12"/>
  <c r="C142" i="12"/>
  <c r="F142" i="12"/>
  <c r="G141" i="12"/>
  <c r="F141" i="12"/>
  <c r="E141" i="12"/>
  <c r="D141" i="12"/>
  <c r="G140" i="12"/>
  <c r="E140" i="12"/>
  <c r="C140" i="12"/>
  <c r="F140" i="12"/>
  <c r="G139" i="12"/>
  <c r="F139" i="12"/>
  <c r="E139" i="12"/>
  <c r="D139" i="12"/>
  <c r="G138" i="12"/>
  <c r="E138" i="12"/>
  <c r="C138" i="12"/>
  <c r="D138" i="12"/>
  <c r="G137" i="12"/>
  <c r="F137" i="12"/>
  <c r="E137" i="12"/>
  <c r="D137" i="12"/>
  <c r="G136" i="12"/>
  <c r="E136" i="12"/>
  <c r="C136" i="12"/>
  <c r="F136" i="12"/>
  <c r="G135" i="12"/>
  <c r="E135" i="12"/>
  <c r="C135" i="12"/>
  <c r="F135" i="12"/>
  <c r="G134" i="12"/>
  <c r="F134" i="12"/>
  <c r="E134" i="12"/>
  <c r="D134" i="12"/>
  <c r="G133" i="12"/>
  <c r="E133" i="12"/>
  <c r="C133" i="12"/>
  <c r="F133" i="12"/>
  <c r="G132" i="12"/>
  <c r="F132" i="12"/>
  <c r="E132" i="12"/>
  <c r="D132" i="12"/>
  <c r="G131" i="12"/>
  <c r="F131" i="12"/>
  <c r="E131" i="12"/>
  <c r="D131" i="12"/>
  <c r="G130" i="12"/>
  <c r="E130" i="12"/>
  <c r="C130" i="12"/>
  <c r="D130" i="12"/>
  <c r="G129" i="12"/>
  <c r="F129" i="12"/>
  <c r="E129" i="12"/>
  <c r="D129" i="12"/>
  <c r="G128" i="12"/>
  <c r="E128" i="12"/>
  <c r="C128" i="12"/>
  <c r="D128" i="12"/>
  <c r="G127" i="12"/>
  <c r="E127" i="12"/>
  <c r="C127" i="12"/>
  <c r="F127" i="12"/>
  <c r="G126" i="12"/>
  <c r="F126" i="12"/>
  <c r="E126" i="12"/>
  <c r="D126" i="12"/>
  <c r="G125" i="12"/>
  <c r="F125" i="12"/>
  <c r="E125" i="12"/>
  <c r="D125" i="12"/>
  <c r="G124" i="12"/>
  <c r="E124" i="12"/>
  <c r="C124" i="12"/>
  <c r="F124" i="12"/>
  <c r="G123" i="12"/>
  <c r="E123" i="12"/>
  <c r="C123" i="12"/>
  <c r="D123" i="12"/>
  <c r="G122" i="12"/>
  <c r="F122" i="12"/>
  <c r="E122" i="12"/>
  <c r="D122" i="12"/>
  <c r="G121" i="12"/>
  <c r="F121" i="12"/>
  <c r="E121" i="12"/>
  <c r="D121" i="12"/>
  <c r="G120" i="12"/>
  <c r="F120" i="12"/>
  <c r="E120" i="12"/>
  <c r="D120" i="12"/>
  <c r="G119" i="12"/>
  <c r="E119" i="12"/>
  <c r="C119" i="12"/>
  <c r="D119" i="12"/>
  <c r="G118" i="12"/>
  <c r="F118" i="12"/>
  <c r="E118" i="12"/>
  <c r="D118" i="12"/>
  <c r="G117" i="12"/>
  <c r="E117" i="12"/>
  <c r="C117" i="12"/>
  <c r="F117" i="12"/>
  <c r="G116" i="12"/>
  <c r="E116" i="12"/>
  <c r="C116" i="12"/>
  <c r="F116" i="12"/>
  <c r="G115" i="12"/>
  <c r="E115" i="12"/>
  <c r="C115" i="12"/>
  <c r="D115" i="12"/>
  <c r="G114" i="12"/>
  <c r="F114" i="12"/>
  <c r="E114" i="12"/>
  <c r="D114" i="12"/>
  <c r="G113" i="12"/>
  <c r="F113" i="12"/>
  <c r="E113" i="12"/>
  <c r="D113" i="12"/>
  <c r="G112" i="12"/>
  <c r="E112" i="12"/>
  <c r="C112" i="12"/>
  <c r="D112" i="12"/>
  <c r="G111" i="12"/>
  <c r="F111" i="12"/>
  <c r="E111" i="12"/>
  <c r="D111" i="12"/>
  <c r="G110" i="12"/>
  <c r="E110" i="12"/>
  <c r="C110" i="12"/>
  <c r="F110" i="12"/>
  <c r="G109" i="12"/>
  <c r="F109" i="12"/>
  <c r="E109" i="12"/>
  <c r="D109" i="12"/>
  <c r="G108" i="12"/>
  <c r="E108" i="12"/>
  <c r="C108" i="12"/>
  <c r="F108" i="12"/>
  <c r="G107" i="12"/>
  <c r="E107" i="12"/>
  <c r="C107" i="12"/>
  <c r="D107" i="12"/>
  <c r="G106" i="12"/>
  <c r="E106" i="12"/>
  <c r="C106" i="12"/>
  <c r="F106" i="12"/>
  <c r="G105" i="12"/>
  <c r="E105" i="12"/>
  <c r="C105" i="12"/>
  <c r="F105" i="12"/>
  <c r="G104" i="12"/>
  <c r="E104" i="12"/>
  <c r="C104" i="12"/>
  <c r="F104" i="12"/>
  <c r="G103" i="12"/>
  <c r="E103" i="12"/>
  <c r="C103" i="12"/>
  <c r="D103" i="12"/>
  <c r="G102" i="12"/>
  <c r="E102" i="12"/>
  <c r="C102" i="12"/>
  <c r="D102" i="12"/>
  <c r="G101" i="12"/>
  <c r="E101" i="12"/>
  <c r="C101" i="12"/>
  <c r="F101" i="12"/>
  <c r="G100" i="12"/>
  <c r="F100" i="12"/>
  <c r="E100" i="12"/>
  <c r="D100" i="12"/>
  <c r="G99" i="12"/>
  <c r="E99" i="12"/>
  <c r="C99" i="12"/>
  <c r="D99" i="12"/>
  <c r="G98" i="12"/>
  <c r="E98" i="12"/>
  <c r="C98" i="12"/>
  <c r="D98" i="12"/>
  <c r="G97" i="12"/>
  <c r="E97" i="12"/>
  <c r="C97" i="12"/>
  <c r="D97" i="12"/>
  <c r="G96" i="12"/>
  <c r="E96" i="12"/>
  <c r="C96" i="12"/>
  <c r="F96" i="12"/>
  <c r="G95" i="12"/>
  <c r="E95" i="12"/>
  <c r="C95" i="12"/>
  <c r="F95" i="12"/>
  <c r="G94" i="12"/>
  <c r="F94" i="12"/>
  <c r="E94" i="12"/>
  <c r="D94" i="12"/>
  <c r="G93" i="12"/>
  <c r="E93" i="12"/>
  <c r="C93" i="12"/>
  <c r="D93" i="12"/>
  <c r="G92" i="12"/>
  <c r="E92" i="12"/>
  <c r="C92" i="12"/>
  <c r="D92" i="12"/>
  <c r="G91" i="12"/>
  <c r="E91" i="12"/>
  <c r="C91" i="12"/>
  <c r="F91" i="12"/>
  <c r="G90" i="12"/>
  <c r="E90" i="12"/>
  <c r="C90" i="12"/>
  <c r="F90" i="12"/>
  <c r="G89" i="12"/>
  <c r="E89" i="12"/>
  <c r="C89" i="12"/>
  <c r="D89" i="12"/>
  <c r="G88" i="12"/>
  <c r="E88" i="12"/>
  <c r="C88" i="12"/>
  <c r="F88" i="12"/>
  <c r="G87" i="12"/>
  <c r="E87" i="12"/>
  <c r="C87" i="12"/>
  <c r="F87" i="12"/>
  <c r="G86" i="12"/>
  <c r="E86" i="12"/>
  <c r="C86" i="12"/>
  <c r="F86" i="12"/>
  <c r="G85" i="12"/>
  <c r="E85" i="12"/>
  <c r="C85" i="12"/>
  <c r="D85" i="12"/>
  <c r="G84" i="12"/>
  <c r="E84" i="12"/>
  <c r="C84" i="12"/>
  <c r="D84" i="12"/>
  <c r="G83" i="12"/>
  <c r="E83" i="12"/>
  <c r="C83" i="12"/>
  <c r="F83" i="12"/>
  <c r="G82" i="12"/>
  <c r="F82" i="12"/>
  <c r="E82" i="12"/>
  <c r="D82" i="12"/>
  <c r="G81" i="12"/>
  <c r="E81" i="12"/>
  <c r="C81" i="12"/>
  <c r="D81" i="12"/>
  <c r="G80" i="12"/>
  <c r="E80" i="12"/>
  <c r="C80" i="12"/>
  <c r="D80" i="12"/>
  <c r="G79" i="12"/>
  <c r="E79" i="12"/>
  <c r="C79" i="12"/>
  <c r="D79" i="12"/>
  <c r="G78" i="12"/>
  <c r="E78" i="12"/>
  <c r="C78" i="12"/>
  <c r="F78" i="12"/>
  <c r="G77" i="12"/>
  <c r="E77" i="12"/>
  <c r="C77" i="12"/>
  <c r="F77" i="12"/>
  <c r="G76" i="12"/>
  <c r="E76" i="12"/>
  <c r="C76" i="12"/>
  <c r="F76" i="12"/>
  <c r="G75" i="12"/>
  <c r="E75" i="12"/>
  <c r="C75" i="12"/>
  <c r="F75" i="12"/>
  <c r="G74" i="12"/>
  <c r="F74" i="12"/>
  <c r="E74" i="12"/>
  <c r="D74" i="12"/>
  <c r="G73" i="12"/>
  <c r="F73" i="12"/>
  <c r="E73" i="12"/>
  <c r="D73" i="12"/>
  <c r="G72" i="12"/>
  <c r="E72" i="12"/>
  <c r="C72" i="12"/>
  <c r="F72" i="12"/>
  <c r="G71" i="12"/>
  <c r="E71" i="12"/>
  <c r="C71" i="12"/>
  <c r="D71" i="12"/>
  <c r="G70" i="12"/>
  <c r="E70" i="12"/>
  <c r="C70" i="12"/>
  <c r="D70" i="12"/>
  <c r="G69" i="12"/>
  <c r="E69" i="12"/>
  <c r="C69" i="12"/>
  <c r="D69" i="12"/>
  <c r="G68" i="12"/>
  <c r="E68" i="12"/>
  <c r="C68" i="12"/>
  <c r="F68" i="12"/>
  <c r="G67" i="12"/>
  <c r="F67" i="12"/>
  <c r="E67" i="12"/>
  <c r="D67" i="12"/>
  <c r="G66" i="12"/>
  <c r="E66" i="12"/>
  <c r="C66" i="12"/>
  <c r="F66" i="12"/>
  <c r="G65" i="12"/>
  <c r="E65" i="12"/>
  <c r="C65" i="12"/>
  <c r="F65" i="12"/>
  <c r="G64" i="12"/>
  <c r="F64" i="12"/>
  <c r="E64" i="12"/>
  <c r="D64" i="12"/>
  <c r="G63" i="12"/>
  <c r="F63" i="12"/>
  <c r="E63" i="12"/>
  <c r="D63" i="12"/>
  <c r="G62" i="12"/>
  <c r="E62" i="12"/>
  <c r="C62" i="12"/>
  <c r="D62" i="12"/>
  <c r="G61" i="12"/>
  <c r="E61" i="12"/>
  <c r="C61" i="12"/>
  <c r="F61" i="12"/>
  <c r="G60" i="12"/>
  <c r="E60" i="12"/>
  <c r="C60" i="12"/>
  <c r="F60" i="12"/>
  <c r="G59" i="12"/>
  <c r="E59" i="12"/>
  <c r="C59" i="12"/>
  <c r="F59" i="12"/>
  <c r="G58" i="12"/>
  <c r="E58" i="12"/>
  <c r="C58" i="12"/>
  <c r="D58" i="12"/>
  <c r="G57" i="12"/>
  <c r="E57" i="12"/>
  <c r="C57" i="12"/>
  <c r="F57" i="12"/>
  <c r="G56" i="12"/>
  <c r="E56" i="12"/>
  <c r="C56" i="12"/>
  <c r="F56" i="12"/>
  <c r="G55" i="12"/>
  <c r="E55" i="12"/>
  <c r="C55" i="12"/>
  <c r="F55" i="12"/>
  <c r="G54" i="12"/>
  <c r="E54" i="12"/>
  <c r="C54" i="12"/>
  <c r="D54" i="12"/>
  <c r="G53" i="12"/>
  <c r="F53" i="12"/>
  <c r="E53" i="12"/>
  <c r="D53" i="12"/>
  <c r="G52" i="12"/>
  <c r="E52" i="12"/>
  <c r="C52" i="12"/>
  <c r="F52" i="12"/>
  <c r="G51" i="12"/>
  <c r="E51" i="12"/>
  <c r="C51" i="12"/>
  <c r="D51" i="12"/>
  <c r="G50" i="12"/>
  <c r="E50" i="12"/>
  <c r="C50" i="12"/>
  <c r="F50" i="12"/>
  <c r="G49" i="12"/>
  <c r="E49" i="12"/>
  <c r="C49" i="12"/>
  <c r="D49" i="12"/>
  <c r="G48" i="12"/>
  <c r="F48" i="12"/>
  <c r="E48" i="12"/>
  <c r="D48" i="12"/>
  <c r="G47" i="12"/>
  <c r="E47" i="12"/>
  <c r="C47" i="12"/>
  <c r="F47" i="12"/>
  <c r="G46" i="12"/>
  <c r="F46" i="12"/>
  <c r="E46" i="12"/>
  <c r="D46" i="12"/>
  <c r="G45" i="12"/>
  <c r="F45" i="12"/>
  <c r="E45" i="12"/>
  <c r="D45" i="12"/>
  <c r="G44" i="12"/>
  <c r="E44" i="12"/>
  <c r="C44" i="12"/>
  <c r="F44" i="12"/>
  <c r="G43" i="12"/>
  <c r="F43" i="12"/>
  <c r="E43" i="12"/>
  <c r="D43" i="12"/>
  <c r="G42" i="12"/>
  <c r="F42" i="12"/>
  <c r="E42" i="12"/>
  <c r="D42" i="12"/>
  <c r="G41" i="12"/>
  <c r="E41" i="12"/>
  <c r="C41" i="12"/>
  <c r="F41" i="12"/>
  <c r="G40" i="12"/>
  <c r="F40" i="12"/>
  <c r="E40" i="12"/>
  <c r="D40" i="12"/>
  <c r="G39" i="12"/>
  <c r="E39" i="12"/>
  <c r="C39" i="12"/>
  <c r="D39" i="12"/>
  <c r="G38" i="12"/>
  <c r="E38" i="12"/>
  <c r="C38" i="12"/>
  <c r="F38" i="12"/>
  <c r="G37" i="12"/>
  <c r="E37" i="12"/>
  <c r="C37" i="12"/>
  <c r="F37" i="12"/>
  <c r="G36" i="12"/>
  <c r="F36" i="12"/>
  <c r="E36" i="12"/>
  <c r="D36" i="12"/>
  <c r="G35" i="12"/>
  <c r="E35" i="12"/>
  <c r="C35" i="12"/>
  <c r="D35" i="12"/>
  <c r="G34" i="12"/>
  <c r="E34" i="12"/>
  <c r="C34" i="12"/>
  <c r="D34" i="12"/>
  <c r="G33" i="12"/>
  <c r="E33" i="12"/>
  <c r="C33" i="12"/>
  <c r="F33" i="12"/>
  <c r="G32" i="12"/>
  <c r="F32" i="12"/>
  <c r="E32" i="12"/>
  <c r="D32" i="12"/>
  <c r="G31" i="12"/>
  <c r="F31" i="12"/>
  <c r="E31" i="12"/>
  <c r="D31" i="12"/>
  <c r="G30" i="12"/>
  <c r="E30" i="12"/>
  <c r="C30" i="12"/>
  <c r="F30" i="12"/>
  <c r="G29" i="12"/>
  <c r="F29" i="12"/>
  <c r="E29" i="12"/>
  <c r="D29" i="12"/>
  <c r="G28" i="12"/>
  <c r="E28" i="12"/>
  <c r="C28" i="12"/>
  <c r="D28" i="12"/>
  <c r="G27" i="12"/>
  <c r="E27" i="12"/>
  <c r="C27" i="12"/>
  <c r="D27" i="12"/>
  <c r="G26" i="12"/>
  <c r="E26" i="12"/>
  <c r="C26" i="12"/>
  <c r="F26" i="12"/>
  <c r="G25" i="12"/>
  <c r="E25" i="12"/>
  <c r="C25" i="12"/>
  <c r="F25" i="12"/>
  <c r="G24" i="12"/>
  <c r="F24" i="12"/>
  <c r="E24" i="12"/>
  <c r="D24" i="12"/>
  <c r="G23" i="12"/>
  <c r="E23" i="12"/>
  <c r="C23" i="12"/>
  <c r="D23" i="12"/>
  <c r="G22" i="12"/>
  <c r="E22" i="12"/>
  <c r="C22" i="12"/>
  <c r="D22" i="12"/>
  <c r="G21" i="12"/>
  <c r="E21" i="12"/>
  <c r="C21" i="12"/>
  <c r="F21" i="12"/>
  <c r="G20" i="12"/>
  <c r="E20" i="12"/>
  <c r="C20" i="12"/>
  <c r="D20" i="12"/>
  <c r="G19" i="12"/>
  <c r="E19" i="12"/>
  <c r="C19" i="12"/>
  <c r="D19" i="12"/>
  <c r="G18" i="12"/>
  <c r="E18" i="12"/>
  <c r="C18" i="12"/>
  <c r="D18" i="12"/>
  <c r="G17" i="12"/>
  <c r="F17" i="12"/>
  <c r="E17" i="12"/>
  <c r="D17" i="12"/>
  <c r="G16" i="12"/>
  <c r="E16" i="12"/>
  <c r="C16" i="12"/>
  <c r="F16" i="12"/>
  <c r="G15" i="12"/>
  <c r="F15" i="12"/>
  <c r="E15" i="12"/>
  <c r="D15" i="12"/>
  <c r="G14" i="12"/>
  <c r="E14" i="12"/>
  <c r="C14" i="12"/>
  <c r="F14" i="12"/>
  <c r="G13" i="12"/>
  <c r="F13" i="12"/>
  <c r="E13" i="12"/>
  <c r="D13" i="12"/>
  <c r="G12" i="12"/>
  <c r="E12" i="12"/>
  <c r="C12" i="12"/>
  <c r="D12" i="12"/>
  <c r="G11" i="12"/>
  <c r="E11" i="12"/>
  <c r="C11" i="12"/>
  <c r="D11" i="12"/>
  <c r="G10" i="12"/>
  <c r="E10" i="12"/>
  <c r="C10" i="12"/>
  <c r="F10" i="12"/>
  <c r="G9" i="12"/>
  <c r="F9" i="12"/>
  <c r="E9" i="12"/>
  <c r="D9" i="12"/>
  <c r="G8" i="12"/>
  <c r="E8" i="12"/>
  <c r="C8" i="12"/>
  <c r="F8" i="12"/>
  <c r="G7" i="12"/>
  <c r="E7" i="12"/>
  <c r="C7" i="12"/>
  <c r="F7" i="12"/>
  <c r="G6" i="12"/>
  <c r="F6" i="12"/>
  <c r="E6" i="12"/>
  <c r="D6" i="12"/>
  <c r="G5" i="12"/>
  <c r="F5" i="12"/>
  <c r="E5" i="12"/>
  <c r="D5" i="12"/>
  <c r="G4" i="12"/>
  <c r="F4" i="12"/>
  <c r="D4" i="12"/>
  <c r="G3" i="12"/>
  <c r="E3" i="12"/>
  <c r="C3" i="12"/>
  <c r="F3" i="12"/>
  <c r="G204" i="11"/>
  <c r="E204" i="11"/>
  <c r="C204" i="11"/>
  <c r="F204" i="11"/>
  <c r="G203" i="11"/>
  <c r="E203" i="11"/>
  <c r="C203" i="11"/>
  <c r="D203" i="11"/>
  <c r="G202" i="11"/>
  <c r="E202" i="11"/>
  <c r="C202" i="11"/>
  <c r="F202" i="11"/>
  <c r="G201" i="11"/>
  <c r="E201" i="11"/>
  <c r="C201" i="11"/>
  <c r="F201" i="11"/>
  <c r="G200" i="11"/>
  <c r="E200" i="11"/>
  <c r="C200" i="11"/>
  <c r="F200" i="11"/>
  <c r="G199" i="11"/>
  <c r="E199" i="11"/>
  <c r="C199" i="11"/>
  <c r="F199" i="11"/>
  <c r="G198" i="11"/>
  <c r="E198" i="11"/>
  <c r="C198" i="11"/>
  <c r="F198" i="11"/>
  <c r="G197" i="11"/>
  <c r="E197" i="11"/>
  <c r="C197" i="11"/>
  <c r="D197" i="11"/>
  <c r="G196" i="11"/>
  <c r="E196" i="11"/>
  <c r="C196" i="11"/>
  <c r="F196" i="11"/>
  <c r="G195" i="11"/>
  <c r="F195" i="11"/>
  <c r="E195" i="11"/>
  <c r="D195" i="11"/>
  <c r="G194" i="11"/>
  <c r="F194" i="11"/>
  <c r="E194" i="11"/>
  <c r="D194" i="11"/>
  <c r="G193" i="11"/>
  <c r="F193" i="11"/>
  <c r="E193" i="11"/>
  <c r="D193" i="11"/>
  <c r="G192" i="11"/>
  <c r="F192" i="11"/>
  <c r="E192" i="11"/>
  <c r="D192" i="11"/>
  <c r="G191" i="11"/>
  <c r="F191" i="11"/>
  <c r="E191" i="11"/>
  <c r="D191" i="11"/>
  <c r="G190" i="11"/>
  <c r="F190" i="11"/>
  <c r="E190" i="11"/>
  <c r="D190" i="11"/>
  <c r="G189" i="11"/>
  <c r="F189" i="11"/>
  <c r="E189" i="11"/>
  <c r="D189" i="11"/>
  <c r="G188" i="11"/>
  <c r="F188" i="11"/>
  <c r="E188" i="11"/>
  <c r="D188" i="11"/>
  <c r="G187" i="11"/>
  <c r="E187" i="11"/>
  <c r="C187" i="11"/>
  <c r="D187" i="11"/>
  <c r="G186" i="11"/>
  <c r="E186" i="11"/>
  <c r="C186" i="11"/>
  <c r="F186" i="11"/>
  <c r="G185" i="11"/>
  <c r="F185" i="11"/>
  <c r="E185" i="11"/>
  <c r="D185" i="11"/>
  <c r="G184" i="11"/>
  <c r="E184" i="11"/>
  <c r="C184" i="11"/>
  <c r="F184" i="11"/>
  <c r="G183" i="11"/>
  <c r="E183" i="11"/>
  <c r="C183" i="11"/>
  <c r="D183" i="11"/>
  <c r="G182" i="11"/>
  <c r="E182" i="11"/>
  <c r="C182" i="11"/>
  <c r="D182" i="11"/>
  <c r="G181" i="11"/>
  <c r="F181" i="11"/>
  <c r="E181" i="11"/>
  <c r="D181" i="11"/>
  <c r="G180" i="11"/>
  <c r="E180" i="11"/>
  <c r="C180" i="11"/>
  <c r="F180" i="11"/>
  <c r="G179" i="11"/>
  <c r="E179" i="11"/>
  <c r="C179" i="11"/>
  <c r="F179" i="11"/>
  <c r="G178" i="11"/>
  <c r="E178" i="11"/>
  <c r="C178" i="11"/>
  <c r="F178" i="11"/>
  <c r="G177" i="11"/>
  <c r="E177" i="11"/>
  <c r="C177" i="11"/>
  <c r="D177" i="11"/>
  <c r="G176" i="11"/>
  <c r="E176" i="11"/>
  <c r="C176" i="11"/>
  <c r="F176" i="11"/>
  <c r="G175" i="11"/>
  <c r="E175" i="11"/>
  <c r="C175" i="11"/>
  <c r="F175" i="11"/>
  <c r="G174" i="11"/>
  <c r="E174" i="11"/>
  <c r="C174" i="11"/>
  <c r="D174" i="11"/>
  <c r="G173" i="11"/>
  <c r="F173" i="11"/>
  <c r="E173" i="11"/>
  <c r="D173" i="11"/>
  <c r="G172" i="11"/>
  <c r="E172" i="11"/>
  <c r="C172" i="11"/>
  <c r="D172" i="11"/>
  <c r="G171" i="11"/>
  <c r="F171" i="11"/>
  <c r="E171" i="11"/>
  <c r="D171" i="11"/>
  <c r="G170" i="11"/>
  <c r="E170" i="11"/>
  <c r="C170" i="11"/>
  <c r="F170" i="11"/>
  <c r="G169" i="11"/>
  <c r="E169" i="11"/>
  <c r="C169" i="11"/>
  <c r="F169" i="11"/>
  <c r="G168" i="11"/>
  <c r="E168" i="11"/>
  <c r="C168" i="11"/>
  <c r="F168" i="11"/>
  <c r="G167" i="11"/>
  <c r="E167" i="11"/>
  <c r="C167" i="11"/>
  <c r="D167" i="11"/>
  <c r="G166" i="11"/>
  <c r="E166" i="11"/>
  <c r="C166" i="11"/>
  <c r="F166" i="11"/>
  <c r="G165" i="11"/>
  <c r="E165" i="11"/>
  <c r="C165" i="11"/>
  <c r="F165" i="11"/>
  <c r="G164" i="11"/>
  <c r="F164" i="11"/>
  <c r="E164" i="11"/>
  <c r="D164" i="11"/>
  <c r="G163" i="11"/>
  <c r="E163" i="11"/>
  <c r="C163" i="11"/>
  <c r="F163" i="11"/>
  <c r="G162" i="11"/>
  <c r="E162" i="11"/>
  <c r="C162" i="11"/>
  <c r="D162" i="11"/>
  <c r="G161" i="11"/>
  <c r="F161" i="11"/>
  <c r="E161" i="11"/>
  <c r="D161" i="11"/>
  <c r="G160" i="11"/>
  <c r="E160" i="11"/>
  <c r="C160" i="11"/>
  <c r="F160" i="11"/>
  <c r="G159" i="11"/>
  <c r="E159" i="11"/>
  <c r="C159" i="11"/>
  <c r="F159" i="11"/>
  <c r="G158" i="11"/>
  <c r="F158" i="11"/>
  <c r="E158" i="11"/>
  <c r="D158" i="11"/>
  <c r="G157" i="11"/>
  <c r="F157" i="11"/>
  <c r="E157" i="11"/>
  <c r="D157" i="11"/>
  <c r="G156" i="11"/>
  <c r="F156" i="11"/>
  <c r="E156" i="11"/>
  <c r="D156" i="11"/>
  <c r="G155" i="11"/>
  <c r="F155" i="11"/>
  <c r="E155" i="11"/>
  <c r="D155" i="11"/>
  <c r="G154" i="11"/>
  <c r="E154" i="11"/>
  <c r="C154" i="11"/>
  <c r="F154" i="11"/>
  <c r="G153" i="11"/>
  <c r="F153" i="11"/>
  <c r="E153" i="11"/>
  <c r="D153" i="11"/>
  <c r="G152" i="11"/>
  <c r="E152" i="11"/>
  <c r="C152" i="11"/>
  <c r="F152" i="11"/>
  <c r="G151" i="11"/>
  <c r="E151" i="11"/>
  <c r="C151" i="11"/>
  <c r="F151" i="11"/>
  <c r="G150" i="11"/>
  <c r="F150" i="11"/>
  <c r="E150" i="11"/>
  <c r="D150" i="11"/>
  <c r="G149" i="11"/>
  <c r="E149" i="11"/>
  <c r="C149" i="11"/>
  <c r="F149" i="11"/>
  <c r="G148" i="11"/>
  <c r="E148" i="11"/>
  <c r="C148" i="11"/>
  <c r="D148" i="11"/>
  <c r="G147" i="11"/>
  <c r="F147" i="11"/>
  <c r="E147" i="11"/>
  <c r="D147" i="11"/>
  <c r="G146" i="11"/>
  <c r="E146" i="11"/>
  <c r="C146" i="11"/>
  <c r="D146" i="11"/>
  <c r="G145" i="11"/>
  <c r="E145" i="11"/>
  <c r="C145" i="11"/>
  <c r="F145" i="11"/>
  <c r="G144" i="11"/>
  <c r="F144" i="11"/>
  <c r="E144" i="11"/>
  <c r="D144" i="11"/>
  <c r="G143" i="11"/>
  <c r="F143" i="11"/>
  <c r="E143" i="11"/>
  <c r="D143" i="11"/>
  <c r="G142" i="11"/>
  <c r="E142" i="11"/>
  <c r="C142" i="11"/>
  <c r="F142" i="11"/>
  <c r="G141" i="11"/>
  <c r="F141" i="11"/>
  <c r="E141" i="11"/>
  <c r="D141" i="11"/>
  <c r="G140" i="11"/>
  <c r="E140" i="11"/>
  <c r="C140" i="11"/>
  <c r="D140" i="11"/>
  <c r="G139" i="11"/>
  <c r="F139" i="11"/>
  <c r="E139" i="11"/>
  <c r="D139" i="11"/>
  <c r="G138" i="11"/>
  <c r="E138" i="11"/>
  <c r="C138" i="11"/>
  <c r="F138" i="11"/>
  <c r="G137" i="11"/>
  <c r="F137" i="11"/>
  <c r="E137" i="11"/>
  <c r="D137" i="11"/>
  <c r="G136" i="11"/>
  <c r="E136" i="11"/>
  <c r="C136" i="11"/>
  <c r="F136" i="11"/>
  <c r="G135" i="11"/>
  <c r="E135" i="11"/>
  <c r="C135" i="11"/>
  <c r="F135" i="11"/>
  <c r="G134" i="11"/>
  <c r="F134" i="11"/>
  <c r="E134" i="11"/>
  <c r="D134" i="11"/>
  <c r="G133" i="11"/>
  <c r="E133" i="11"/>
  <c r="C133" i="11"/>
  <c r="F133" i="11"/>
  <c r="G132" i="11"/>
  <c r="F132" i="11"/>
  <c r="E132" i="11"/>
  <c r="D132" i="11"/>
  <c r="G131" i="11"/>
  <c r="F131" i="11"/>
  <c r="E131" i="11"/>
  <c r="D131" i="11"/>
  <c r="G130" i="11"/>
  <c r="E130" i="11"/>
  <c r="C130" i="11"/>
  <c r="D130" i="11"/>
  <c r="G129" i="11"/>
  <c r="F129" i="11"/>
  <c r="E129" i="11"/>
  <c r="D129" i="11"/>
  <c r="G128" i="11"/>
  <c r="E128" i="11"/>
  <c r="C128" i="11"/>
  <c r="D128" i="11"/>
  <c r="G127" i="11"/>
  <c r="E127" i="11"/>
  <c r="C127" i="11"/>
  <c r="F127" i="11"/>
  <c r="G126" i="11"/>
  <c r="F126" i="11"/>
  <c r="E126" i="11"/>
  <c r="D126" i="11"/>
  <c r="G125" i="11"/>
  <c r="F125" i="11"/>
  <c r="E125" i="11"/>
  <c r="D125" i="11"/>
  <c r="G124" i="11"/>
  <c r="E124" i="11"/>
  <c r="C124" i="11"/>
  <c r="F124" i="11"/>
  <c r="G123" i="11"/>
  <c r="E123" i="11"/>
  <c r="C123" i="11"/>
  <c r="D123" i="11"/>
  <c r="G122" i="11"/>
  <c r="F122" i="11"/>
  <c r="E122" i="11"/>
  <c r="D122" i="11"/>
  <c r="G121" i="11"/>
  <c r="F121" i="11"/>
  <c r="E121" i="11"/>
  <c r="D121" i="11"/>
  <c r="G120" i="11"/>
  <c r="F120" i="11"/>
  <c r="E120" i="11"/>
  <c r="D120" i="11"/>
  <c r="G119" i="11"/>
  <c r="E119" i="11"/>
  <c r="C119" i="11"/>
  <c r="D119" i="11"/>
  <c r="G118" i="11"/>
  <c r="F118" i="11"/>
  <c r="E118" i="11"/>
  <c r="D118" i="11"/>
  <c r="G117" i="11"/>
  <c r="E117" i="11"/>
  <c r="C117" i="11"/>
  <c r="F117" i="11"/>
  <c r="G116" i="11"/>
  <c r="E116" i="11"/>
  <c r="C116" i="11"/>
  <c r="F116" i="11"/>
  <c r="G115" i="11"/>
  <c r="E115" i="11"/>
  <c r="C115" i="11"/>
  <c r="F115" i="11"/>
  <c r="G114" i="11"/>
  <c r="F114" i="11"/>
  <c r="E114" i="11"/>
  <c r="D114" i="11"/>
  <c r="G113" i="11"/>
  <c r="F113" i="11"/>
  <c r="E113" i="11"/>
  <c r="D113" i="11"/>
  <c r="G112" i="11"/>
  <c r="E112" i="11"/>
  <c r="C112" i="11"/>
  <c r="F112" i="11"/>
  <c r="G111" i="11"/>
  <c r="F111" i="11"/>
  <c r="E111" i="11"/>
  <c r="D111" i="11"/>
  <c r="G110" i="11"/>
  <c r="E110" i="11"/>
  <c r="C110" i="11"/>
  <c r="F110" i="11"/>
  <c r="G109" i="11"/>
  <c r="F109" i="11"/>
  <c r="E109" i="11"/>
  <c r="D109" i="11"/>
  <c r="G108" i="11"/>
  <c r="E108" i="11"/>
  <c r="C108" i="11"/>
  <c r="F108" i="11"/>
  <c r="G107" i="11"/>
  <c r="E107" i="11"/>
  <c r="C107" i="11"/>
  <c r="D107" i="11"/>
  <c r="G106" i="11"/>
  <c r="E106" i="11"/>
  <c r="C106" i="11"/>
  <c r="F106" i="11"/>
  <c r="G105" i="11"/>
  <c r="E105" i="11"/>
  <c r="C105" i="11"/>
  <c r="F105" i="11"/>
  <c r="G104" i="11"/>
  <c r="E104" i="11"/>
  <c r="C104" i="11"/>
  <c r="D104" i="11"/>
  <c r="G103" i="11"/>
  <c r="E103" i="11"/>
  <c r="C103" i="11"/>
  <c r="F103" i="11"/>
  <c r="G102" i="11"/>
  <c r="E102" i="11"/>
  <c r="C102" i="11"/>
  <c r="F102" i="11"/>
  <c r="G101" i="11"/>
  <c r="E101" i="11"/>
  <c r="C101" i="11"/>
  <c r="F101" i="11"/>
  <c r="G100" i="11"/>
  <c r="F100" i="11"/>
  <c r="E100" i="11"/>
  <c r="D100" i="11"/>
  <c r="G99" i="11"/>
  <c r="E99" i="11"/>
  <c r="C99" i="11"/>
  <c r="F99" i="11"/>
  <c r="G98" i="11"/>
  <c r="E98" i="11"/>
  <c r="C98" i="11"/>
  <c r="F98" i="11"/>
  <c r="G97" i="11"/>
  <c r="E97" i="11"/>
  <c r="C97" i="11"/>
  <c r="D97" i="11"/>
  <c r="G96" i="11"/>
  <c r="E96" i="11"/>
  <c r="C96" i="11"/>
  <c r="F96" i="11"/>
  <c r="G95" i="11"/>
  <c r="E95" i="11"/>
  <c r="C95" i="11"/>
  <c r="F95" i="11"/>
  <c r="G94" i="11"/>
  <c r="F94" i="11"/>
  <c r="E94" i="11"/>
  <c r="D94" i="11"/>
  <c r="G93" i="11"/>
  <c r="E93" i="11"/>
  <c r="C93" i="11"/>
  <c r="F93" i="11"/>
  <c r="G92" i="11"/>
  <c r="E92" i="11"/>
  <c r="C92" i="11"/>
  <c r="D92" i="11"/>
  <c r="G91" i="11"/>
  <c r="E91" i="11"/>
  <c r="C91" i="11"/>
  <c r="F91" i="11"/>
  <c r="G90" i="11"/>
  <c r="E90" i="11"/>
  <c r="C90" i="11"/>
  <c r="F90" i="11"/>
  <c r="G89" i="11"/>
  <c r="E89" i="11"/>
  <c r="C89" i="11"/>
  <c r="D89" i="11"/>
  <c r="G88" i="11"/>
  <c r="E88" i="11"/>
  <c r="C88" i="11"/>
  <c r="F88" i="11"/>
  <c r="G87" i="11"/>
  <c r="E87" i="11"/>
  <c r="C87" i="11"/>
  <c r="F87" i="11"/>
  <c r="G86" i="11"/>
  <c r="E86" i="11"/>
  <c r="C86" i="11"/>
  <c r="F86" i="11"/>
  <c r="G85" i="11"/>
  <c r="E85" i="11"/>
  <c r="C85" i="11"/>
  <c r="F85" i="11"/>
  <c r="G84" i="11"/>
  <c r="E84" i="11"/>
  <c r="C84" i="11"/>
  <c r="D84" i="11"/>
  <c r="G83" i="11"/>
  <c r="E83" i="11"/>
  <c r="C83" i="11"/>
  <c r="F83" i="11"/>
  <c r="G82" i="11"/>
  <c r="F82" i="11"/>
  <c r="E82" i="11"/>
  <c r="D82" i="11"/>
  <c r="G81" i="11"/>
  <c r="E81" i="11"/>
  <c r="C81" i="11"/>
  <c r="F81" i="11"/>
  <c r="G80" i="11"/>
  <c r="E80" i="11"/>
  <c r="C80" i="11"/>
  <c r="F80" i="11"/>
  <c r="G79" i="11"/>
  <c r="E79" i="11"/>
  <c r="C79" i="11"/>
  <c r="D79" i="11"/>
  <c r="G78" i="11"/>
  <c r="E78" i="11"/>
  <c r="C78" i="11"/>
  <c r="F78" i="11"/>
  <c r="G77" i="11"/>
  <c r="E77" i="11"/>
  <c r="C77" i="11"/>
  <c r="F77" i="11"/>
  <c r="G76" i="11"/>
  <c r="E76" i="11"/>
  <c r="C76" i="11"/>
  <c r="F76" i="11"/>
  <c r="G75" i="11"/>
  <c r="E75" i="11"/>
  <c r="C75" i="11"/>
  <c r="D75" i="11"/>
  <c r="G74" i="11"/>
  <c r="F74" i="11"/>
  <c r="E74" i="11"/>
  <c r="D74" i="11"/>
  <c r="G73" i="11"/>
  <c r="F73" i="11"/>
  <c r="E73" i="11"/>
  <c r="D73" i="11"/>
  <c r="G72" i="11"/>
  <c r="E72" i="11"/>
  <c r="C72" i="11"/>
  <c r="F72" i="11"/>
  <c r="G71" i="11"/>
  <c r="E71" i="11"/>
  <c r="C71" i="11"/>
  <c r="F71" i="11"/>
  <c r="G70" i="11"/>
  <c r="E70" i="11"/>
  <c r="C70" i="11"/>
  <c r="D70" i="11"/>
  <c r="G69" i="11"/>
  <c r="E69" i="11"/>
  <c r="C69" i="11"/>
  <c r="D69" i="11"/>
  <c r="G68" i="11"/>
  <c r="E68" i="11"/>
  <c r="C68" i="11"/>
  <c r="F68" i="11"/>
  <c r="G67" i="11"/>
  <c r="F67" i="11"/>
  <c r="E67" i="11"/>
  <c r="D67" i="11"/>
  <c r="G66" i="11"/>
  <c r="E66" i="11"/>
  <c r="C66" i="11"/>
  <c r="F66" i="11"/>
  <c r="G65" i="11"/>
  <c r="E65" i="11"/>
  <c r="C65" i="11"/>
  <c r="F65" i="11"/>
  <c r="G64" i="11"/>
  <c r="F64" i="11"/>
  <c r="E64" i="11"/>
  <c r="D64" i="11"/>
  <c r="G63" i="11"/>
  <c r="F63" i="11"/>
  <c r="E63" i="11"/>
  <c r="D63" i="11"/>
  <c r="G62" i="11"/>
  <c r="E62" i="11"/>
  <c r="C62" i="11"/>
  <c r="D62" i="11"/>
  <c r="G61" i="11"/>
  <c r="E61" i="11"/>
  <c r="C61" i="11"/>
  <c r="F61" i="11"/>
  <c r="G60" i="11"/>
  <c r="E60" i="11"/>
  <c r="C60" i="11"/>
  <c r="F60" i="11"/>
  <c r="G59" i="11"/>
  <c r="E59" i="11"/>
  <c r="C59" i="11"/>
  <c r="F59" i="11"/>
  <c r="G58" i="11"/>
  <c r="E58" i="11"/>
  <c r="C58" i="11"/>
  <c r="F58" i="11"/>
  <c r="G57" i="11"/>
  <c r="E57" i="11"/>
  <c r="C57" i="11"/>
  <c r="F57" i="11"/>
  <c r="G56" i="11"/>
  <c r="E56" i="11"/>
  <c r="C56" i="11"/>
  <c r="F56" i="11"/>
  <c r="G55" i="11"/>
  <c r="E55" i="11"/>
  <c r="C55" i="11"/>
  <c r="F55" i="11"/>
  <c r="G54" i="11"/>
  <c r="E54" i="11"/>
  <c r="C54" i="11"/>
  <c r="D54" i="11"/>
  <c r="G53" i="11"/>
  <c r="F53" i="11"/>
  <c r="E53" i="11"/>
  <c r="D53" i="11"/>
  <c r="G52" i="11"/>
  <c r="E52" i="11"/>
  <c r="C52" i="11"/>
  <c r="F52" i="11"/>
  <c r="G51" i="11"/>
  <c r="E51" i="11"/>
  <c r="C51" i="11"/>
  <c r="F51" i="11"/>
  <c r="G50" i="11"/>
  <c r="E50" i="11"/>
  <c r="C50" i="11"/>
  <c r="F50" i="11"/>
  <c r="G49" i="11"/>
  <c r="E49" i="11"/>
  <c r="C49" i="11"/>
  <c r="D49" i="11"/>
  <c r="G48" i="11"/>
  <c r="F48" i="11"/>
  <c r="E48" i="11"/>
  <c r="D48" i="11"/>
  <c r="G47" i="11"/>
  <c r="E47" i="11"/>
  <c r="C47" i="11"/>
  <c r="D47" i="11"/>
  <c r="G46" i="11"/>
  <c r="F46" i="11"/>
  <c r="E46" i="11"/>
  <c r="D46" i="11"/>
  <c r="G45" i="11"/>
  <c r="F45" i="11"/>
  <c r="E45" i="11"/>
  <c r="D45" i="11"/>
  <c r="G44" i="11"/>
  <c r="E44" i="11"/>
  <c r="C44" i="11"/>
  <c r="F44" i="11"/>
  <c r="G43" i="11"/>
  <c r="F43" i="11"/>
  <c r="E43" i="11"/>
  <c r="D43" i="11"/>
  <c r="G42" i="11"/>
  <c r="F42" i="11"/>
  <c r="E42" i="11"/>
  <c r="D42" i="11"/>
  <c r="G41" i="11"/>
  <c r="E41" i="11"/>
  <c r="C41" i="11"/>
  <c r="F41" i="11"/>
  <c r="G40" i="11"/>
  <c r="F40" i="11"/>
  <c r="E40" i="11"/>
  <c r="D40" i="11"/>
  <c r="G39" i="11"/>
  <c r="E39" i="11"/>
  <c r="C39" i="11"/>
  <c r="F39" i="11"/>
  <c r="G38" i="11"/>
  <c r="E38" i="11"/>
  <c r="C38" i="11"/>
  <c r="F38" i="11"/>
  <c r="G37" i="11"/>
  <c r="E37" i="11"/>
  <c r="C37" i="11"/>
  <c r="F37" i="11"/>
  <c r="G36" i="11"/>
  <c r="F36" i="11"/>
  <c r="E36" i="11"/>
  <c r="D36" i="11"/>
  <c r="G35" i="11"/>
  <c r="E35" i="11"/>
  <c r="C35" i="11"/>
  <c r="D35" i="11"/>
  <c r="G34" i="11"/>
  <c r="E34" i="11"/>
  <c r="C34" i="11"/>
  <c r="F34" i="11"/>
  <c r="G33" i="11"/>
  <c r="E33" i="11"/>
  <c r="C33" i="11"/>
  <c r="F33" i="11"/>
  <c r="G32" i="11"/>
  <c r="F32" i="11"/>
  <c r="E32" i="11"/>
  <c r="D32" i="11"/>
  <c r="G31" i="11"/>
  <c r="F31" i="11"/>
  <c r="E31" i="11"/>
  <c r="D31" i="11"/>
  <c r="G30" i="11"/>
  <c r="E30" i="11"/>
  <c r="C30" i="11"/>
  <c r="F30" i="11"/>
  <c r="G29" i="11"/>
  <c r="F29" i="11"/>
  <c r="E29" i="11"/>
  <c r="D29" i="11"/>
  <c r="G28" i="11"/>
  <c r="E28" i="11"/>
  <c r="C28" i="11"/>
  <c r="F28" i="11"/>
  <c r="G27" i="11"/>
  <c r="E27" i="11"/>
  <c r="C27" i="11"/>
  <c r="F27" i="11"/>
  <c r="G26" i="11"/>
  <c r="E26" i="11"/>
  <c r="C26" i="11"/>
  <c r="F26" i="11"/>
  <c r="G25" i="11"/>
  <c r="E25" i="11"/>
  <c r="C25" i="11"/>
  <c r="F25" i="11"/>
  <c r="G24" i="11"/>
  <c r="F24" i="11"/>
  <c r="E24" i="11"/>
  <c r="D24" i="11"/>
  <c r="G23" i="11"/>
  <c r="E23" i="11"/>
  <c r="C23" i="11"/>
  <c r="F23" i="11"/>
  <c r="G22" i="11"/>
  <c r="E22" i="11"/>
  <c r="C22" i="11"/>
  <c r="F22" i="11"/>
  <c r="G21" i="11"/>
  <c r="E21" i="11"/>
  <c r="C21" i="11"/>
  <c r="F21" i="11"/>
  <c r="G20" i="11"/>
  <c r="E20" i="11"/>
  <c r="C20" i="11"/>
  <c r="F20" i="11"/>
  <c r="G19" i="11"/>
  <c r="E19" i="11"/>
  <c r="C19" i="11"/>
  <c r="F19" i="11"/>
  <c r="G18" i="11"/>
  <c r="E18" i="11"/>
  <c r="C18" i="11"/>
  <c r="D18" i="11"/>
  <c r="G17" i="11"/>
  <c r="F17" i="11"/>
  <c r="E17" i="11"/>
  <c r="D17" i="11"/>
  <c r="G16" i="11"/>
  <c r="E16" i="11"/>
  <c r="C16" i="11"/>
  <c r="D16" i="11"/>
  <c r="G15" i="11"/>
  <c r="F15" i="11"/>
  <c r="E15" i="11"/>
  <c r="D15" i="11"/>
  <c r="G14" i="11"/>
  <c r="E14" i="11"/>
  <c r="C14" i="11"/>
  <c r="F14" i="11"/>
  <c r="G13" i="11"/>
  <c r="F13" i="11"/>
  <c r="E13" i="11"/>
  <c r="D13" i="11"/>
  <c r="G12" i="11"/>
  <c r="E12" i="11"/>
  <c r="C12" i="11"/>
  <c r="D12" i="11"/>
  <c r="G11" i="11"/>
  <c r="E11" i="11"/>
  <c r="C11" i="11"/>
  <c r="D11" i="11"/>
  <c r="G10" i="11"/>
  <c r="E10" i="11"/>
  <c r="C10" i="11"/>
  <c r="D10" i="11"/>
  <c r="G9" i="11"/>
  <c r="F9" i="11"/>
  <c r="E9" i="11"/>
  <c r="D9" i="11"/>
  <c r="G8" i="11"/>
  <c r="E8" i="11"/>
  <c r="C8" i="11"/>
  <c r="F8" i="11"/>
  <c r="G7" i="11"/>
  <c r="E7" i="11"/>
  <c r="C7" i="11"/>
  <c r="D7" i="11"/>
  <c r="G6" i="11"/>
  <c r="F6" i="11"/>
  <c r="E6" i="11"/>
  <c r="D6" i="11"/>
  <c r="G5" i="11"/>
  <c r="F5" i="11"/>
  <c r="E5" i="11"/>
  <c r="D5" i="11"/>
  <c r="G4" i="11"/>
  <c r="F4" i="11"/>
  <c r="D4" i="11"/>
  <c r="G3" i="11"/>
  <c r="E3" i="11"/>
  <c r="C3" i="11"/>
  <c r="D3" i="11"/>
  <c r="G204" i="10"/>
  <c r="E204" i="10"/>
  <c r="C204" i="10"/>
  <c r="F204" i="10"/>
  <c r="G203" i="10"/>
  <c r="E203" i="10"/>
  <c r="C203" i="10"/>
  <c r="D203" i="10"/>
  <c r="G202" i="10"/>
  <c r="E202" i="10"/>
  <c r="C202" i="10"/>
  <c r="F202" i="10"/>
  <c r="G201" i="10"/>
  <c r="E201" i="10"/>
  <c r="C201" i="10"/>
  <c r="F201" i="10"/>
  <c r="G200" i="10"/>
  <c r="E200" i="10"/>
  <c r="C200" i="10"/>
  <c r="D200" i="10"/>
  <c r="G199" i="10"/>
  <c r="E199" i="10"/>
  <c r="C199" i="10"/>
  <c r="F199" i="10"/>
  <c r="G198" i="10"/>
  <c r="E198" i="10"/>
  <c r="C198" i="10"/>
  <c r="D198" i="10"/>
  <c r="G197" i="10"/>
  <c r="E197" i="10"/>
  <c r="C197" i="10"/>
  <c r="F197" i="10"/>
  <c r="G196" i="10"/>
  <c r="E196" i="10"/>
  <c r="C196" i="10"/>
  <c r="F196" i="10"/>
  <c r="G195" i="10"/>
  <c r="F195" i="10"/>
  <c r="E195" i="10"/>
  <c r="D195" i="10"/>
  <c r="G194" i="10"/>
  <c r="F194" i="10"/>
  <c r="E194" i="10"/>
  <c r="D194" i="10"/>
  <c r="G193" i="10"/>
  <c r="F193" i="10"/>
  <c r="E193" i="10"/>
  <c r="D193" i="10"/>
  <c r="G192" i="10"/>
  <c r="F192" i="10"/>
  <c r="E192" i="10"/>
  <c r="D192" i="10"/>
  <c r="G191" i="10"/>
  <c r="F191" i="10"/>
  <c r="E191" i="10"/>
  <c r="D191" i="10"/>
  <c r="G190" i="10"/>
  <c r="F190" i="10"/>
  <c r="E190" i="10"/>
  <c r="D190" i="10"/>
  <c r="G189" i="10"/>
  <c r="F189" i="10"/>
  <c r="E189" i="10"/>
  <c r="D189" i="10"/>
  <c r="G188" i="10"/>
  <c r="F188" i="10"/>
  <c r="E188" i="10"/>
  <c r="D188" i="10"/>
  <c r="G187" i="10"/>
  <c r="E187" i="10"/>
  <c r="C187" i="10"/>
  <c r="D187" i="10"/>
  <c r="G186" i="10"/>
  <c r="E186" i="10"/>
  <c r="C186" i="10"/>
  <c r="D186" i="10"/>
  <c r="G185" i="10"/>
  <c r="F185" i="10"/>
  <c r="E185" i="10"/>
  <c r="D185" i="10"/>
  <c r="G184" i="10"/>
  <c r="E184" i="10"/>
  <c r="C184" i="10"/>
  <c r="F184" i="10"/>
  <c r="G183" i="10"/>
  <c r="E183" i="10"/>
  <c r="C183" i="10"/>
  <c r="F183" i="10"/>
  <c r="G182" i="10"/>
  <c r="E182" i="10"/>
  <c r="C182" i="10"/>
  <c r="D182" i="10"/>
  <c r="G181" i="10"/>
  <c r="F181" i="10"/>
  <c r="E181" i="10"/>
  <c r="D181" i="10"/>
  <c r="G180" i="10"/>
  <c r="E180" i="10"/>
  <c r="C180" i="10"/>
  <c r="D180" i="10"/>
  <c r="G179" i="10"/>
  <c r="E179" i="10"/>
  <c r="C179" i="10"/>
  <c r="F179" i="10"/>
  <c r="G178" i="10"/>
  <c r="E178" i="10"/>
  <c r="C178" i="10"/>
  <c r="F178" i="10"/>
  <c r="G177" i="10"/>
  <c r="E177" i="10"/>
  <c r="C177" i="10"/>
  <c r="D177" i="10"/>
  <c r="G176" i="10"/>
  <c r="E176" i="10"/>
  <c r="C176" i="10"/>
  <c r="F176" i="10"/>
  <c r="G175" i="10"/>
  <c r="E175" i="10"/>
  <c r="C175" i="10"/>
  <c r="F175" i="10"/>
  <c r="G174" i="10"/>
  <c r="E174" i="10"/>
  <c r="C174" i="10"/>
  <c r="F174" i="10"/>
  <c r="G173" i="10"/>
  <c r="F173" i="10"/>
  <c r="E173" i="10"/>
  <c r="D173" i="10"/>
  <c r="G172" i="10"/>
  <c r="E172" i="10"/>
  <c r="C172" i="10"/>
  <c r="D172" i="10"/>
  <c r="G171" i="10"/>
  <c r="F171" i="10"/>
  <c r="E171" i="10"/>
  <c r="D171" i="10"/>
  <c r="G170" i="10"/>
  <c r="E170" i="10"/>
  <c r="C170" i="10"/>
  <c r="D170" i="10"/>
  <c r="G169" i="10"/>
  <c r="E169" i="10"/>
  <c r="C169" i="10"/>
  <c r="F169" i="10"/>
  <c r="G168" i="10"/>
  <c r="E168" i="10"/>
  <c r="C168" i="10"/>
  <c r="F168" i="10"/>
  <c r="G167" i="10"/>
  <c r="E167" i="10"/>
  <c r="C167" i="10"/>
  <c r="D167" i="10"/>
  <c r="G166" i="10"/>
  <c r="E166" i="10"/>
  <c r="C166" i="10"/>
  <c r="F166" i="10"/>
  <c r="G165" i="10"/>
  <c r="E165" i="10"/>
  <c r="C165" i="10"/>
  <c r="F165" i="10"/>
  <c r="G164" i="10"/>
  <c r="F164" i="10"/>
  <c r="E164" i="10"/>
  <c r="D164" i="10"/>
  <c r="G163" i="10"/>
  <c r="E163" i="10"/>
  <c r="C163" i="10"/>
  <c r="F163" i="10"/>
  <c r="G162" i="10"/>
  <c r="E162" i="10"/>
  <c r="C162" i="10"/>
  <c r="D162" i="10"/>
  <c r="G161" i="10"/>
  <c r="F161" i="10"/>
  <c r="E161" i="10"/>
  <c r="D161" i="10"/>
  <c r="G160" i="10"/>
  <c r="E160" i="10"/>
  <c r="C160" i="10"/>
  <c r="D160" i="10"/>
  <c r="G159" i="10"/>
  <c r="E159" i="10"/>
  <c r="C159" i="10"/>
  <c r="F159" i="10"/>
  <c r="G158" i="10"/>
  <c r="F158" i="10"/>
  <c r="E158" i="10"/>
  <c r="D158" i="10"/>
  <c r="G157" i="10"/>
  <c r="F157" i="10"/>
  <c r="E157" i="10"/>
  <c r="D157" i="10"/>
  <c r="G156" i="10"/>
  <c r="F156" i="10"/>
  <c r="E156" i="10"/>
  <c r="D156" i="10"/>
  <c r="G155" i="10"/>
  <c r="F155" i="10"/>
  <c r="E155" i="10"/>
  <c r="D155" i="10"/>
  <c r="G154" i="10"/>
  <c r="E154" i="10"/>
  <c r="C154" i="10"/>
  <c r="F154" i="10"/>
  <c r="G153" i="10"/>
  <c r="F153" i="10"/>
  <c r="E153" i="10"/>
  <c r="D153" i="10"/>
  <c r="G152" i="10"/>
  <c r="E152" i="10"/>
  <c r="C152" i="10"/>
  <c r="F152" i="10"/>
  <c r="G151" i="10"/>
  <c r="E151" i="10"/>
  <c r="C151" i="10"/>
  <c r="D151" i="10"/>
  <c r="G150" i="10"/>
  <c r="F150" i="10"/>
  <c r="E150" i="10"/>
  <c r="D150" i="10"/>
  <c r="G149" i="10"/>
  <c r="E149" i="10"/>
  <c r="C149" i="10"/>
  <c r="F149" i="10"/>
  <c r="G148" i="10"/>
  <c r="E148" i="10"/>
  <c r="C148" i="10"/>
  <c r="F148" i="10"/>
  <c r="G147" i="10"/>
  <c r="F147" i="10"/>
  <c r="E147" i="10"/>
  <c r="D147" i="10"/>
  <c r="G146" i="10"/>
  <c r="E146" i="10"/>
  <c r="C146" i="10"/>
  <c r="D146" i="10"/>
  <c r="G145" i="10"/>
  <c r="E145" i="10"/>
  <c r="C145" i="10"/>
  <c r="D145" i="10"/>
  <c r="G144" i="10"/>
  <c r="F144" i="10"/>
  <c r="E144" i="10"/>
  <c r="D144" i="10"/>
  <c r="G143" i="10"/>
  <c r="F143" i="10"/>
  <c r="E143" i="10"/>
  <c r="D143" i="10"/>
  <c r="G142" i="10"/>
  <c r="E142" i="10"/>
  <c r="C142" i="10"/>
  <c r="F142" i="10"/>
  <c r="G141" i="10"/>
  <c r="F141" i="10"/>
  <c r="E141" i="10"/>
  <c r="D141" i="10"/>
  <c r="G140" i="10"/>
  <c r="E140" i="10"/>
  <c r="C140" i="10"/>
  <c r="D140" i="10"/>
  <c r="G139" i="10"/>
  <c r="F139" i="10"/>
  <c r="E139" i="10"/>
  <c r="D139" i="10"/>
  <c r="G138" i="10"/>
  <c r="E138" i="10"/>
  <c r="C138" i="10"/>
  <c r="D138" i="10"/>
  <c r="G137" i="10"/>
  <c r="F137" i="10"/>
  <c r="E137" i="10"/>
  <c r="D137" i="10"/>
  <c r="G136" i="10"/>
  <c r="E136" i="10"/>
  <c r="C136" i="10"/>
  <c r="D136" i="10"/>
  <c r="G135" i="10"/>
  <c r="E135" i="10"/>
  <c r="C135" i="10"/>
  <c r="F135" i="10"/>
  <c r="G134" i="10"/>
  <c r="F134" i="10"/>
  <c r="E134" i="10"/>
  <c r="D134" i="10"/>
  <c r="G133" i="10"/>
  <c r="E133" i="10"/>
  <c r="C133" i="10"/>
  <c r="F133" i="10"/>
  <c r="G132" i="10"/>
  <c r="F132" i="10"/>
  <c r="E132" i="10"/>
  <c r="D132" i="10"/>
  <c r="G131" i="10"/>
  <c r="F131" i="10"/>
  <c r="E131" i="10"/>
  <c r="D131" i="10"/>
  <c r="G130" i="10"/>
  <c r="E130" i="10"/>
  <c r="C130" i="10"/>
  <c r="D130" i="10"/>
  <c r="G129" i="10"/>
  <c r="F129" i="10"/>
  <c r="E129" i="10"/>
  <c r="D129" i="10"/>
  <c r="G128" i="10"/>
  <c r="E128" i="10"/>
  <c r="C128" i="10"/>
  <c r="D128" i="10"/>
  <c r="G127" i="10"/>
  <c r="E127" i="10"/>
  <c r="C127" i="10"/>
  <c r="F127" i="10"/>
  <c r="G126" i="10"/>
  <c r="F126" i="10"/>
  <c r="E126" i="10"/>
  <c r="D126" i="10"/>
  <c r="G125" i="10"/>
  <c r="F125" i="10"/>
  <c r="E125" i="10"/>
  <c r="D125" i="10"/>
  <c r="G124" i="10"/>
  <c r="E124" i="10"/>
  <c r="C124" i="10"/>
  <c r="F124" i="10"/>
  <c r="G123" i="10"/>
  <c r="E123" i="10"/>
  <c r="C123" i="10"/>
  <c r="D123" i="10"/>
  <c r="G122" i="10"/>
  <c r="F122" i="10"/>
  <c r="E122" i="10"/>
  <c r="D122" i="10"/>
  <c r="G121" i="10"/>
  <c r="F121" i="10"/>
  <c r="E121" i="10"/>
  <c r="D121" i="10"/>
  <c r="G120" i="10"/>
  <c r="F120" i="10"/>
  <c r="E120" i="10"/>
  <c r="D120" i="10"/>
  <c r="G119" i="10"/>
  <c r="E119" i="10"/>
  <c r="C119" i="10"/>
  <c r="D119" i="10"/>
  <c r="G118" i="10"/>
  <c r="F118" i="10"/>
  <c r="E118" i="10"/>
  <c r="D118" i="10"/>
  <c r="G117" i="10"/>
  <c r="E117" i="10"/>
  <c r="C117" i="10"/>
  <c r="F117" i="10"/>
  <c r="G116" i="10"/>
  <c r="E116" i="10"/>
  <c r="C116" i="10"/>
  <c r="F116" i="10"/>
  <c r="G115" i="10"/>
  <c r="E115" i="10"/>
  <c r="C115" i="10"/>
  <c r="F115" i="10"/>
  <c r="G114" i="10"/>
  <c r="F114" i="10"/>
  <c r="E114" i="10"/>
  <c r="D114" i="10"/>
  <c r="G113" i="10"/>
  <c r="F113" i="10"/>
  <c r="E113" i="10"/>
  <c r="D113" i="10"/>
  <c r="G112" i="10"/>
  <c r="E112" i="10"/>
  <c r="C112" i="10"/>
  <c r="D112" i="10"/>
  <c r="G111" i="10"/>
  <c r="F111" i="10"/>
  <c r="E111" i="10"/>
  <c r="D111" i="10"/>
  <c r="G110" i="10"/>
  <c r="E110" i="10"/>
  <c r="C110" i="10"/>
  <c r="F110" i="10"/>
  <c r="G109" i="10"/>
  <c r="F109" i="10"/>
  <c r="E109" i="10"/>
  <c r="D109" i="10"/>
  <c r="G108" i="10"/>
  <c r="E108" i="10"/>
  <c r="C108" i="10"/>
  <c r="F108" i="10"/>
  <c r="G107" i="10"/>
  <c r="E107" i="10"/>
  <c r="C107" i="10"/>
  <c r="D107" i="10"/>
  <c r="G106" i="10"/>
  <c r="E106" i="10"/>
  <c r="C106" i="10"/>
  <c r="D106" i="10"/>
  <c r="G105" i="10"/>
  <c r="E105" i="10"/>
  <c r="C105" i="10"/>
  <c r="F105" i="10"/>
  <c r="G104" i="10"/>
  <c r="E104" i="10"/>
  <c r="C104" i="10"/>
  <c r="F104" i="10"/>
  <c r="G103" i="10"/>
  <c r="E103" i="10"/>
  <c r="C103" i="10"/>
  <c r="F103" i="10"/>
  <c r="G102" i="10"/>
  <c r="E102" i="10"/>
  <c r="C102" i="10"/>
  <c r="D102" i="10"/>
  <c r="G101" i="10"/>
  <c r="E101" i="10"/>
  <c r="C101" i="10"/>
  <c r="F101" i="10"/>
  <c r="G100" i="10"/>
  <c r="F100" i="10"/>
  <c r="E100" i="10"/>
  <c r="D100" i="10"/>
  <c r="G99" i="10"/>
  <c r="E99" i="10"/>
  <c r="C99" i="10"/>
  <c r="F99" i="10"/>
  <c r="G98" i="10"/>
  <c r="E98" i="10"/>
  <c r="C98" i="10"/>
  <c r="F98" i="10"/>
  <c r="G97" i="10"/>
  <c r="E97" i="10"/>
  <c r="C97" i="10"/>
  <c r="D97" i="10"/>
  <c r="G96" i="10"/>
  <c r="E96" i="10"/>
  <c r="C96" i="10"/>
  <c r="F96" i="10"/>
  <c r="G95" i="10"/>
  <c r="E95" i="10"/>
  <c r="C95" i="10"/>
  <c r="F95" i="10"/>
  <c r="G94" i="10"/>
  <c r="F94" i="10"/>
  <c r="E94" i="10"/>
  <c r="D94" i="10"/>
  <c r="G93" i="10"/>
  <c r="E93" i="10"/>
  <c r="C93" i="10"/>
  <c r="F93" i="10"/>
  <c r="G92" i="10"/>
  <c r="E92" i="10"/>
  <c r="C92" i="10"/>
  <c r="D92" i="10"/>
  <c r="G91" i="10"/>
  <c r="E91" i="10"/>
  <c r="C91" i="10"/>
  <c r="F91" i="10"/>
  <c r="G90" i="10"/>
  <c r="E90" i="10"/>
  <c r="C90" i="10"/>
  <c r="F90" i="10"/>
  <c r="G89" i="10"/>
  <c r="E89" i="10"/>
  <c r="C89" i="10"/>
  <c r="D89" i="10"/>
  <c r="G88" i="10"/>
  <c r="E88" i="10"/>
  <c r="C88" i="10"/>
  <c r="F88" i="10"/>
  <c r="G87" i="10"/>
  <c r="E87" i="10"/>
  <c r="C87" i="10"/>
  <c r="F87" i="10"/>
  <c r="G86" i="10"/>
  <c r="E86" i="10"/>
  <c r="C86" i="10"/>
  <c r="F86" i="10"/>
  <c r="G85" i="10"/>
  <c r="E85" i="10"/>
  <c r="C85" i="10"/>
  <c r="D85" i="10"/>
  <c r="G84" i="10"/>
  <c r="E84" i="10"/>
  <c r="C84" i="10"/>
  <c r="D84" i="10"/>
  <c r="G83" i="10"/>
  <c r="E83" i="10"/>
  <c r="C83" i="10"/>
  <c r="F83" i="10"/>
  <c r="G82" i="10"/>
  <c r="F82" i="10"/>
  <c r="E82" i="10"/>
  <c r="D82" i="10"/>
  <c r="G81" i="10"/>
  <c r="E81" i="10"/>
  <c r="C81" i="10"/>
  <c r="D81" i="10"/>
  <c r="G80" i="10"/>
  <c r="E80" i="10"/>
  <c r="C80" i="10"/>
  <c r="D80" i="10"/>
  <c r="G79" i="10"/>
  <c r="E79" i="10"/>
  <c r="C79" i="10"/>
  <c r="D79" i="10"/>
  <c r="G78" i="10"/>
  <c r="E78" i="10"/>
  <c r="C78" i="10"/>
  <c r="F78" i="10"/>
  <c r="G77" i="10"/>
  <c r="E77" i="10"/>
  <c r="C77" i="10"/>
  <c r="F77" i="10"/>
  <c r="G76" i="10"/>
  <c r="E76" i="10"/>
  <c r="C76" i="10"/>
  <c r="D76" i="10"/>
  <c r="G75" i="10"/>
  <c r="E75" i="10"/>
  <c r="C75" i="10"/>
  <c r="F75" i="10"/>
  <c r="G74" i="10"/>
  <c r="F74" i="10"/>
  <c r="E74" i="10"/>
  <c r="D74" i="10"/>
  <c r="G73" i="10"/>
  <c r="F73" i="10"/>
  <c r="E73" i="10"/>
  <c r="D73" i="10"/>
  <c r="G72" i="10"/>
  <c r="E72" i="10"/>
  <c r="C72" i="10"/>
  <c r="F72" i="10"/>
  <c r="G71" i="10"/>
  <c r="E71" i="10"/>
  <c r="C71" i="10"/>
  <c r="F71" i="10"/>
  <c r="G70" i="10"/>
  <c r="E70" i="10"/>
  <c r="C70" i="10"/>
  <c r="D70" i="10"/>
  <c r="G69" i="10"/>
  <c r="E69" i="10"/>
  <c r="C69" i="10"/>
  <c r="D69" i="10"/>
  <c r="G68" i="10"/>
  <c r="E68" i="10"/>
  <c r="C68" i="10"/>
  <c r="F68" i="10"/>
  <c r="G67" i="10"/>
  <c r="F67" i="10"/>
  <c r="E67" i="10"/>
  <c r="D67" i="10"/>
  <c r="G66" i="10"/>
  <c r="E66" i="10"/>
  <c r="C66" i="10"/>
  <c r="F66" i="10"/>
  <c r="G65" i="10"/>
  <c r="E65" i="10"/>
  <c r="C65" i="10"/>
  <c r="D65" i="10"/>
  <c r="G64" i="10"/>
  <c r="F64" i="10"/>
  <c r="E64" i="10"/>
  <c r="D64" i="10"/>
  <c r="G63" i="10"/>
  <c r="F63" i="10"/>
  <c r="E63" i="10"/>
  <c r="D63" i="10"/>
  <c r="G62" i="10"/>
  <c r="E62" i="10"/>
  <c r="C62" i="10"/>
  <c r="D62" i="10"/>
  <c r="G61" i="10"/>
  <c r="E61" i="10"/>
  <c r="C61" i="10"/>
  <c r="F61" i="10"/>
  <c r="G60" i="10"/>
  <c r="E60" i="10"/>
  <c r="C60" i="10"/>
  <c r="F60" i="10"/>
  <c r="G59" i="10"/>
  <c r="E59" i="10"/>
  <c r="C59" i="10"/>
  <c r="F59" i="10"/>
  <c r="G58" i="10"/>
  <c r="E58" i="10"/>
  <c r="C58" i="10"/>
  <c r="D58" i="10"/>
  <c r="G57" i="10"/>
  <c r="E57" i="10"/>
  <c r="C57" i="10"/>
  <c r="F57" i="10"/>
  <c r="G56" i="10"/>
  <c r="E56" i="10"/>
  <c r="C56" i="10"/>
  <c r="F56" i="10"/>
  <c r="G55" i="10"/>
  <c r="E55" i="10"/>
  <c r="C55" i="10"/>
  <c r="D55" i="10"/>
  <c r="G54" i="10"/>
  <c r="E54" i="10"/>
  <c r="C54" i="10"/>
  <c r="D54" i="10"/>
  <c r="G53" i="10"/>
  <c r="F53" i="10"/>
  <c r="E53" i="10"/>
  <c r="D53" i="10"/>
  <c r="G52" i="10"/>
  <c r="E52" i="10"/>
  <c r="C52" i="10"/>
  <c r="F52" i="10"/>
  <c r="G51" i="10"/>
  <c r="E51" i="10"/>
  <c r="C51" i="10"/>
  <c r="F51" i="10"/>
  <c r="G50" i="10"/>
  <c r="E50" i="10"/>
  <c r="C50" i="10"/>
  <c r="D50" i="10"/>
  <c r="G49" i="10"/>
  <c r="E49" i="10"/>
  <c r="C49" i="10"/>
  <c r="D49" i="10"/>
  <c r="G48" i="10"/>
  <c r="F48" i="10"/>
  <c r="E48" i="10"/>
  <c r="D48" i="10"/>
  <c r="G47" i="10"/>
  <c r="E47" i="10"/>
  <c r="C47" i="10"/>
  <c r="F47" i="10"/>
  <c r="G46" i="10"/>
  <c r="F46" i="10"/>
  <c r="E46" i="10"/>
  <c r="D46" i="10"/>
  <c r="G45" i="10"/>
  <c r="F45" i="10"/>
  <c r="E45" i="10"/>
  <c r="D45" i="10"/>
  <c r="G44" i="10"/>
  <c r="E44" i="10"/>
  <c r="C44" i="10"/>
  <c r="D44" i="10"/>
  <c r="G43" i="10"/>
  <c r="F43" i="10"/>
  <c r="E43" i="10"/>
  <c r="D43" i="10"/>
  <c r="G42" i="10"/>
  <c r="F42" i="10"/>
  <c r="E42" i="10"/>
  <c r="D42" i="10"/>
  <c r="G41" i="10"/>
  <c r="E41" i="10"/>
  <c r="C41" i="10"/>
  <c r="D41" i="10"/>
  <c r="G40" i="10"/>
  <c r="F40" i="10"/>
  <c r="E40" i="10"/>
  <c r="D40" i="10"/>
  <c r="G39" i="10"/>
  <c r="E39" i="10"/>
  <c r="C39" i="10"/>
  <c r="F39" i="10"/>
  <c r="G38" i="10"/>
  <c r="E38" i="10"/>
  <c r="C38" i="10"/>
  <c r="F38" i="10"/>
  <c r="G37" i="10"/>
  <c r="E37" i="10"/>
  <c r="C37" i="10"/>
  <c r="F37" i="10"/>
  <c r="G36" i="10"/>
  <c r="F36" i="10"/>
  <c r="E36" i="10"/>
  <c r="D36" i="10"/>
  <c r="G35" i="10"/>
  <c r="E35" i="10"/>
  <c r="C35" i="10"/>
  <c r="D35" i="10"/>
  <c r="G34" i="10"/>
  <c r="E34" i="10"/>
  <c r="C34" i="10"/>
  <c r="F34" i="10"/>
  <c r="G33" i="10"/>
  <c r="E33" i="10"/>
  <c r="C33" i="10"/>
  <c r="F33" i="10"/>
  <c r="G32" i="10"/>
  <c r="F32" i="10"/>
  <c r="E32" i="10"/>
  <c r="D32" i="10"/>
  <c r="G31" i="10"/>
  <c r="F31" i="10"/>
  <c r="E31" i="10"/>
  <c r="D31" i="10"/>
  <c r="G30" i="10"/>
  <c r="E30" i="10"/>
  <c r="C30" i="10"/>
  <c r="F30" i="10"/>
  <c r="G29" i="10"/>
  <c r="F29" i="10"/>
  <c r="E29" i="10"/>
  <c r="D29" i="10"/>
  <c r="G28" i="10"/>
  <c r="E28" i="10"/>
  <c r="C28" i="10"/>
  <c r="D28" i="10"/>
  <c r="G27" i="10"/>
  <c r="E27" i="10"/>
  <c r="C27" i="10"/>
  <c r="F27" i="10"/>
  <c r="G26" i="10"/>
  <c r="E26" i="10"/>
  <c r="C26" i="10"/>
  <c r="F26" i="10"/>
  <c r="G25" i="10"/>
  <c r="E25" i="10"/>
  <c r="C25" i="10"/>
  <c r="F25" i="10"/>
  <c r="G24" i="10"/>
  <c r="F24" i="10"/>
  <c r="E24" i="10"/>
  <c r="D24" i="10"/>
  <c r="G23" i="10"/>
  <c r="E23" i="10"/>
  <c r="C23" i="10"/>
  <c r="D23" i="10"/>
  <c r="G22" i="10"/>
  <c r="E22" i="10"/>
  <c r="C22" i="10"/>
  <c r="D22" i="10"/>
  <c r="G21" i="10"/>
  <c r="E21" i="10"/>
  <c r="C21" i="10"/>
  <c r="F21" i="10"/>
  <c r="G20" i="10"/>
  <c r="E20" i="10"/>
  <c r="C20" i="10"/>
  <c r="D20" i="10"/>
  <c r="G19" i="10"/>
  <c r="E19" i="10"/>
  <c r="C19" i="10"/>
  <c r="D19" i="10"/>
  <c r="G18" i="10"/>
  <c r="E18" i="10"/>
  <c r="C18" i="10"/>
  <c r="D18" i="10"/>
  <c r="G17" i="10"/>
  <c r="F17" i="10"/>
  <c r="E17" i="10"/>
  <c r="D17" i="10"/>
  <c r="G16" i="10"/>
  <c r="E16" i="10"/>
  <c r="C16" i="10"/>
  <c r="F16" i="10"/>
  <c r="G15" i="10"/>
  <c r="F15" i="10"/>
  <c r="E15" i="10"/>
  <c r="D15" i="10"/>
  <c r="G14" i="10"/>
  <c r="E14" i="10"/>
  <c r="C14" i="10"/>
  <c r="D14" i="10"/>
  <c r="G13" i="10"/>
  <c r="F13" i="10"/>
  <c r="E13" i="10"/>
  <c r="D13" i="10"/>
  <c r="G12" i="10"/>
  <c r="E12" i="10"/>
  <c r="C12" i="10"/>
  <c r="D12" i="10"/>
  <c r="G11" i="10"/>
  <c r="E11" i="10"/>
  <c r="C11" i="10"/>
  <c r="D11" i="10"/>
  <c r="G10" i="10"/>
  <c r="E10" i="10"/>
  <c r="C10" i="10"/>
  <c r="F10" i="10"/>
  <c r="G9" i="10"/>
  <c r="F9" i="10"/>
  <c r="E9" i="10"/>
  <c r="D9" i="10"/>
  <c r="G8" i="10"/>
  <c r="E8" i="10"/>
  <c r="C8" i="10"/>
  <c r="D8" i="10"/>
  <c r="G7" i="10"/>
  <c r="E7" i="10"/>
  <c r="C7" i="10"/>
  <c r="D7" i="10"/>
  <c r="G6" i="10"/>
  <c r="F6" i="10"/>
  <c r="E6" i="10"/>
  <c r="D6" i="10"/>
  <c r="G5" i="10"/>
  <c r="F5" i="10"/>
  <c r="E5" i="10"/>
  <c r="D5" i="10"/>
  <c r="G4" i="10"/>
  <c r="F4" i="10"/>
  <c r="D4" i="10"/>
  <c r="G3" i="10"/>
  <c r="E3" i="10"/>
  <c r="C3" i="10"/>
  <c r="D3" i="10"/>
  <c r="Y9" i="1"/>
  <c r="S9" i="1"/>
  <c r="X9" i="1"/>
  <c r="W9" i="1"/>
  <c r="V9" i="1"/>
  <c r="AD9" i="1"/>
  <c r="AC9" i="1"/>
  <c r="U9" i="1"/>
  <c r="AB9" i="1"/>
  <c r="T9" i="1"/>
  <c r="AA9" i="1"/>
  <c r="Z9" i="1"/>
  <c r="BU10" i="1"/>
  <c r="BV10" i="1"/>
  <c r="N10" i="1"/>
  <c r="D166" i="12"/>
  <c r="D66" i="10"/>
  <c r="D184" i="11"/>
  <c r="D26" i="11"/>
  <c r="F70" i="12"/>
  <c r="D25" i="12"/>
  <c r="F11" i="12"/>
  <c r="D99" i="10"/>
  <c r="D14" i="12"/>
  <c r="F138" i="10"/>
  <c r="D86" i="11"/>
  <c r="F62" i="11"/>
  <c r="D152" i="11"/>
  <c r="D87" i="12"/>
  <c r="D87" i="10"/>
  <c r="D19" i="11"/>
  <c r="D95" i="10"/>
  <c r="D151" i="11"/>
  <c r="D159" i="11"/>
  <c r="D7" i="12"/>
  <c r="F23" i="12"/>
  <c r="D174" i="12"/>
  <c r="F81" i="10"/>
  <c r="D103" i="10"/>
  <c r="F160" i="10"/>
  <c r="D44" i="11"/>
  <c r="F70" i="11"/>
  <c r="F103" i="12"/>
  <c r="D154" i="12"/>
  <c r="D138" i="11"/>
  <c r="D136" i="12"/>
  <c r="D52" i="12"/>
  <c r="D44" i="12"/>
  <c r="D55" i="12"/>
  <c r="D183" i="12"/>
  <c r="F14" i="10"/>
  <c r="F102" i="10"/>
  <c r="D116" i="10"/>
  <c r="D23" i="11"/>
  <c r="D41" i="11"/>
  <c r="D57" i="11"/>
  <c r="F75" i="11"/>
  <c r="D8" i="12"/>
  <c r="D140" i="12"/>
  <c r="D59" i="11"/>
  <c r="D87" i="11"/>
  <c r="F84" i="10"/>
  <c r="F19" i="12"/>
  <c r="F51" i="12"/>
  <c r="F176" i="12"/>
  <c r="D28" i="11"/>
  <c r="D93" i="11"/>
  <c r="D168" i="12"/>
  <c r="F85" i="10"/>
  <c r="D90" i="10"/>
  <c r="F151" i="10"/>
  <c r="F200" i="10"/>
  <c r="F10" i="11"/>
  <c r="D38" i="11"/>
  <c r="F79" i="11"/>
  <c r="F177" i="11"/>
  <c r="F197" i="11"/>
  <c r="D3" i="12"/>
  <c r="F20" i="12"/>
  <c r="D59" i="12"/>
  <c r="D75" i="12"/>
  <c r="F119" i="12"/>
  <c r="N7" i="1"/>
  <c r="N8" i="1"/>
  <c r="N6" i="1"/>
  <c r="F44" i="10"/>
  <c r="D56" i="10"/>
  <c r="F65" i="10"/>
  <c r="F69" i="10"/>
  <c r="D93" i="10"/>
  <c r="D108" i="10"/>
  <c r="F16" i="11"/>
  <c r="F18" i="11"/>
  <c r="D55" i="11"/>
  <c r="F84" i="11"/>
  <c r="D180" i="11"/>
  <c r="F71" i="12"/>
  <c r="F115" i="12"/>
  <c r="D124" i="12"/>
  <c r="F145" i="12"/>
  <c r="D170" i="12"/>
  <c r="F34" i="12"/>
  <c r="F99" i="12"/>
  <c r="D115" i="10"/>
  <c r="D148" i="10"/>
  <c r="D152" i="10"/>
  <c r="D21" i="11"/>
  <c r="D41" i="12"/>
  <c r="D57" i="12"/>
  <c r="D66" i="12"/>
  <c r="D76" i="12"/>
  <c r="F20" i="10"/>
  <c r="D30" i="10"/>
  <c r="D34" i="10"/>
  <c r="F198" i="10"/>
  <c r="F69" i="11"/>
  <c r="F89" i="11"/>
  <c r="F128" i="11"/>
  <c r="F130" i="11"/>
  <c r="F162" i="11"/>
  <c r="F187" i="11"/>
  <c r="F39" i="12"/>
  <c r="F81" i="12"/>
  <c r="D88" i="12"/>
  <c r="F8" i="10"/>
  <c r="F97" i="10"/>
  <c r="D116" i="11"/>
  <c r="F167" i="11"/>
  <c r="F183" i="11"/>
  <c r="F12" i="11"/>
  <c r="F119" i="11"/>
  <c r="F123" i="11"/>
  <c r="F85" i="12"/>
  <c r="D37" i="11"/>
  <c r="F54" i="11"/>
  <c r="D61" i="11"/>
  <c r="D72" i="11"/>
  <c r="F107" i="11"/>
  <c r="F146" i="11"/>
  <c r="F148" i="11"/>
  <c r="F172" i="11"/>
  <c r="F174" i="11"/>
  <c r="D198" i="11"/>
  <c r="D50" i="12"/>
  <c r="F93" i="12"/>
  <c r="F35" i="11"/>
  <c r="F203" i="11"/>
  <c r="F22" i="12"/>
  <c r="D38" i="12"/>
  <c r="F54" i="12"/>
  <c r="D56" i="12"/>
  <c r="D65" i="12"/>
  <c r="D25" i="10"/>
  <c r="D27" i="10"/>
  <c r="D37" i="10"/>
  <c r="D39" i="10"/>
  <c r="F76" i="10"/>
  <c r="F80" i="10"/>
  <c r="D86" i="10"/>
  <c r="D98" i="10"/>
  <c r="D124" i="10"/>
  <c r="F128" i="10"/>
  <c r="F140" i="10"/>
  <c r="D163" i="10"/>
  <c r="F186" i="10"/>
  <c r="F203" i="10"/>
  <c r="F3" i="11"/>
  <c r="F7" i="11"/>
  <c r="D30" i="11"/>
  <c r="F47" i="11"/>
  <c r="F49" i="11"/>
  <c r="D51" i="11"/>
  <c r="D66" i="11"/>
  <c r="D68" i="11"/>
  <c r="D77" i="11"/>
  <c r="D81" i="11"/>
  <c r="D85" i="11"/>
  <c r="F97" i="11"/>
  <c r="D99" i="11"/>
  <c r="F104" i="11"/>
  <c r="D115" i="11"/>
  <c r="D170" i="11"/>
  <c r="D196" i="11"/>
  <c r="D200" i="11"/>
  <c r="F12" i="12"/>
  <c r="D16" i="12"/>
  <c r="F27" i="12"/>
  <c r="D33" i="12"/>
  <c r="D37" i="12"/>
  <c r="F80" i="12"/>
  <c r="F84" i="12"/>
  <c r="D86" i="12"/>
  <c r="F92" i="12"/>
  <c r="F98" i="12"/>
  <c r="F102" i="12"/>
  <c r="D104" i="12"/>
  <c r="D106" i="12"/>
  <c r="D108" i="12"/>
  <c r="F112" i="12"/>
  <c r="D116" i="12"/>
  <c r="F128" i="12"/>
  <c r="F138" i="12"/>
  <c r="F148" i="12"/>
  <c r="F152" i="12"/>
  <c r="F160" i="12"/>
  <c r="D198" i="12"/>
  <c r="D200" i="12"/>
  <c r="D51" i="10"/>
  <c r="D59" i="10"/>
  <c r="D71" i="10"/>
  <c r="D75" i="10"/>
  <c r="D88" i="10"/>
  <c r="F92" i="10"/>
  <c r="F112" i="10"/>
  <c r="D174" i="10"/>
  <c r="D176" i="10"/>
  <c r="D178" i="10"/>
  <c r="F180" i="10"/>
  <c r="F11" i="11"/>
  <c r="D103" i="11"/>
  <c r="F182" i="11"/>
  <c r="F18" i="12"/>
  <c r="F35" i="12"/>
  <c r="F69" i="12"/>
  <c r="D186" i="12"/>
  <c r="D196" i="12"/>
  <c r="F7" i="10"/>
  <c r="F11" i="10"/>
  <c r="F19" i="10"/>
  <c r="F41" i="10"/>
  <c r="F49" i="10"/>
  <c r="F55" i="10"/>
  <c r="D104" i="10"/>
  <c r="D133" i="10"/>
  <c r="D133" i="12"/>
  <c r="D163" i="12"/>
  <c r="F3" i="10"/>
  <c r="D77" i="10"/>
  <c r="F79" i="10"/>
  <c r="F106" i="10"/>
  <c r="F145" i="10"/>
  <c r="D166" i="10"/>
  <c r="D168" i="10"/>
  <c r="F170" i="10"/>
  <c r="D183" i="10"/>
  <c r="D8" i="11"/>
  <c r="D25" i="11"/>
  <c r="D50" i="11"/>
  <c r="D65" i="11"/>
  <c r="D76" i="11"/>
  <c r="D80" i="11"/>
  <c r="D98" i="11"/>
  <c r="D112" i="11"/>
  <c r="D160" i="11"/>
  <c r="D179" i="11"/>
  <c r="D26" i="12"/>
  <c r="D30" i="12"/>
  <c r="D47" i="12"/>
  <c r="D77" i="12"/>
  <c r="F79" i="12"/>
  <c r="F97" i="12"/>
  <c r="F151" i="12"/>
  <c r="D178" i="12"/>
  <c r="F180" i="12"/>
  <c r="D33" i="11"/>
  <c r="D52" i="11"/>
  <c r="F92" i="11"/>
  <c r="D102" i="11"/>
  <c r="F140" i="11"/>
  <c r="D169" i="11"/>
  <c r="F28" i="12"/>
  <c r="F49" i="12"/>
  <c r="F58" i="12"/>
  <c r="D60" i="12"/>
  <c r="F62" i="12"/>
  <c r="D201" i="12"/>
  <c r="F12" i="10"/>
  <c r="F18" i="10"/>
  <c r="F22" i="10"/>
  <c r="F50" i="10"/>
  <c r="F54" i="10"/>
  <c r="F58" i="10"/>
  <c r="D60" i="10"/>
  <c r="F62" i="10"/>
  <c r="F70" i="10"/>
  <c r="F119" i="10"/>
  <c r="F136" i="10"/>
  <c r="D154" i="10"/>
  <c r="D196" i="10"/>
  <c r="D20" i="11"/>
  <c r="D56" i="11"/>
  <c r="D71" i="11"/>
  <c r="D21" i="12"/>
  <c r="D72" i="12"/>
  <c r="BG9" i="1"/>
  <c r="BH9" i="1"/>
  <c r="BG6" i="1"/>
  <c r="BH6" i="1"/>
  <c r="BG7" i="1"/>
  <c r="BH7" i="1"/>
  <c r="BG8" i="1"/>
  <c r="BH8" i="1"/>
  <c r="BG10" i="1"/>
  <c r="BH10" i="1"/>
  <c r="D10" i="12"/>
  <c r="D61" i="12"/>
  <c r="D68" i="12"/>
  <c r="D78" i="12"/>
  <c r="D83" i="12"/>
  <c r="F89" i="12"/>
  <c r="D91" i="12"/>
  <c r="D96" i="12"/>
  <c r="D101" i="12"/>
  <c r="F107" i="12"/>
  <c r="F123" i="12"/>
  <c r="D127" i="12"/>
  <c r="F130" i="12"/>
  <c r="F146" i="12"/>
  <c r="D159" i="12"/>
  <c r="F162" i="12"/>
  <c r="F167" i="12"/>
  <c r="D169" i="12"/>
  <c r="F172" i="12"/>
  <c r="F177" i="12"/>
  <c r="D179" i="12"/>
  <c r="F182" i="12"/>
  <c r="D184" i="12"/>
  <c r="F187" i="12"/>
  <c r="D197" i="12"/>
  <c r="F203" i="12"/>
  <c r="D202" i="12"/>
  <c r="D199" i="12"/>
  <c r="D90" i="12"/>
  <c r="D95" i="12"/>
  <c r="D204" i="12"/>
  <c r="D105" i="12"/>
  <c r="D110" i="12"/>
  <c r="D117" i="12"/>
  <c r="D135" i="12"/>
  <c r="D142" i="12"/>
  <c r="D149" i="12"/>
  <c r="D165" i="12"/>
  <c r="D175" i="12"/>
  <c r="D78" i="11"/>
  <c r="D83" i="11"/>
  <c r="D91" i="11"/>
  <c r="D96" i="11"/>
  <c r="D101" i="11"/>
  <c r="D127" i="11"/>
  <c r="D22" i="11"/>
  <c r="D27" i="11"/>
  <c r="D34" i="11"/>
  <c r="D39" i="11"/>
  <c r="D58" i="11"/>
  <c r="D88" i="11"/>
  <c r="D106" i="11"/>
  <c r="D136" i="11"/>
  <c r="D145" i="11"/>
  <c r="D166" i="11"/>
  <c r="D176" i="11"/>
  <c r="D186" i="11"/>
  <c r="D202" i="11"/>
  <c r="D199" i="11"/>
  <c r="D14" i="11"/>
  <c r="D60" i="11"/>
  <c r="D90" i="11"/>
  <c r="D95" i="11"/>
  <c r="D108" i="11"/>
  <c r="D124" i="11"/>
  <c r="D133" i="11"/>
  <c r="D154" i="11"/>
  <c r="D163" i="11"/>
  <c r="D168" i="11"/>
  <c r="D178" i="11"/>
  <c r="D204" i="11"/>
  <c r="D105" i="11"/>
  <c r="D110" i="11"/>
  <c r="D117" i="11"/>
  <c r="D135" i="11"/>
  <c r="D142" i="11"/>
  <c r="D149" i="11"/>
  <c r="D165" i="11"/>
  <c r="D175" i="11"/>
  <c r="D201" i="11"/>
  <c r="D10" i="10"/>
  <c r="F23" i="10"/>
  <c r="F28" i="10"/>
  <c r="F35" i="10"/>
  <c r="D61" i="10"/>
  <c r="D68" i="10"/>
  <c r="D78" i="10"/>
  <c r="D83" i="10"/>
  <c r="F89" i="10"/>
  <c r="D91" i="10"/>
  <c r="D96" i="10"/>
  <c r="D101" i="10"/>
  <c r="F107" i="10"/>
  <c r="F123" i="10"/>
  <c r="D127" i="10"/>
  <c r="F130" i="10"/>
  <c r="F146" i="10"/>
  <c r="D159" i="10"/>
  <c r="F162" i="10"/>
  <c r="F167" i="10"/>
  <c r="D169" i="10"/>
  <c r="F172" i="10"/>
  <c r="F177" i="10"/>
  <c r="D179" i="10"/>
  <c r="F182" i="10"/>
  <c r="D184" i="10"/>
  <c r="F187" i="10"/>
  <c r="D197" i="10"/>
  <c r="D202" i="10"/>
  <c r="D199" i="10"/>
  <c r="D204" i="10"/>
  <c r="D16" i="10"/>
  <c r="D21" i="10"/>
  <c r="D26" i="10"/>
  <c r="D33" i="10"/>
  <c r="D38" i="10"/>
  <c r="D47" i="10"/>
  <c r="D52" i="10"/>
  <c r="D57" i="10"/>
  <c r="D72" i="10"/>
  <c r="D105" i="10"/>
  <c r="D110" i="10"/>
  <c r="D117" i="10"/>
  <c r="D135" i="10"/>
  <c r="D142" i="10"/>
  <c r="D149" i="10"/>
  <c r="D165" i="10"/>
  <c r="D175" i="10"/>
  <c r="D201" i="10"/>
  <c r="Q10" i="1"/>
  <c r="R10" i="1"/>
  <c r="Q7" i="1"/>
  <c r="R7" i="1"/>
  <c r="Q9" i="1"/>
  <c r="P9" i="1"/>
  <c r="R9" i="1"/>
  <c r="Q8" i="1"/>
  <c r="Q6" i="1"/>
  <c r="R8" i="1"/>
  <c r="R6" i="1"/>
  <c r="P7" i="1"/>
  <c r="P10" i="1"/>
  <c r="P6" i="1"/>
  <c r="P8" i="1"/>
  <c r="AD10" i="1"/>
  <c r="V10" i="1"/>
  <c r="S10" i="1"/>
  <c r="AC10" i="1"/>
  <c r="U10" i="1"/>
  <c r="AB10" i="1"/>
  <c r="T10" i="1"/>
  <c r="W10" i="1"/>
  <c r="X10" i="1"/>
  <c r="Y10" i="1"/>
  <c r="Z10" i="1"/>
  <c r="AA10" i="1"/>
  <c r="AE10" i="1"/>
  <c r="AF10" i="1"/>
  <c r="Z6" i="1"/>
  <c r="X6" i="1"/>
  <c r="S6" i="1"/>
  <c r="T6" i="1"/>
  <c r="U6" i="1"/>
  <c r="V6" i="1"/>
  <c r="W6" i="1"/>
  <c r="Y6" i="1"/>
  <c r="AA6" i="1"/>
  <c r="AB6" i="1"/>
  <c r="AC6" i="1"/>
  <c r="AD6" i="1"/>
  <c r="AE6" i="1"/>
  <c r="AF6" i="1"/>
  <c r="AB8" i="1"/>
  <c r="T8" i="1"/>
  <c r="Y8" i="1"/>
  <c r="AA8" i="1"/>
  <c r="S8" i="1"/>
  <c r="Z8" i="1"/>
  <c r="U8" i="1"/>
  <c r="V8" i="1"/>
  <c r="W8" i="1"/>
  <c r="X8" i="1"/>
  <c r="AC8" i="1"/>
  <c r="AD8" i="1"/>
  <c r="AE8" i="1"/>
  <c r="AF8" i="1"/>
  <c r="W7" i="1"/>
  <c r="AD7" i="1"/>
  <c r="V7" i="1"/>
  <c r="S7" i="1"/>
  <c r="AB7" i="1"/>
  <c r="AC7" i="1"/>
  <c r="U7" i="1"/>
  <c r="T7" i="1"/>
  <c r="AA7" i="1"/>
  <c r="Z7" i="1"/>
  <c r="Y7" i="1"/>
  <c r="X7" i="1"/>
  <c r="AS7" i="1"/>
  <c r="AS10" i="1"/>
  <c r="AS9" i="1"/>
  <c r="AS8" i="1"/>
  <c r="AS6" i="1"/>
  <c r="AE9" i="1"/>
  <c r="AF9" i="1"/>
  <c r="AE7" i="1"/>
  <c r="AF7" i="1"/>
  <c r="AT6" i="1"/>
  <c r="AT8" i="1"/>
  <c r="AT10" i="1"/>
  <c r="AT9" i="1"/>
  <c r="AT7" i="1"/>
  <c r="E3" i="3"/>
  <c r="F3" i="3"/>
  <c r="D26" i="3"/>
  <c r="D81" i="3"/>
  <c r="D41" i="3"/>
  <c r="D89" i="3"/>
  <c r="D68" i="3"/>
  <c r="D39" i="3"/>
  <c r="D47" i="3"/>
  <c r="D12" i="3"/>
  <c r="D90" i="3"/>
  <c r="D140" i="3"/>
  <c r="D145" i="3"/>
  <c r="D146" i="3"/>
  <c r="D148" i="3"/>
  <c r="D167" i="3"/>
  <c r="D176" i="3"/>
  <c r="D116" i="3"/>
  <c r="D82" i="3"/>
  <c r="D14" i="3"/>
  <c r="D86" i="3"/>
  <c r="D50" i="3"/>
  <c r="D150" i="3"/>
  <c r="D48" i="3"/>
  <c r="D92" i="3"/>
  <c r="D103" i="3"/>
  <c r="D172" i="3"/>
  <c r="D46" i="3"/>
  <c r="D33" i="3"/>
  <c r="D85" i="3"/>
  <c r="D109" i="3"/>
  <c r="D128" i="3"/>
  <c r="D35" i="3"/>
  <c r="D7" i="3"/>
  <c r="D60" i="3"/>
  <c r="D100" i="3"/>
  <c r="D91" i="3"/>
  <c r="D64" i="3"/>
  <c r="D72" i="3"/>
  <c r="D27" i="3"/>
  <c r="D111" i="3"/>
  <c r="D168" i="3"/>
  <c r="D115" i="3"/>
  <c r="D63" i="3"/>
  <c r="D159" i="3"/>
  <c r="D106" i="3"/>
  <c r="D160" i="3"/>
  <c r="D130" i="3"/>
  <c r="D136" i="3"/>
  <c r="D70" i="3"/>
  <c r="D88" i="3"/>
  <c r="D110" i="3"/>
  <c r="D112" i="3"/>
  <c r="D8" i="3"/>
  <c r="D101" i="3"/>
  <c r="D16" i="3"/>
  <c r="D152" i="3"/>
  <c r="D138" i="3"/>
  <c r="D94" i="3"/>
  <c r="D18" i="3"/>
  <c r="D164" i="3"/>
  <c r="D178" i="3"/>
  <c r="D174" i="3"/>
  <c r="D11" i="3"/>
  <c r="D44" i="3"/>
  <c r="D9" i="3"/>
  <c r="D69" i="3"/>
  <c r="D19" i="3"/>
  <c r="D21" i="3"/>
  <c r="D87" i="3"/>
  <c r="D74" i="3"/>
  <c r="D36" i="3"/>
  <c r="D113" i="3"/>
  <c r="D171" i="3"/>
  <c r="D119" i="3"/>
  <c r="D84" i="3"/>
  <c r="D161" i="3"/>
  <c r="D108" i="3"/>
  <c r="D165" i="3"/>
  <c r="D143" i="3"/>
  <c r="D151" i="3"/>
  <c r="D96" i="3"/>
  <c r="D22" i="3"/>
  <c r="D127" i="3"/>
  <c r="D166" i="3"/>
  <c r="D29" i="3"/>
  <c r="D45" i="3"/>
  <c r="D155" i="3"/>
  <c r="D124" i="3"/>
  <c r="D134" i="3"/>
  <c r="D98" i="3"/>
  <c r="D107" i="3"/>
  <c r="D179" i="3"/>
  <c r="D147" i="3"/>
  <c r="D6" i="3"/>
  <c r="D17" i="3"/>
  <c r="D58" i="3"/>
  <c r="D13" i="3"/>
  <c r="D75" i="3"/>
  <c r="D37" i="3"/>
  <c r="D25" i="3"/>
  <c r="D97" i="3"/>
  <c r="D76" i="3"/>
  <c r="D55" i="3"/>
  <c r="D117" i="3"/>
  <c r="D173" i="3"/>
  <c r="D121" i="3"/>
  <c r="D95" i="3"/>
  <c r="D170" i="3"/>
  <c r="D135" i="3"/>
  <c r="D73" i="3"/>
  <c r="D154" i="3"/>
  <c r="D162" i="3"/>
  <c r="D126" i="3"/>
  <c r="D141" i="3"/>
  <c r="D56" i="3"/>
  <c r="D102" i="3"/>
  <c r="D79" i="3"/>
  <c r="D129" i="3"/>
  <c r="D132" i="3"/>
  <c r="D80" i="3"/>
  <c r="D52" i="3"/>
  <c r="D57" i="3"/>
  <c r="D157" i="3"/>
  <c r="D149" i="3"/>
  <c r="D30" i="3"/>
  <c r="D20" i="3"/>
  <c r="D61" i="3"/>
  <c r="D15" i="3"/>
  <c r="D77" i="3"/>
  <c r="D49" i="3"/>
  <c r="D32" i="3"/>
  <c r="D10" i="3"/>
  <c r="D93" i="3"/>
  <c r="D67" i="3"/>
  <c r="D125" i="3"/>
  <c r="D175" i="3"/>
  <c r="D123" i="3"/>
  <c r="D133" i="3"/>
  <c r="D105" i="3"/>
  <c r="D139" i="3"/>
  <c r="D42" i="3"/>
  <c r="D65" i="3"/>
  <c r="D142" i="3"/>
  <c r="D62" i="3"/>
  <c r="D118" i="3"/>
  <c r="D158" i="3"/>
  <c r="D38" i="3"/>
  <c r="D43" i="3"/>
  <c r="D53" i="3"/>
  <c r="D153" i="3"/>
  <c r="D104" i="3"/>
  <c r="D5" i="3"/>
  <c r="D59" i="3"/>
  <c r="D40" i="3"/>
  <c r="D24" i="3"/>
  <c r="D71" i="3"/>
  <c r="D28" i="3"/>
  <c r="D83" i="3"/>
  <c r="D51" i="3"/>
  <c r="D34" i="3"/>
  <c r="D23" i="3"/>
  <c r="D99" i="3"/>
  <c r="D31" i="3"/>
  <c r="D131" i="3"/>
  <c r="D177" i="3"/>
  <c r="D144" i="3"/>
  <c r="D137" i="3"/>
  <c r="D156" i="3"/>
  <c r="D163" i="3"/>
  <c r="D114" i="3"/>
  <c r="D169" i="3"/>
  <c r="D78" i="3"/>
  <c r="D66" i="3"/>
  <c r="D54" i="3"/>
  <c r="D120" i="3"/>
  <c r="D122" i="3"/>
  <c r="D3" i="3"/>
  <c r="O8" i="1"/>
  <c r="O9" i="1"/>
  <c r="O7" i="1"/>
  <c r="O6" i="1"/>
  <c r="O10" i="1"/>
  <c r="BY10" i="1"/>
  <c r="BW7" i="1"/>
  <c r="BW10" i="1"/>
  <c r="BX8" i="1"/>
  <c r="BW9" i="1"/>
  <c r="BY8" i="1"/>
  <c r="BZ8" i="1"/>
  <c r="BY6" i="1"/>
  <c r="BZ6" i="1"/>
  <c r="BX6" i="1"/>
  <c r="BW8" i="1"/>
  <c r="BW6" i="1"/>
  <c r="BX7" i="1"/>
  <c r="BY7" i="1"/>
  <c r="BZ7" i="1"/>
  <c r="BZ10" i="1"/>
  <c r="BX9" i="1"/>
  <c r="BZ9" i="1"/>
  <c r="BY9" i="1"/>
  <c r="BX10" i="1"/>
  <c r="CA8" i="1"/>
  <c r="CA10" i="1"/>
  <c r="CA9" i="1"/>
  <c r="CA7" i="1"/>
  <c r="CA6" i="1"/>
  <c r="CB7" i="1"/>
  <c r="CC7" i="1"/>
  <c r="CB6" i="1"/>
  <c r="CC6" i="1"/>
  <c r="CB9" i="1"/>
  <c r="CC9" i="1"/>
  <c r="CB10" i="1"/>
  <c r="CC10" i="1"/>
  <c r="CB8" i="1"/>
  <c r="CC8" i="1"/>
</calcChain>
</file>

<file path=xl/comments1.xml><?xml version="1.0" encoding="utf-8"?>
<comments xmlns="http://schemas.openxmlformats.org/spreadsheetml/2006/main">
  <authors>
    <author>tc={D1550972-EE61-4A36-8391-5820E72421E3}</author>
  </authors>
  <commentList>
    <comment ref="F2"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5 = Muito satisfeito
4 - Satisfeito
3 - Nem satisfeito, nem insatisfeito
2 - Insatisfeito
1 - Muito insatisfeito</t>
        </r>
      </text>
    </comment>
  </commentList>
</comments>
</file>

<file path=xl/comments2.xml><?xml version="1.0" encoding="utf-8"?>
<comments xmlns="http://schemas.openxmlformats.org/spreadsheetml/2006/main">
  <authors>
    <author>tc={06783EEB-DB7D-42E0-87A0-481F05529DE3}</author>
  </authors>
  <commentList>
    <comment ref="F2"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5 = Muito satisfeito
4 - Satisfeito
3 - Nem satisfeito, nem insatisfeito
2 - Insatisfeito
1 - Muito insatisfeito</t>
        </r>
      </text>
    </comment>
  </commentList>
</comments>
</file>

<file path=xl/comments3.xml><?xml version="1.0" encoding="utf-8"?>
<comments xmlns="http://schemas.openxmlformats.org/spreadsheetml/2006/main">
  <authors>
    <author>tc={E885A845-F6A0-440D-A677-5ED0A7EE3556}</author>
  </authors>
  <commentList>
    <comment ref="F2"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5 = Muito satisfeito
4 - Satisfeito
3 - Nem satisfeito, nem insatisfeito
2 - Insatisfeito
1 - Muito insatisfeito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<sst xmlns="http://schemas.openxmlformats.org/spreadsheetml/2006/main" count="45761" uniqueCount="8327">
  <si>
    <t>Outliers</t>
  </si>
  <si>
    <t>Growth Levers (80%)</t>
  </si>
  <si>
    <t>SP Satisfaction (20%)</t>
  </si>
  <si>
    <t>OM</t>
  </si>
  <si>
    <t>Jan</t>
  </si>
  <si>
    <t>Fev</t>
  </si>
  <si>
    <t>Mar</t>
  </si>
  <si>
    <t>Apr</t>
  </si>
  <si>
    <t>May</t>
  </si>
  <si>
    <t>Jun</t>
  </si>
  <si>
    <t>Jul</t>
  </si>
  <si>
    <t>Aug</t>
  </si>
  <si>
    <t>Sep</t>
  </si>
  <si>
    <t>Oct</t>
  </si>
  <si>
    <t>Nov</t>
  </si>
  <si>
    <t>Dec</t>
  </si>
  <si>
    <t>Managed  SPs</t>
  </si>
  <si>
    <t>#survey Q1</t>
  </si>
  <si>
    <t># survey Q2</t>
  </si>
  <si>
    <t># survey Q3</t>
  </si>
  <si>
    <t># survey Q4</t>
  </si>
  <si>
    <t>Adoption Real</t>
  </si>
  <si>
    <t>Nota Adoption</t>
  </si>
  <si>
    <t>TTR Real</t>
  </si>
  <si>
    <t>Nota TTR</t>
  </si>
  <si>
    <t>Issue % real</t>
  </si>
  <si>
    <t>Nota Issue %</t>
  </si>
  <si>
    <t>Strikes</t>
  </si>
  <si>
    <t>Nota strikes</t>
  </si>
  <si>
    <t>Q1</t>
  </si>
  <si>
    <t>Q2</t>
  </si>
  <si>
    <t>Q3</t>
  </si>
  <si>
    <t>Q4</t>
  </si>
  <si>
    <t>Survey real</t>
  </si>
  <si>
    <t>Nota Survey</t>
  </si>
  <si>
    <t>Final Score</t>
  </si>
  <si>
    <t>fpereluc</t>
  </si>
  <si>
    <t>gomrodrd</t>
  </si>
  <si>
    <t>joaoclan</t>
  </si>
  <si>
    <t>tiaelima</t>
  </si>
  <si>
    <t>wallmach</t>
  </si>
  <si>
    <t>Strikes SOPs</t>
  </si>
  <si>
    <t>Score</t>
  </si>
  <si>
    <t>Adoption</t>
  </si>
  <si>
    <t>TTR (dias)</t>
  </si>
  <si>
    <t>% Issue Solved</t>
  </si>
  <si>
    <t>Seller Satisfaction</t>
  </si>
  <si>
    <t>Legenda</t>
  </si>
  <si>
    <t>Survey</t>
  </si>
  <si>
    <t>TTR</t>
  </si>
  <si>
    <t>Issue %</t>
  </si>
  <si>
    <t>SOP Strikes</t>
  </si>
  <si>
    <t>Muito Satisfeito</t>
  </si>
  <si>
    <t>Satisfeto</t>
  </si>
  <si>
    <t>Nem satisfeito, nem insatisfeito</t>
  </si>
  <si>
    <t>Insatisfeito</t>
  </si>
  <si>
    <t>Muito insatisfeito</t>
  </si>
  <si>
    <t>&lt;50%</t>
  </si>
  <si>
    <t>&lt;65%</t>
  </si>
  <si>
    <t>&lt;75%</t>
  </si>
  <si>
    <t>SOP Description</t>
  </si>
  <si>
    <t>Exemplo 1
Descrição: Unidades não recebidas no CD
1/jan: Issue recebido
2/jan: Ticket aberto para o time de FBA --&gt; Link
7/jan: Ticket fechado sem resolução. Thread criada no e-mail pelo Vini
10/jan: Resolução concluída
Exemplo 2
Descrição: ASIN bloqueado por HAZMAT
10/jan: Issue recebido
11/jan: Solicitação ao seller das fotos do produto
16/jan: Issue concluído como PSA. Sem retorno do vendedor.</t>
  </si>
  <si>
    <t>SOP Message</t>
  </si>
  <si>
    <t>Olá,
[ESPAÇO PARA O COLABORADOR ADICIONAR A MENSAGEM PERSONALIZADA]
Além disso, segue atualização sobre seus casos em aberto conosco:
CASOS EM ACOMPANHAMENTO:
1.	KYC 
Descrição: Problemas de permissão de usuário, não consegue atribuir as permissões ou realizar a verificação de...
Status: Em Andamento
Última atualização: [colaborador deve adicionar a última atualização do problema]
Qualquer dúvida sobre os outros casos, fique à vontade para perguntar!
Atenciosamente, [Nome do Colaborador]</t>
  </si>
  <si>
    <t>Type</t>
  </si>
  <si>
    <t>Goal Summary</t>
  </si>
  <si>
    <t>Timeframe</t>
  </si>
  <si>
    <t>Weight</t>
  </si>
  <si>
    <t>Capped</t>
  </si>
  <si>
    <t>Formula</t>
  </si>
  <si>
    <t>Definition</t>
  </si>
  <si>
    <t>Data Source</t>
  </si>
  <si>
    <t>OMSX Score</t>
  </si>
  <si>
    <t>90% OM satisfaction</t>
  </si>
  <si>
    <t>Quarterly</t>
  </si>
  <si>
    <t>Yes, 120%</t>
  </si>
  <si>
    <t>90% OM satisfaction of SPs that answered survey</t>
  </si>
  <si>
    <t>Count of SPs  that answered with somewhat or extremely satisfied (MC) count in SPX Survey. Eligible 3rd month of program.</t>
  </si>
  <si>
    <t>Qualtrics</t>
  </si>
  <si>
    <t>80% of seller adoption</t>
  </si>
  <si>
    <t>Monthly</t>
  </si>
  <si>
    <t>80% of seller who are using the program monthly</t>
  </si>
  <si>
    <t>OMs must have an average of 80% of adoption monthly. This includes proactive tasks</t>
  </si>
  <si>
    <t>Monthly datanet</t>
  </si>
  <si>
    <t>3 days</t>
  </si>
  <si>
    <t>Average of 3 days in solving tickets</t>
  </si>
  <si>
    <t>OMs must have an average of 3 days of solved tickets. This formula uses tickets closed in the month related to the metric. Also outliers formulas are being used: Interquartil method and issues solved in more than 0 days are outliers. Proactive tasks included</t>
  </si>
  <si>
    <t>95% issues solved</t>
  </si>
  <si>
    <t>Average of 95% of tickets solved monthly</t>
  </si>
  <si>
    <t>OMs must have an average of 95% of issues solved monthly. This includes proactive tasks. Only tasks resolved in the same month as the creation</t>
  </si>
  <si>
    <t>SOPs followed</t>
  </si>
  <si>
    <t>SOP followed 100% of the time</t>
  </si>
  <si>
    <t xml:space="preserve">Use the SOPs (issue description and issues status to sellers). </t>
  </si>
  <si>
    <t>Use the SOPs (issue description and issues status to sellers) everytime. If SOP not used, a strike will be posted in the tracker quip. PM will look weekly 3 sellers per OM and will check wheter there is a strike. At least one message using SOP per day</t>
  </si>
  <si>
    <t>Quip</t>
  </si>
  <si>
    <t>Alias</t>
  </si>
  <si>
    <t>Seller</t>
  </si>
  <si>
    <t>Data</t>
  </si>
  <si>
    <t>Webfones</t>
  </si>
  <si>
    <t>Avant SP</t>
  </si>
  <si>
    <t>qmanuelv</t>
  </si>
  <si>
    <t>CenterSport</t>
  </si>
  <si>
    <t>FRIGELAR</t>
  </si>
  <si>
    <t>Nespresso</t>
  </si>
  <si>
    <t>Parent CID</t>
  </si>
  <si>
    <t>Group</t>
  </si>
  <si>
    <t>IR Eligible</t>
  </si>
  <si>
    <t>IR User</t>
  </si>
  <si>
    <t>Nota Satisfaction</t>
  </si>
  <si>
    <t>Respondeu</t>
  </si>
  <si>
    <t>Submission ID</t>
  </si>
  <si>
    <t>Submitted On</t>
  </si>
  <si>
    <t>Internal Tags</t>
  </si>
  <si>
    <t>1) Digite o nome da sua conta na Amazon.</t>
  </si>
  <si>
    <t>2) Digite o seu código de vendedor da Amazon. (Encontre seu código de vendedor [aqui](https://sellercentral.amazon.com.br/sw/AccountInfo/MerchantToken/step/MerchantToken?ref_=macs_aimertok_cont_acinfohm)).</t>
  </si>
  <si>
    <t>3) Qual seu nome completo?</t>
  </si>
  <si>
    <t>4) Qual seu e-mail?</t>
  </si>
  <si>
    <t>5) A sua conta na Amazon é majoritariamente:</t>
  </si>
  <si>
    <t>1) Nos últimos 3 meses, quão satisfeito você esteve em vender na Amazon.com.br?</t>
  </si>
  <si>
    <t>2) Nos últimos três meses, quão satisfeito você esteve com o programa de Consultoria Estratégica - SAS?</t>
  </si>
  <si>
    <t>3) Em que medida está de acordo com a seguinte afirmação: participar do programa de Consultoria Estratégica (SAS) me ajuda a crescer o meu negócio.</t>
  </si>
  <si>
    <t>4) Em que medida está de acordo com a seguinte afirmação: o programa de Consultoria Estratégica (SAS) tem um bom custo benefício.</t>
  </si>
  <si>
    <t>5) Quão importante os serviços abaixo oferecidos pelo programa de Consultoria Estratégica (SAS) são para você como vendedor?</t>
  </si>
  <si>
    <t>6) Você tem alguma sugestão de como o programa SAS pode melhorar os nossos serviços (seleção, ads, marca, conversão, logística, promoções, resolução de problemas)?</t>
  </si>
  <si>
    <t>1) Quem foi o consultor que te atendeu a maior parte do tempo nos últimos 3 meses?</t>
  </si>
  <si>
    <t>2) Nos últimos três meses, quão satisfeito você esteve com o seu consultor de marketplace?</t>
  </si>
  <si>
    <t>3) Baseado nos últimos três meses de serviço, o quanto você concorda ou não com as afirmações abaixo a respeito do seu consultor de marketplace?</t>
  </si>
  <si>
    <t>4) Você tem alguma sugestão de como o seu consultor pode melhorar o seu atendimento (comunicação, expertise, agilidade, plano de negócios, recomendações, suporte com a conta)?</t>
  </si>
  <si>
    <t xml:space="preserve">1) Você utiliza a página exclusiva de [Serviços Premium](http://sellercentral.amazon.com.br/gc/sas/servicos-premium)? </t>
  </si>
  <si>
    <t>2) Quão satisfeito você está com o serviço prestado?</t>
  </si>
  <si>
    <t>3) Você tem alguma sugestão de como podemos melhorar sua experiência (adicionar novas tarefas, melhorar o serviço, etc)?</t>
  </si>
  <si>
    <t>1) Você faz parte do programa da Consultoria Estratégica Amazon Select?</t>
  </si>
  <si>
    <t>2) Quão satisfeito você está com o suporte para resolução de problemas operacionais oferecido pelo [Suporte Premium](http://sellercentral.amazon.com.br/gc/sas/suporte-premium)?</t>
  </si>
  <si>
    <t>3) Tem algum feedback adicional a respeito do suporte com a resolução de problemas que você gostaria de compartilhar?</t>
  </si>
  <si>
    <t>1) Você possui um consultor específico para Amazon Ads?</t>
  </si>
  <si>
    <t>2) Quão satisfeito você está com o seu consultor de Amazon Ads?</t>
  </si>
  <si>
    <t>3) Você tem alguma sugestão de como o especialista em Ads que atende sua conta pode melhorar o seu atendimento?</t>
  </si>
  <si>
    <t>1) Por favor, classifique em ordem de importância os módulos do nosso serviço em SAS, sendo 1 o mais importante e 7 o menos importante</t>
  </si>
  <si>
    <t>2) Quais relatórios você gostaria que a gente implementasse? Coloque em ordem de prioridade.</t>
  </si>
  <si>
    <t>QuÃ£o importante os serviÃ§os abaixo oferecidos pelo programa de gerenciamento pago (SAS) sÃ£o para vocÃª como vendedor? - Gerenciamento e suporte de catÃ¡logo</t>
  </si>
  <si>
    <t>QuÃ£o importante os serviÃ§os abaixo oferecidos pelo programa de gerenciamento pago (SAS) sÃ£o para vocÃª como vendedor? - Suporte com gerenciamento de inventÃ¡rio</t>
  </si>
  <si>
    <t>QuÃ£o importante os serviÃ§os abaixo oferecidos pelo programa de gerenciamento pago (SAS) sÃ£o para vocÃª como vendedor? - Suporte com estratÃ©gia para novos produtos</t>
  </si>
  <si>
    <t>VocÃª tem alguma sugestÃ£o de como o programa SAS pode melhorar os nossos serviÃ§os (seleÃ§Ã£o, ads, marca, conversÃ£o, logÃ­stica, promoÃ§Ãµes, resoluÃ§Ã£o de problemas)?</t>
  </si>
  <si>
    <t>Quem foi o consultor que te atendeu a maior parte do tempo no perÃ­odo de Julho a Setembro de 2025?</t>
  </si>
  <si>
    <t>Nos Ãºltimos trÃªs meses, quÃ£o satisfeito vocÃª esteve com o seu consultor de marketplace?</t>
  </si>
  <si>
    <t>Baseado nos Ãºltimos trÃªs meses de serviÃ§o, o quanto vocÃª concorda ou nÃ£o com as afirmaÃ§Ãµes abaixo a respeito do seu consultor de marketplace? - Meu consultor entende do meu negÃ³cio</t>
  </si>
  <si>
    <t>Baseado nos Ãºltimos trÃªs meses de serviÃ§o, o quanto vocÃª concorda ou nÃ£o com as afirmaÃ§Ãµes abaixo a respeito do seu consultor de marketplace? - Meu consultor entende as necessidades do meu negÃ³cio com o programa SAS</t>
  </si>
  <si>
    <t>Baseado nos Ãºltimos trÃªs meses de serviÃ§o, o quanto vocÃª concorda ou nÃ£o com as afirmaÃ§Ãµes abaixo a respeito do seu consultor de marketplace? - Meu consultor entende sobre a minha categoria de venda</t>
  </si>
  <si>
    <t>Baseado nos Ãºltimos trÃªs meses de serviÃ§o, o quanto vocÃª concorda ou nÃ£o com as afirmaÃ§Ãµes abaixo a respeito do seu consultor de marketplace? - Meu consultor fornece recomendaÃ§Ãµes estratÃ©gicas</t>
  </si>
  <si>
    <t>Baseado nos Ãºltimos trÃªs meses de serviÃ§o, o quanto vocÃª concorda ou nÃ£o com as afirmaÃ§Ãµes abaixo a respeito do seu consultor de marketplace? - Meu consultor tem conhecimento dos recursos do Seller Central</t>
  </si>
  <si>
    <t>Baseado nos Ãºltimos trÃªs meses de serviÃ§o, o quanto vocÃª concorda ou nÃ£o com as afirmaÃ§Ãµes abaixo a respeito do seu consultor de marketplace? - Meu consultor Ã© responsivo via email</t>
  </si>
  <si>
    <t>Baseado nos Ãºltimos trÃªs meses de serviÃ§o, o quanto vocÃª concorda ou nÃ£o com as afirmaÃ§Ãµes abaixo a respeito do seu consultor de marketplace? - Meu consultor se comunica por escrito de forma clara</t>
  </si>
  <si>
    <t>VocÃª tem alguma sugestÃ£o de como o seu consultor pode melhorar o seu atendimento (comunicaÃ§Ã£o, expertise, agilidade, plano de negÃ³cios, recomendaÃ§Ãµes, suporte com a conta)?</t>
  </si>
  <si>
    <t>VocÃª utiliza a pÃ¡gina exclusiva de ServiÃ§os Premium?</t>
  </si>
  <si>
    <t>QuÃ£o satisfeito vocÃª estÃ¡ com o serviÃ§o prestado?</t>
  </si>
  <si>
    <t>VocÃª tem alguma sugestÃ£o de como podemos melhorar sua experiÃªncia (adicionar novas tarefas, melhorar o serviÃ§o, etc)?</t>
  </si>
  <si>
    <t>VocÃª possui um gerente de contas operacional, responsÃ¡vel apenas pelo suporte com resoluÃ§Ã£o de problemas operacionais?</t>
  </si>
  <si>
    <t>QuÃ£o satisfeito vocÃª estÃ¡ com o suporte para resoluÃ§Ã£o de problemas operacionais?</t>
  </si>
  <si>
    <t>Tem algum feedback adicional a respeito do suporte com a resoluÃ§Ã£o de problemas que vocÃª gostaria de compartilhar?</t>
  </si>
  <si>
    <t>VocÃª possui um consultor especÃ­fico para Amazon Ads?</t>
  </si>
  <si>
    <t>QuÃ£o satisfeito vocÃª estÃ¡ com o seu consultor de Amazon Ads?</t>
  </si>
  <si>
    <t>VocÃª tem alguma sugestÃ£o de como o especialista em Ads que atende sua conta pode melhorar o seu atendimento?</t>
  </si>
  <si>
    <t>Por favor, classifique em ordem de importÃ¢ncia os mÃ³dulos do nosso serviÃ§o em SAS, sendo 1 o mais importante e 7 o menos importante - 	SeleÃ§Ã£o (recomendaÃ§Ã£o de produtos, oportunidades)</t>
  </si>
  <si>
    <t>Por favor, classifique em ordem de importÃ¢ncia os mÃ³dulos do nosso serviÃ§o em SAS, sendo 1 o mais importante e 7 o menos importante - 	Advertising (anÃºncios patrocinados)</t>
  </si>
  <si>
    <t>Por favor, classifique em ordem de importÃ¢ncia os mÃ³dulos do nosso serviÃ§o em SAS, sendo 1 o mais importante e 7 o menos importante - 	Marca (registro, proteÃ§Ã£o, conteÃºdo A+, loja oficial)</t>
  </si>
  <si>
    <t>Por favor, classifique em ordem de importÃ¢ncia os mÃ³dulos do nosso serviÃ§o em SAS, sendo 1 o mais importante e 7 o menos importante - 	ConversÃ£o (qualidade do catÃ¡logo, preÃ§os, listatem)</t>
  </si>
  <si>
    <t>Por favor, classifique em ordem de importÃ¢ncia os mÃ³dulos do nosso serviÃ§o em SAS, sendo 1 o mais importante e 7 o menos importante - 	PromoÃ§Ãµes (ofertas, cupons, eventos)</t>
  </si>
  <si>
    <t>Por favor, classifique em ordem de importÃ¢ncia os mÃ³dulos do nosso serviÃ§o em SAS, sendo 1 o mais importante e 7 o menos importante - 	Ajuda na resoluÃ§Ã£o de problemas operacionais</t>
  </si>
  <si>
    <t>Por favor, classifique em ordem de importÃ¢ncia os mÃ³dulos do nosso serviÃ§o em SAS, sendo 1 o mais importante e 7 o menos importante - LogÃ­stica (FBA, FBAOS, DBA, logÃ­stica prÃ³pria)</t>
  </si>
  <si>
    <t>Quais relatÃ³rios vocÃª gostaria que a gente implementasse? Coloque em ordem de prioridade.</t>
  </si>
  <si>
    <t>Q_DataPolicyViolations</t>
  </si>
  <si>
    <t>FITHOUSE</t>
  </si>
  <si>
    <t>SurveySubmission-37hkcO3uSX4euzPL7aJBK5aytTz</t>
  </si>
  <si>
    <t>2026-01-02 14:06:08.156+00</t>
  </si>
  <si>
    <t>A9XAMWBG754P1</t>
  </si>
  <si>
    <t>Kaylane Fiuza</t>
  </si>
  <si>
    <t>kaylane.lxdistribuidora@gmail.com</t>
  </si>
  <si>
    <t>Ambos</t>
  </si>
  <si>
    <t>Satisfeito</t>
  </si>
  <si>
    <t>Muito satisfeito</t>
  </si>
  <si>
    <t>Concordo plenamente</t>
  </si>
  <si>
    <t xml:space="preserve">Concordo plenamente </t>
  </si>
  <si>
    <t>Recomendações Estratégicas -- Importante
Assistência com Resolução de Problemas -- Muito importante
Estratégia com Promoções -- Importante
Gerenciamento e suporte de catálogo -- Muito importante
Suporte com gerenciamento de inventário -- Importante
Suporte com estratégia para novos produtos -- Importante</t>
  </si>
  <si>
    <t>Naiane</t>
  </si>
  <si>
    <t xml:space="preserve">Satisfeito </t>
  </si>
  <si>
    <t>Meu consultor entende do meu negócio -- Concordo plenamente
Meu consultor entende as necessidades do meu negócio com o programa SAS -- Concordo plenamente
Meu consultor entende sobre a minha categoria de venda -- Concordo plenamente
Meu consultor fornece recomendações estratégicas -- Concordo plenamente
Meu consultor tem conhecimento dos recursos do Seller Central -- Concordo plenamente
Meu consultor é responsivo via email -- Concordo plenamente
Meu consultor se comunica por escrito de forma clara -- Concordo plenamente</t>
  </si>
  <si>
    <t>Yes</t>
  </si>
  <si>
    <t>["Promoções (ofertas, cupons, eventos)","Seleção (recomendação de produtos, oportunidades)","Marca (registro, proteção, conteúdo A+, loja oficial)","Ajuda na resolução de problemas operacionais","Advertising (anúncios patrocinados)","Conversão (qualidade do catálogo, preços, listatem)","Logística (FBA, FBA-Onsite, DBA, logística própria)"]</t>
  </si>
  <si>
    <t>Importante</t>
  </si>
  <si>
    <t>Muito importante</t>
  </si>
  <si>
    <t>Ana Bon</t>
  </si>
  <si>
    <t>Sim</t>
  </si>
  <si>
    <t>NÃ£o</t>
  </si>
  <si>
    <t>Email Address</t>
  </si>
  <si>
    <t>SITECOURO50</t>
  </si>
  <si>
    <t>SurveySubmission-37q9LcGebe8QFc7H2Gw7dnXtI9a</t>
  </si>
  <si>
    <t>2026-01-05 13:27:59.956+00</t>
  </si>
  <si>
    <t>Couro50 Oficial</t>
  </si>
  <si>
    <t>A3O6P6WAZO95DT</t>
  </si>
  <si>
    <t>Lucas Rodirgues Valladão</t>
  </si>
  <si>
    <t>lucas.valladao@mariartcouros.com.br</t>
  </si>
  <si>
    <t>Dono de marca</t>
  </si>
  <si>
    <t xml:space="preserve">Concordo parcialmente </t>
  </si>
  <si>
    <t>Recomendações Estratégicas -- Muito importante
Assistência com Resolução de Problemas -- Muito importante
Estratégia com Promoções -- Muito importante
Gerenciamento e suporte de catálogo -- Importante
Suporte com gerenciamento de inventário -- Importante
Suporte com estratégia para novos produtos -- Importante</t>
  </si>
  <si>
    <t>Sarah Meyer</t>
  </si>
  <si>
    <t>No</t>
  </si>
  <si>
    <t>["Promoções (ofertas, cupons, eventos)","Conversão (qualidade do catálogo, preços, listatem)","Logística (FBA, FBA-Onsite, DBA, logística própria)","Ajuda na resolução de problemas operacionais","Advertising (anúncios patrocinados)","Marca (registro, proteção, conteúdo A+, loja oficial)","Seleção (recomendação de produtos, oportunidades)"]</t>
  </si>
  <si>
    <t>Igor Dias</t>
  </si>
  <si>
    <t>B2 Online Oficial</t>
  </si>
  <si>
    <t>SurveySubmission-37qEtfHaYmh5C609QJ7x8r00eex</t>
  </si>
  <si>
    <t>2026-01-05 14:13:36.986+00</t>
  </si>
  <si>
    <t>B2 Online</t>
  </si>
  <si>
    <t>A2HKNDWRM4L5KF</t>
  </si>
  <si>
    <t>Philipe Bicalho</t>
  </si>
  <si>
    <t>philipe.bicalho@b2online.com.br</t>
  </si>
  <si>
    <t>Revendedor</t>
  </si>
  <si>
    <t>Recomendações Estratégicas -- Muito importante
Assistência com Resolução de Problemas -- Muito importante
Estratégia com Promoções -- Muito importante
Gerenciamento e suporte de catálogo -- Muito importante
Suporte com gerenciamento de inventário -- Muito importante
Suporte com estratégia para novos produtos -- Muito importante</t>
  </si>
  <si>
    <t>Me atende perfeitamente.</t>
  </si>
  <si>
    <t>Nenhuma sugestão. Consultora me atende satisfatoriamente.</t>
  </si>
  <si>
    <t>["Promoções (ofertas, cupons, eventos)","Seleção (recomendação de produtos, oportunidades)","Advertising (anúncios patrocinados)","Conversão (qualidade do catálogo, preços, listatem)","Marca (registro, proteção, conteúdo A+, loja oficial)","Ajuda na resolução de problemas operacionais","Logística (FBA, FBA-Onsite, DBA, logística própria)"]</t>
  </si>
  <si>
    <t>ServiÃ§o nÃ£o Ã© oferecido</t>
  </si>
  <si>
    <t>Tatiane de Assis</t>
  </si>
  <si>
    <t>Nos Ãºltimos meses tenho sentido uma demora nos retornos de nossas demanda via Whats App pela consultora, em comparaÃ§Ã£o a perÃ­odos anteriores. Acredito que seja devido a demandas internas na Amazon. Nada que tenha comprometido nossa performance ou atendimento, mas Ã© um ponto de atenÃ§Ã£o visando retomada do padrÃ£o de atendimento anterior.</t>
  </si>
  <si>
    <t>Gato Panda</t>
  </si>
  <si>
    <t>SurveySubmission-37qKyk1OfqAAPArPrV20OJNG4VB</t>
  </si>
  <si>
    <t>2026-01-05 15:03:37.045+00</t>
  </si>
  <si>
    <t>GATO PANDA</t>
  </si>
  <si>
    <t>A3L1BX2GG542PS</t>
  </si>
  <si>
    <t>Sammy Dayan</t>
  </si>
  <si>
    <t>vendas@gatopanda.com.br</t>
  </si>
  <si>
    <t>Tatiane</t>
  </si>
  <si>
    <t>["Promoções (ofertas, cupons, eventos)","Ajuda na resolução de problemas operacionais","Logística (FBA, FBA-Onsite, DBA, logística própria)","Seleção (recomendação de produtos, oportunidades)","Advertising (anúncios patrocinados)","Conversão (qualidade do catálogo, preços, listatem)","Marca (registro, proteção, conteúdo A+, loja oficial)"]</t>
  </si>
  <si>
    <t xml:space="preserve">ComunicaÃ§Ã£o da Ana Ã© Ã³tima e ela sempre procura ajudar nos nossos problemas </t>
  </si>
  <si>
    <t xml:space="preserve">RelatÃ³rio que consiga identificar imagens incorretas no anÃºncio para ser ajustado. </t>
  </si>
  <si>
    <t>Usee Brasil</t>
  </si>
  <si>
    <t>SurveySubmission-37qYoTrURIg53PrPiP22su5J326</t>
  </si>
  <si>
    <t>2026-01-05 16:57:22.115+00</t>
  </si>
  <si>
    <t>A1S66RXUCVO3OW</t>
  </si>
  <si>
    <t>Humberto Machado Kiche</t>
  </si>
  <si>
    <t>humberto.machado@useebrasil.com.br</t>
  </si>
  <si>
    <t>Recomendações Estratégicas -- Muito importante
Assistência com Resolução de Problemas -- Muito importante
Estratégia com Promoções -- Muito importante
Gerenciamento e suporte de catálogo -- Muito importante
Suporte com gerenciamento de inventário -- Muito importante
Suporte com estratégia para novos produtos -- Importante</t>
  </si>
  <si>
    <t>Karime</t>
  </si>
  <si>
    <t>["Ajuda na resolução de problemas operacionais","Promoções (ofertas, cupons, eventos)","Conversão (qualidade do catálogo, preços, listatem)","Marca (registro, proteção, conteúdo A+, loja oficial)","Logística (FBA, FBA-Onsite, DBA, logística própria)","Advertising (anúncios patrocinados)","Seleção (recomendação de produtos, oportunidades)"]</t>
  </si>
  <si>
    <t>Rafaela Saad</t>
  </si>
  <si>
    <t>Dellas Fit</t>
  </si>
  <si>
    <t/>
  </si>
  <si>
    <t>SurveySubmission-37qZwtLnlFWtoA7eQeEOtRmmScm</t>
  </si>
  <si>
    <t>2026-01-05 17:06:43.273+00</t>
  </si>
  <si>
    <t>A2U3V3MF9GB7LK</t>
  </si>
  <si>
    <t>Jéssica Cristina Azalim</t>
  </si>
  <si>
    <t>jessica.azalim@helpvend.com.br</t>
  </si>
  <si>
    <t>["Promoções (ofertas, cupons, eventos)","Ajuda na resolução de problemas operacionais","Logística (FBA, FBA-Onsite, DBA, logística própria)","Conversão (qualidade do catálogo, preços, listatem)","Marca (registro, proteção, conteúdo A+, loja oficial)","Advertising (anúncios patrocinados)","Seleção (recomendação de produtos, oportunidades)"]</t>
  </si>
  <si>
    <t>Sem importÃ¢ncia</t>
  </si>
  <si>
    <t>Acredito que o programa podia ser um pouco mais focado, com menos sellers na carteira de cada gerente, isso ajudaria a ter uma analise mais profunda dentro da categoria de atuaÃ§Ã£o, trazendo dados dos concorrentes, trazendo diferenciais que realmente tragam mais visibilidade e trafego para nossos produtos</t>
  </si>
  <si>
    <t>Concordo parcialmente</t>
  </si>
  <si>
    <t>Muitas vezes temos algum "erro" ao enviar alguma planilha, seria interessante que devolutiva trouxesse exatamente o que deu errado para que fosse corrigido, mas acaba que ficamos na tentativa e erro...</t>
  </si>
  <si>
    <t>Ads Ã© por grande parte terrivel, existe uma dificuldade operacial de trazer resultados com um custo baixo para o cliente</t>
  </si>
  <si>
    <t>Seria interessante um relatÃ³rio que trouxesse o trafego do meu produto, quais Palavras chaves levaram para esse trefego e quanto eu estou % competitivo em questao de trafego em relaÃ§ao aos meus concorrentes</t>
  </si>
  <si>
    <t>Docelar Enxovais</t>
  </si>
  <si>
    <t>SurveySubmission-37qeCT72Btq18KqxTbWE1hBeZ4I</t>
  </si>
  <si>
    <t>2026-01-05 17:41:40.451+00</t>
  </si>
  <si>
    <t>Paulo Cezar Enxovais</t>
  </si>
  <si>
    <t>ACLCI1HBSPWGD</t>
  </si>
  <si>
    <t>Paulo</t>
  </si>
  <si>
    <t>financeiro@paulocezarenxovais.com.br</t>
  </si>
  <si>
    <t>Recomendações Estratégicas -- Importante
Assistência com Resolução de Problemas -- Importante
Estratégia com Promoções -- Muito importante
Gerenciamento e suporte de catálogo -- Importante
Suporte com gerenciamento de inventário -- Importante
Suporte com estratégia para novos produtos -- Serviço não é oferecido</t>
  </si>
  <si>
    <t>Tatiane Assis</t>
  </si>
  <si>
    <t>Meu consultor entende do meu negócio -- Concordo plenamente
Meu consultor entende as necessidades do meu negócio com o programa SAS -- Concordo plenamente
Meu consultor entende sobre a minha categoria de venda -- Concordo plenamente
Meu consultor fornece recomendações estratégicas -- Concordo parcialmente
Meu consultor tem conhecimento dos recursos do Seller Central -- Concordo plenamente
Meu consultor é responsivo via email -- Concordo parcialmente
Meu consultor se comunica por escrito de forma clara -- Concordo plenamente</t>
  </si>
  <si>
    <t>["Ajuda na resolução de problemas operacionais","Promoções (ofertas, cupons, eventos)","Logística (FBA, FBA-Onsite, DBA, logística própria)","Conversão (qualidade do catálogo, preços, listatem)","Advertising (anúncios patrocinados)","Marca (registro, proteção, conteúdo A+, loja oficial)","Seleção (recomendação de produtos, oportunidades)"]</t>
  </si>
  <si>
    <t>Rodrigo Portela</t>
  </si>
  <si>
    <t>Casa Dona</t>
  </si>
  <si>
    <t>SurveySubmission-37qiZnHXBDXsol5lc4HdKe80zsw</t>
  </si>
  <si>
    <t>2026-01-05 18:17:39.485+00</t>
  </si>
  <si>
    <t>A1MKGFUOFC9AMW</t>
  </si>
  <si>
    <t>Cristina Thomaz</t>
  </si>
  <si>
    <t>cristina.thomaz@casadonasa.com.br</t>
  </si>
  <si>
    <t>Recomendações Estratégicas -- Muito importante
Assistência com Resolução de Problemas -- Importante
Estratégia com Promoções -- Muito importante
Gerenciamento e suporte de catálogo -- Muito importante
Suporte com gerenciamento de inventário -- Importante
Suporte com estratégia para novos produtos -- Importante</t>
  </si>
  <si>
    <t>Azazzu está a frente do nosso ads hj e está sendo muito positivo, estamos satisfeitos.</t>
  </si>
  <si>
    <t>Gabriel e Joice da Azazzu estão a frente do ads e eles são nota 1000 qto ao trabalho num todo.</t>
  </si>
  <si>
    <t>["Conversão (qualidade do catálogo, preços, listatem)","Advertising (anúncios patrocinados)","Promoções (ofertas, cupons, eventos)","Seleção (recomendação de produtos, oportunidades)","Marca (registro, proteção, conteúdo A+, loja oficial)","Ajuda na resolução de problemas operacionais","Logística (FBA, FBA-Onsite, DBA, logística própria)"]</t>
  </si>
  <si>
    <t>Relação de cobrança de tarifas com prazo maior que 30 dias, e relatorio de gasto de ads por item com prazo maior tb e notas dos asins, que validasse o cadastro no todo e não o asin (variação) como é hj.</t>
  </si>
  <si>
    <t xml:space="preserve">PRECISAMOS DE REBATE </t>
  </si>
  <si>
    <t>Alexandre Werner</t>
  </si>
  <si>
    <t xml:space="preserve">MAIS REBATE </t>
  </si>
  <si>
    <t>Sanbox Eletro</t>
  </si>
  <si>
    <t>SurveySubmission-37qiaLYsJsDA4dlzNpalAApX8y7</t>
  </si>
  <si>
    <t>2026-01-05 18:17:44.53+00</t>
  </si>
  <si>
    <t>A20JDTYOVRDV8M</t>
  </si>
  <si>
    <t>Davi Costa</t>
  </si>
  <si>
    <t>davi.costa@sanbox.com.br</t>
  </si>
  <si>
    <t>Recomendações Estratégicas -- Muito importante
Assistência com Resolução de Problemas -- Muito importante
Estratégia com Promoções -- Muito importante
Gerenciamento e suporte de catálogo -- Sem importância
Suporte com gerenciamento de inventário -- Sem importância
Suporte com estratégia para novos produtos -- Sem importância</t>
  </si>
  <si>
    <t>Promoções deveriam ser negociadas para o dia e não para entrar com rebate um semana depois, perdemos todo feeling da negociação quando entra uma semana depois</t>
  </si>
  <si>
    <t>Luciana Tavares</t>
  </si>
  <si>
    <t>Meu consultor entende do meu negócio -- Concordo plenamente
Meu consultor entende as necessidades do meu negócio com o programa SAS -- Concordo plenamente
Meu consultor entende sobre a minha categoria de venda -- Concordo parcialmente
Meu consultor fornece recomendações estratégicas -- Concordo plenamente
Meu consultor tem conhecimento dos recursos do Seller Central -- Concordo plenamente
Meu consultor é responsivo via email -- Concordo plenamente
Meu consultor se comunica por escrito de forma clara -- Concordo plenamente</t>
  </si>
  <si>
    <t>Gostamos muito da Luciana, nada a reclamar</t>
  </si>
  <si>
    <t>Estamos com uma conta bloqueada os anuncios e precisava resolver isos</t>
  </si>
  <si>
    <t>[]</t>
  </si>
  <si>
    <t xml:space="preserve">PoderÃ­amos ter uma assessoria um pouco mais estratÃ©gia no todo e nÃ£o apenas em promoÃ§Ãµes. Como insights de estratÃ©gia em ADS, uma resoluÃ§Ã£o mais rÃ¡pida e eficaz em nosso catÃ¡logo que deia muito a deseja quando o assunto Ã© ajuste de tÃ­tulos.  </t>
  </si>
  <si>
    <t xml:space="preserve">Sarah vem se dedicando a cada dia, tem nos ajudado mas como comentei anteriormente, gostarÃ­amos de receber mais insights do que relatÃ³rios para que assim nossas vendas melhores e mais suporte quanto ao nosso catÃ¡logo para que seja mais assertivo.. </t>
  </si>
  <si>
    <t>A priori sem comentÃ¡rios</t>
  </si>
  <si>
    <t>Quanto a relatÃ³rios estamos bem abastecidos semanalmente...</t>
  </si>
  <si>
    <t>Mimorada</t>
  </si>
  <si>
    <t>SurveySubmission-37qj83fQWouDatQwwyuCTVvEqCy</t>
  </si>
  <si>
    <t>2026-01-05 18:22:12.689+00</t>
  </si>
  <si>
    <t>A2UW4VQQVFZQ4H</t>
  </si>
  <si>
    <t>Lara Paim</t>
  </si>
  <si>
    <t>lara.silva@grupobrinox.com.br</t>
  </si>
  <si>
    <t>Recomendações Estratégicas -- Muito importante
Assistência com Resolução de Problemas -- Muito importante
Estratégia com Promoções -- Muito importante
Gerenciamento e suporte de catálogo -- Importante
Suporte com gerenciamento de inventário -- Muito importante
Suporte com estratégia para novos produtos -- Importante</t>
  </si>
  <si>
    <t>Retirar ou flexibilizar a ferramenta de "Preço Externo Competitivo" que afeta muito o funcionamento da conta e as vendas.</t>
  </si>
  <si>
    <t>Stephanie Shinohara</t>
  </si>
  <si>
    <t>["Ajuda na resolução de problemas operacionais","Promoções (ofertas, cupons, eventos)","Logística (FBA, FBA-Onsite, DBA, logística própria)","Conversão (qualidade do catálogo, preços, listatem)","Marca (registro, proteção, conteúdo A+, loja oficial)","Seleção (recomendação de produtos, oportunidades)","Advertising (anúncios patrocinados)"]</t>
  </si>
  <si>
    <t>Thomas Thalenberg</t>
  </si>
  <si>
    <t>Ecomprei - Devintex</t>
  </si>
  <si>
    <t>SurveySubmission-37qjoPgwD8F19FpkZunKkzbMZyk</t>
  </si>
  <si>
    <t>2026-01-05 18:27:49.322+00</t>
  </si>
  <si>
    <t>Ecomprei</t>
  </si>
  <si>
    <t>A2SVSWCYO9DMJB</t>
  </si>
  <si>
    <t>David de Santana Lima</t>
  </si>
  <si>
    <t>david.lima@devintex.com.br</t>
  </si>
  <si>
    <t>Recomendações Estratégicas -- Muito importante
Assistência com Resolução de Problemas -- Importante
Estratégia com Promoções -- Muito importante
Gerenciamento e suporte de catálogo -- Importante
Suporte com gerenciamento de inventário -- Importante
Suporte com estratégia para novos produtos -- Importante</t>
  </si>
  <si>
    <t>Em ADS, acreditamos que a plataforma de vocês é muito difícil o entendimento, com isso, os resultados são baixo</t>
  </si>
  <si>
    <t>Karime Cabral</t>
  </si>
  <si>
    <t>Meu consultor entende do meu negócio -- Concordo parcialmente
Meu consultor entende as necessidades do meu negócio com o programa SAS -- Concordo parcialmente
Meu consultor entende sobre a minha categoria de venda -- Concordo plenamente
Meu consultor fornece recomendações estratégicas -- Concordo parcialmente
Meu consultor tem conhecimento dos recursos do Seller Central -- Concordo plenamente
Meu consultor é responsivo via email -- Concordo plenamente
Meu consultor se comunica por escrito de forma clara -- Concordo plenamente</t>
  </si>
  <si>
    <t>Apenas melhorar as recomendações das oportunidades dentro da Amazon, Canais para promoção, exemplos: Afiliados. trazer opções que podemos trabalhar com outra estratégia além de preço</t>
  </si>
  <si>
    <t>Não</t>
  </si>
  <si>
    <t>Nossa experiência está sendo ótima</t>
  </si>
  <si>
    <t>Toda estratégia que a consultora nos deu, ficamos com um resultado pior (ROI), nos criando as campanhas com o que já sabemos de Amazon, temos um retorno melhor.</t>
  </si>
  <si>
    <t>["Seleção (recomendação de produtos, oportunidades)","Ajuda na resolução de problemas operacionais","Marca (registro, proteção, conteúdo A+, loja oficial)","Conversão (qualidade do catálogo, preços, listatem)","Logística (FBA, FBA-Onsite, DBA, logística própria)","Advertising (anúncios patrocinados)","Promoções (ofertas, cupons, eventos)"]</t>
  </si>
  <si>
    <t>um relatório geral claro, que venha em Excel, das vendas. hoje temos dificuldades com os relatórios da Amazon, pois vem em TXT, na conversão para Excel da erro</t>
  </si>
  <si>
    <t>TNTinfoLoja</t>
  </si>
  <si>
    <t>SurveySubmission-37qk8teI179hUDkTV5sV7vYWRVm</t>
  </si>
  <si>
    <t>2026-01-05 18:30:32.401+00</t>
  </si>
  <si>
    <t>AZXF92ML84B44</t>
  </si>
  <si>
    <t>Victor Vieira Junqueira</t>
  </si>
  <si>
    <t>loja05@tntinfo.com.br</t>
  </si>
  <si>
    <t>Podria no recomendar mais produtos chave ou lancamentos</t>
  </si>
  <si>
    <t xml:space="preserve">Veiculo de comunicacao um pouco confuso. Nao sabemos se mantemos as conversas dentro do chat, por email... poderiam unificar o meio de comunicacao </t>
  </si>
  <si>
    <t>["Logística (FBA, FBA-Onsite, DBA, logística própria)","Ajuda na resolução de problemas operacionais","Seleção (recomendação de produtos, oportunidades)","Marca (registro, proteção, conteúdo A+, loja oficial)","Promoções (ofertas, cupons, eventos)","Conversão (qualidade do catálogo, preços, listatem)","Advertising (anúncios patrocinados)"]</t>
  </si>
  <si>
    <t>No momento nÃ£o</t>
  </si>
  <si>
    <t>NÃ£o, estamos muito satisfeitos com ele, ele nos atende muito bem.</t>
  </si>
  <si>
    <t>No momento nÃ£o, o que eu pedia vocÃªs estÃ£o fazendo, que sÃ£o aÃ§Ãµes de reduÃ§Ã£o de comissÃ£o.</t>
  </si>
  <si>
    <t>No momento nÃ£o, vamos voltar a utilozar o serviÃ§o em breve</t>
  </si>
  <si>
    <t>Atualmente, acho que os itens em ruptura do 1P, para a gente aproveitar essas oportunidades</t>
  </si>
  <si>
    <t>Trevizo Suplementos.</t>
  </si>
  <si>
    <t>SurveySubmission-37ql7WLnrJ0EKqdnu009v7dn0l1</t>
  </si>
  <si>
    <t>2026-01-05 18:38:34.186+00</t>
  </si>
  <si>
    <t>Dark Lab Suplementos</t>
  </si>
  <si>
    <t>A26A8MT1BQFCBQ</t>
  </si>
  <si>
    <t>Aline Laranjeira</t>
  </si>
  <si>
    <t>alinelaranjeira@darklabsuplementos.com.br</t>
  </si>
  <si>
    <t>Meu consultor entende do meu negócio -- Concordo plenamente
Meu consultor entende as necessidades do meu negócio com o programa SAS -- Concordo plenamente
Meu consultor entende sobre a minha categoria de venda -- Concordo plenamente
Meu consultor fornece recomendações estratégicas -- Concordo parcialmente
Meu consultor tem conhecimento dos recursos do Seller Central -- Concordo plenamente
Meu consultor é responsivo via email -- Concordo plenamente
Meu consultor se comunica por escrito de forma clara -- Concordo plenamente</t>
  </si>
  <si>
    <t>["Promoções (ofertas, cupons, eventos)","Ajuda na resolução de problemas operacionais","Logística (FBA, FBA-Onsite, DBA, logística própria)","Conversão (qualidade do catálogo, preços, listatem)","Advertising (anúncios patrocinados)","Seleção (recomendação de produtos, oportunidades)","Marca (registro, proteção, conteúdo A+, loja oficial)"]</t>
  </si>
  <si>
    <t>O marketplace estÃ¡ muito atras em relaÃ§Ã£o a outros marketplaces. Infelizmente.</t>
  </si>
  <si>
    <t>Julia Brito</t>
  </si>
  <si>
    <t>Discordo</t>
  </si>
  <si>
    <t>Nem concordo, nem discordo</t>
  </si>
  <si>
    <t>Ajudar a destravar a loja com mais Ãªnfase</t>
  </si>
  <si>
    <t>Krokodilus</t>
  </si>
  <si>
    <t>SurveySubmission-37qlgfKYoXPxufpu1UGOcs93Mfg</t>
  </si>
  <si>
    <t>2026-01-05 18:43:14.534+00</t>
  </si>
  <si>
    <t>A1TL5IEQM3H5EI</t>
  </si>
  <si>
    <t>Matheus Castanho de Menezes</t>
  </si>
  <si>
    <t>pointbplus@gmail.com</t>
  </si>
  <si>
    <t>["Promoções (ofertas, cupons, eventos)","Seleção (recomendação de produtos, oportunidades)","Advertising (anúncios patrocinados)","Marca (registro, proteção, conteúdo A+, loja oficial)","Conversão (qualidade do catálogo, preços, listatem)","Ajuda na resolução de problemas operacionais","Logística (FBA, FBA-Onsite, DBA, logística própria)"]</t>
  </si>
  <si>
    <t>Julia de Brito</t>
  </si>
  <si>
    <t>AnÃ¡lise da concorrÃªncia</t>
  </si>
  <si>
    <t>H2O Purificadores</t>
  </si>
  <si>
    <t>SurveySubmission-37qmEWZp2NGjznF16Iq9mPHQSOU</t>
  </si>
  <si>
    <t>2026-01-05 18:47:43.315+00</t>
  </si>
  <si>
    <t>A1DQQPB2DSSMG5</t>
  </si>
  <si>
    <t>Julia Gabrielly Gones dos Santos</t>
  </si>
  <si>
    <t>julia.santos@h2opurificadores.com</t>
  </si>
  <si>
    <t>Matheus Balbino</t>
  </si>
  <si>
    <t>["Logística (FBA, FBA-Onsite, DBA, logística própria)","Promoções (ofertas, cupons, eventos)","Advertising (anúncios patrocinados)","Seleção (recomendação de produtos, oportunidades)","Conversão (qualidade do catálogo, preços, listatem)","Marca (registro, proteção, conteúdo A+, loja oficial)","Ajuda na resolução de problemas operacionais"]</t>
  </si>
  <si>
    <t>Os relatórios atuais antendem bem</t>
  </si>
  <si>
    <t>Discordo totalmente</t>
  </si>
  <si>
    <t>Na Web</t>
  </si>
  <si>
    <t>SurveySubmission-37qnx7JIFoy8AIeDCh3Ib24HwNg</t>
  </si>
  <si>
    <t>2026-01-05 19:01:52.641+00</t>
  </si>
  <si>
    <t>Na web</t>
  </si>
  <si>
    <t>A1WX2OEIGSWUD</t>
  </si>
  <si>
    <t>Silvana Márlia Damasceno de Souza</t>
  </si>
  <si>
    <t>analista3@naweb.vc</t>
  </si>
  <si>
    <t>Maior auxilio com a criação e gestão das campanhas de ADS; Maior clareza a respeito de taxas cobradas de armazenagem; Criação de registro de marca dentro da plataforma.</t>
  </si>
  <si>
    <t>Na verdade a plataforma precisa liberar mais bônus como a redução de comissão, taxas mais baratas de frete para poder conseguirmos continuar competindo com os outros marketplaces.</t>
  </si>
  <si>
    <t>O suporte por whatsapp seria muito melhor que o ticket, pois muitas vezes precisamos de ajuda para resolver um problema na hora, e abrimos muitos chamados para resolver diferentes problemas.</t>
  </si>
  <si>
    <t>Reuniões quinzenais sobre os resultados e campanhas mais precisas de acordo com o que precisamos vender</t>
  </si>
  <si>
    <t>["Seleção (recomendação de produtos, oportunidades)","Promoções (ofertas, cupons, eventos)","Marca (registro, proteção, conteúdo A+, loja oficial)","Conversão (qualidade do catálogo, preços, listatem)","Advertising (anúncios patrocinados)","Ajuda na resolução de problemas operacionais","Logística (FBA, FBA-Onsite, DBA, logística própria)"]</t>
  </si>
  <si>
    <t xml:space="preserve">Relatório mais claro sobre os custos de armazenagem dos produtos no FBA
Painel em tempo real de quais produtos e quantidades estão sendo vendidos no FBA
Painel em tempo real sobre está nossa competitividade em relação a outros canais (com listagem de produtos)
</t>
  </si>
  <si>
    <t>Julia De Brito</t>
  </si>
  <si>
    <t>COLOR SPORTS.</t>
  </si>
  <si>
    <t>SurveySubmission-37qpgWD8GrAJ33CZx753XizAMpI</t>
  </si>
  <si>
    <t>2026-01-05 19:16:06.385+00</t>
  </si>
  <si>
    <t>COLOR SPORTS</t>
  </si>
  <si>
    <t>AJTRHQYPRMPJ3</t>
  </si>
  <si>
    <t>Vitor Gonçalves de Oliveira</t>
  </si>
  <si>
    <t>analistacomercialcs05@gmail.com</t>
  </si>
  <si>
    <t>["Seleção (recomendação de produtos, oportunidades)","Conversão (qualidade do catálogo, preços, listatem)","Ajuda na resolução de problemas operacionais","Logística (FBA, FBA-Onsite, DBA, logística própria)","Advertising (anúncios patrocinados)","Promoções (ofertas, cupons, eventos)","Marca (registro, proteção, conteúdo A+, loja oficial)"]</t>
  </si>
  <si>
    <t>COMPRAMAIS</t>
  </si>
  <si>
    <t>SurveySubmission-37qsfx93SEBP4gFKZAOH1O73Lhk</t>
  </si>
  <si>
    <t>2026-01-05 19:40:42.307+00</t>
  </si>
  <si>
    <t>Compramais</t>
  </si>
  <si>
    <t>A2N1DD131JVLCL</t>
  </si>
  <si>
    <t>Augusto Flávio Júlio Júnior</t>
  </si>
  <si>
    <t>augusto.junior@compramais.com.br</t>
  </si>
  <si>
    <t xml:space="preserve">Nem concordo, nem discordo </t>
  </si>
  <si>
    <t>Recomendações Estratégicas -- Importante
Assistência com Resolução de Problemas -- Muito importante
Estratégia com Promoções -- Muito importante
Gerenciamento e suporte de catálogo -- Importante
Suporte com gerenciamento de inventário -- Sem importância
Suporte com estratégia para novos produtos -- Serviço não é oferecido</t>
  </si>
  <si>
    <t>Melhor exposição de produtos (afiliados, redes sociais), retornar com oferta WOW, ajudar a alancar novos produtos e marcas.</t>
  </si>
  <si>
    <t>Meu consultor entende do meu negócio -- Nem concordo, nem discordo
Meu consultor entende as necessidades do meu negócio com o programa SAS -- Concordo parcialmente
Meu consultor entende sobre a minha categoria de venda -- Concordo plenamente
Meu consultor fornece recomendações estratégicas -- Concordo plenamente
Meu consultor tem conhecimento dos recursos do Seller Central -- Concordo plenamente
Meu consultor é responsivo via email -- Concordo plenamente
Meu consultor se comunica por escrito de forma clara -- Concordo plenamente</t>
  </si>
  <si>
    <t xml:space="preserve">A Sarah está disposta a auxiliar no que estiver dentro do seu alcance, as ultimas negociações foram mais simples e entraram sem grandes problemas. Foram feitos bons acordos com redução de comissão que ajudaram a performar alguns anúncios. Talvez entender e se aprofundar um pouco mais sobre nossas marcas próprias ajudaria a alavancar nossos produtos na Amazon, </t>
  </si>
  <si>
    <t>Prazo de entrega, qualidade do conteúdo A+ com menos aspecto de IA.</t>
  </si>
  <si>
    <t>Usei poucas vezes, e foi resolvido</t>
  </si>
  <si>
    <t>entender um pouco mais do nosso negócio, a fim de sugerir melhorias sobre nossa estratégia de alavancagem de produtos de marca própria. Algumas campanhas foram criadas com base em anos anteriores que hoje já não fazem mais sentido.</t>
  </si>
  <si>
    <t>["Conversão (qualidade do catálogo, preços, listatem)","Promoções (ofertas, cupons, eventos)","Ajuda na resolução de problemas operacionais","Marca (registro, proteção, conteúdo A+, loja oficial)","Advertising (anúncios patrocinados)","Logística (FBA, FBA-Onsite, DBA, logística própria)","Seleção (recomendação de produtos, oportunidades)"]</t>
  </si>
  <si>
    <t>Vitrine Direta SP</t>
  </si>
  <si>
    <t>SurveySubmission-37qxPIKYCg7nByTHJw1xJDhnyAx</t>
  </si>
  <si>
    <t>2026-01-05 20:19:36.843+00</t>
  </si>
  <si>
    <t>Baby Stock Oficial</t>
  </si>
  <si>
    <t>A30M1H78WIEMGL</t>
  </si>
  <si>
    <t>Pedro Luiz Gelmini Cesar</t>
  </si>
  <si>
    <t>pedro.cesar@vitrinedireta.com.br</t>
  </si>
  <si>
    <t>["Promoções (ofertas, cupons, eventos)","Logística (FBA, FBA-Onsite, DBA, logística própria)","Conversão (qualidade do catálogo, preços, listatem)","Seleção (recomendação de produtos, oportunidades)","Advertising (anúncios patrocinados)","Ajuda na resolução de problemas operacionais","Marca (registro, proteção, conteúdo A+, loja oficial)"]</t>
  </si>
  <si>
    <t>NÃ£o tenho sugestÃµes. o programa SAS me atende 100%</t>
  </si>
  <si>
    <t>Paula Veneu</t>
  </si>
  <si>
    <t>NÃ£o tenho sugestÃ£o</t>
  </si>
  <si>
    <t>Sem sugestÃ£o</t>
  </si>
  <si>
    <t xml:space="preserve">Todos os relatÃ³rios que preciso jÃ¡ sÃ£o enviados </t>
  </si>
  <si>
    <t>DUFRIO</t>
  </si>
  <si>
    <t>SurveySubmission-37qxXbpkpQ6loEs0BvUThWtetnB</t>
  </si>
  <si>
    <t>2026-01-05 20:20:42.172+00</t>
  </si>
  <si>
    <t>A3KMLLJZ1EZHJM</t>
  </si>
  <si>
    <t>Henrique França</t>
  </si>
  <si>
    <t>henrique.franca@dufrio.com.br</t>
  </si>
  <si>
    <t>Igor Dias / Marcella Pazeto (Gerente) dando total apoio</t>
  </si>
  <si>
    <t>["Promoções (ofertas, cupons, eventos)","Seleção (recomendação de produtos, oportunidades)","Conversão (qualidade do catálogo, preços, listatem)","Marca (registro, proteção, conteúdo A+, loja oficial)","Advertising (anúncios patrocinados)","Ajuda na resolução de problemas operacionais","Logística (FBA, FBA-Onsite, DBA, logística própria)"]</t>
  </si>
  <si>
    <t xml:space="preserve">Precisa de mais agilidade nas respostas, as vezes demora um pouco. </t>
  </si>
  <si>
    <t xml:space="preserve">Melhorar na agilidade das respostas. </t>
  </si>
  <si>
    <t>FRIOPECAS</t>
  </si>
  <si>
    <t>SurveySubmission-37qz2MPej6OIh4DYmqQIw8TX8FC</t>
  </si>
  <si>
    <t>2026-01-05 20:33:00.195+00</t>
  </si>
  <si>
    <t>Friopeças</t>
  </si>
  <si>
    <t>A12YOU7F0X4ZNC</t>
  </si>
  <si>
    <t>Bruna Cristina Figueiredo</t>
  </si>
  <si>
    <t>bruna.figueiredo@friopecas.com.br</t>
  </si>
  <si>
    <t>Luan Pereira</t>
  </si>
  <si>
    <t>["Conversão (qualidade do catálogo, preços, listatem)","Seleção (recomendação de produtos, oportunidades)","Ajuda na resolução de problemas operacionais","Promoções (ofertas, cupons, eventos)","Marca (registro, proteção, conteúdo A+, loja oficial)","Logística (FBA, FBA-Onsite, DBA, logística própria)","Advertising (anúncios patrocinados)"]</t>
  </si>
  <si>
    <t xml:space="preserve">Relatórios mais completos da GARANTIA DE AaZ, com motivos de abertura. </t>
  </si>
  <si>
    <t>Luan Pereira e Ana Bon</t>
  </si>
  <si>
    <t>Moblan Decor</t>
  </si>
  <si>
    <t>SurveySubmission-37qzf28Oznz2qHxq91GIfHIS5my</t>
  </si>
  <si>
    <t>2026-01-05 20:38:08.6+00</t>
  </si>
  <si>
    <t>MOBLAN DECOR</t>
  </si>
  <si>
    <t>A22IPO4UUU0YFK</t>
  </si>
  <si>
    <t>MATHEUS HENRIQUE RODRIGUES</t>
  </si>
  <si>
    <t>matheus@moblandecor.com.br</t>
  </si>
  <si>
    <t>Recomendações Estratégicas -- Muito importante
Assistência com Resolução de Problemas -- Muito importante
Estratégia com Promoções -- Muito importante
Gerenciamento e suporte de catálogo -- Importante
Suporte com gerenciamento de inventário -- Importante
Suporte com estratégia para novos produtos -- Sem importância</t>
  </si>
  <si>
    <t>Não tem nada a melhorar</t>
  </si>
  <si>
    <t>Nada a melhorar, Igor é nota 10</t>
  </si>
  <si>
    <t>Não, Nayara é nota 10 também!!!</t>
  </si>
  <si>
    <t>["Promoções (ofertas, cupons, eventos)","Advertising (anúncios patrocinados)","Marca (registro, proteção, conteúdo A+, loja oficial)","Ajuda na resolução de problemas operacionais","Conversão (qualidade do catálogo, preços, listatem)","Logística (FBA, FBA-Onsite, DBA, logística própria)","Seleção (recomendação de produtos, oportunidades)"]</t>
  </si>
  <si>
    <t>Sem sugestão</t>
  </si>
  <si>
    <t>Suggar Eletrodomesticos</t>
  </si>
  <si>
    <t>SurveySubmission-37smjgVGPD3f2VmxzF28jIFQCgi</t>
  </si>
  <si>
    <t>2026-01-06 11:51:29.38+00</t>
  </si>
  <si>
    <t>suggar eletrodomésticos</t>
  </si>
  <si>
    <t>AQ7D2VO18Q2VV</t>
  </si>
  <si>
    <t>Daniel Lacerda</t>
  </si>
  <si>
    <t>Daniel.lacerda@suggar.com.br</t>
  </si>
  <si>
    <t>Recomendações Estratégicas -- Muito importante
Assistência com Resolução de Problemas -- Muito importante
Estratégia com Promoções -- Muito importante
Gerenciamento e suporte de catálogo -- Muito importante
Suporte com gerenciamento de inventário -- Muito importante
Suporte com estratégia para novos produtos -- Sem importância</t>
  </si>
  <si>
    <t xml:space="preserve">Luan Perreira </t>
  </si>
  <si>
    <t>["Promoções (ofertas, cupons, eventos)","Advertising (anúncios patrocinados)","Ajuda na resolução de problemas operacionais","Logística (FBA, FBA-Onsite, DBA, logística própria)","Conversão (qualidade do catálogo, preços, listatem)","Marca (registro, proteção, conteúdo A+, loja oficial)","Seleção (recomendação de produtos, oportunidades)"]</t>
  </si>
  <si>
    <t xml:space="preserve">Relatório de pedidos com redução de comissão </t>
  </si>
  <si>
    <t>Bianca Ramalho</t>
  </si>
  <si>
    <t>Funil de ConversÃ£o dos produtos (visualizaÃ§Ã£o, carrinho, conversÃ£o)</t>
  </si>
  <si>
    <t>CAFFEINE ARMY I SUPERCOFFEE I EXPRESS</t>
  </si>
  <si>
    <t>SurveySubmission-37soghbEbrYGiAmQ6WdQOuf0475</t>
  </si>
  <si>
    <t>2026-01-06 12:07:32.698+00</t>
  </si>
  <si>
    <t>CAFFEINE ARMY | SUPERCOFFEE | EXPRESS</t>
  </si>
  <si>
    <t>A3TKQBIQVNI2XO</t>
  </si>
  <si>
    <t>Gabriel Rodrigues Armentano</t>
  </si>
  <si>
    <t>gabriel.armentano@caffeinearmy.com.br</t>
  </si>
  <si>
    <t>Recomendações Estratégicas -- Sem importância
Assistência com Resolução de Problemas -- Muito importante
Estratégia com Promoções -- Muito importante
Gerenciamento e suporte de catálogo -- Muito importante
Suporte com gerenciamento de inventário -- Sem importância
Suporte com estratégia para novos produtos -- Muito importante</t>
  </si>
  <si>
    <t>["Logística (FBA, FBA-Onsite, DBA, logística própria)","Ajuda na resolução de problemas operacionais","Promoções (ofertas, cupons, eventos)","Marca (registro, proteção, conteúdo A+, loja oficial)","Conversão (qualidade do catálogo, preços, listatem)","Advertising (anúncios patrocinados)","Seleção (recomendação de produtos, oportunidades)"]</t>
  </si>
  <si>
    <t>OlÃ¡, Suporte!  O pedido consta como "nÃ£o pode ser entregue", mas nÃ£o temos nenhuma informaÃ§Ã£o sobre o motivo. Como vendedores, ficamos sem detalhes que nos ajudem a entender o que aconteceu. Poderiam, por favor, rever essa questÃ£o</t>
  </si>
  <si>
    <t>Joao Claudino N.</t>
  </si>
  <si>
    <t>Cliente informou que nÃ£o conseguiu receber o pedido, e no sistema de rastreio consta a mensagem: "Pedido nÃ£o pode ser entregue". Poderiam fornecer mais informaÃ§Ãµes</t>
  </si>
  <si>
    <t>Farmácia Indiana</t>
  </si>
  <si>
    <t>SurveySubmission-37t21fkKIxCe9AEJzNj7OCIgadL</t>
  </si>
  <si>
    <t>2026-01-06 13:57:12.521+00</t>
  </si>
  <si>
    <t>amzn1.pa.o.A1SZ2P0OJKY6Q0</t>
  </si>
  <si>
    <t>Marcela Tribst</t>
  </si>
  <si>
    <t>marcela.t.silva@farmaciaindiana.com.br</t>
  </si>
  <si>
    <t>Sim, gostria de uma pessoa no suporte de ADS pra auxiliar a gestão do investimento. Um suporte mais rápido na questão de catalogo seja menos moroso esse processo de subida de itens novos. Pois estamos tentando abrir uma nova loja DBA  mais de 3 meses e te agora por conta de burocracia não conseguimos .</t>
  </si>
  <si>
    <t>Naiane Rangel</t>
  </si>
  <si>
    <t>Infelizmente ela depende de outro setores pra acelerar nossas necessidades</t>
  </si>
  <si>
    <t>Ate dezembro nós tínhamos uma excelente, porem foi nos tirado esse apoio tão importante. Nome dela é LUIZA</t>
  </si>
  <si>
    <t>["Promoções (ofertas, cupons, eventos)","Seleção (recomendação de produtos, oportunidades)","Conversão (qualidade do catálogo, preços, listatem)","Advertising (anúncios patrocinados)","Marca (registro, proteção, conteúdo A+, loja oficial)","Ajuda na resolução de problemas operacionais"]</t>
  </si>
  <si>
    <t>NÃ£o tenho</t>
  </si>
  <si>
    <t>Tatiane De Assis</t>
  </si>
  <si>
    <t>Dibs Modas</t>
  </si>
  <si>
    <t>SurveySubmission-37t9ny2etcieS3AzuifdEuyi1fA</t>
  </si>
  <si>
    <t>2026-01-06 15:01:10.081+00</t>
  </si>
  <si>
    <t>A15CBXW66NILHA</t>
  </si>
  <si>
    <t>Willian Hata</t>
  </si>
  <si>
    <t>marketplace@dibs.com.br</t>
  </si>
  <si>
    <t>Recebemos o benefício de ter uma consultoria externa, com a empresa Azazuu. Começaram fazendo um bom trabalho mas no momento que comentamos que precisávamos investir um pouco mais para prorrogar o nosso benefício de isenções do FBA, a empresa torrou um valor desnecessário, que acabou prejudicando nossa rentabilidade no mês de Novembro/25.</t>
  </si>
  <si>
    <t>["Ajuda na resolução de problemas operacionais","Conversão (qualidade do catálogo, preços, listatem)","Seleção (recomendação de produtos, oportunidades)","Logística (FBA, FBA-Onsite, DBA, logística própria)","Promoções (ofertas, cupons, eventos)","Advertising (anúncios patrocinados)","Marca (registro, proteção, conteúdo A+, loja oficial)"]</t>
  </si>
  <si>
    <t>Trazer mais insights para a conta e ajudar mais na resoluÃ§Ã£o de problemas. Hoje, quando acontece alguma coisa, sÃ³ nos pedem pra abrir um ticket e resolver pelo ticket. Ou seja, nÃ£o ajudam em nada na resoluÃ§Ã£o.</t>
  </si>
  <si>
    <t>Stephanie Shinohara.</t>
  </si>
  <si>
    <t>Trazer mais insights estratÃ©gicos, e nÃ£o apenas planilhas com sugestÃ£o de preÃ§os onde na grande maioria das vezes nÃ£o conseguimos seguir. AlÃ©m disso, acho que precisa entender da necessidade de se ter um KA auxiliando.</t>
  </si>
  <si>
    <t>Ser mais presente e participativo na tomada de decisÃµes. Hoje tenho poucas "provocaÃ§Ãµes" em relaÃ§Ã£o a aÃ§Ãµes e pouquÃ­ssimo insight sobre a conta e o negÃ³cio.</t>
  </si>
  <si>
    <t>RelatÃ³rios do que vem dando certo em relaÃ§Ã£o Ã s campanhas e atÃ© mesmo do que nÃ£o deu certo e pode melhorar.</t>
  </si>
  <si>
    <t>KarolBeauty</t>
  </si>
  <si>
    <t>SurveySubmission-37tSIpud5UNkaTsMLPhswFd4r4w</t>
  </si>
  <si>
    <t>2026-01-06 17:33:16.701+00</t>
  </si>
  <si>
    <t>A1QR7ZH1CBB1LI</t>
  </si>
  <si>
    <t>LUCAS CAMARDELLA</t>
  </si>
  <si>
    <t>lucascamardella@gmail.com</t>
  </si>
  <si>
    <t>Recomendações Estratégicas -- Sem importância
Assistência com Resolução de Problemas -- Muito importante
Estratégia com Promoções -- Muito importante
Gerenciamento e suporte de catálogo -- Sem importância
Suporte com gerenciamento de inventário -- Sem importância
Suporte com estratégia para novos produtos -- Importante</t>
  </si>
  <si>
    <t>Maior autonomia ao nosso gerente de contas para resolver problemas internos.</t>
  </si>
  <si>
    <t>Melhorar a autonomia do consultor para suporte com a conta.</t>
  </si>
  <si>
    <t>["Promoções (ofertas, cupons, eventos)","Ajuda na resolução de problemas operacionais","Logística (FBA, FBA-Onsite, DBA, logística própria)","Seleção (recomendação de produtos, oportunidades)","Conversão (qualidade do catálogo, preços, listatem)","Advertising (anúncios patrocinados)","Marca (registro, proteção, conteúdo A+, loja oficial)"]</t>
  </si>
  <si>
    <t xml:space="preserve">Oportunidades, </t>
  </si>
  <si>
    <t>Manoela</t>
  </si>
  <si>
    <t>MOBLY</t>
  </si>
  <si>
    <t>SurveySubmission-37tUEc8JKHipSvZ43i82DUQrUuS</t>
  </si>
  <si>
    <t>2026-01-06 17:49:10.508+00</t>
  </si>
  <si>
    <t>Mobly</t>
  </si>
  <si>
    <t>AMS8HP2Q7DKSM</t>
  </si>
  <si>
    <t>Tatiana Nascimento Portugal</t>
  </si>
  <si>
    <t>tatiana.portugal@mobly.tech</t>
  </si>
  <si>
    <t>De modo geral, o suporte do programa SAS tem sido bastante útil e prestativo, especialmente no acompanhamento e na resolução de demandas.
Como ponto de melhoria, alguns processos da Amazon ainda são bastante burocráticos, o que pode impactar a agilidade das ações. Entendo que isso esteja mais relacionado às diretrizes internas da empresa do que diretamente ao programa SAS, mas qualquer iniciativa que ajude a simplificar fluxos ou tornar os processos mais ágeis certamente agregaria ainda mais valor ao serviço.</t>
  </si>
  <si>
    <t>Meu consultor entende do meu negócio -- Concordo plenamente
Meu consultor entende as necessidades do meu negócio com o programa SAS -- Concordo plenamente
Meu consultor entende sobre a minha categoria de venda -- Concordo plenamente
Meu consultor fornece recomendações estratégicas -- Concordo parcialmente
Meu consultor tem conhecimento dos recursos do Seller Central -- Concordo parcialmente
Meu consultor é responsivo via email -- Concordo plenamente
Meu consultor se comunica por escrito de forma clara -- Concordo plenamente</t>
  </si>
  <si>
    <t>De modo geral, estou satisfeito com o atendimento do consultor, especialmente pelo contato mais próximo e pela maior agilidade no suporte, algo que infelizmente não tínhamos com o consultor anterior.
Quando ele assumiu nossa conta, estava em início de jornada na empresa, então em alguns momentos não tinha respostas imediatas, mas sempre foi prestativo em verificar as informações e retornar com um posicionamento claro. No geral, o atendimento tem sido positivo e em constante evolução.</t>
  </si>
  <si>
    <t>Ainda não utilizei todos os serviços disponíveis do programa, tendo maior experiência apenas com a parte de cadastro de novos produtos, relacionada ao inventário.
O principal ponto de melhoria que observo, e que já mencionei anteriormente, está relacionado a alguns processos bastante burocráticos, que não encontro em outros canais onde atuo. Um exemplo é a necessidade de solicitar determinados documentos para cadastrar produtos de marcas novas que ainda não fazem parte do meu catálogo, o que acaba tornando o processo mais lento e oneroso. Entendo, no entanto, que isso esteja mais ligado às diretrizes internas da própria Amazon e fuja da alçada direta dos analistas.
Além disso, em alguns atendimentos, os retornos dos analistas não foram totalmente claros, o que acaba dificultando o entendimento e exige novos questionamentos até que a explicação fique totalmente compreensível.</t>
  </si>
  <si>
    <t>De modo geral, estou satisfeita com o suporte na resolução de problemas e, até o momento, minhas dúvidas têm sido sanadas.
O único ponto que ainda permanece pendente, e que tem impactado um pouco o trabalho do meu time de SAC, é a questão relacionada a usuários, em que um dos usuários cadastrados apresenta erro e ainda não houve uma resolução efetiva.</t>
  </si>
  <si>
    <t>["Seleção (recomendação de produtos, oportunidades)","Advertising (anúncios patrocinados)","Marca (registro, proteção, conteúdo A+, loja oficial)","Conversão (qualidade do catálogo, preços, listatem)","Promoções (ofertas, cupons, eventos)","Ajuda na resolução de problemas operacionais","Logística (FBA, FBA-Onsite, DBA, logística própria)"]</t>
  </si>
  <si>
    <t>Relatório de produtos com erro de preço</t>
  </si>
  <si>
    <t>Como evoluÃ§Ã£o, sugiro realizar um trabalho focado em oportunidades de produtos, nos dando uma visÃ£o de produtos mais buscados e vendidos na Amazon. Com essa informaÃ§Ã£o conseguiremos analisar nosso posicionamento na plataforma e buscar melhores oportunidades comerciais e oferats.</t>
  </si>
  <si>
    <t>Mais horas conosco.</t>
  </si>
  <si>
    <t>SurveySubmission-37tgcG20HVRrWOd7UDlGGppHNt5</t>
  </si>
  <si>
    <t>2026-01-06 19:30:58.468+00</t>
  </si>
  <si>
    <t>Frigelar Ltda</t>
  </si>
  <si>
    <t>ingrid de paulo wroblewski</t>
  </si>
  <si>
    <t>ingridwroblewski@frigelar.com.br</t>
  </si>
  <si>
    <t xml:space="preserve">Olá! Seguir com negociações feitas diretamente com o gerente de contas. </t>
  </si>
  <si>
    <t xml:space="preserve">Que houvesse uma forma dos chamados premium ficarem separados. Ou seja, cada caso ter um número e registro próprio. Pois na hora de buscar o histórico e acompanhar os retornos fica complicado achar na conversa. </t>
  </si>
  <si>
    <t xml:space="preserve">Retornar aos contatos semanais ou quinzenais para analisarmos dados juntos e melhorarmos os números. Estamos no terceiro consultor de Ads, seria legal podermos manter o mesmo consultor durante longo período. Tivemos o João, depois a Carol e agora estamos com o Murilo. </t>
  </si>
  <si>
    <t>["Promoções (ofertas, cupons, eventos)","Conversão (qualidade do catálogo, preços, listatem)","Seleção (recomendação de produtos, oportunidades)","Ajuda na resolução de problemas operacionais","Advertising (anúncios patrocinados)","Logística (FBA, FBA-Onsite, DBA, logística própria)","Marca (registro, proteção, conteúdo A+, loja oficial)"]</t>
  </si>
  <si>
    <t>Treinamento em ADS. Treinamento para que o seller consiga inserir as promoÃ§Ãµes, sem ter que ficar esperando pelo consultor nem para ativar e nem para possÃ­veis correÃ§Ãµes.</t>
  </si>
  <si>
    <t>Bianca</t>
  </si>
  <si>
    <t>Brastemp Oficial</t>
  </si>
  <si>
    <t>SurveySubmission-37tj7BCmPXqR7XwHAnVTB0bHrJQ</t>
  </si>
  <si>
    <t>2026-01-06 19:51:31.699+00</t>
  </si>
  <si>
    <t>Brastemp</t>
  </si>
  <si>
    <t>A2O5FLS3OEYELQ</t>
  </si>
  <si>
    <t>Luiza Maria Ribeiro Ferreira</t>
  </si>
  <si>
    <t>luiza_m_ferreira@whirlpool.com</t>
  </si>
  <si>
    <t>Meu consultor entende do meu negócio -- Concordo plenamente
Meu consultor entende as necessidades do meu negócio com o programa SAS -- Concordo parcialmente
Meu consultor entende sobre a minha categoria de venda -- Concordo plenamente
Meu consultor fornece recomendações estratégicas -- Concordo plenamente
Meu consultor tem conhecimento dos recursos do Seller Central -- Concordo plenamente
Meu consultor é responsivo via email -- Concordo parcialmente
Meu consultor se comunica por escrito de forma clara -- Concordo plenamente</t>
  </si>
  <si>
    <t>Estruturação clara de um plano de negócio para crescimento do canal no ano de 2026.</t>
  </si>
  <si>
    <t>["Promoções (ofertas, cupons, eventos)","Conversão (qualidade do catálogo, preços, listatem)","Ajuda na resolução de problemas operacionais","Advertising (anúncios patrocinados)","Logística (FBA, FBA-Onsite, DBA, logística própria)","Seleção (recomendação de produtos, oportunidades)","Marca (registro, proteção, conteúdo A+, loja oficial)"]</t>
  </si>
  <si>
    <t>CROCS BRASIL</t>
  </si>
  <si>
    <t>SurveySubmission-37tkOnPrFt37lgJX0UXS4meaSxh</t>
  </si>
  <si>
    <t>2026-01-06 20:02:04.887+00</t>
  </si>
  <si>
    <t>Érika Teixeira</t>
  </si>
  <si>
    <t>eteixeira@crocs.com</t>
  </si>
  <si>
    <t>Recomendações Estratégicas -- Importante
Assistência com Resolução de Problemas -- Muito importante
Estratégia com Promoções -- Importante
Gerenciamento e suporte de catálogo -- Muito importante
Suporte com gerenciamento de inventário -- Muito importante
Suporte com estratégia para novos produtos -- Importante</t>
  </si>
  <si>
    <t>O programa faz o que pode para nos ajudar, mas nosso maior problema é com catalogação. Vivemos fazendo várias vezes o mesmo trabalho e nunca acerta. É muito frustante como donos da marca, não conseguirmos ajustar o catálogo sem que um chamado seja aberto. E isso tem impactado MUITO nossas vendas, como é possível perceber na queda que tivemos no segunda semestre de 2025.</t>
  </si>
  <si>
    <t xml:space="preserve">Como respondi anteriormente, sabemos que o consultor faz o que pode para nos ajudar, mas o problema da Amazon é sistêmico. </t>
  </si>
  <si>
    <t>["Ajuda na resolução de problemas operacionais","Seleção (recomendação de produtos, oportunidades)","Conversão (qualidade do catálogo, preços, listatem)","Promoções (ofertas, cupons, eventos)","Logística (FBA, FBA-Onsite, DBA, logística própria)","Marca (registro, proteção, conteúdo A+, loja oficial)","Advertising (anúncios patrocinados)"]</t>
  </si>
  <si>
    <t>Não tenho sugestões no momento.</t>
  </si>
  <si>
    <t>O sistema poderia ser menos moroso, para refletir alguns pontos no mesmo momento</t>
  </si>
  <si>
    <t>Poderia ser mais prestativo, estar mais presente, passar as comunicaÃ§Ãµes e estar atento as novidades</t>
  </si>
  <si>
    <t>MadeiraMadeira</t>
  </si>
  <si>
    <t>SurveySubmission-37vfNsIygKGUpTZsq69GpEka2SM</t>
  </si>
  <si>
    <t>2026-01-07 12:20:28.127+00</t>
  </si>
  <si>
    <t xml:space="preserve">MadeiraMadeira </t>
  </si>
  <si>
    <t>A5JVAXGT9G2CN</t>
  </si>
  <si>
    <t>Adrielle Clauman</t>
  </si>
  <si>
    <t>adrielle.clauman@madeiramadeira.com.br</t>
  </si>
  <si>
    <t>no momento não</t>
  </si>
  <si>
    <t>Stephanie Steshino</t>
  </si>
  <si>
    <t>ela me atende super bem!</t>
  </si>
  <si>
    <t>Não tive muito contato efetivo com a pessoa</t>
  </si>
  <si>
    <t>Vidro e Decor SP</t>
  </si>
  <si>
    <t>SurveySubmission-37vfudT1odYbvKDgIIHXrl9UZzQ</t>
  </si>
  <si>
    <t>2026-01-07 12:24:48.794+00</t>
  </si>
  <si>
    <t>Houme Utilidades</t>
  </si>
  <si>
    <t>A3HY0P9HQ221PR</t>
  </si>
  <si>
    <t>Wadi Jabra Neto</t>
  </si>
  <si>
    <t>wadividro@gmail.com</t>
  </si>
  <si>
    <t>Recomendações Estratégicas -- Serviço não é oferecido
Assistência com Resolução de Problemas -- Importante
Estratégia com Promoções -- Serviço não é oferecido
Gerenciamento e suporte de catálogo -- Serviço não é oferecido
Suporte com gerenciamento de inventário -- Serviço não é oferecido
Suporte com estratégia para novos produtos -- Serviço não é oferecido</t>
  </si>
  <si>
    <t xml:space="preserve">Recomendações Estratégicas : Preciso que informe sempre o que pode ser feito sobre o ASIN até quando podemos chegar na redução da tarifa, para que a gente veja corretamente até quanto poderiamos deixar o valor de venda ok, pois só jogar a planilha e falar coloca o valor que consegue que diminuimos a tarifa é ruim. </t>
  </si>
  <si>
    <t>Manuela</t>
  </si>
  <si>
    <t xml:space="preserve">Nem satisfeito, nem insatisfeito </t>
  </si>
  <si>
    <t>Meu consultor entende do meu negócio -- Nem concordo, nem discordo
Meu consultor entende as necessidades do meu negócio com o programa SAS -- Nem concordo, nem discordo
Meu consultor entende sobre a minha categoria de venda -- Nem concordo, nem discordo
Meu consultor fornece recomendações estratégicas -- Nem concordo, nem discordo
Meu consultor tem conhecimento dos recursos do Seller Central -- Concordo parcialmente
Meu consultor é responsivo via email -- Nem concordo, nem discordo
Meu consultor se comunica por escrito de forma clara -- Nem concordo, nem discordo</t>
  </si>
  <si>
    <t>["Advertising (anúncios patrocinados)","Logística (FBA, FBA-Onsite, DBA, logística própria)","Ajuda na resolução de problemas operacionais","Promoções (ofertas, cupons, eventos)","Conversão (qualidade do catálogo, preços, listatem)","Marca (registro, proteção, conteúdo A+, loja oficial)","Seleção (recomendação de produtos, oportunidades)"]</t>
  </si>
  <si>
    <t xml:space="preserve">Primeiro de tudo, DBA &gt; Sempre o Código de rastreio da erro sempre, sem suporte para isso rapido. 
</t>
  </si>
  <si>
    <t>A Nai Ã© uma excelente consultora! Muito Ã¡gil, traz colaboraÃ§Ãµes valiosas e possui muito conhecimento da plataforma, alÃ©m de proatividade para nos auxiliar da melhor maneira nas resoluÃ§Ãµes de problemas. AlÃ©m disso, temos consegui aproveitar muito bem os eventos da Amazon devido o apoio e direcionamento que ela nos fornece.</t>
  </si>
  <si>
    <t>EvoluÃ§Ã£o glance views</t>
  </si>
  <si>
    <t>MAXX NA SUA CASA</t>
  </si>
  <si>
    <t>SurveySubmission-37vi48HzjYEi3iIBXebv5ctQ2VO</t>
  </si>
  <si>
    <t>2026-01-07 12:42:31.697+00</t>
  </si>
  <si>
    <t>MAXX MERCADINHO</t>
  </si>
  <si>
    <t>A1QJQSEM18ARA7</t>
  </si>
  <si>
    <t>Giovanne Abilio</t>
  </si>
  <si>
    <t>Analista12@maxxnasuacasa.com.br</t>
  </si>
  <si>
    <t>Recomendações Estratégicas -- Importante
Assistência com Resolução de Problemas -- Muito importante
Estratégia com Promoções -- Muito importante
Gerenciamento e suporte de catálogo -- Importante
Suporte com gerenciamento de inventário -- Importante
Suporte com estratégia para novos produtos -- Importante</t>
  </si>
  <si>
    <t>Resolução de problemas no quesito inbound, muitos itens se perdem e prejudicam o vendendo alegando discrepância no envio, enviamos a quantidade correta e alegam não receber.</t>
  </si>
  <si>
    <t>Meu consultor entende do meu negócio -- Concordo parcialmente
Meu consultor entende as necessidades do meu negócio com o programa SAS -- Concordo plenamente
Meu consultor entende sobre a minha categoria de venda -- Concordo plenamente
Meu consultor fornece recomendações estratégicas -- Concordo plenamente
Meu consultor tem conhecimento dos recursos do Seller Central -- Concordo parcialmente
Meu consultor é responsivo via email -- Concordo plenamente
Meu consultor se comunica por escrito de forma clara -- Concordo plenamente</t>
  </si>
  <si>
    <t>["Promoções (ofertas, cupons, eventos)","Logística (FBA, FBA-Onsite, DBA, logística própria)","Conversão (qualidade do catálogo, preços, listatem)","Ajuda na resolução de problemas operacionais","Advertising (anúncios patrocinados)","Seleção (recomendação de produtos, oportunidades)","Marca (registro, proteção, conteúdo A+, loja oficial)"]</t>
  </si>
  <si>
    <t>Relatório de vendas via PIX com o valor subsidiado pela Amazon</t>
  </si>
  <si>
    <t xml:space="preserve">Acredito que com processos menos burocrÃ¡ticos e menos sellers na carteira do gerente o serviÃ§o poderia ser bem mais efetivo.  </t>
  </si>
  <si>
    <t xml:space="preserve">Acredito que o principal ponto seria o mesmo mencionado anteriormente, pois isso permitiria um melhor aproveitamento do tempo de ambos. </t>
  </si>
  <si>
    <t xml:space="preserve">Os processos deveriam ser mais Ã¡geis e menos burocrÃ¡ticos. AlÃ©m disso particularmente acho que as regras de precificaÃ§Ã£o promocional da Amazon Ã© ruim e prejudicial aos sellers.   </t>
  </si>
  <si>
    <t>Dados completos do funil de vendas, exemplo: AdiÃ§Ãµes a carrinho, compras realizadas, compras com pagamento nÃ£o aprovado, compras finalizadas, etc...</t>
  </si>
  <si>
    <t>Dyson Brasil</t>
  </si>
  <si>
    <t>SurveySubmission-37w4x0PXinCi9fAuEgmZrchMcdh</t>
  </si>
  <si>
    <t>2026-01-07 15:50:41.853+00</t>
  </si>
  <si>
    <t xml:space="preserve">Dyson </t>
  </si>
  <si>
    <t>A2N095U3MXUGS0</t>
  </si>
  <si>
    <t>Paloma Bianca Araujo Garcia</t>
  </si>
  <si>
    <t>paloma@amazing-brasil.com</t>
  </si>
  <si>
    <t>Igor Martins Dias</t>
  </si>
  <si>
    <t>["Conversão (qualidade do catálogo, preços, listatem)","Marca (registro, proteção, conteúdo A+, loja oficial)","Advertising (anúncios patrocinados)","Promoções (ofertas, cupons, eventos)","Logística (FBA, FBA-Onsite, DBA, logística própria)","Seleção (recomendação de produtos, oportunidades)","Ajuda na resolução de problemas operacionais"]</t>
  </si>
  <si>
    <t xml:space="preserve">Do lado de operaÃ§Ãµes sentimos a falta de um atendimento mais dedicado, alocado a uma unica pessoa! </t>
  </si>
  <si>
    <t xml:space="preserve">Agilidade no retorno por parte do consultor,  necessitamos de um suporte maior na parte de operaÃ§Ãµes como cadastro de novos produtos </t>
  </si>
  <si>
    <t xml:space="preserve">uma pessoa para ajudar com problemas operacionais </t>
  </si>
  <si>
    <t>Móveis Carraro</t>
  </si>
  <si>
    <t>SurveySubmission-37w8gYGmg3nvQqmaiq7JpQniymc</t>
  </si>
  <si>
    <t>2026-01-07 16:21:24.894+00</t>
  </si>
  <si>
    <t xml:space="preserve">Móveis Carraro
</t>
  </si>
  <si>
    <t xml:space="preserve">AOX5AHS90ZKR2
</t>
  </si>
  <si>
    <t>Leonardo Villa Baú</t>
  </si>
  <si>
    <t>leonardo.bau@carraro.com.br</t>
  </si>
  <si>
    <t>É fundamental que o Ads seja muito mais presente e estratégico dentro do programa. Atualmente, é difícil compreender como vender itens sem volume consistente de cliques, impressões e visibilidade, especialmente em categorias altamente competitivas como móveis. Sem investimento contínuo e direcionamento claro em mídia, o crescimento orgânico se torna limitado e a performance dos produtos fica comprometida. Além disso, é essencial que o programa atue de forma mais ativa na definição de prioridades, estratégias de tráfego e posicionamento, garantindo maior exposição dos produtos e suporte efetivo para ganho de relevância, conversão e escala dentro da Amazon.</t>
  </si>
  <si>
    <t xml:space="preserve">Atendimento Excelente! </t>
  </si>
  <si>
    <t>Sugiro a entrega de mais relatórios personalizados por produto e por marca, com foco em performance, visibilidade e oportunidades de melhoria. Relatórios semanais, enviados por e-mail, ajudariam a acompanhar a evolução dos resultados, apoiar decisões mais rápidas e tornar o serviço mais estratégico e próximo da realidade operacional do vendedor.</t>
  </si>
  <si>
    <t>É importante que o consultor de Ads seja mais presente e proativo, trazendo sugestões práticas e direcionadas por produto, com foco em aumentar visibilidade, cliques e vendas. Um acompanhamento mais próximo, com recomendações específicas e frequentes, contribuiria diretamente para melhores resultados e crescimento da conta.</t>
  </si>
  <si>
    <t>["Promoções (ofertas, cupons, eventos)","Advertising (anúncios patrocinados)","Conversão (qualidade do catálogo, preços, listatem)","Ajuda na resolução de problemas operacionais","Marca (registro, proteção, conteúdo A+, loja oficial)","Seleção (recomendação de produtos, oportunidades)","Logística (FBA, FBA-Onsite, DBA, logística própria)"]</t>
  </si>
  <si>
    <t>Relatório semanal por produto (ASIN)
Performance individual de cada item, com leitura clara de visibilidade, conversão e potencial de escala
Relatório de funil completo 
Visão integrada semelhante ao funil usado em mídia externa, facilitando entender onde o produto está travando.
Relatório comparativo de concorrência por produto
Benchmark de preço, posicionamento, visibilidade e participação.
Relatório de oportunidades e ações recomendadas por produto
Documento acionável, apontando o que ajustar em Ads, preço, conteúdo ou promoções para vender mais, similar a dashboards usados em agências de performance.
Relatório de evolução de marca e share de visibilidade
Acompanhamento contínuo de presença da marca dentro da categoria, algo comum em mídia e BI fora da Amazon.
Relatório de histórico e tendência (semanal/mensal)
Análise de evolução para apoiar decisões estratégicas, prática padrão em outros canais digitais.</t>
  </si>
  <si>
    <t>Sendo mais estratÃ©gico, buscando auxiliar numa gestÃ£o que olhe o 360Âº da operaÃ§Ã£o.</t>
  </si>
  <si>
    <t>Estar mais prÃ³ximo do dia a dia, para auxiliar em oportunidades. Talvez retomar as agendas mensais que tinhamos presenciais, olhando nÃºmeros e acompanhamento das metas desenhadas</t>
  </si>
  <si>
    <t xml:space="preserve">Entendi errado a pergunta anterior. NÃ£o tenho um gerente de contas operacional </t>
  </si>
  <si>
    <t>RelatÃ³rio de cÃ³digos (Asins e Skus)</t>
  </si>
  <si>
    <t>Imagem Hitech</t>
  </si>
  <si>
    <t>SurveySubmission-37wD2DIJrFUpigkXnVdrr0Ca950</t>
  </si>
  <si>
    <t>2026-01-07 16:57:10.637+00</t>
  </si>
  <si>
    <t>Imagem Hitech FBA</t>
  </si>
  <si>
    <t>A3POF6EIWE8R8</t>
  </si>
  <si>
    <t>Julio Cesar</t>
  </si>
  <si>
    <t>imagemhitechfbasp@gmail.com</t>
  </si>
  <si>
    <t>Recomendações Estratégicas -- Muito importante
Assistência com Resolução de Problemas -- Importante
Estratégia com Promoções -- Muito importante
Gerenciamento e suporte de catálogo -- Muito importante
Suporte com gerenciamento de inventário -- Importante
Suporte com estratégia para novos produtos -- Muito importante</t>
  </si>
  <si>
    <t>["Ajuda na resolução de problemas operacionais","Logística (FBA, FBA-Onsite, DBA, logística própria)","Promoções (ofertas, cupons, eventos)","Conversão (qualidade do catálogo, preços, listatem)","Marca (registro, proteção, conteúdo A+, loja oficial)","Advertising (anúncios patrocinados)","Seleção (recomendação de produtos, oportunidades)"]</t>
  </si>
  <si>
    <t>no momento nÃ£o.</t>
  </si>
  <si>
    <t xml:space="preserve"> No momento nÃ£o.</t>
  </si>
  <si>
    <t>nÃ£o</t>
  </si>
  <si>
    <t>estou satisfeito como estÃ¡</t>
  </si>
  <si>
    <t>Go Compras</t>
  </si>
  <si>
    <t>SurveySubmission-37wejbrH1t62wGcF8gYrU60wj7s</t>
  </si>
  <si>
    <t>2026-01-07 20:44:56.944+00</t>
  </si>
  <si>
    <t>GoCompras</t>
  </si>
  <si>
    <t>A3GD2VAPD5RJ7X</t>
  </si>
  <si>
    <t xml:space="preserve">Matheus Jardim </t>
  </si>
  <si>
    <t>ecommerce@denteck.com.br</t>
  </si>
  <si>
    <t>["Promoções (ofertas, cupons, eventos)","Ajuda na resolução de problemas operacionais","Seleção (recomendação de produtos, oportunidades)","Conversão (qualidade do catálogo, preços, listatem)","Logística (FBA, FBA-Onsite, DBA, logística própria)","Marca (registro, proteção, conteúdo A+, loja oficial)","Advertising (anúncios patrocinados)"]</t>
  </si>
  <si>
    <t>ServiÃ§o de logistica DBA e atendimento referente as operaÃ§Ãµes de coleta ou envio atÃ© o ponto de coleta, mudam do dia para noite, sem comunicado previo e afeta diretamente na nossa operaÃ§Ã£o de expediÃ§Ã£o.</t>
  </si>
  <si>
    <t>Tivemos durante duas semanas problemas com a logistica da amazon que nÃ£o passou para retirada e depois de duas semanas sinalizando o problema, percebemos que a operaÃ§Ã£o havia virado sem comunicado previo de coleta para envio no ponto de coleta, nÃ£o tivemos suporte do time para resoluÃ§Ã£o, depois de duas semanas foi solicitado que resumissemos o que haviamos conversado sobre esse tema no grupo, 90% da conversa do grupo dessas duas semanas eram sobre esses problemas logisticos e pontos de coleta que haviam mudado de endereÃ§o.</t>
  </si>
  <si>
    <t>Alô Bebê</t>
  </si>
  <si>
    <t>SurveySubmission-37wfKCQIFcp5fzQKuarwOHnjFZs</t>
  </si>
  <si>
    <t>2026-01-07 20:49:47.907+00</t>
  </si>
  <si>
    <t xml:space="preserve">Alô Bebê </t>
  </si>
  <si>
    <t>A3ABUSG30TDB</t>
  </si>
  <si>
    <t>Alessandro Verdugal</t>
  </si>
  <si>
    <t>Alessandro.verdugal@alobebe.com.br</t>
  </si>
  <si>
    <t>Recomendações Estratégicas -- Importante
Assistência com Resolução de Problemas -- Muito importante
Estratégia com Promoções -- Importante
Gerenciamento e suporte de catálogo -- Importante
Suporte com gerenciamento de inventário -- Importante
Suporte com estratégia para novos produtos -- Muito importante</t>
  </si>
  <si>
    <t>["Ajuda na resolução de problemas operacionais","Logística (FBA, FBA-Onsite, DBA, logística própria)","Promoções (ofertas, cupons, eventos)","Conversão (qualidade do catálogo, preços, listatem)","Advertising (anúncios patrocinados)","Seleção (recomendação de produtos, oportunidades)","Marca (registro, proteção, conteúdo A+, loja oficial)"]</t>
  </si>
  <si>
    <t>Relatório de Search Keywords deveria ser mensal.</t>
  </si>
  <si>
    <t xml:space="preserve">Acredito que a Amazon poderia ter mais programas de incetivo como nas outras plataformas, como , dias focados de desconto na categoria de moda, pacotes de rebate, mais eventos importsntes, voltar com oferta uau, double date, para ter mais trafego na plataforma e consequentemente mais vendas </t>
  </si>
  <si>
    <t xml:space="preserve">Sarah Meyer </t>
  </si>
  <si>
    <t>Acredito que dentro das oportunidades da conta a sarah vem feito um excelente trabalho. Os problemas que tiveram foram mais relacionados a amazon, as limitaÃ§Ãµes da plataforma, e em todas, a sarah prestou assistÃªncia</t>
  </si>
  <si>
    <t>NÃ£o exploro tudo ainda, entÃ£o nÃ£o tenho base para sugerir melhorias.</t>
  </si>
  <si>
    <t>Praticamente nÃ£o temos contato</t>
  </si>
  <si>
    <t>FutFanaticsOficial</t>
  </si>
  <si>
    <t>SurveySubmission-37yJmdljfqaYBlXJzxOXTMwNS6P</t>
  </si>
  <si>
    <t>2026-01-08 10:52:17.344+00</t>
  </si>
  <si>
    <t>Futfanatics</t>
  </si>
  <si>
    <t>A1OBYHY407P1CX</t>
  </si>
  <si>
    <t>Danieli Aparecida da Silva</t>
  </si>
  <si>
    <t>danieli.silva@futcorp.com.br</t>
  </si>
  <si>
    <t>Recomendações Estratégicas -- Muito importante
Assistência com Resolução de Problemas -- Muito importante
Estratégia com Promoções -- Importante
Gerenciamento e suporte de catálogo -- Muito importante
Suporte com gerenciamento de inventário -- Muito importante
Suporte com estratégia para novos produtos -- Muito importante</t>
  </si>
  <si>
    <t>["Conversão (qualidade do catálogo, preços, listatem)","Marca (registro, proteção, conteúdo A+, loja oficial)","Ajuda na resolução de problemas operacionais","Logística (FBA, FBA-Onsite, DBA, logística própria)","Promoções (ofertas, cupons, eventos)","Seleção (recomendação de produtos, oportunidades)"]</t>
  </si>
  <si>
    <t>NÃ£o estamos tendo nenhum respaldo da equipe perante os vendedores fraudulentos que estÃ£o acessando nossos itens, trabalhamos praticamente com nosso inventario todo no Fba e onsite e simplesmente somos invadidos e nÃ£o temos suporte.</t>
  </si>
  <si>
    <t>Julia</t>
  </si>
  <si>
    <t>Alguem esta no lugar errado ou o consultor ou a equipe po trÃ¡s.</t>
  </si>
  <si>
    <t>sem necessidade</t>
  </si>
  <si>
    <t>Magazine Decor</t>
  </si>
  <si>
    <t>SurveySubmission-37yQAMwHPdGP5mwMgQZr6xTW93K</t>
  </si>
  <si>
    <t>2026-01-08 11:44:46.865+00</t>
  </si>
  <si>
    <t>A23WN10NF6K5HQ</t>
  </si>
  <si>
    <t>Gabriel Pedó</t>
  </si>
  <si>
    <t>gabriel@magazinedecor.com.br</t>
  </si>
  <si>
    <t>["Ajuda na resolução de problemas operacionais","Promoções (ofertas, cupons, eventos)","Logística (FBA, FBA-Onsite, DBA, logística própria)","Conversão (qualidade do catálogo, preços, listatem)","Marca (registro, proteção, conteúdo A+, loja oficial)","Advertising (anúncios patrocinados)","Seleção (recomendação de produtos, oportunidades)"]</t>
  </si>
  <si>
    <t>Mais comissÃµes especiais em mais produto e em perÃ­odos sem eventos</t>
  </si>
  <si>
    <t>Manoela Rodrigues</t>
  </si>
  <si>
    <t>ComunicaÃ§Ã£o mais Ã¡gil</t>
  </si>
  <si>
    <t>RelatÃ³rio de produtos mais vendidos na amazon de alguma categoria especifica solicitada</t>
  </si>
  <si>
    <t>XcommBR</t>
  </si>
  <si>
    <t>SurveySubmission-37yQTSpEHPDjOdElkDumxLxPBOD</t>
  </si>
  <si>
    <t>2026-01-08 11:47:18.692+00</t>
  </si>
  <si>
    <t>AVRTQ9CK3FDWE</t>
  </si>
  <si>
    <t>Maiara Nascimento</t>
  </si>
  <si>
    <t>maiara@tseller.com.br</t>
  </si>
  <si>
    <t>O programa SAS pode melhorar sendo mais proativo e personalizado, especialmente em ads e promoções, com recomendações baseadas no desempenho real da conta. Também ajudaria trazer insights práticos para conversão e uma resolução de problemas mais ágil entre as áreas.</t>
  </si>
  <si>
    <t>O consultor tem boa comunicação, demonstra conhecimento da plataforma e mantém um suporte consistente no dia a dia.</t>
  </si>
  <si>
    <t>A experiência é positiva e o serviço atende bem às necessidades atuais. Como melhoria, seria interessante ampliar as tarefas com foco mais estratégico e trazer sugestões proativas baseadas no desempenho da conta.</t>
  </si>
  <si>
    <t>O suporte é eficiente e resolve as demandas com clareza. Como ponto de melhoria, a agilidade em alguns chamados e uma maior integração entre as áreas poderiam tornar a resolução de problemas ainda mais rápida.</t>
  </si>
  <si>
    <t>["Conversão (qualidade do catálogo, preços, listatem)","Promoções (ofertas, cupons, eventos)","Ajuda na resolução de problemas operacionais","Seleção (recomendação de produtos, oportunidades)","Marca (registro, proteção, conteúdo A+, loja oficial)","Logística (FBA, FBA-Onsite, DBA, logística própria)","Advertising (anúncios patrocinados)"]</t>
  </si>
  <si>
    <t>Relatório de problemas operacionais (status, SLA e recorrência de chamados)
Relatório de ruptura e estoque (previsão de ruptura e impacto em faturamento)</t>
  </si>
  <si>
    <t>Acredito que ajudando melhor no desempenho das nossas campanhas ADS e reuniÃµes de alinhamento estratÃ©gico com o time de ADS, o time de logÃ­stica tambÃ©m deve continuar acompanhando para nos ajudar com todos os possÃ­veis problemas, mas ter as informaÃ§Ãµes de calendÃ¡rio de entrega para grandes eventos mais antecipado juntamente com as projeÃ§Ãµes para nos auxiliar.</t>
  </si>
  <si>
    <t>Stephanie Shinohara,</t>
  </si>
  <si>
    <t>NÃ£o, ela jÃ¡ Ã© muito boa no que faz</t>
  </si>
  <si>
    <t>Acredito que uma coisa muito boa para nos mandar seriam as projeÃ§Ãµes de quanto vender em cada campanha</t>
  </si>
  <si>
    <t>O suporte Ã© um pouco demorado na resposta, seria melhor disponibilizar um contato pelo Whatsapp igual temos contato com os gerentes para que estes possam nos ajudar com as demandas urgentes que precisam ser tratadas por suporte</t>
  </si>
  <si>
    <t>ReuniÃ£o de alinhamento de expectativa, e sugestÃµes de campanhas que ainda nÃ£o usamos que fazem sentido para nossa empresa</t>
  </si>
  <si>
    <t xml:space="preserve">NÃ£o pe bem um relatÃ³rio, mas seria excelente um painel onde mostra quais produtos e quantidades estÃ£o sendo vendidas de cada produto. </t>
  </si>
  <si>
    <t>TCLSEMP</t>
  </si>
  <si>
    <t>SurveySubmission-37yXwKTtDgDyqO8juEyGAnc6LPF</t>
  </si>
  <si>
    <t>2026-01-08 12:48:41.813+00</t>
  </si>
  <si>
    <t>Mega-Mamute.</t>
  </si>
  <si>
    <t>A36Y0ADH0NS701</t>
  </si>
  <si>
    <t>Marcelo Henrique Celeri</t>
  </si>
  <si>
    <t>marcelo.celeri@megamamute.com.br</t>
  </si>
  <si>
    <t>["Promoções (ofertas, cupons, eventos)","Conversão (qualidade do catálogo, preços, listatem)","Ajuda na resolução de problemas operacionais","Logística (FBA, FBA-Onsite, DBA, logística própria)","Seleção (recomendação de produtos, oportunidades)","Advertising (anúncios patrocinados)","Marca (registro, proteção, conteúdo A+, loja oficial)"]</t>
  </si>
  <si>
    <t>Contato mais ativo com time de ads.</t>
  </si>
  <si>
    <t>Nada, a Rafa Ã© maravilhosa!! Melhor consultora que ja tivemos!</t>
  </si>
  <si>
    <t>Ficamos sem consultor por mais de dois meses, nÃ£o fomos sinalizados da saÃ­da do consultor e a conta ficou "Parada" sem melhorias ou sugestÃµes. O consultor novo comeÃ§o, e estamos no aguardo de novas campanhas.</t>
  </si>
  <si>
    <t>Tudo de Bicho</t>
  </si>
  <si>
    <t>SurveySubmission-37yauXmQbdoKpO2pIUCQH016Mw0</t>
  </si>
  <si>
    <t>2026-01-08 13:13:07.887+00</t>
  </si>
  <si>
    <t>A344Y1CIM8RQJV</t>
  </si>
  <si>
    <t>Jéssica Cristina Sousa das Neves</t>
  </si>
  <si>
    <t>jessica.cristina@tudodebicho.com.br</t>
  </si>
  <si>
    <t>Recomendações Estratégicas -- Muito importante
Assistência com Resolução de Problemas -- Muito importante
Estratégia com Promoções -- Muito importante
Gerenciamento e suporte de catálogo -- Importante
Suporte com gerenciamento de inventário -- Importante
Suporte com estratégia para novos produtos -- Muito importante</t>
  </si>
  <si>
    <t>["Promoções (ofertas, cupons, eventos)","Ajuda na resolução de problemas operacionais","Logística (FBA, FBA-Onsite, DBA, logística própria)","Advertising (anúncios patrocinados)","Conversão (qualidade do catálogo, preços, listatem)","Marca (registro, proteção, conteúdo A+, loja oficial)","Seleção (recomendação de produtos, oportunidades)"]</t>
  </si>
  <si>
    <t>Melhorar performance baseado na estrategia comercial. Tenho a sensaÃ§Ã£o que estou investindo Ads, apenas para bater uma meta.</t>
  </si>
  <si>
    <t>Nespresso Loja Oficial</t>
  </si>
  <si>
    <t>SurveySubmission-37zM3vQPTdh0huuIaS2OEUBprIj</t>
  </si>
  <si>
    <t>2026-01-08 19:40:50.895+00</t>
  </si>
  <si>
    <t>A3KW89NPNRUEIV</t>
  </si>
  <si>
    <t>Gustavo de Oliveira Maia</t>
  </si>
  <si>
    <t>gustavo.maia@nespresso.com</t>
  </si>
  <si>
    <t>Recomendações Estratégicas -- Sem importância
Assistência com Resolução de Problemas -- Importante
Estratégia com Promoções -- Importante
Gerenciamento e suporte de catálogo -- Importante
Suporte com gerenciamento de inventário -- Importante
Suporte com estratégia para novos produtos -- Sem importância</t>
  </si>
  <si>
    <t>Poderiamos ter mais granularidade de dados principalmente olhando a nivel categoria. Sem abrir nome de competidores mas sim da categoria</t>
  </si>
  <si>
    <t>Meu consultor entende do meu negócio -- Concordo parcialmente
Meu consultor entende as necessidades do meu negócio com o programa SAS -- Concordo parcialmente
Meu consultor entende sobre a minha categoria de venda -- Nem concordo, nem discordo
Meu consultor fornece recomendações estratégicas -- Nem concordo, nem discordo
Meu consultor tem conhecimento dos recursos do Seller Central -- Concordo parcialmente
Meu consultor é responsivo via email -- Concordo parcialmente
Meu consultor se comunica por escrito de forma clara -- Concordo parcialmente</t>
  </si>
  <si>
    <t>["Ajuda na resolução de problemas operacionais","Logística (FBA, FBA-Onsite, DBA, logística própria)","Promoções (ofertas, cupons, eventos)","Conversão (qualidade do catálogo, preços, listatem)","Advertising (anúncios patrocinados)","Marca (registro, proteção, conteúdo A+, loja oficial)","Seleção (recomendação de produtos, oportunidades)"]</t>
  </si>
  <si>
    <t>Casa do Fitness</t>
  </si>
  <si>
    <t>SurveySubmission-37zTrDLgwNEf0J1KDqpAUwC0X2R</t>
  </si>
  <si>
    <t>2026-01-08 20:44:56.828+00</t>
  </si>
  <si>
    <t>CASA DO FITNESS</t>
  </si>
  <si>
    <t>AXATAOHVRWTQC</t>
  </si>
  <si>
    <t>Gabriel Fortes</t>
  </si>
  <si>
    <t>gabriel.fortes@casadofitness.com.br</t>
  </si>
  <si>
    <t>Naiara</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</si>
  <si>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Concordo parcialmente
Meu consultor tem conhecimento dos recursos do Seller Central -- Concordo parcialmente
Meu consultor é responsivo via email -- Concordo plenamente
Meu consultor se comunica por escrito de forma clara -- Concordo plenamente</t>
  </si>
  <si>
    <t xml:space="preserve">No momento tudo corre bem. A troca de consultor é recente então é totalmente compreensivo a fase de adaptação a um novo negocio. </t>
  </si>
  <si>
    <t>["Ajuda na resolução de problemas operacionais","Conversão (qualidade do catálogo, preços, listatem)","Promoções (ofertas, cupons, eventos)","Seleção (recomendação de produtos, oportunidades)","Marca (registro, proteção, conteúdo A+, loja oficial)","Advertising (anúncios patrocinados)","Logística (FBA, FBA-Onsite, DBA, logística própria)"]</t>
  </si>
  <si>
    <t>Rodrigo</t>
  </si>
  <si>
    <t>ITALLE ORIGINAL COFFEE</t>
  </si>
  <si>
    <t>SurveySubmission-37zi8LMK5iLUQn0khInXtIUQjmZ</t>
  </si>
  <si>
    <t>2026-01-08 22:42:19.147+00</t>
  </si>
  <si>
    <t>A2U7A6WGAKUET3</t>
  </si>
  <si>
    <t>Gustavo Eugenio Nassif</t>
  </si>
  <si>
    <t>contato@cafeitalle.com.br</t>
  </si>
  <si>
    <t>["Promoções (ofertas, cupons, eventos)","Ajuda na resolução de problemas operacionais","Advertising (anúncios patrocinados)","Logística (FBA, FBA-Onsite, DBA, logística própria)","Conversão (qualidade do catálogo, preços, listatem)","Marca (registro, proteção, conteúdo A+, loja oficial)","Seleção (recomendação de produtos, oportunidades)"]</t>
  </si>
  <si>
    <t>Acredito que nÃ£o tenha a ver com o SAS, mas sim a nova politica de suprimir as ofertas que julgam nÃ£o serem as melhores, isso basicamente Ã© a pior politica que pode existir e nenhum canal faz isso. Todos perdemos vendas e mesmo assim a Amazon insiste nessa politica.</t>
  </si>
  <si>
    <t>Novamente, nÃ£o tem a ver com o consultor e sim com a nova politica de suprimir ofertas, muito ruim para todos e isso precisa ser revista o quanto antes.</t>
  </si>
  <si>
    <t xml:space="preserve">Ajuda com as ofertas suprimidas,  mas de uma forma simples </t>
  </si>
  <si>
    <t>SAS operacional tem ajudado muito, entendemos que nem tudo ele pode resolver, mas ele tem feito o possÃ­vel.</t>
  </si>
  <si>
    <t>NÃ£o temos tanto contato com ele, pois temos uma agÃªncia que faz essa ponte, mas ainda assim quando foi necessÃ¡rio fomos ajudados.</t>
  </si>
  <si>
    <t>De custo de envio e comissÃ£o aplicada em cada produto.</t>
  </si>
  <si>
    <t>Brazil FlipFlop</t>
  </si>
  <si>
    <t>SurveySubmission-37zkhv4XLZudB1RRvqRv24brbkt</t>
  </si>
  <si>
    <t>2026-01-08 23:03:29.279+00</t>
  </si>
  <si>
    <t>Brazil Flip Flop</t>
  </si>
  <si>
    <t>A1U9FMMPEVBFY5</t>
  </si>
  <si>
    <t>Felipe Mattoso Matos</t>
  </si>
  <si>
    <t>felipe@chinelodurio.com.br</t>
  </si>
  <si>
    <t>Recomendações Estratégicas -- Muito importante
Assistência com Resolução de Problemas -- Muito importante
Estratégia com Promoções -- Muito importante
Gerenciamento e suporte de catálogo -- Sem importância
Suporte com gerenciamento de inventário -- Muito importante
Suporte com estratégia para novos produtos -- Muito importante</t>
  </si>
  <si>
    <t>Os times deveriam ter acesso a um simulacro do nosso dashboard onde pudessem fazer alterações de modo lúdico e não só por planilha. Vejam a questão de melhoramento de anúncios, por exemplo. É mais fácil o seller fazer sozinho do que montar toda a planilha do excel com tudo o que é necessário. Na prática, nao funciona e a gente deixa de usar muitas coisas que o programa oferece. Isso seria resolvido se o time tivesse uma conta de perfil para alterações no nosso dash.</t>
  </si>
  <si>
    <t>Karime.</t>
  </si>
  <si>
    <t>A Karime é uma excelente profissional. Muito dedicada, empática e com vontade de fazer acontecer. Mesmo com o pouco tempo de Amazon, ela sabe muita coisa e, o que ela não sabe, busca a resposta rápida e traz para a gente. Pró-ativa, agradável e excelente profissional.</t>
  </si>
  <si>
    <t>Como disse no tópico anterior, o pessoal dos serviços premium precisavam ter um perfil de acesso ao nosso dashboard. O fato de ser tudo por planilha impossibilita o uso da maioria dos serviços.</t>
  </si>
  <si>
    <t>O consultor tem pouca autonomia para resolver nossos problemas. O Bruno é interessado, pró-ativo e rápido nas respostas, porém, ficamos muito tempo estacionados na burocracia interna da amazon. Deveria haver um red carpet nesse sentido.</t>
  </si>
  <si>
    <t>Dar mais dicas opaea ter sucesso no desenvolvimento da marca</t>
  </si>
  <si>
    <t xml:space="preserve">Atendimento dele Ã© espetacular </t>
  </si>
  <si>
    <t>Temos sempre um otimo suporte, mas tivemos algumas imprevisivilidades onde nao tivemos soluÃ§Ãµes da Amazon.</t>
  </si>
  <si>
    <t>Quantidade de inventario no fulfilmente classic</t>
  </si>
  <si>
    <t>CASAHOMEDECOR</t>
  </si>
  <si>
    <t>SurveySubmission-381GKLPurHxWsr6GDz6JUX3iP1c</t>
  </si>
  <si>
    <t>2026-01-09 11:53:18.523+00</t>
  </si>
  <si>
    <t>A1WPAO93QYSEJE</t>
  </si>
  <si>
    <t>Anderson Basana</t>
  </si>
  <si>
    <t>fcaporici@gmail.com</t>
  </si>
  <si>
    <t>Recomendações Estratégicas -- Importante
Assistência com Resolução de Problemas -- Muito importante
Estratégia com Promoções -- Importante
Gerenciamento e suporte de catálogo -- Importante
Suporte com gerenciamento de inventário -- Muito importante
Suporte com estratégia para novos produtos -- Muito importante</t>
  </si>
  <si>
    <t>Uma maior atenção quanto a proteção da Marca.</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</si>
  <si>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Concordo parcialmente
Meu consultor tem conhecimento dos recursos do Seller Central -- Concordo plenamente
Meu consultor é responsivo via email -- Concordo plenamente
Meu consultor se comunica por escrito de forma clara -- Concordo plenamente</t>
  </si>
  <si>
    <t>Esta sempre disposta a resolver e ajudar, porem sentimos que falta um pouco da propia amazon dar esse suporte para eles consultores.</t>
  </si>
  <si>
    <t>["Seleção (recomendação de produtos, oportunidades)","Marca (registro, proteção, conteúdo A+, loja oficial)","Promoções (ofertas, cupons, eventos)","Conversão (qualidade do catálogo, preços, listatem)","Logística (FBA, FBA-Onsite, DBA, logística própria)","Ajuda na resolução de problemas operacionais","Advertising (anúncios patrocinados)"]</t>
  </si>
  <si>
    <t>Produtos mais acessados que não converteram para que possamos verificar e ajustar o anuncio.</t>
  </si>
  <si>
    <t>Loja FTW</t>
  </si>
  <si>
    <t>SurveySubmission-381Rzw3LoCDCN5ctOMERe7FHJT9</t>
  </si>
  <si>
    <t>2026-01-09 13:29:16.121+00</t>
  </si>
  <si>
    <t>FTW</t>
  </si>
  <si>
    <t>A23WJRD1FPQMJ2</t>
  </si>
  <si>
    <t>Beatriz Passos</t>
  </si>
  <si>
    <t>beatriz.passos@fitoway.com.br</t>
  </si>
  <si>
    <t>Sempre atencioso, buscando o crescimento das vendas e resoluÃ§Ã£o dos problemas.</t>
  </si>
  <si>
    <t xml:space="preserve">Ele jÃ¡ Ã© super atencioso, agil e competente. </t>
  </si>
  <si>
    <t>Banners de oferta, hoje aparece bem pouco.</t>
  </si>
  <si>
    <t>Atlas/Dako</t>
  </si>
  <si>
    <t>SurveySubmission-381Xtw4wHSUyEey7QFQVhl3nNM8</t>
  </si>
  <si>
    <t>2026-01-09 14:17:48.366+00</t>
  </si>
  <si>
    <t>AMZSJFTXGDMUJ</t>
  </si>
  <si>
    <t>Antonio Carneiro da Silva Junior</t>
  </si>
  <si>
    <t>antonio.junior@atlas.ind.br</t>
  </si>
  <si>
    <t>["Promoções (ofertas, cupons, eventos)","Ajuda na resolução de problemas operacionais","Marca (registro, proteção, conteúdo A+, loja oficial)","Conversão (qualidade do catálogo, preços, listatem)","Logística (FBA, FBA-Onsite, DBA, logística própria)","Seleção (recomendação de produtos, oportunidades)","Advertising (anúncios patrocinados)"]</t>
  </si>
  <si>
    <t xml:space="preserve">Bianca Ramalho </t>
  </si>
  <si>
    <t>SWANSON BRASIL</t>
  </si>
  <si>
    <t>SurveySubmission-381aBsKY55slLynQdTdP2fHQzGd</t>
  </si>
  <si>
    <t>2026-01-09 14:36:38.548+00</t>
  </si>
  <si>
    <t>Swanson Brasil</t>
  </si>
  <si>
    <t>AGME0MYAJNJRP</t>
  </si>
  <si>
    <t>Denis do Monte da Cruz</t>
  </si>
  <si>
    <t>master@betacomercio.com.br</t>
  </si>
  <si>
    <t>Relativo a resolução de problemas , mesmo tendo o suporte Premium por vezes o que e repassado e para seguir o mesmo processo que o sistema ja apresenta, sendo assim acaba que para alguma situações não tão valido.</t>
  </si>
  <si>
    <t xml:space="preserve">Apenas seguir com o Excelente trabalho que vem endo executado </t>
  </si>
  <si>
    <t>Sim. Para o ajuste de marca dos anúncios em catálogo — nos quais somos os detentores da marca — seria possível disponibilizar um passo a passo mais assertivo e menos burocrático, considerando que todas as informações e comprovações necessárias já são devidamente apresentadas?</t>
  </si>
  <si>
    <t>["Promoções (ofertas, cupons, eventos)","Logística (FBA, FBA-Onsite, DBA, logística própria)","Ajuda na resolução de problemas operacionais","Seleção (recomendação de produtos, oportunidades)","Marca (registro, proteção, conteúdo A+, loja oficial)","Conversão (qualidade do catálogo, preços, listatem)","Advertising (anúncios patrocinados)"]</t>
  </si>
  <si>
    <t>WEBFONES</t>
  </si>
  <si>
    <t>SurveySubmission-381t5oMGJfpBmWv5eN96OTUv6f8</t>
  </si>
  <si>
    <t>2026-01-09 17:12:03.845+00</t>
  </si>
  <si>
    <t>A1B9VBOA5Q0JOG</t>
  </si>
  <si>
    <t>JEFERSON C SILVA</t>
  </si>
  <si>
    <t>jeferson.silva@webfones.com.br</t>
  </si>
  <si>
    <t>Ampliação da estratégia de desenvolvimento de produtos e categorias, essa solução é de extrema importância para nós. Somos um seller generalista, atuamos em nossas categorias foco, porém, não enxergamos todas as oportunidades para crescimento dentro da plataforma.
Neste ponto, a possibilidade de recomendação de desenvolvimento de outras categorias é de grande valor.</t>
  </si>
  <si>
    <t xml:space="preserve">Luciana Tavares </t>
  </si>
  <si>
    <t xml:space="preserve">Maior proximidade no dia a dia. </t>
  </si>
  <si>
    <t>["Promoções (ofertas, cupons, eventos)","Seleção (recomendação de produtos, oportunidades)","Logística (FBA, FBA-Onsite, DBA, logística própria)","Conversão (qualidade do catálogo, preços, listatem)","Ajuda na resolução de problemas operacionais","Advertising (anúncios patrocinados)","Marca (registro, proteção, conteúdo A+, loja oficial)"]</t>
  </si>
  <si>
    <t>Oportunidade em produtos de outras categorias.</t>
  </si>
  <si>
    <t>Um meio de abrir chamado, mais rÃ¡pido, um chat</t>
  </si>
  <si>
    <t>Sandrini Atacado e Varejo LTDA</t>
  </si>
  <si>
    <t>SurveySubmission-381v4H8hB4O049PsEryWgP2ucim</t>
  </si>
  <si>
    <t>2026-01-09 17:28:18.383+00</t>
  </si>
  <si>
    <t>Sandrini Store</t>
  </si>
  <si>
    <t>A1BCCS61O9EQHY</t>
  </si>
  <si>
    <t>José Carrasco</t>
  </si>
  <si>
    <t>jose.carrasco@gruposandrini.com.br</t>
  </si>
  <si>
    <t>["Promoções (ofertas, cupons, eventos)","Logística (FBA, FBA-Onsite, DBA, logística própria)","Conversão (qualidade do catálogo, preços, listatem)","Ajuda na resolução de problemas operacionais","Marca (registro, proteção, conteúdo A+, loja oficial)","Advertising (anúncios patrocinados)","Seleção (recomendação de produtos, oportunidades)"]</t>
  </si>
  <si>
    <t>Como feedback gostaria de pontuar a agilidade mas nÃ£o Ã© culpa dela, tem muitas contas olhando, Ã© notÃ¡vel o quanto ela se desdobra pra dar conta de tudo, mas se reduzissem a qtd de contas por consultor jÃ¡ melhoraria a questÃ£o da agilidade</t>
  </si>
  <si>
    <t>BUY CLOCK DO BRASIL LTDA</t>
  </si>
  <si>
    <t>SurveySubmission-381vrwq9P2QKD2zZNuFrIVtkgpm</t>
  </si>
  <si>
    <t>2026-01-09 17:34:53.484+00</t>
  </si>
  <si>
    <t>ADDX2YD7U9VRL</t>
  </si>
  <si>
    <t>A Amazon como empresa, as vezes parece meio "engessada". EntÃ£o a pessoa que atende nossa conta precisa ficar "catando" as soluÃ§Ãµes e tudo Ã© bastante burocrÃ¡tico.</t>
  </si>
  <si>
    <t>Acredito que falte, nÃ£o da parte dela mas da empresa, um processo mais Ã¡gil e menos burocrÃ¡tico</t>
  </si>
  <si>
    <t>Dell Technologies</t>
  </si>
  <si>
    <t>SurveySubmission-3820idNe6zjFmcsCxWfyfcHbUaL</t>
  </si>
  <si>
    <t>2026-01-09 18:14:46.291+00</t>
  </si>
  <si>
    <t>A2756Y90WFCLVI</t>
  </si>
  <si>
    <t>Julia Scherer Lodi</t>
  </si>
  <si>
    <t>julia.lodi@dell.com</t>
  </si>
  <si>
    <t>Gostaria de destacar alguns pontos sobre o processo atual de suporte: 
O suporte para resolução de problemas poderia ter um acesso mais simples e um contato mais rápido. Atualmente, precisamos abrir um chamado geral para depois engajar o suporte SAS, o que acaba gerando perda de tempo.
O fluxo atual é confuso, pois o sistema entra em um looping e quando existem mais de um caso aberto dificulta o acompanhamento das tratativas</t>
  </si>
  <si>
    <t>A Rafa é nova no nosso atendimento, mas tem demonstrado muito interesse e comprometimento. Ela responde rapidamente e é ágil na resolução dos casos em que precisamos de suporte.</t>
  </si>
  <si>
    <t xml:space="preserve">Ainda usamos pouco, mas estamos explorando cada vez mais o site </t>
  </si>
  <si>
    <t>["Promoções (ofertas, cupons, eventos)","Ajuda na resolução de problemas operacionais","Logística (FBA, FBA-Onsite, DBA, logística própria)","Marca (registro, proteção, conteúdo A+, loja oficial)","Advertising (anúncios patrocinados)","Conversão (qualidade do catálogo, preços, listatem)","Seleção (recomendação de produtos, oportunidades)"]</t>
  </si>
  <si>
    <t>Relaxmedic</t>
  </si>
  <si>
    <t>SurveySubmission-3820lnX2Kxhr34BZK3uEhj3zyCF</t>
  </si>
  <si>
    <t>2026-01-09 18:15:11.115+00</t>
  </si>
  <si>
    <t>A1X40MC4IE57WV</t>
  </si>
  <si>
    <t>Vitor Augusto Magalhães dos Santos</t>
  </si>
  <si>
    <t>vitor.magalhaes@mnldistribuidora.com.br</t>
  </si>
  <si>
    <t>Recomendações Estratégicas -- Importante
Assistência com Resolução de Problemas -- Muito importante
Estratégia com Promoções -- Muito importante
Gerenciamento e suporte de catálogo -- Muito importante
Suporte com gerenciamento de inventário -- Importante
Suporte com estratégia para novos produtos -- Importante</t>
  </si>
  <si>
    <t>["Promoções (ofertas, cupons, eventos)","Conversão (qualidade do catálogo, preços, listatem)","Logística (FBA, FBA-Onsite, DBA, logística própria)","Marca (registro, proteção, conteúdo A+, loja oficial)","Ajuda na resolução de problemas operacionais","Advertising (anúncios patrocinados)","Seleção (recomendação de produtos, oportunidades)"]</t>
  </si>
  <si>
    <t>SHOPGRA</t>
  </si>
  <si>
    <t>SurveySubmission-3821sxTnuUV2h2WQflIXpSbeyvI</t>
  </si>
  <si>
    <t>2026-01-09 18:24:21.271+00</t>
  </si>
  <si>
    <t xml:space="preserve">Affonso Descartáveis
</t>
  </si>
  <si>
    <t>A2YX256WWC5WDL</t>
  </si>
  <si>
    <t>Rubia Cristina Braga de Jesus</t>
  </si>
  <si>
    <t>supply@shopgra.com.br</t>
  </si>
  <si>
    <t>Luan Pereira Guimaraes</t>
  </si>
  <si>
    <t xml:space="preserve">Ele é super ágil e competente. </t>
  </si>
  <si>
    <t>["Marca (registro, proteção, conteúdo A+, loja oficial)","Advertising (anúncios patrocinados)","Ajuda na resolução de problemas operacionais","Seleção (recomendação de produtos, oportunidades)","Logística (FBA, FBA-Onsite, DBA, logística própria)","Conversão (qualidade do catálogo, preços, listatem)","Promoções (ofertas, cupons, eventos)"]</t>
  </si>
  <si>
    <t>relatÃ³rio de buybox diÃ¡rio</t>
  </si>
  <si>
    <t>EVAS PERFUMARIA</t>
  </si>
  <si>
    <t>SurveySubmission-382BLOxL1ds3YIARa8xzEixPfHL</t>
  </si>
  <si>
    <t>2026-01-09 19:42:08.393+00</t>
  </si>
  <si>
    <t>Evas Perfumaria</t>
  </si>
  <si>
    <t>A2EVEOBEF8Y9Y5</t>
  </si>
  <si>
    <t>Matheus Ferreira</t>
  </si>
  <si>
    <t>matheus.ferreira@grupoevas.com.br</t>
  </si>
  <si>
    <t>Recomendações Estratégicas -- Sem importância
Assistência com Resolução de Problemas -- Importante
Estratégia com Promoções -- Sem importância
Gerenciamento e suporte de catálogo -- Importante
Suporte com gerenciamento de inventário -- Importante
Suporte com estratégia para novos produtos -- Importante</t>
  </si>
  <si>
    <t>Meu consultor entende do meu negócio -- Concordo parcialmente
Meu consultor entende as necessidades do meu negócio com o programa SAS -- Concordo plenamente
Meu consultor entende sobre a minha categoria de venda -- Concordo parcialmente
Meu consultor fornece recomendações estratégicas -- Concordo parcialmente
Meu consultor tem conhecimento dos recursos do Seller Central -- Concordo parcialmente
Meu consultor é responsivo via email -- Concordo plenamente
Meu consultor se comunica por escrito de forma clara -- Concordo plenamente</t>
  </si>
  <si>
    <t>["Ajuda na resolução de problemas operacionais","Promoções (ofertas, cupons, eventos)","Logística (FBA, FBA-Onsite, DBA, logística própria)","Marca (registro, proteção, conteúdo A+, loja oficial)","Seleção (recomendação de produtos, oportunidades)","Advertising (anúncios patrocinados)","Conversão (qualidade do catálogo, preços, listatem)"]</t>
  </si>
  <si>
    <t>Emcompre</t>
  </si>
  <si>
    <t>SurveySubmission-382IRqqOKpaEz8S0wedYhwCMTg6</t>
  </si>
  <si>
    <t>2026-01-09 20:40:33.739+00</t>
  </si>
  <si>
    <t>BF Casa</t>
  </si>
  <si>
    <t>A3728J1UZYOTOQ</t>
  </si>
  <si>
    <t>Caroline Monteiro de Albergaria</t>
  </si>
  <si>
    <t>comercial3@emcompre.com.br</t>
  </si>
  <si>
    <t>Comercialmente o programa funciona perfeitamente. O nosso time de operações que tem encontrado algumas dificuldades em resoluções de problemas com clientes que acusam não receber pedidos, apesar de termos provas dos recebimentos.</t>
  </si>
  <si>
    <t>Considero que temos um ótimo relacionamento comercial para crescimento mútuo, comunicação sempre ágil e muito clara.</t>
  </si>
  <si>
    <t>Estamos enfrentando dificuldades com avaliações imprecisas de alguns clientes.</t>
  </si>
  <si>
    <t>O atendimento é ótimo, ágil e muito educado, porém, em alguns casos não conseguimos chegar em uma solução operacional.</t>
  </si>
  <si>
    <t>Estamos tendo um retorno e atuação satisfatória da nossa consultoria em ADS.</t>
  </si>
  <si>
    <t>["Promoções (ofertas, cupons, eventos)","Ajuda na resolução de problemas operacionais","Seleção (recomendação de produtos, oportunidades)","Advertising (anúncios patrocinados)","Marca (registro, proteção, conteúdo A+, loja oficial)","Conversão (qualidade do catálogo, preços, listatem)","Logística (FBA, FBA-Onsite, DBA, logística própria)"]</t>
  </si>
  <si>
    <t>Disponibilidade de maior tempo para no auxiliar</t>
  </si>
  <si>
    <t xml:space="preserve">Maior prontidÃ£o nas resoluÃ§Ãµes das ocorrÃªncias operacionais que registramos. </t>
  </si>
  <si>
    <t>BRM IMPORTADOS</t>
  </si>
  <si>
    <t>SurveySubmission-382Oxq42zTgqXsgBkRmZIRvb7vR</t>
  </si>
  <si>
    <t>2026-01-09 21:34:08.913+00</t>
  </si>
  <si>
    <t>brm importados</t>
  </si>
  <si>
    <t>reinaldo aguiar</t>
  </si>
  <si>
    <t>reinaldo@brmimportados.com.br</t>
  </si>
  <si>
    <t>Recomendações Estratégicas -- Importante
Assistência com Resolução de Problemas -- Importante
Estratégia com Promoções -- Importante
Gerenciamento e suporte de catálogo -- Importante
Suporte com gerenciamento de inventário -- Importante
Suporte com estratégia para novos produtos -- Importante</t>
  </si>
  <si>
    <t>rodrigo portela</t>
  </si>
  <si>
    <t>["Seleção (recomendação de produtos, oportunidades)","Advertising (anúncios patrocinados)","Promoções (ofertas, cupons, eventos)","Marca (registro, proteção, conteúdo A+, loja oficial)","Conversão (qualidade do catálogo, preços, listatem)","Ajuda na resolução de problemas operacionais","Logística (FBA, FBA-Onsite, DBA, logística própria)"]</t>
  </si>
  <si>
    <t>Clicou   Shops</t>
  </si>
  <si>
    <t>SurveySubmission-389i5DeEpK4M2j7HWPCuii9pJsp</t>
  </si>
  <si>
    <t>2026-01-12 11:40:01.989+00</t>
  </si>
  <si>
    <t>Clicou Shops</t>
  </si>
  <si>
    <t>A26EYEIIAC7WKS</t>
  </si>
  <si>
    <t>Pedro Coutinho</t>
  </si>
  <si>
    <t>pedro.coutinho@emanxtelecom.com.br</t>
  </si>
  <si>
    <t>Um dos principais pontos é em relação a resolução de problemas, poderiam ter mais flexibilidade e transparência.
Outro ponto de melhora seria no canal de contato do Gerenciamento Operacional. Deveria ter um canal de chat especifico para ele, como um chat do WhatsApp ou até mesmo uma opção nova para abrirmos um chamado direcionado para ele, não um chamado fixo como é no momento, pois, dessa forma gera confusão no direcionamento de demandas e resolução de problemas.
Poderiam também, ter mais flexibilidade em relação a disponibilidade de datas promocionais e eventos com redução de comissão. Até o momento, só podemos solicitar redução de comissão para atender os preços extremamente agressivos em épocas promocionais delimitadas pela Amazon. Seria mais viável a possibilidade de negociação das reduções de preço e comissão, fora de épocas promocionais também, aumentando o leque de produtos disponíveis para vendas.</t>
  </si>
  <si>
    <t>Arthur Alonso</t>
  </si>
  <si>
    <t>Meu consultor entende do meu negócio -- Concordo parcialmente
Meu consultor entende as necessidades do meu negócio com o programa SAS -- Concordo plenamente
Meu consultor entende sobre a minha categoria de venda -- Concordo parcialmente
Meu consultor fornece recomendações estratégicas -- Concordo plenamente
Meu consultor tem conhecimento dos recursos do Seller Central -- Concordo plenamente
Meu consultor é responsivo via email -- Concordo plenamente
Meu consultor se comunica por escrito de forma clara -- Concordo plenamente</t>
  </si>
  <si>
    <t>Seria interessante mais tempo nas  reuniões semanais, para conseguirmos passar por todos os tópicos que seriam abordados na reunião.</t>
  </si>
  <si>
    <t>Precisamos de mais flexibilidade e transparência na resolução de problemas demandado ao Gerente operacional, muitos problemas que demandamos para o Suporte, não foram resolvidos, como pedidos com atraso de coleta, produtos desativados e ativação de produtos que solicitamos a criação do catálogo.</t>
  </si>
  <si>
    <t>["Promoções (ofertas, cupons, eventos)","Logística (FBA, FBA-Onsite, DBA, logística própria)","Ajuda na resolução de problemas operacionais","Conversão (qualidade do catálogo, preços, listatem)","Advertising (anúncios patrocinados)","Seleção (recomendação de produtos, oportunidades)","Marca (registro, proteção, conteúdo A+, loja oficial)"]</t>
  </si>
  <si>
    <t>Painel especifico para vendas/consultas do FBA Clássico, possibilitando a geração de um relatório de vendas detalhada para esse canal de vendas. A criação desse relatório seria ideal, pois, a forma em que o relatório é gerada atualmente pelo relatório de todos os pedidos, não é precisa e clara nas informações.</t>
  </si>
  <si>
    <t>No momento nÃ£o.</t>
  </si>
  <si>
    <t>Hering Store</t>
  </si>
  <si>
    <t>SurveySubmission-389qnoBakMnYKsIg4uNQxQRNfnD</t>
  </si>
  <si>
    <t>2026-01-12 12:51:43.512+00</t>
  </si>
  <si>
    <t>Hering</t>
  </si>
  <si>
    <t>A2ZGOFM2VWDQXR</t>
  </si>
  <si>
    <t>Mariana Cavalcante</t>
  </si>
  <si>
    <t>mariana.oliveira@ciahering.com.br</t>
  </si>
  <si>
    <t>["Promoções (ofertas, cupons, eventos)","Seleção (recomendação de produtos, oportunidades)","Ajuda na resolução de problemas operacionais","Conversão (qualidade do catálogo, preços, listatem)","Logística (FBA, FBA-Onsite, DBA, logística própria)","Marca (registro, proteção, conteúdo A+, loja oficial)","Advertising (anúncios patrocinados)"]</t>
  </si>
  <si>
    <t>Acredito que a criaÃ§Ã£o de um canal exclusivo e mais Ã¡gil de atendimento, com uma equipe especializada para os sellers, contribuiria significativamente para a reduÃ§Ã£o no tempo de resposta e aumento da satisfaÃ§Ã£o. AlÃ©m disso, campanhas promocionais personalizadas e com maior destaque na plataforma poderiam valorizar ainda mais os sellers, aumentando a visibilidade e potencial de conversÃ£o.</t>
  </si>
  <si>
    <t>Estamos satisfeitos com o atendimento da nossa consultora.</t>
  </si>
  <si>
    <t>Sugerimos a melhoria no tempo de retorno, tornando-o mais Ã¡gil e com soluÃ§Ãµes mais eficazes.</t>
  </si>
  <si>
    <t>SurveySubmission-389zofdNZ0QgSUsum5hXMaqbhSh</t>
  </si>
  <si>
    <t>2026-01-12 14:05:50.285+00</t>
  </si>
  <si>
    <t>A57UOHQB4WT16</t>
  </si>
  <si>
    <t>Thairo Henrique de Carvalho Grecco</t>
  </si>
  <si>
    <t>thairo.grecco@centersport.com.br</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</si>
  <si>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Concordo parcialmente
Meu consultor tem conhecimento dos recursos do Seller Central -- Concordo parcialmente
Meu consultor é responsivo via email -- Concordo parcialmente
Meu consultor se comunica por escrito de forma clara -- Concordo parcialmente</t>
  </si>
  <si>
    <t>["Seleção (recomendação de produtos, oportunidades)","Advertising (anúncios patrocinados)","Promoções (ofertas, cupons, eventos)","Ajuda na resolução de problemas operacionais","Conversão (qualidade do catálogo, preços, listatem)","Logística (FBA, FBA-Onsite, DBA, logística própria)","Marca (registro, proteção, conteúdo A+, loja oficial)"]</t>
  </si>
  <si>
    <t>O gerenciamento que recebemos Ã© impecÃ¡vel, sempre muito solÃ­cita .</t>
  </si>
  <si>
    <t>A Bianca Ã© sensacional, jÃ¡ trabalhei em outras empresa que tive ka da amz no mesmo programa que nÃ£o se compara com a agilidade da Bianca, sempre respondendo rÃ¡pido e trazendo respostas e nÃºmeros que estamos busncando</t>
  </si>
  <si>
    <t>Acho que na parte de ads poderia ser um ka com uma taxa de investimento menor</t>
  </si>
  <si>
    <t>Melhor para Você</t>
  </si>
  <si>
    <t>SurveySubmission-38ACBAnlwIlpmdCqdWmuwdqHnoi</t>
  </si>
  <si>
    <t>2026-01-12 15:47:30.624+00</t>
  </si>
  <si>
    <t>FULL MELHOR PARA VOCÊ</t>
  </si>
  <si>
    <t>A14O1CETPN6E18</t>
  </si>
  <si>
    <t>Leonardo Leal Guimaraes</t>
  </si>
  <si>
    <t>leonardo@techshop.com.br</t>
  </si>
  <si>
    <t>Meu consultor entende do meu negócio -- Concordo plenamente
Meu consultor entende as necessidades do meu negócio com o programa SAS -- Concordo plenamente
Meu consultor entende sobre a minha categoria de venda -- Concordo plenamente
Meu consultor fornece recomendações estratégicas -- Concordo plenamente
Meu consultor tem conhecimento dos recursos do Seller Central -- Concordo parcialmente
Meu consultor é responsivo via email -- Concordo plenamente
Meu consultor se comunica por escrito de forma clara -- Concordo plenamente</t>
  </si>
  <si>
    <t>["Promoções (ofertas, cupons, eventos)","Conversão (qualidade do catálogo, preços, listatem)","Seleção (recomendação de produtos, oportunidades)","Ajuda na resolução de problemas operacionais","Logística (FBA, FBA-Onsite, DBA, logística própria)","Marca (registro, proteção, conteúdo A+, loja oficial)","Advertising (anúncios patrocinados)"]</t>
  </si>
  <si>
    <t>ResoluÃ§Ã£o de problemas em envios</t>
  </si>
  <si>
    <t>Sem nenhuma sugestÃ£o</t>
  </si>
  <si>
    <t>Melhorar o serviÃ§o de suporte ao vendedor</t>
  </si>
  <si>
    <t>Melhor suporte via chat com operadores da Amazon para agilizar a resoluÃ§Ã£o.</t>
  </si>
  <si>
    <t>MULTIMOVEIS</t>
  </si>
  <si>
    <t>SurveySubmission-38APDOUOlmOLyCNd9vg3TXsnJMG</t>
  </si>
  <si>
    <t>2026-01-12 17:34:41.638+00</t>
  </si>
  <si>
    <t>Multimóveis</t>
  </si>
  <si>
    <t>A379916O5ZIL5N</t>
  </si>
  <si>
    <t>Renan Stroeher</t>
  </si>
  <si>
    <t>renan.stroeher@hotmail.com</t>
  </si>
  <si>
    <t>.</t>
  </si>
  <si>
    <t>Manoela Rodrigue</t>
  </si>
  <si>
    <t>plano de negócio a longo prazo, produtos recomendados, etc.</t>
  </si>
  <si>
    <t xml:space="preserve">Mais autonomia para o nosso gestor. </t>
  </si>
  <si>
    <t xml:space="preserve">Mais autonomia. </t>
  </si>
  <si>
    <t xml:space="preserve">Mais informações sobre a marca dentro do site da Amazon. Posições de pesquisa em relação aos produtos ofertas, etc. </t>
  </si>
  <si>
    <t>Balaqui Decor</t>
  </si>
  <si>
    <t>SurveySubmission-38AeHJDIJJK2MZRISvwVZf5k8E3</t>
  </si>
  <si>
    <t>2026-01-12 19:38:33.065+00</t>
  </si>
  <si>
    <t>A3K3X5D6QS30HK</t>
  </si>
  <si>
    <t>Ademir Aparecido Xavier Junior</t>
  </si>
  <si>
    <t>ademir.x01@gmail.com</t>
  </si>
  <si>
    <t xml:space="preserve">Discordo </t>
  </si>
  <si>
    <t>Poderiam trazer condições de negociação especiais para alavancarmos os resultados, em especial considerando que a Amazon é um dos canais mais agressivos para com os sellers.</t>
  </si>
  <si>
    <t>Meu consultor entende do meu negócio -- Discordo
Meu consultor entende as necessidades do meu negócio com o programa SAS -- Discordo
Meu consultor entende sobre a minha categoria de venda -- Discordo
Meu consultor fornece recomendações estratégicas -- Discordo
Meu consultor tem conhecimento dos recursos do Seller Central -- Discordo
Meu consultor é responsivo via email -- Concordo plenamente
Meu consultor se comunica por escrito de forma clara -- Concordo plenamente</t>
  </si>
  <si>
    <t xml:space="preserve">A Júlia se comunica de maneira clara e objetiva, contudo lhe falta expertise nas características da plataforma, que são, ao meu ver, cruciais para o desenvolvimento de nossas estratégias comerciais. Falta-lhe também entendimento sobre negócios e nosso segmento, uma vez que não costuma trazer insights estratégicos para o desenvolvimento de nossa conta. Limita-se a nos recomendar o "arroz com feijão" como investir em ADS, praticar os melhores preços e trabalhar a qualidade do anúncio, no entanto, como temos expertise em marketplaces no geral, para somar precisaríamos de algo mais aprofundado, em especial para o canal da Amazon que é bem diferente dos demais. Apesar disso, ela se mostra bem disponível e disposta a ajudar. Quando temos alguns "problemas técnicos", não hesita em contatar o time e descobrir as alternativas para resolvermos. </t>
  </si>
  <si>
    <t>Seria interessante que pudéssemos ver quais produtos vendemos real-time sem ter que baixar um relatório pra isso, mas sim num dashboard atualizado ontime.</t>
  </si>
  <si>
    <t>Casa e Cia</t>
  </si>
  <si>
    <t>SurveySubmission-38AwQJpfYDQ1sOcLstSDAStdJC2</t>
  </si>
  <si>
    <t>2026-01-12 22:07:45.649+00</t>
  </si>
  <si>
    <t>Casa e cia</t>
  </si>
  <si>
    <t>ASB0R86SCF5XZ</t>
  </si>
  <si>
    <t>Jefferson Gracia</t>
  </si>
  <si>
    <t>jefferson@ciamais.com.br</t>
  </si>
  <si>
    <t>Acredito que as aÃ§Ãµes de reduÃ§Ã£o de comissÃ£o tem auxiliado muito.</t>
  </si>
  <si>
    <t>Paula Veneu (Julho a Agosto) e Igor Dias (Setembro em diante)</t>
  </si>
  <si>
    <t>Mais agilidade nas respostas.</t>
  </si>
  <si>
    <t>Visita e conversÃ£o por regiÃ£o.</t>
  </si>
  <si>
    <t>Almix Confeccoes</t>
  </si>
  <si>
    <t>SurveySubmission-38Cd7ig2dX6XsXfl53dlmOQt9Tr</t>
  </si>
  <si>
    <t>2026-01-13 12:28:40.894+00</t>
  </si>
  <si>
    <t>A3N8FCSUOPITXL</t>
  </si>
  <si>
    <t>Anderson Sanfelice Mora</t>
  </si>
  <si>
    <t>anderson_sanfelice@hotmail.com</t>
  </si>
  <si>
    <t>Recomendações Estratégicas -- Importante
Assistência com Resolução de Problemas -- Importante
Estratégia com Promoções -- Muito importante
Gerenciamento e suporte de catálogo -- Importante
Suporte com gerenciamento de inventário -- Importante
Suporte com estratégia para novos produtos -- Importante</t>
  </si>
  <si>
    <t xml:space="preserve">Karime </t>
  </si>
  <si>
    <t>["Promoções (ofertas, cupons, eventos)","Conversão (qualidade do catálogo, preços, listatem)","Ajuda na resolução de problemas operacionais","Seleção (recomendação de produtos, oportunidades)","Logística (FBA, FBA-Onsite, DBA, logística própria)","Marca (registro, proteção, conteúdo A+, loja oficial)","Advertising (anúncios patrocinados)"]</t>
  </si>
  <si>
    <t>Nenhuma</t>
  </si>
  <si>
    <t xml:space="preserve">Relatorio de inventario FBA </t>
  </si>
  <si>
    <t>WebContinental</t>
  </si>
  <si>
    <t>SurveySubmission-38CdjrIBkPsJPSXGDaDE63ocYQY</t>
  </si>
  <si>
    <t>2026-01-13 12:33:44.373+00</t>
  </si>
  <si>
    <t>Web Continental</t>
  </si>
  <si>
    <t>AETYVFGF5IJ4G</t>
  </si>
  <si>
    <t>Vinicius Muller Rocha Fonseca</t>
  </si>
  <si>
    <t>vinicius.fonseca@webcontinental.com.br</t>
  </si>
  <si>
    <t>["Promoções (ofertas, cupons, eventos)","Seleção (recomendação de produtos, oportunidades)","Ajuda na resolução de problemas operacionais","Advertising (anúncios patrocinados)","Marca (registro, proteção, conteúdo A+, loja oficial)","Conversão (qualidade do catálogo, preços, listatem)","Logística (FBA, FBA-Onsite, DBA, logística própria)"]</t>
  </si>
  <si>
    <t>Dorel Serviços</t>
  </si>
  <si>
    <t>SurveySubmission-38CeXJ0C4fpdEqhJ8FlzVxl0a1w</t>
  </si>
  <si>
    <t>2026-01-13 12:40:17.511+00</t>
  </si>
  <si>
    <t>Dorel Servicos</t>
  </si>
  <si>
    <t>A2K7SNVD8LQ0ZH</t>
  </si>
  <si>
    <t>Rodrigo Oliveira Soares</t>
  </si>
  <si>
    <t>rodrigo.soares@dorel.com.br</t>
  </si>
  <si>
    <t>O programa é incrível, o que precisa melhorar é a plataforma</t>
  </si>
  <si>
    <t>Consultora excelente</t>
  </si>
  <si>
    <t>Mlehorou muito a comunicação</t>
  </si>
  <si>
    <t>["Seleção (recomendação de produtos, oportunidades)","Conversão (qualidade do catálogo, preços, listatem)","Promoções (ofertas, cupons, eventos)","Logística (FBA, FBA-Onsite, DBA, logística própria)","Advertising (anúncios patrocinados)","Marca (registro, proteção, conteúdo A+, loja oficial)","Ajuda na resolução de problemas operacionais"]</t>
  </si>
  <si>
    <t>relatórios em xml sobre toda a operação de vendas, hoje os relatórios são muito ruins</t>
  </si>
  <si>
    <t>Mais autonomia ao gerente para resolver os casos.</t>
  </si>
  <si>
    <t>Bianca Andrade</t>
  </si>
  <si>
    <t>Mais autonomia ao consultor para solucionar problemas de suporte com a conta.</t>
  </si>
  <si>
    <t>Mais autonomia aos consultores.</t>
  </si>
  <si>
    <t>NÃ£o tenho indicaÃ§Ãµes</t>
  </si>
  <si>
    <t>Reserva Oficial</t>
  </si>
  <si>
    <t>SurveySubmission-38CkabFc9aXuw59g2L9xbb1WXCp</t>
  </si>
  <si>
    <t>2026-01-13 13:30:04.074+00</t>
  </si>
  <si>
    <t>RESERVA OFICIAL</t>
  </si>
  <si>
    <t>A3KBMJFGHIPGG1</t>
  </si>
  <si>
    <t>Amanda Bittencourt Novato Porto</t>
  </si>
  <si>
    <t>amanda.porto@usereserva.com</t>
  </si>
  <si>
    <t xml:space="preserve">Nossos problemas de catalogo continuaram sendo um entrave. Precisamos estreitar laço sobre o gerenciamento de ADS para 2026. </t>
  </si>
  <si>
    <t>["Logística (FBA, FBA-Onsite, DBA, logística própria)","Ajuda na resolução de problemas operacionais","Promoções (ofertas, cupons, eventos)","Marca (registro, proteção, conteúdo A+, loja oficial)","Advertising (anúncios patrocinados)","Seleção (recomendação de produtos, oportunidades)","Conversão (qualidade do catálogo, preços, listatem)"]</t>
  </si>
  <si>
    <t>Faura Móveis e Decoração</t>
  </si>
  <si>
    <t>SurveySubmission-38ClyjgacuvFheWXujNikgeZxp1</t>
  </si>
  <si>
    <t>2026-01-13 13:41:29.803+00</t>
  </si>
  <si>
    <t>A1M210NJ4FBVQQ</t>
  </si>
  <si>
    <t>Giovani Mariano</t>
  </si>
  <si>
    <t>giovani.mariano@faura.com.br</t>
  </si>
  <si>
    <t>Recomendações Estratégicas -- Muito importante
Assistência com Resolução de Problemas -- Muito importante
Estratégia com Promoções -- Muito importante
Gerenciamento e suporte de catálogo -- Muito importante
Suporte com gerenciamento de inventário -- Importante
Suporte com estratégia para novos produtos -- Importante</t>
  </si>
  <si>
    <t>["Promoções (ofertas, cupons, eventos)","Seleção (recomendação de produtos, oportunidades)","Ajuda na resolução de problemas operacionais","Advertising (anúncios patrocinados)","Conversão (qualidade do catálogo, preços, listatem)","Marca (registro, proteção, conteúdo A+, loja oficial)","Logística (FBA, FBA-Onsite, DBA, logística própria)"]</t>
  </si>
  <si>
    <t>MAUROSPBRGAMES®</t>
  </si>
  <si>
    <t>SurveySubmission-38CpyhVLsrGBH3GpAsYQ5EtEXl2</t>
  </si>
  <si>
    <t>2026-01-13 14:14:22.577+00</t>
  </si>
  <si>
    <t>MAUROSPBRGAMES</t>
  </si>
  <si>
    <t>Mauro Prado</t>
  </si>
  <si>
    <t>digitalgames@portellagames.com.br</t>
  </si>
  <si>
    <t>Recomendações Estratégicas -- Sem importância
Assistência com Resolução de Problemas -- Muito importante
Estratégia com Promoções -- Muito importante
Gerenciamento e suporte de catálogo -- Muito importante
Suporte com gerenciamento de inventário -- Importante
Suporte com estratégia para novos produtos -- Importante</t>
  </si>
  <si>
    <t>Ainda usamos uma assessoria parceira para gestão de ADS, pois ainda não há nada dedicado pela amazon, acredito que se cobrassem 1 ou 2% pelo serviço premium ADS, ajudaria.</t>
  </si>
  <si>
    <t>Raphaela</t>
  </si>
  <si>
    <t>Liberar os recursos de A+ para validação da Amazon e inserção no ASIN diretamente</t>
  </si>
  <si>
    <t>["Seleção (recomendação de produtos, oportunidades)","Conversão (qualidade do catálogo, preços, listatem)","Advertising (anúncios patrocinados)","Marca (registro, proteção, conteúdo A+, loja oficial)","Ajuda na resolução de problemas operacionais","Promoções (ofertas, cupons, eventos)","Logística (FBA, FBA-Onsite, DBA, logística própria)"]</t>
  </si>
  <si>
    <t xml:space="preserve">Ã‰ necessÃ¡rio melhorar os anÃºncios. Hoje a dificuldade Ã© imensa em trocar fotos, melhorar o anuncio. Hoje temos anÃºncios antigos com fotos feias </t>
  </si>
  <si>
    <t>INPOWER</t>
  </si>
  <si>
    <t>SurveySubmission-38CrnCoxo8O5yOr15EwDhN8yhOH</t>
  </si>
  <si>
    <t>2026-01-13 14:29:18.208+00</t>
  </si>
  <si>
    <t>Inpower</t>
  </si>
  <si>
    <t>Fernando G Zorzo</t>
  </si>
  <si>
    <t>fernando.zorzo@inpower.com.br</t>
  </si>
  <si>
    <t>Recomendações Estratégicas -- Importante
Assistência com Resolução de Problemas -- Muito importante
Estratégia com Promoções -- Muito importante
Gerenciamento e suporte de catálogo -- Muito importante
Suporte com gerenciamento de inventário -- Muito importante
Suporte com estratégia para novos produtos -- Muito importante</t>
  </si>
  <si>
    <t>Objetivo: Garantir maior previsibilidade, reduzir prejuízos e melhorar a experiência do cliente final.
1. Criação de Canal de Escalonamento Rápido
Implementar um SLA de resposta prioritária para casos críticos (atrasos, extravios, divergências de coleta).
Designar um gestor dedicado para tratativas com Amazon, evitando que problemas fiquem sem solução e gerem prejuízo.
2. Auditoria e Registro de Ocorrências
Criar um painel de monitoramento com:
Pedidos com atraso &gt; 48h.
Status de coleta e entrega.
Indicadores de SLA da Amazon.
Documentar cada ocorrência para negociação de ressarcimento com Amazon.
3. Política de Ressarcimento Automático
Formalizar com Amazon um acordo de compensação para casos onde o erro é logístico deles (atrasos, falhas de coleta).
Garantir que o prejuízo não recaia sobre o seller.
4. Revisão do Fluxo Full
Solicitar à Amazon:
Checklist de conformidade para evitar rejeição de coletas.
Treinamento ou guia atualizado para equipe interna.
Avaliar transportadoras homologadas para reduzir falhas no envio ao Full.
5. Comunicação Proativa com Cliente Final
Implementar alertas automáticos para clientes em caso de atraso (com prazo realista).
Oferecer compensações rápidas (cupom, upgrade de frete) para preservar reputação.
6. Relatório Mensal de Performance
Consolidar:
SLA Amazon vs SLA interno.
Prejuízos por falhas externas.
Ações corretivas aplicadas.
Usar relatório para negociação estratégica com Amazon.</t>
  </si>
  <si>
    <t>Gostaria de registrar meu reconhecimento ao trabalho do consultor. Sem a dedicação, expertise e suporte que ele oferece, nossas vendas simplesmente não aconteceriam.
O comprometimento em resolver problemas, propor soluções estratégicas e garantir que tudo funcione da melhor forma é essencial para o nosso sucesso.
A parceria e a confiança que ele transmite fazem toda a diferença para manter a operação saudável e os resultados crescendo.</t>
  </si>
  <si>
    <t>["Conversão (qualidade do catálogo, preços, listatem)","Promoções (ofertas, cupons, eventos)","Seleção (recomendação de produtos, oportunidades)","Ajuda na resolução de problemas operacionais","Logística (FBA, FBA-Onsite, DBA, logística própria)","Advertising (anúncios patrocinados)","Marca (registro, proteção, conteúdo A+, loja oficial)"]</t>
  </si>
  <si>
    <t>Webookers WB</t>
  </si>
  <si>
    <t>SurveySubmission-38Cye0jXGQilP43Jfg5iSxU7Caz</t>
  </si>
  <si>
    <t>2026-01-13 15:25:38.285+00</t>
  </si>
  <si>
    <t>A3633UB33RQACB</t>
  </si>
  <si>
    <t>Rosangela Araujo</t>
  </si>
  <si>
    <t>rosangela.araujo@alfacomex.com.br</t>
  </si>
  <si>
    <t>Receber alertas mensal sobre custos de armazenagem</t>
  </si>
  <si>
    <t>Arthur</t>
  </si>
  <si>
    <t>O Serviço de suporte premium tem dado retorno genéricos, sem muita clareza . Muitas vezes os chamados são finalizados sem serem solucionados os problemas.</t>
  </si>
  <si>
    <t>["Promoções (ofertas, cupons, eventos)","Ajuda na resolução de problemas operacionais","Logística (FBA, FBA-Onsite, DBA, logística própria)","Conversão (qualidade do catálogo, preços, listatem)","Advertising (anúncios patrocinados)","Marca (registro, proteção, conteúdo A+, loja oficial)","Seleção (recomendação de produtos, oportunidades)"]</t>
  </si>
  <si>
    <t>Jombox</t>
  </si>
  <si>
    <t>SurveySubmission-38DCDddKMfzZ6NYKdQCda9ItkdD</t>
  </si>
  <si>
    <t>2026-01-13 17:17:15.686+00</t>
  </si>
  <si>
    <t>A11NNEY4CTNN7X</t>
  </si>
  <si>
    <t>corporativo@jombox.com.br</t>
  </si>
  <si>
    <t>["Promoções (ofertas, cupons, eventos)","Logística (FBA, FBA-Onsite, DBA, logística própria)","Advertising (anúncios patrocinados)","Ajuda na resolução de problemas operacionais","Marca (registro, proteção, conteúdo A+, loja oficial)","Conversão (qualidade do catálogo, preços, listatem)","Seleção (recomendação de produtos, oportunidades)"]</t>
  </si>
  <si>
    <t>OtimizaÃ§Ã£o de portfÃ³lio, mÃ­dia e conversÃ£o com dados; previsÃ£o logÃ­stica; simulaÃ§Ã£o de promoÃ§Ãµes; automaÃ§Ã£o na resoluÃ§Ã£o de problemas e curadoria baseada em performance.</t>
  </si>
  <si>
    <t xml:space="preserve">Igor Dias </t>
  </si>
  <si>
    <t>Manter a boa comunicaÃ§Ã£o e agilidade, seguir com recomendaÃ§Ãµes assertivas e ampliar o suporte estratÃ©gico no plano de negÃ³cios.</t>
  </si>
  <si>
    <t>Manter a qualidade atual, incluir novas tarefas estratÃ©gicas e aprimorar continuamente os serviÃ§os.</t>
  </si>
  <si>
    <t>Manter o mesmo nÃ­vel de agilidade e atenÃ§Ã£o no atendimento, estÃ¡ funcionando muito bem.</t>
  </si>
  <si>
    <t>1ï¸âƒ£ RelatÃ³rio de ConversÃ£o por Canal e Categoria â€“ mostra onde estÃ¡ vendendo mais e o que precisa otimizar. 2ï¸âƒ£ RelatÃ³rio de Margem e Rentabilidade â€“ identifica produtos com bom volume, mas pouca margem. 3ï¸âƒ£ RelatÃ³rio de Performance de Campanhas (Ads + PromoÃ§Ãµes) â€“ cruza investimento com retorno real. 4ï¸âƒ£ RelatÃ³rio de Ruptura e Estoque CrÃ­tico â€“ ajuda a evitar perda de venda por falta de produto. 5ï¸âƒ£ RelatÃ³rio de ReclamaÃ§Ãµes e SLA LogÃ­stico â€“ mede eficiÃªncia e satisfaÃ§Ã£o no pÃ³s-venda. 6ï¸âƒ£ RelatÃ³rio de Crescimento por Marca / Fornecedor â€“ mostra quem estÃ¡ puxando ou travando resultados.</t>
  </si>
  <si>
    <t>Oficial Webshop</t>
  </si>
  <si>
    <t>SurveySubmission-38DbEIPZHPFdgA48zlQ3wdlCIIN</t>
  </si>
  <si>
    <t>2026-01-13 20:42:55.388+00</t>
  </si>
  <si>
    <t>A12FS2A8GNQGTW</t>
  </si>
  <si>
    <t>Larissa Paola Gonçalves</t>
  </si>
  <si>
    <t>performance3@oficialwebshop.com.br</t>
  </si>
  <si>
    <t>Recomendações Estratégicas -- Sem importância
Assistência com Resolução de Problemas -- Importante
Estratégia com Promoções -- Muito importante
Gerenciamento e suporte de catálogo -- Importante
Suporte com gerenciamento de inventário -- Importante
Suporte com estratégia para novos produtos -- Serviço não é oferecido</t>
  </si>
  <si>
    <t>Manter campanha de isenção de frete no FBA Classic ou encontrar um valor mais coerente do que o normalmente cobrado, para participantes do programa.</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</si>
  <si>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Nem concordo, nem discordo
Meu consultor tem conhecimento dos recursos do Seller Central -- Concordo parcialmente
Meu consultor é responsivo via email -- Concordo plenamente
Meu consultor se comunica por escrito de forma clara -- Concordo plenamente</t>
  </si>
  <si>
    <t>Agressividade comercial</t>
  </si>
  <si>
    <t>["Logística (FBA, FBA-Onsite, DBA, logística própria)","Promoções (ofertas, cupons, eventos)","Seleção (recomendação de produtos, oportunidades)","Marca (registro, proteção, conteúdo A+, loja oficial)","Advertising (anúncios patrocinados)","Conversão (qualidade do catálogo, preços, listatem)","Ajuda na resolução de problemas operacionais"]</t>
  </si>
  <si>
    <t>Time de Ads mais prÃ³ximo do seller, com reuniÃµes quinzenais, pois Ã© fundamental essa sinergia .</t>
  </si>
  <si>
    <t>Muito bom.</t>
  </si>
  <si>
    <t>Maior participaÃ§Ã£o do time de ads junto com o seller.</t>
  </si>
  <si>
    <t>Maior participaÃ§Ã£o e desenvolvido de produtos para nossa loja seria fundamental, alem de mais tempo e sugestoes para a nossa conta.</t>
  </si>
  <si>
    <t>Loja Electrolux</t>
  </si>
  <si>
    <t>SurveySubmission-38DdaNRFLepLFHi2aZlOOTDNdFJ</t>
  </si>
  <si>
    <t>2026-01-13 21:02:17.728+00</t>
  </si>
  <si>
    <t>A2Z9Y2YRGUMIKC</t>
  </si>
  <si>
    <t>Willian nalin de Oliveira</t>
  </si>
  <si>
    <t>willian.nalin@electrolux.com</t>
  </si>
  <si>
    <t>Proposta:
Disponibilizar, no painel de Promoções, um calendário de campanhas no qual o seller possa participar de acordo com as datas programadas e com a possibilidade de definir faixas de preço “DE” e “PARA”.
Benefícios:
Facilita o planejamento de promoções pelos vendedores, alinhando ações com o calendário oficial da plataforma.
Aumenta a visibilidade das campanhas e a adesão dos sellers, melhorando a eficiência das promoções.
Oferece controle de precificação durante as campanhas, permitindo estratégias de desconto mais precisas e segmentadas.</t>
  </si>
  <si>
    <t>["Promoções (ofertas, cupons, eventos)","Advertising (anúncios patrocinados)","Ajuda na resolução de problemas operacionais","Seleção (recomendação de produtos, oportunidades)","Logística (FBA, FBA-Onsite, DBA, logística própria)","Conversão (qualidade do catálogo, preços, listatem)","Marca (registro, proteção, conteúdo A+, loja oficial)"]</t>
  </si>
  <si>
    <t>Ponto Box</t>
  </si>
  <si>
    <t>SurveySubmission-38Fc2SRhJJDGzZPMuzhxCoroNlu</t>
  </si>
  <si>
    <t>2026-01-14 13:49:11.367+00</t>
  </si>
  <si>
    <t>A31OO55AGDR8RF</t>
  </si>
  <si>
    <t>Rodrigo Sanchez</t>
  </si>
  <si>
    <t>spaceyyecommerce@gmail.com</t>
  </si>
  <si>
    <t>Recomendações Estratégicas -- Serviço não é oferecido
Assistência com Resolução de Problemas -- Serviço não é oferecido
Estratégia com Promoções -- Serviço não é oferecido
Gerenciamento e suporte de catálogo -- Serviço não é oferecido
Suporte com gerenciamento de inventário -- Serviço não é oferecido
Suporte com estratégia para novos produtos -- Serviço não é oferecido</t>
  </si>
  <si>
    <t>Meu consultor entende do meu negócio -- Discordo
Meu consultor entende as necessidades do meu negócio com o programa SAS -- Discordo
Meu consultor entende sobre a minha categoria de venda -- Discordo
Meu consultor fornece recomendações estratégicas -- Discordo
Meu consultor tem conhecimento dos recursos do Seller Central -- Discordo
Meu consultor é responsivo via email -- Discordo
Meu consultor se comunica por escrito de forma clara -- Discordo</t>
  </si>
  <si>
    <t>["Logística (FBA, FBA-Onsite, DBA, logística própria)","Ajuda na resolução de problemas operacionais","Promoções (ofertas, cupons, eventos)","Conversão (qualidade do catálogo, preços, listatem)","Marca (registro, proteção, conteúdo A+, loja oficial)","Advertising (anúncios patrocinados)","Seleção (recomendação de produtos, oportunidades)"]</t>
  </si>
  <si>
    <t>ELITE SUPLEMENTOS</t>
  </si>
  <si>
    <t>SurveySubmission-38FgdlWD64RYhDmgG7CEcUtGNmg</t>
  </si>
  <si>
    <t>2026-01-14 14:27:02.181+00</t>
  </si>
  <si>
    <t xml:space="preserve">MAXIMOS SUPLEMENTOS </t>
  </si>
  <si>
    <t>CLAYTON JOSE RAMOS DE ASSUMPCAO</t>
  </si>
  <si>
    <t>clayton_ramos@ymail.com</t>
  </si>
  <si>
    <t>nao tenho</t>
  </si>
  <si>
    <t>naiara</t>
  </si>
  <si>
    <t xml:space="preserve">no momento nao </t>
  </si>
  <si>
    <t>Weve had a lot of technical issues that took a long time to get solved</t>
  </si>
  <si>
    <t>ASUS OFICIAL MARKETPLACE</t>
  </si>
  <si>
    <t>SurveySubmission-38Fiq78QYUKaKcl6BlMuEnF7P4H</t>
  </si>
  <si>
    <t>2026-01-14 14:45:07.225+00</t>
  </si>
  <si>
    <t>ASUS MARKETPLACE</t>
  </si>
  <si>
    <t>AUPW7X1Z6DEFF</t>
  </si>
  <si>
    <t>Luis Roberto Aires Patricio</t>
  </si>
  <si>
    <t>mktp.comercial@acbz.com.br</t>
  </si>
  <si>
    <t>["Promoções (ofertas, cupons, eventos)","Seleção (recomendação de produtos, oportunidades)","Ajuda na resolução de problemas operacionais","Conversão (qualidade do catálogo, preços, listatem)","Advertising (anúncios patrocinados)","Marca (registro, proteção, conteúdo A+, loja oficial)","Logística (FBA, FBA-Onsite, DBA, logística própria)"]</t>
  </si>
  <si>
    <t>Gostaria que houvesse algum tipo de relatÃ³rio de Buy Box</t>
  </si>
  <si>
    <t>PingooCasa</t>
  </si>
  <si>
    <t>SurveySubmission-38FmnTnMyHJgMgTY5qwn9oyIg3x</t>
  </si>
  <si>
    <t>2026-01-14 15:17:39.8+00</t>
  </si>
  <si>
    <t>Pingoo.casa</t>
  </si>
  <si>
    <t>Felipe Augusto Comunale</t>
  </si>
  <si>
    <t>felipe.comunale@pingoo.casa</t>
  </si>
  <si>
    <t>Recomendações Estratégicas -- Importante
Assistência com Resolução de Problemas -- Importante
Estratégia com Promoções -- Muito importante
Gerenciamento e suporte de catálogo -- Muito importante
Suporte com gerenciamento de inventário -- Importante
Suporte com estratégia para novos produtos -- Importante</t>
  </si>
  <si>
    <t>["Logística (FBA, FBA-Onsite, DBA, logística própria)","Advertising (anúncios patrocinados)","Marca (registro, proteção, conteúdo A+, loja oficial)","Seleção (recomendação de produtos, oportunidades)","Conversão (qualidade do catálogo, preços, listatem)","Promoções (ofertas, cupons, eventos)","Ajuda na resolução de problemas operacionais"]</t>
  </si>
  <si>
    <t xml:space="preserve">Relatório de vendas e de FBA </t>
  </si>
  <si>
    <t>Oportunidades e planejamento com mais antecedÃªncia para datas fortes</t>
  </si>
  <si>
    <t>Visitar mais o seller</t>
  </si>
  <si>
    <t>Poderia ser mais rÃ¡pido por telefone</t>
  </si>
  <si>
    <t>Gostaria de uma proximidade maior com o consultor de Ads</t>
  </si>
  <si>
    <t>Relatorio de mais vendidos das categorias, mais visitados, melhor CTR</t>
  </si>
  <si>
    <t>Gshield Brasil</t>
  </si>
  <si>
    <t>SurveySubmission-38Fmpkf8QoamlJdpnQK3hyH2t5j</t>
  </si>
  <si>
    <t>2026-01-14 15:17:57.727+00</t>
  </si>
  <si>
    <t>A2918GIWPWD6T6</t>
  </si>
  <si>
    <t>Miguel Ângelo de Sousa</t>
  </si>
  <si>
    <t>miguel@gorilashield.com.br</t>
  </si>
  <si>
    <t>Vinicius Araujo</t>
  </si>
  <si>
    <t>Não.</t>
  </si>
  <si>
    <t>["Ajuda na resolução de problemas operacionais","Promoções (ofertas, cupons, eventos)","Logística (FBA, FBA-Onsite, DBA, logística própria)","Seleção (recomendação de produtos, oportunidades)","Conversão (qualidade do catálogo, preços, listatem)","Marca (registro, proteção, conteúdo A+, loja oficial)","Advertising (anúncios patrocinados)"]</t>
  </si>
  <si>
    <t>Gostaria que melhorassem as transferências de estoque que estão sendo feitas no Full, o estoque tem sido atualizado para em transferência e há casos em que transferem todas as unidades e inativam o anúncio, a transferencia não deveria inativar o estoque, também acho que poderia ser mais transparente o processo e ser informado para qual CD o estoque está sendo transferido ou tempo estimado.</t>
  </si>
  <si>
    <t xml:space="preserve">o programa funciona bem, temos mais dificuldades com a plataforma e problemas operacionais, detalhando, podemos melhorar mais com o programa se aprofundano mais em cada conta, nos problemas de tecnologia mas tambem olhando mais especificamente para a categoria. Analisar a venda mais no detalhe, assim como conseguir mais estabilidades nas campanhas negociadas, sabemos que isso depende de outras areas mas acredito que o aprofundamento ajudaria nas estratÃ©gias. </t>
  </si>
  <si>
    <t>Werner, Alexandre abwerner@amazon.com</t>
  </si>
  <si>
    <t>Wave Eletrônicos</t>
  </si>
  <si>
    <t>SurveySubmission-38FnnJtNoeGqE9yvJWFhNAmgLO6</t>
  </si>
  <si>
    <t>2026-01-14 15:25:51.329+00</t>
  </si>
  <si>
    <t>Wave Eletronicos</t>
  </si>
  <si>
    <t>A3VI4266PV1ZXX</t>
  </si>
  <si>
    <t>Wave Eletronicos Comercio de Informatica LTDA</t>
  </si>
  <si>
    <t>wave.eletronicos.rj@gmail.com</t>
  </si>
  <si>
    <t>Vini é fera !</t>
  </si>
  <si>
    <t>Melhorar a forma do serviÃ§o de cadastro de produtos. Atualmente Ã© altamente burocratico e demorado.</t>
  </si>
  <si>
    <t>StÃ©phanie</t>
  </si>
  <si>
    <t>Recover Farma</t>
  </si>
  <si>
    <t>SurveySubmission-38G3XKlgsEdSumPh1faIyhBPv2A</t>
  </si>
  <si>
    <t>2026-01-14 17:35:18.534+00</t>
  </si>
  <si>
    <t>A2FBWBAKH7Q552</t>
  </si>
  <si>
    <t>Millena Bezerra Tubias</t>
  </si>
  <si>
    <t>millenatubias.intl@gmail.com</t>
  </si>
  <si>
    <t>["Promoções (ofertas, cupons, eventos)","Logística (FBA, FBA-Onsite, DBA, logística própria)","Ajuda na resolução de problemas operacionais","Conversão (qualidade do catálogo, preços, listatem)","Marca (registro, proteção, conteúdo A+, loja oficial)","Advertising (anúncios patrocinados)","Seleção (recomendação de produtos, oportunidades)"]</t>
  </si>
  <si>
    <t>HBISTORE</t>
  </si>
  <si>
    <t>SurveySubmission-38GElLGqIKAQv5lMro6ykWIFshg</t>
  </si>
  <si>
    <t>2026-01-14 19:07:36.243+00</t>
  </si>
  <si>
    <t>A2APJNFB0HP5UJ</t>
  </si>
  <si>
    <t>Lucas Gomes Lima</t>
  </si>
  <si>
    <t>lucas.lima1@hanes.com</t>
  </si>
  <si>
    <t>["Promoções (ofertas, cupons, eventos)","Logística (FBA, FBA-Onsite, DBA, logística própria)","Advertising (anúncios patrocinados)","Seleção (recomendação de produtos, oportunidades)","Conversão (qualidade do catálogo, preços, listatem)","Ajuda na resolução de problemas operacionais","Marca (registro, proteção, conteúdo A+, loja oficial)"]</t>
  </si>
  <si>
    <t>Precisa melhorar as planilhas de conciliação financeira.</t>
  </si>
  <si>
    <t>Proponho a criaÃ§Ã£o de um recurso no Seller Central que apresente campanhas de marketing e promocionais relevantes, semelhantes ao modelo utilizado por outras grandes plataformas de e-commerce (exemplo: Mercado Livre).  Funcionalidade Desejada:  O sistema deve sugerir campanhas (datas sazonais, temÃ¡ticas, ou promocionais) com base no histÃ³rico de vendas, categoria de produto e tendÃªncias de mercado.  Para cada campanha sugerida, deve haver a opÃ§Ã£o de o seller (nÃ³s, como Electrolux) aderir de forma simples e, idealmente, com sugestÃµes de preÃ§o ou desconto que estejam competitivas no mercado.  Isso otimizaria a participaÃ§Ã£o da Electrolux e de outros sellers em aÃ§Ãµes estratÃ©gicas, garantindo maior competitividade e alinhamento com os preÃ§os de mercado.</t>
  </si>
  <si>
    <t>O atendimento do nosso consultor tem sido excelente e exemplar. Ele Ã© altamente proativo, antecipando as nossas necessidades e apresentando soluÃ§Ãµes antes mesmo de solicitarmos. A agilidade na comunicaÃ§Ã£o Ã© um diferencial, e a expertise demonstrada Ã© de alto nÃ­vel. Um exemplo disso foi o recente problema de desalinhamento de preÃ§o, que foi resolvido com extrema rapidez e eficiÃªncia, demonstrando total comprometimento com o nosso negÃ³cio. SugestÃ£o de melhoria: NÃ£o temos grandes sugestÃµes de melhoria. Acreditamos que ele deve continuar com esse alto nÃ­vel de proatividade e agilidade.</t>
  </si>
  <si>
    <t>Para otimizar nossa gestÃ£o e aumentar a eficiÃªncia das vendas, sugerimos duas melhorias principais: 1Âº: MÃ³dulo de GestÃ£o de Campanhas Promocionais:  Implementar um recurso nativo no Seller Central para que possamos visualizar e aderir a campanhas promocionais sugeridas de forma Ã¡gil (similar ao modelo de outras grandes plataformas).  Este mÃ³dulo deveria nos fornecer sugestÃµes de preÃ§o ou desconto para garantir a competitividade de nossos produtos (ex.: Electrolux) em momentos estratÃ©gicos. 2Âº: Fluxo de AprovaÃ§Ã£o de ReduÃ§Ã£o de ComissÃ£o:  Criar um canal direto e simplificado na plataforma para submissÃ£o e acompanhamento de solicitaÃ§Ãµes de reduÃ§Ã£o ou ajuste de comissÃ£o.  A aprovaÃ§Ã£o ou reprovaÃ§Ã£o dessas requisiÃ§Ãµes deveria ser feita diretamente via Seller Central, melhorando a transparÃªncia e a agilidade em negociaÃ§Ãµes especÃ­ficas de volume ou preÃ§o.</t>
  </si>
  <si>
    <t>O atendimento do nosso especialista em Ads tem sido excelente e totalmente satisfatÃ³rio.  O time tem sido crucial ao fornecer treinamentos prÃ¡ticos na plataforma e ao nos apoiar semanalmente na busca pelo equilÃ­brio ideal entre Custo, Rentabilidade e Venda. Essa abordagem proativa nos apoia significativamente nas tomadas de decisÃ£o.</t>
  </si>
  <si>
    <t>EasyTech Tecnologia</t>
  </si>
  <si>
    <t>SurveySubmission-38GIpleYp5V3vCEpyoHn0bIs8xm</t>
  </si>
  <si>
    <t>2026-01-14 19:41:05.07+00</t>
  </si>
  <si>
    <t>EasyTech MG</t>
  </si>
  <si>
    <t>A2J2TUML403L97</t>
  </si>
  <si>
    <t>Thiago Xavier Firmino do Prado</t>
  </si>
  <si>
    <t>thiago.xavier@grupoeasytech.com</t>
  </si>
  <si>
    <t>Meu consultor entende do meu negócio -- Concordo plenamente
Meu consultor entende as necessidades do meu negócio com o programa SAS -- Concordo plenamente
Meu consultor entende sobre a minha categoria de venda -- Concordo plenamente
Meu consultor fornece recomendações estratégicas -- Concordo plenamente
Meu consultor tem conhecimento dos recursos do Seller Central -- Concordo plenamente
Meu consultor é responsivo via email -- Concordo parcialmente
Meu consultor se comunica por escrito de forma clara -- Concordo plenamente</t>
  </si>
  <si>
    <t>["Promoções (ofertas, cupons, eventos)","Ajuda na resolução de problemas operacionais","Advertising (anúncios patrocinados)","Marca (registro, proteção, conteúdo A+, loja oficial)","Logística (FBA, FBA-Onsite, DBA, logística própria)","Conversão (qualidade do catálogo, preços, listatem)","Seleção (recomendação de produtos, oportunidades)"]</t>
  </si>
  <si>
    <t>DUX Nutrition</t>
  </si>
  <si>
    <t>SurveySubmission-38GLSKE9gCu0TI2sduFlDj7IFas</t>
  </si>
  <si>
    <t>2026-01-14 20:02:39.489+00</t>
  </si>
  <si>
    <t xml:space="preserve">Edgar Valdivia </t>
  </si>
  <si>
    <t>Edgar.Valdivia@sellersflow.com</t>
  </si>
  <si>
    <t>N/A</t>
  </si>
  <si>
    <t>Meu consultor entende do meu negócio -- Concordo plenamente
Meu consultor entende as necessidades do meu negócio com o programa SAS -- Concordo parcialmente
Meu consultor entende sobre a minha categoria de venda -- Concordo plenamente
Meu consultor fornece recomendações estratégicas -- Concordo parcialmente
Meu consultor tem conhecimento dos recursos do Seller Central -- Concordo parcialmente
Meu consultor é responsivo via email -- Concordo plenamente
Meu consultor se comunica por escrito de forma clara -- Concordo plenamente</t>
  </si>
  <si>
    <t>["Seleção (recomendação de produtos, oportunidades)","Logística (FBA, FBA-Onsite, DBA, logística própria)","Advertising (anúncios patrocinados)","Marca (registro, proteção, conteúdo A+, loja oficial)","Conversão (qualidade do catálogo, preços, listatem)","Ajuda na resolução de problemas operacionais","Promoções (ofertas, cupons, eventos)"]</t>
  </si>
  <si>
    <t xml:space="preserve">OrientaÃ§Ãµes mais claras, assertivas, sobre o que fazer para vender mais, totalmente customizadas para a conta. Identificar os pontos-chave que podem impactar na venda e instruir o time sobre como fazer para explorar. Na teoria isso ja era para ser feito, mas na pratica acontece muito pouco. </t>
  </si>
  <si>
    <t>Rafaela</t>
  </si>
  <si>
    <t xml:space="preserve">Entendendo o meu negÃ³cio com mais profundidade e sugerindo aÃ§Ãµes praticas e objetivas, com base na nossa conta, nosso portfolio e o que fazer para vender mais. </t>
  </si>
  <si>
    <t>DecorativeStore</t>
  </si>
  <si>
    <t>SurveySubmission-38Ga7RfTq39FSDtMQI2nYfp8L5B</t>
  </si>
  <si>
    <t>2026-01-14 22:03:13.484+00</t>
  </si>
  <si>
    <t>Decorative Store</t>
  </si>
  <si>
    <t>SZGJ</t>
  </si>
  <si>
    <t>Sandra Cristina Noga Strassi de Oliveira Silva</t>
  </si>
  <si>
    <t>contato@decorativestore.com.br</t>
  </si>
  <si>
    <t xml:space="preserve">Discordo totalmente </t>
  </si>
  <si>
    <t>Gostaria de solicitar, de forma respeitosa, a troca da consultora responsável pela minha conta.
Durante o último período, em razão de uma gestação de risco e do nascimento do meu filho, estive menos focada em expansão de vendas, mantendo apenas a gestão básica da conta. Ainda assim, nas poucas demandas que tive, não senti abertura, prontidão ou empatia no atendimento recebido. As respostas foram, em sua maioria, limitadas à orientação de “abrir um chamado”, entre outras situações que fiquei bastante desconfortável antes da Black Friday. Durante o evento pedi auxilio para o Caio Brandão sobre algumas ofertas que não estava no ar e fui parcialmente atendida. Do evento pra cá não estou tendo nenhum atendimento, a Bianca se limitou a enviar uma mensagem no whatssap ignorando totalmente qualquer problema ou tempo sem contato.</t>
  </si>
  <si>
    <t>Meu consultor entende do meu negócio -- Discordo totalmente
Meu consultor entende as necessidades do meu negócio com o programa SAS -- Discordo totalmente
Meu consultor entende sobre a minha categoria de venda -- Discordo totalmente
Meu consultor fornece recomendações estratégicas -- Discordo totalmente
Meu consultor tem conhecimento dos recursos do Seller Central -- Discordo totalmente
Meu consultor é responsivo via email -- Discordo totalmente
Meu consultor se comunica por escrito de forma clara -- Discordo totalmente</t>
  </si>
  <si>
    <t>Desde o início do relacionamento, senti dificuldade no alinhamento do atendimento, especialmente no que diz respeito à comunicação e à postura de suporte. Ao longo de vários meses, procurei manter o contato e utilizar os canais disponíveis, porém, nas poucas demandas que apresentei, percebi baixa abertura, pouca proatividade e respostas excessivamente padronizadas, sem análise ou direcionamento, o que acabou dificultando a construção de uma relação de confiança. Apesar das tentativas ao longo do tempo, o relacionamento não evoluiu de forma satisfatória, razão pela qual entendo que uma mudança de consultoria seja o caminho mais adequado.</t>
  </si>
  <si>
    <t>["Promoções (ofertas, cupons, eventos)","Ajuda na resolução de problemas operacionais","Logística (FBA, FBA-Onsite, DBA, logística própria)","Advertising (anúncios patrocinados)","Seleção (recomendação de produtos, oportunidades)","Marca (registro, proteção, conteúdo A+, loja oficial)","Conversão (qualidade do catálogo, preços, listatem)"]</t>
  </si>
  <si>
    <t>PADUASHOP</t>
  </si>
  <si>
    <t>SurveySubmission-38ImO4wHm5v4arGxSVQEJQNWuXC</t>
  </si>
  <si>
    <t>2026-01-15 16:43:43.809+00</t>
  </si>
  <si>
    <t>The Suplementos</t>
  </si>
  <si>
    <t>CAROLINE SILVA GONZAGA</t>
  </si>
  <si>
    <t>suplementosmarmota@gmail.com</t>
  </si>
  <si>
    <t>Podia ter treinamentos mais especificos pra cada área como ads, promoções</t>
  </si>
  <si>
    <t>Rodrigo Patoja</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</si>
  <si>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Concordo plenamente
Meu consultor tem conhecimento dos recursos do Seller Central -- Concordo plenamente
Meu consultor é responsivo via email -- Concordo plenamente
Meu consultor se comunica por escrito de forma clara -- Concordo plenamente</t>
  </si>
  <si>
    <t>Jefferson Cunha</t>
  </si>
  <si>
    <t>NO2PROBLEMS</t>
  </si>
  <si>
    <t>SurveySubmission-38IrzS4mSf3k2eyHNwq8pI4Dx0L</t>
  </si>
  <si>
    <t>2026-01-15 17:29:47.397+00</t>
  </si>
  <si>
    <t>SCMF GROUP</t>
  </si>
  <si>
    <t>A3HOD40HQWL6ZJ</t>
  </si>
  <si>
    <t>Caio El Khoury Andrade</t>
  </si>
  <si>
    <t>caio.andrade@scarmif.com.br</t>
  </si>
  <si>
    <t>O programa poderia nos trazer dados em relação a categoria e concorrentes, ajudando assim a aumentar o desempenho dos produtos dentro da Amazon</t>
  </si>
  <si>
    <t>Por hora estou bem satisfeito</t>
  </si>
  <si>
    <t>Algumas informações sempre precisam ser preenchidas, como ja estamos logado na conta, ele poderia puxar automaticamente</t>
  </si>
  <si>
    <t>Ainda estamos nos desenvolvendo melhor nessa parte, não tenho muito a falar</t>
  </si>
  <si>
    <t>["Promoções (ofertas, cupons, eventos)","Ajuda na resolução de problemas operacionais","Marca (registro, proteção, conteúdo A+, loja oficial)","Advertising (anúncios patrocinados)","Logística (FBA, FBA-Onsite, DBA, logística própria)","Conversão (qualidade do catálogo, preços, listatem)","Seleção (recomendação de produtos, oportunidades)"]</t>
  </si>
  <si>
    <t xml:space="preserve">PromoÃ§Ãµes e ConteÃºdos para marca prÃ³pria </t>
  </si>
  <si>
    <t xml:space="preserve">Victor Kaneco </t>
  </si>
  <si>
    <t>Boticário Oficial</t>
  </si>
  <si>
    <t>SurveySubmission-38IuzA63sQDMLj3OvIw5hexcClW</t>
  </si>
  <si>
    <t>2026-01-15 17:54:25.321+00</t>
  </si>
  <si>
    <t>Eudora Oficial</t>
  </si>
  <si>
    <t>A2JEDOBJ2JSSP9</t>
  </si>
  <si>
    <t>Gabrieli Tays</t>
  </si>
  <si>
    <t>gabrieli.silva@grupoboticario.com.br</t>
  </si>
  <si>
    <t>Nas recomendações estratégicas, aprofundar os direcionais de categorias (oportunidades, lacunas a explorar, TM, tipo de produto, etc).</t>
  </si>
  <si>
    <t>Naine Rangel</t>
  </si>
  <si>
    <t>Aproveito o espaço para destacar nossa satisfação em ter a Naiane dando suporte as contas do Grupo Boticário. A Nai é muito prestativa, disposta a auxiliar e a criar oportunidades comerciais, sempre disponível e atuando com agilidade. Nos apoiou com maestria em diversos momentos onde tivemos alguma dificuldade com a plataforma, abertura de chamados, desenvolvimento de novas lojas, etc. demonstrando bastante conhecimento em temas diversos.</t>
  </si>
  <si>
    <t xml:space="preserve">O processo de subida de cupons por planilha tem gerado erro há meses. Temos feito o processamento de forma manual (asin por asin para dar certo). Ter este recurso pelo Serviço Premium auxiliaria no dia a dia. </t>
  </si>
  <si>
    <t>["Promoções (ofertas, cupons, eventos)","Ajuda na resolução de problemas operacionais","Seleção (recomendação de produtos, oportunidades)","Marca (registro, proteção, conteúdo A+, loja oficial)","Advertising (anúncios patrocinados)","Conversão (qualidade do catálogo, preços, listatem)","Logística (FBA, FBA-Onsite, DBA, logística própria)"]</t>
  </si>
  <si>
    <t xml:space="preserve">Envio da planilha de sugestão de ofertas 2x por semana, visto que os  preços sugeridos pela Amazon mudam com frequência. </t>
  </si>
  <si>
    <t>Tudo estÃ¡ muito alinhado, funcionando bem. Tudo OK!</t>
  </si>
  <si>
    <t>Victor Kaneko</t>
  </si>
  <si>
    <t>Tudo OK</t>
  </si>
  <si>
    <t>Liectroux Brasil Oficial</t>
  </si>
  <si>
    <t>SurveySubmission-38IvHHTseBXC0NIZzE5aWkLLbnt</t>
  </si>
  <si>
    <t>2026-01-15 17:56:49.683+00</t>
  </si>
  <si>
    <t>Liectroux</t>
  </si>
  <si>
    <t>A1O9ZYM77R0P3D</t>
  </si>
  <si>
    <t>Eduarda Silvério</t>
  </si>
  <si>
    <t>ecommerce2@liectroux.com.br</t>
  </si>
  <si>
    <t>Ótimo atendimento do gerente de contas e de ads!</t>
  </si>
  <si>
    <t>Igor</t>
  </si>
  <si>
    <t>["Promoções (ofertas, cupons, eventos)","Advertising (anúncios patrocinados)","Conversão (qualidade do catálogo, preços, listatem)","Logística (FBA, FBA-Onsite, DBA, logística própria)","Ajuda na resolução de problemas operacionais","Marca (registro, proteção, conteúdo A+, loja oficial)","Seleção (recomendação de produtos, oportunidades)"]</t>
  </si>
  <si>
    <t>jefferson cunha</t>
  </si>
  <si>
    <t>O Atendimento em sÃ­ deixou gaps , poderia ter sido mais eficaz</t>
  </si>
  <si>
    <t>As semanais precisam acontecer e ser mais ricas em dados para anÃ¡lise e buscar a estratÃ©gia correta</t>
  </si>
  <si>
    <t>HÃ¡ sempre algo a melhorar</t>
  </si>
  <si>
    <t>1- RelatÃ³rio unificado onde tenha dados de custos de frete (seja DBA ou FBA , valores comissÃ£o , promoÃ§Ãµes aplicadas, todos custos envolvidos) 2- Report que desÃ§a o nÃºmero das NF -NÂ° pedido - data pedido - status pedido  alÃ©m do que tem hj mas Ã©  PDF ou xml , principalmente FBA</t>
  </si>
  <si>
    <t>Olympikus</t>
  </si>
  <si>
    <t>SurveySubmission-38J6OOdDRokTBeB8sjZasUJ1bUJ</t>
  </si>
  <si>
    <t>2026-01-15 19:28:13.839+00</t>
  </si>
  <si>
    <t>Under Armour</t>
  </si>
  <si>
    <t>A1RL3S5FY24F7T</t>
  </si>
  <si>
    <t xml:space="preserve">BRUNO ROBERTO </t>
  </si>
  <si>
    <t>bruno.moura@vulcabras.com</t>
  </si>
  <si>
    <t>Recomendações Estratégicas -- Importante
Assistência com Resolução de Problemas -- Muito importante
Estratégia com Promoções -- Muito importante
Gerenciamento e suporte de catálogo -- Importante
Suporte com gerenciamento de inventário -- Importante
Suporte com estratégia para novos produtos -- Muito importante</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</si>
  <si>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Nem concordo, nem discordo
Meu consultor tem conhecimento dos recursos do Seller Central -- Concordo parcialmente
Meu consultor é responsivo via email -- Concordo parcialmente
Meu consultor se comunica por escrito de forma clara -- Concordo parcialmente</t>
  </si>
  <si>
    <t>["Promoções (ofertas, cupons, eventos)","Seleção (recomendação de produtos, oportunidades)","Advertising (anúncios patrocinados)","Conversão (qualidade do catálogo, preços, listatem)","Marca (registro, proteção, conteúdo A+, loja oficial)","Logística (FBA, FBA-Onsite, DBA, logística própria)","Ajuda na resolução de problemas operacionais"]</t>
  </si>
  <si>
    <t>PromoÃ§Ãµes autÃ´nomas para sellers: cancelamento principalmente, pois a ativaÃ§Ã£o jÃ¡ conseguimos definir.</t>
  </si>
  <si>
    <t>A comunicaÃ§Ã£o Ã© excelente. Como sugestÃ£o, gostaria de deixar somente a questÃ£o de ser mais Ã¡gil nas respostas.</t>
  </si>
  <si>
    <t>Maior agilidade nas tarefas.</t>
  </si>
  <si>
    <t>XFORCE SHOP</t>
  </si>
  <si>
    <t>SurveySubmission-38JBa3glyP7luH9jrca6CL2dMNt</t>
  </si>
  <si>
    <t>2026-01-15 20:10:53.179+00</t>
  </si>
  <si>
    <t>Vita Market Shop</t>
  </si>
  <si>
    <t>A2FW0A4DY1NQ7O</t>
  </si>
  <si>
    <t>Alexandre Araujo</t>
  </si>
  <si>
    <t>alexandre.xforce@gmail.com</t>
  </si>
  <si>
    <t>Recomendações Estratégicas -- Serviço não é oferecido
Assistência com Resolução de Problemas -- Muito importante
Estratégia com Promoções -- Serviço não é oferecido
Gerenciamento e suporte de catálogo -- Muito importante
Suporte com gerenciamento de inventário -- Muito importante
Suporte com estratégia para novos produtos -- Muito importante</t>
  </si>
  <si>
    <t>em questoes de resoluçoes de problema, muita das vezes o retorno depende de outro time para analalizar e resolver, e alguma das vezes parece que cai em esquecimento, sendo o motivo pelo e solicitado e de urgencia sempre, por mais que seja apenas um problema, solicitamos sempre com urgencia!</t>
  </si>
  <si>
    <t>Rodrigo/João</t>
  </si>
  <si>
    <t>Meu consultor entende do meu negócio -- Nem concordo, nem discordo
Meu consultor entende as necessidades do meu negócio com o programa SAS -- Nem concordo, nem discordo
Meu consultor entende sobre a minha categoria de venda -- Concordo parcialmente
Meu consultor fornece recomendações estratégicas -- Discordo
Meu consultor tem conhecimento dos recursos do Seller Central -- Nem concordo, nem discordo
Meu consultor é responsivo via email -- Discordo
Meu consultor se comunica por escrito de forma clara -- Discordo</t>
  </si>
  <si>
    <t>Agilidade, clareza, e soluçoes cabivei e tratativa para evita erro recorrente da mesma cituação</t>
  </si>
  <si>
    <t>analise geral do que poderiamos e esta usufluindo da ferramenta</t>
  </si>
  <si>
    <t>["Ajuda na resolução de problemas operacionais","Logística (FBA, FBA-Onsite, DBA, logística própria)","Marca (registro, proteção, conteúdo A+, loja oficial)","Advertising (anúncios patrocinados)","Promoções (ofertas, cupons, eventos)","Seleção (recomendação de produtos, oportunidades)","Conversão (qualidade do catálogo, preços, listatem)"]</t>
  </si>
  <si>
    <t>desempenho de produtos de catalago, produtos com relevancia que deveriamos ter mais estoque.</t>
  </si>
  <si>
    <t>Mercado123</t>
  </si>
  <si>
    <t>SurveySubmission-38JNwhXYl2OLKuG4xJ7ozQH9fdW</t>
  </si>
  <si>
    <t>2026-01-15 21:52:33.535+00</t>
  </si>
  <si>
    <t>A38W6HLY3FI9WR</t>
  </si>
  <si>
    <t>Salomao</t>
  </si>
  <si>
    <t>admin@aromadalma.com.br</t>
  </si>
  <si>
    <t>Recomendações Estratégicas -- Importante
Assistência com Resolução de Problemas -- Muito importante
Estratégia com Promoções -- Muito importante
Gerenciamento e suporte de catálogo -- Importante
Suporte com gerenciamento de inventário -- Sem importância
Suporte com estratégia para novos produtos -- Sem importância</t>
  </si>
  <si>
    <t>-</t>
  </si>
  <si>
    <t>Meu consultor entende do meu negócio -- Concordo plenamente
Meu consultor entende as necessidades do meu negócio com o programa SAS -- Concordo plenamente
Meu consultor entende sobre a minha categoria de venda -- Concordo parcialmente
Meu consultor fornece recomendações estratégicas -- Concordo plenamente
Meu consultor tem conhecimento dos recursos do Seller Central -- Concordo plenamente
Meu consultor é responsivo via email -- Concordo parcialmente
Meu consultor se comunica por escrito de forma clara -- Concordo plenamente</t>
  </si>
  <si>
    <t xml:space="preserve">ser mais proativo </t>
  </si>
  <si>
    <t>["Promoções (ofertas, cupons, eventos)","Ajuda na resolução de problemas operacionais","Logística (FBA, FBA-Onsite, DBA, logística própria)","Conversão (qualidade do catálogo, preços, listatem)","Marca (registro, proteção, conteúdo A+, loja oficial)","Seleção (recomendação de produtos, oportunidades)","Advertising (anúncios patrocinados)"]</t>
  </si>
  <si>
    <t>MEGA BYTE MAGAZINE</t>
  </si>
  <si>
    <t>SurveySubmission-38L5S6BwdkwyI9IurVasW0zXljs</t>
  </si>
  <si>
    <t>2026-01-16 12:20:07.14+00</t>
  </si>
  <si>
    <t>Mega Byte Magazine</t>
  </si>
  <si>
    <t>Caroline Vitória de Mattos e Souza</t>
  </si>
  <si>
    <t>online3@megabytecomputadores.com.br</t>
  </si>
  <si>
    <t>UTILIZAÍ DISTRIBUIDORA</t>
  </si>
  <si>
    <t>SurveySubmission-38LMQDQxyWeDEGC5NTqwJZix7X8</t>
  </si>
  <si>
    <t>2026-01-16 14:39:39.625+00</t>
  </si>
  <si>
    <t>Utilizaí Distribuidora</t>
  </si>
  <si>
    <t>AGWBDBZ9Z8GSC</t>
  </si>
  <si>
    <t>Nycolle Rodrigues</t>
  </si>
  <si>
    <t>ecommerce.distribuidora1@parolarutil.com.br</t>
  </si>
  <si>
    <t>Recomendações Estratégicas -- Importante
Assistência com Resolução de Problemas -- Serviço não é oferecido
Estratégia com Promoções -- Importante
Gerenciamento e suporte de catálogo -- Importante
Suporte com gerenciamento de inventário -- Importante
Suporte com estratégia para novos produtos -- Serviço não é oferecido</t>
  </si>
  <si>
    <t>Resolução de problemas não é feito com agilidade, isso precisa ser prioritário no serviço de consultoria, não temos um retorno rápido da parte de vocês</t>
  </si>
  <si>
    <t>Meu consultor entende do meu negócio -- Discordo totalmente
Meu consultor entende as necessidades do meu negócio com o programa SAS -- Discordo totalmente
Meu consultor entende sobre a minha categoria de venda -- Discordo totalmente
Meu consultor fornece recomendações estratégicas -- Discordo totalmente
Meu consultor tem conhecimento dos recursos do Seller Central -- Discordo totalmente
Meu consultor é responsivo via email -- Nem concordo, nem discordo
Meu consultor se comunica por escrito de forma clara -- Discordo totalmente</t>
  </si>
  <si>
    <t>Estou enfrentando um problema com o registro de marca, e todas as vezes que precisei de ajuda do consultor, a mesma não me trouxe um retorno eficiente, muitas das vezes sem convicção e conhecimento do que estava falando, ou até mesmo sem base para me direcionar no caminho certo para resolver o problema</t>
  </si>
  <si>
    <t>["Advertising (anúncios patrocinados)","Ajuda na resolução de problemas operacionais","Seleção (recomendação de produtos, oportunidades)","Marca (registro, proteção, conteúdo A+, loja oficial)","Conversão (qualidade do catálogo, preços, listatem)","Promoções (ofertas, cupons, eventos)","Logística (FBA, FBA-Onsite, DBA, logística própria)"]</t>
  </si>
  <si>
    <t xml:space="preserve">Continue da forma que estÃ¡. EstÃ¡ excelente! </t>
  </si>
  <si>
    <t>Identificamos uma oportunidade de melhoria que impacta diretamente a clareza e a rastreabilidade das tratativas no canal.
Atualmente, observamos que mÃºltiplas solicitaÃ§Ãµes de diferentes usuÃ¡rios estÃ£o sendo gerenciadas dentro de um Ãºnico chamado/ticket. Isso gera confusÃ£o e dificulta a priorizaÃ§Ã£o, pois as respostas se misturam, alternando o foco entre a primeira e a segunda solicitaÃ§Ã£o.</t>
  </si>
  <si>
    <t>Feirão Dos Móveis</t>
  </si>
  <si>
    <t>SurveySubmission-38LdDXhVrE0J49rdDfkxxCt2mnS</t>
  </si>
  <si>
    <t>2026-01-16 16:57:45.741+00</t>
  </si>
  <si>
    <t>A1YKBOWDZK8JIV</t>
  </si>
  <si>
    <t>WIPERSON HENRIQUE FRANCISCO DE SOUZA</t>
  </si>
  <si>
    <t>distribuidorademoveisjm3@gmail.com</t>
  </si>
  <si>
    <t xml:space="preserve">Abranger os CEP atendidos </t>
  </si>
  <si>
    <t>Cyro</t>
  </si>
  <si>
    <t>["Ajuda na resolução de problemas operacionais","Logística (FBA, FBA-Onsite, DBA, logística própria)","Seleção (recomendação de produtos, oportunidades)","Advertising (anúncios patrocinados)","Marca (registro, proteção, conteúdo A+, loja oficial)","Promoções (ofertas, cupons, eventos)","Conversão (qualidade do catálogo, preços, listatem)"]</t>
  </si>
  <si>
    <t xml:space="preserve">Melhorar as questÃµes de resoluÃ§Ã£o de problema, na maioria das vezes esse retorno Ã© demorado, principalmente quando se trata de questÃµes de transporte (DBA). NÃ£o conseguimos contato com ninguem do time de DBA. </t>
  </si>
  <si>
    <t xml:space="preserve">Manoela Rodrigues </t>
  </si>
  <si>
    <t>Melhorar na questÃ£o estratÃ©gica, em relaÃ§Ã£o as ofertas, itens. Identificar maiores oportunidades durante todo o ano e nÃ£o somente em perÃ­odos de evento. Hoje por exemplo, participamos do evento Seller SAS Day e informaram que semanalmente estÃ£o fazendo reduÃ§Ãµes de comissÃ£o como incentivo para os sellers venderem mais e no nosso caso negociamos reduÃ§Ã£o de comissÃ£o apenas em eventos. E quando nÃ£o estamos em evento nossas vendas caem muito.</t>
  </si>
  <si>
    <t xml:space="preserve">Ter um serviÃ§o com mais qualidade, por exemplo, quando solicitamos para o time criar a pagina de historia da empresa, eles tiraram print das prÃ³prias imagens que tÃ­nhamos na brand stores e nÃ£o criaram algo novo. </t>
  </si>
  <si>
    <t xml:space="preserve">O trabalho nÃ£o Ã© tao estratÃ©gico e nao temos a constÃ¢ncia necessÃ¡ria de rever campanhas, acompanhar os gastos, etc.   </t>
  </si>
  <si>
    <t xml:space="preserve">Ter dentro do seller apenas para vendedores participantes do programa e donos de marca, um relatorio em tempo real que pudessemos acompanhar qual seller/vendor esta ganhando buy box. </t>
  </si>
  <si>
    <t>MMPLACE OFICIAL</t>
  </si>
  <si>
    <t>SurveySubmission-38LdoSnL22jL1eMdZlbh2owzIxU</t>
  </si>
  <si>
    <t>2026-01-16 17:02:39.178+00</t>
  </si>
  <si>
    <t>MULTI OFICIAL</t>
  </si>
  <si>
    <t>A14GR036312K9K</t>
  </si>
  <si>
    <t>Adelson Souza Lima</t>
  </si>
  <si>
    <t>adelson.lima@grupomultilaser.com.br</t>
  </si>
  <si>
    <t>Recomendações Estratégicas -- Muito importante
Assistência com Resolução de Problemas -- Muito importante
Estratégia com Promoções -- Importante
Gerenciamento e suporte de catálogo -- Importante
Suporte com gerenciamento de inventário -- Importante
Suporte com estratégia para novos produtos -- Sem importância</t>
  </si>
  <si>
    <t>Sentimos falta de um Report onde tenha um compilado de todos os custos e taxas do pedido , desde frete(DBA, FBA) comissão, promoções , ETC. Hoje temos separado e com formatos diferentes .</t>
  </si>
  <si>
    <t>Alexandre werner</t>
  </si>
  <si>
    <t xml:space="preserve"> A dinãmica de conteúdo A+ , sempre envio as demandas mas da erro ou demora na resposta</t>
  </si>
  <si>
    <t>Há uma rotatividade alta do suporte e quase sempre não aprofundamos nos temas principais</t>
  </si>
  <si>
    <t>ter um gestor para resoluÃ§Ã£o de problemas em LogÃ­stica, IntegraÃ§Ã£o e gestÃ£o de estoque via Integradora, resoluÃ§Ã£o de problemas com integraÃ§Ã£o de catÃ¡logo via integradora (bling no nosso caso) melhorias na integraÃ§Ã£o com bling ajudaria muito.</t>
  </si>
  <si>
    <t>pode melhorar Agilidade, importante no nosso dia a dia para um serviÃ§o como o SAS.</t>
  </si>
  <si>
    <t>pelo tempo que recebemos a informaÃ§Ã£o de que em fim teremos este gerente de resoluÃ§Ãµes operacionais que foi ontem 14/10 ainda nÃ£o tenho uma avaliaÃ§Ã£o sobre.</t>
  </si>
  <si>
    <t>ESPARTANOS OFICIAL</t>
  </si>
  <si>
    <t>SurveySubmission-38LwMeYjoMMRMzTZPtJzwnuwYe8</t>
  </si>
  <si>
    <t>2026-01-16 19:35:12.641+00</t>
  </si>
  <si>
    <t>AXNIIPY1LNDVI</t>
  </si>
  <si>
    <t>Bárbara Nogueira Venturini</t>
  </si>
  <si>
    <t>barbara.spmesportes@gmail.com</t>
  </si>
  <si>
    <t>["Ajuda na resolução de problemas operacionais","Promoções (ofertas, cupons, eventos)","Advertising (anúncios patrocinados)","Logística (FBA, FBA-Onsite, DBA, logística própria)","Conversão (qualidade do catálogo, preços, listatem)","Seleção (recomendação de produtos, oportunidades)","Marca (registro, proteção, conteúdo A+, loja oficial)"]</t>
  </si>
  <si>
    <t>ENGAGE ELETRO</t>
  </si>
  <si>
    <t>SurveySubmission-38LwwoGOBcITSTlMUu37fszehqg</t>
  </si>
  <si>
    <t>2026-01-16 19:39:59.014+00</t>
  </si>
  <si>
    <t>Engage Eletro ⭐⭐⭐⭐⭐</t>
  </si>
  <si>
    <t>A2JVQSS3S1CD5H</t>
  </si>
  <si>
    <t>Pedro Correa</t>
  </si>
  <si>
    <t>pedro@engageeletro.com.br</t>
  </si>
  <si>
    <t>Melhorar solicitação de arquivos, as vezes se torna muito complicado.</t>
  </si>
  <si>
    <t>relatÃ³rio de devoluÃ§Ãµes de pedidos, contendo o motivo da devoluÃ§Ã£o.</t>
  </si>
  <si>
    <t>Raiafit</t>
  </si>
  <si>
    <t>SurveySubmission-38LxdQNViufA21wHCHqjrXwyIYx</t>
  </si>
  <si>
    <t>2026-01-16 19:45:38.987+00</t>
  </si>
  <si>
    <t>RaiaFit SP</t>
  </si>
  <si>
    <t>A2AGCDZ6GRXKXA</t>
  </si>
  <si>
    <t>["Ajuda na resolução de problemas operacionais","Promoções (ofertas, cupons, eventos)","Advertising (anúncios patrocinados)","Logística (FBA, FBA-Onsite, DBA, logística própria)","Conversão (qualidade do catálogo, preços, listatem)","Marca (registro, proteção, conteúdo A+, loja oficial)","Seleção (recomendação de produtos, oportunidades)"]</t>
  </si>
  <si>
    <t>Victor Vitoreli</t>
  </si>
  <si>
    <t>COUTINHO STORE</t>
  </si>
  <si>
    <t>SurveySubmission-38LxuTI76Bds4Gay0XZzgesGk7b</t>
  </si>
  <si>
    <t>2026-01-16 19:47:54.705+00</t>
  </si>
  <si>
    <t>COUTINHO VENDA ONLINE MG</t>
  </si>
  <si>
    <t>AYYCOXSLBBG9Y</t>
  </si>
  <si>
    <t>GILBERTY COUTINHO</t>
  </si>
  <si>
    <t>filialmg@coutinho-ms.com</t>
  </si>
  <si>
    <t>Com o fim do frete grátis em janeiro, quero te fazer um pedido especial.
Nossa meta é dobrar os envios inbound para o CD CNF5 nas próximas semanas, aumentando disponibilidade e giro no CD. Como contrapartida, pedimos seu apoio para viabilizar 50% de isenção no frete outbound para nossa conta.
Esse modelo é sustentável para nós e para a Amazon: melhora competitividade de preço, aumenta conversão e volume, reduz ruptura e eleva o nível de serviço. Todo mundo ganha.</t>
  </si>
  <si>
    <t>MUITO SATISFATÓRIO O ATENDIMENTO</t>
  </si>
  <si>
    <t>ESTÁ BOM</t>
  </si>
  <si>
    <t>["Logística (FBA, FBA-Onsite, DBA, logística própria)","Ajuda na resolução de problemas operacionais","Seleção (recomendação de produtos, oportunidades)","Advertising (anúncios patrocinados)","Marca (registro, proteção, conteúdo A+, loja oficial)","Conversão (qualidade do catálogo, preços, listatem)","Promoções (ofertas, cupons, eventos)"]</t>
  </si>
  <si>
    <t>OK</t>
  </si>
  <si>
    <t xml:space="preserve">Estamos sem um key account dedicado jÃ¡ faz 1 mÃªs </t>
  </si>
  <si>
    <t xml:space="preserve">Os problemas eram encaminhados internamente para os times da Amazon, e ficavamos totalmente sem visibilidade do andamento dos assuntos. </t>
  </si>
  <si>
    <t>RelatÃ³rios mais detalhados sobre problemas de inventÃ¡rio. 50% da nossa venda nÃ£o conseguimos cadastrar na amazon e os motivos nÃ£o sÃ£o claros</t>
  </si>
  <si>
    <t>Time Center Oficial</t>
  </si>
  <si>
    <t>SurveySubmission-38Ly8DRq59vESKpc0fgiFQOJjyq</t>
  </si>
  <si>
    <t>2026-01-16 19:49:43.392+00</t>
  </si>
  <si>
    <t>Technos</t>
  </si>
  <si>
    <t>A2DO1PDP0VDQTR</t>
  </si>
  <si>
    <t>Evely Amazonas de Souza</t>
  </si>
  <si>
    <t>evelyamazonas@gmail.com</t>
  </si>
  <si>
    <t>Recomendações Estratégicas -- Importante
Assistência com Resolução de Problemas -- Importante
Estratégia com Promoções -- Importante
Gerenciamento e suporte de catálogo -- Sem importância
Suporte com gerenciamento de inventário -- Sem importância
Suporte com estratégia para novos produtos -- Serviço não é oferecido</t>
  </si>
  <si>
    <t xml:space="preserve">Visão semanal das vendas, trazendo produtos mais buscados e produtos com maiores visibilidades para entender a oportunidade e o gap atual, e na parte operacional, ter um atendimento exclusivo, sem ter que passar pelo atendimento via chat, que geralmente só traz soluções pré-montadas. </t>
  </si>
  <si>
    <t>Maíra Lima</t>
  </si>
  <si>
    <t>["Ajuda na resolução de problemas operacionais","Promoções (ofertas, cupons, eventos)","Conversão (qualidade do catálogo, preços, listatem)","Seleção (recomendação de produtos, oportunidades)","Marca (registro, proteção, conteúdo A+, loja oficial)","Logística (FBA, FBA-Onsite, DBA, logística própria)","Advertising (anúncios patrocinados)"]</t>
  </si>
  <si>
    <t>Soldiers Nutrition</t>
  </si>
  <si>
    <t>SurveySubmission-38Lybzv5tKex07WXXdQ3vbVQA2n</t>
  </si>
  <si>
    <t>2026-01-16 19:53:40.268+00</t>
  </si>
  <si>
    <t>A2WV4O7W9ECPST</t>
  </si>
  <si>
    <t>Mariana Marques</t>
  </si>
  <si>
    <t>mariana.marques@soldiersnutrition.com.br</t>
  </si>
  <si>
    <t>Naiane Rangeel</t>
  </si>
  <si>
    <t>["Advertising (anúncios patrocinados)","Ajuda na resolução de problemas operacionais","Conversão (qualidade do catálogo, preços, listatem)","Seleção (recomendação de produtos, oportunidades)","Logística (FBA, FBA-Onsite, DBA, logística própria)","Marca (registro, proteção, conteúdo A+, loja oficial)","Promoções (ofertas, cupons, eventos)"]</t>
  </si>
  <si>
    <t>melhoria na rapides e solucoes de problemas</t>
  </si>
  <si>
    <t>julia de brito</t>
  </si>
  <si>
    <t>maior agilidade</t>
  </si>
  <si>
    <t>melhorar relatorios</t>
  </si>
  <si>
    <t xml:space="preserve">precisamos de mais agilidade
</t>
  </si>
  <si>
    <t>vendas,finaceiro logisticas</t>
  </si>
  <si>
    <t>Lojas Kubbo</t>
  </si>
  <si>
    <t>SurveySubmission-38LzKm3iaqupzfEdRcepjprmXle</t>
  </si>
  <si>
    <t>2026-01-16 19:59:37.928+00</t>
  </si>
  <si>
    <t>Nathalia Custodio</t>
  </si>
  <si>
    <t>nathalia@lojaskubbo.com.br</t>
  </si>
  <si>
    <t>["Ajuda na resolução de problemas operacionais","Promoções (ofertas, cupons, eventos)","Seleção (recomendação de produtos, oportunidades)","Conversão (qualidade do catálogo, preços, listatem)","Logística (FBA, FBA-Onsite, DBA, logística própria)","Advertising (anúncios patrocinados)","Marca (registro, proteção, conteúdo A+, loja oficial)"]</t>
  </si>
  <si>
    <t xml:space="preserve">Os pontos de melhoria sÃ£o mais ligados ao sistema em subir nossos preÃ§os e tags acordadas. Mas no quesito atendimento, Luan estÃ¡ se saindo muito bem, nos explicando os pontos e oportunidades. </t>
  </si>
  <si>
    <t xml:space="preserve">NÃ£o. No momento. </t>
  </si>
  <si>
    <t>NÃ£o. No momento.</t>
  </si>
  <si>
    <t xml:space="preserve">NÃ£o, sem sugestÃµes. NÃ³s estamos criando uma relaÃ§Ã£o bacana, nas Ãºltimas reuniÃµes tivemos muitos insights relevantes para nosso negÃ³cio. </t>
  </si>
  <si>
    <t>RelatÃ³rios de Ads mensal, com resultado por campanha com impressÃµes, venda, ROAS, e etc. &gt; RelatÃ³rio de chamados abertos com o status mensal. &gt; RelatÃ³rio de visualizaÃ§Ãµes totais (orgÃ¢nico e pago) por produto.</t>
  </si>
  <si>
    <t>Fast Shop Loja Oficial</t>
  </si>
  <si>
    <t>SurveySubmission-38M3gaywfcEex1qxzd14GIWKP3I</t>
  </si>
  <si>
    <t>2026-01-16 20:35:24.606+00</t>
  </si>
  <si>
    <t>Fast Shop</t>
  </si>
  <si>
    <t>A122ZHUG7SODV0</t>
  </si>
  <si>
    <t>Matheus Felipe da Silva</t>
  </si>
  <si>
    <t>matheusf@fastshop.com.br</t>
  </si>
  <si>
    <t>Recomendações Estratégicas -- Muito importante
Assistência com Resolução de Problemas -- Muito importante
Estratégia com Promoções -- Muito importante
Gerenciamento e suporte de catálogo -- Importante
Suporte com gerenciamento de inventário -- Muito importante
Suporte com estratégia para novos produtos -- Muito importante</t>
  </si>
  <si>
    <t xml:space="preserve">Gostaria que o processo de catalogação fosse mais simplificado </t>
  </si>
  <si>
    <t>Luan Pereira Guimarães</t>
  </si>
  <si>
    <t>categorias em crescimento na plataforma, itens mais buscados durante o período, taxa de ganho de buybox de itens ativos no catalogo da loja e preço necessário para ganhar buybox em cada item.</t>
  </si>
  <si>
    <t>ConversÃ£o e crescimento de loja.</t>
  </si>
  <si>
    <t>Mais recomendaÃ§Ãµes estratÃ©gicas para conversÃ£o, mais sugestÃµes para crescimento, mais planejamento em conjunto.</t>
  </si>
  <si>
    <t>A comunicaÃ§Ã£o com o suporte nÃ£o Ã© tÃ£o fÃ¡cil e clara. Muita das vezes recebemos retornos que nÃ£o tem a ver com o solicitado, ou os casos nÃ£o sÃ£o resolvidos.</t>
  </si>
  <si>
    <t>O consultor de ADS acabou de iniciar, ainda nÃ£o possuÃ­mos uma posiÃ§Ã£o clara sobre.</t>
  </si>
  <si>
    <t>RelatÃ³rio de ofertas negociadas: visÃ£o geral como nÃºmero de visitas, conversÃµes atravÃ©s da oferta, carrinhos abandonados.</t>
  </si>
  <si>
    <t>ITX GAMER</t>
  </si>
  <si>
    <t>SurveySubmission-38OQGgxTqwyz3CrPJbRXfTG5HLx</t>
  </si>
  <si>
    <t>2026-01-17 16:40:43.615+00</t>
  </si>
  <si>
    <t>A2KZSP8E0ZF21S</t>
  </si>
  <si>
    <t xml:space="preserve">Robson César de Oliveira </t>
  </si>
  <si>
    <t>robson@itxgamer.com.br</t>
  </si>
  <si>
    <t xml:space="preserve">O programa precisa ser mais eficaz na resolução de problemas, tem situações que não faz sentido o que a amazon pede... Logística tem que melhorar os valores e aumentar o limite de dimensões aceitas... A devolução do Cd amazon para CD do seller e pessimamente atendida, um dos piores serviços que tem entre a concorrência... Devolução do cliente deve ser feito para o seller e não para o CD da Amazon, somos nós que entendemos do nosso segmento.... 
</t>
  </si>
  <si>
    <t xml:space="preserve">Infelizmente existem processos que o consultor não tem autonomia para ajudar, embora ocorra situações que claramente vc vê o interesse dele em ajudar... Vejo pouco tempo disponível do consultor para que todas essas tarefas sejam melhor elaborada e executada...  Precisamos de mais disponibilidade de tempo do consultor </t>
  </si>
  <si>
    <t xml:space="preserve">O programa precisa ser mais eficaz na resolução de problemas, tem situações que não faz sentido o que a amazon pede... Logística tem que melhorar os valores e aumentar o limite de dimensões aceitas... A devolução do Cd amazon para CD do seller e pessimamente atendida, um dos piores serviços que tem entre a concorrência... Devolução do cliente deve ser feito para o seller e não para o CD da Amazon, somos nós que entendemos do nosso segmento e precisamos que o 1P da Amazon seja menos agressivo na concorrência com o 3P, e para de reclamar com fabricantes. </t>
  </si>
  <si>
    <t>Levanta uma campanha e fica lá sem analise... Não gostamos</t>
  </si>
  <si>
    <t xml:space="preserve">Precisamos ter todos os comprovantes dos impostos de difal pagos pela amazon e um relatório onde nos mostrar sobre quais notas se refere ... Tb precisamos dos documentos anexo comprovando o pagamento... Não é aqui onde deveria sugerir, mas precisamos de um sistema que possamos colocar nosso valor de venda e a amazon atribuisse os impostos referente ao estado que esta sendo feita a venda, assim teremos um sistema justo e preços corretos para cada estado sem nos prejudicar </t>
  </si>
  <si>
    <t>RelatÃ³rio com todas as vendas efetuadas no perÃ­odo do mÃŠs com as respectivas comissÃµes pagas Ã  amazon.</t>
  </si>
  <si>
    <t>RealTimes</t>
  </si>
  <si>
    <t>SurveySubmission-38TU4h3Bt2FnDaK548eHeZ9UeXO</t>
  </si>
  <si>
    <t>2026-01-19 11:41:04.86+00</t>
  </si>
  <si>
    <t>REAL TIMES</t>
  </si>
  <si>
    <t>A1Q54DPYKGU2TS</t>
  </si>
  <si>
    <t>JOSE ALBERTO ALVES ROS</t>
  </si>
  <si>
    <t>BETO@REALTIMES.COM.BR</t>
  </si>
  <si>
    <t>Recomendações Estratégicas -- Sem importância
Assistência com Resolução de Problemas -- Muito importante
Estratégia com Promoções -- Muito importante
Gerenciamento e suporte de catálogo -- Muito importante
Suporte com gerenciamento de inventário -- Sem importância
Suporte com estratégia para novos produtos -- Importante</t>
  </si>
  <si>
    <t>acho interessante que o canal em vez de escolher os produto para dar redução de comissão aceitase a proposta do seller como é feito no mercado livre todo inicio do mês</t>
  </si>
  <si>
    <t>ana</t>
  </si>
  <si>
    <t>Meu consultor entende do meu negócio -- Concordo plenamente
Meu consultor entende as necessidades do meu negócio com o programa SAS -- Concordo plenamente
Meu consultor entende sobre a minha categoria de venda -- Nem concordo, nem discordo
Meu consultor fornece recomendações estratégicas -- Concordo parcialmente
Meu consultor tem conhecimento dos recursos do Seller Central -- Concordo parcialmente
Meu consultor é responsivo via email -- Concordo plenamente
Meu consultor se comunica por escrito de forma clara -- Concordo plenamente</t>
  </si>
  <si>
    <t>nao tenho sugestao estou satisfeito</t>
  </si>
  <si>
    <t>["Promoções (ofertas, cupons, eventos)","Ajuda na resolução de problemas operacionais","Conversão (qualidade do catálogo, preços, listatem)","Marca (registro, proteção, conteúdo A+, loja oficial)","Seleção (recomendação de produtos, oportunidades)","Logística (FBA, FBA-Onsite, DBA, logística própria)","Advertising (anúncios patrocinados)"]</t>
  </si>
  <si>
    <t>Nos ajudar nas resoluÃ§Ãµes de problemas, pois sempre direciona nÃ³s para o suporte no site da amazon ou nÃ£o tras um retorno do que solicitamos, sempre precisamos ficar cobrando</t>
  </si>
  <si>
    <t>SeleÃ§Ã£o, recomendaÃ§Ã£o de produtos e oportunidades</t>
  </si>
  <si>
    <t>Homepoint</t>
  </si>
  <si>
    <t>SurveySubmission-38Tjk99QCC420qYbVRZ0dwWyUxq</t>
  </si>
  <si>
    <t>2026-01-19 13:49:54.464+00</t>
  </si>
  <si>
    <t>Homepoint e Homepoint MG</t>
  </si>
  <si>
    <t>A1YII1TE41IQH6 e AK0YV7IX6RGOS</t>
  </si>
  <si>
    <t>FELLIPPE GUSTAVO BUHRER</t>
  </si>
  <si>
    <t>fellippe.buhrer@bravium.com.br</t>
  </si>
  <si>
    <t>ainda muito dificil em cadastrar produtos e na resolução de problemas</t>
  </si>
  <si>
    <t>Meu consultor entende do meu negócio -- Concordo parcialmente
Meu consultor entende as necessidades do meu negócio com o programa SAS -- Concordo parcialmente
Meu consultor entende sobre a minha categoria de venda -- Concordo plenamente
Meu consultor fornece recomendações estratégicas -- Concordo plenamente
Meu consultor tem conhecimento dos recursos do Seller Central -- Nem concordo, nem discordo
Meu consultor é responsivo via email -- Concordo plenamente
Meu consultor se comunica por escrito de forma clara -- Concordo plenamente</t>
  </si>
  <si>
    <t>sem o suporte a conta, não conseguimos vender, dá muito problema essa automatização da amazon sem entender o que está contecendo</t>
  </si>
  <si>
    <t>agilidade na solução</t>
  </si>
  <si>
    <t>["Ajuda na resolução de problemas operacionais","Logística (FBA, FBA-Onsite, DBA, logística própria)","Marca (registro, proteção, conteúdo A+, loja oficial)","Seleção (recomendação de produtos, oportunidades)","Conversão (qualidade do catálogo, preços, listatem)","Promoções (ofertas, cupons, eventos)","Advertising (anúncios patrocinados)"]</t>
  </si>
  <si>
    <t>resoluÃ§Ã£o de problemas de catalogo</t>
  </si>
  <si>
    <t>Manuela Rodrigues</t>
  </si>
  <si>
    <t>a manu Ã© MUITO boa</t>
  </si>
  <si>
    <t>gosto muito, time muito professional</t>
  </si>
  <si>
    <t>Ruvolo</t>
  </si>
  <si>
    <t>SurveySubmission-38TmIq5NNmlTyesWfxd9rlmhgte</t>
  </si>
  <si>
    <t>2026-01-19 14:10:57.436+00</t>
  </si>
  <si>
    <t>Meu Copo</t>
  </si>
  <si>
    <t>A1PPAS91GQH1HT</t>
  </si>
  <si>
    <t>Ana Luiza Avedissian</t>
  </si>
  <si>
    <t>analuiza@ruvolo.com.br</t>
  </si>
  <si>
    <t>N/D</t>
  </si>
  <si>
    <t>Meu consultor entende do meu negócio -- Concordo parcialmente
Meu consultor entende as necessidades do meu negócio com o programa SAS -- Concordo parcialmente
Meu consultor entende sobre a minha categoria de venda -- Nem concordo, nem discordo
Meu consultor fornece recomendações estratégicas -- Concordo parcialmente
Meu consultor tem conhecimento dos recursos do Seller Central -- Concordo parcialmente
Meu consultor é responsivo via email -- Nem concordo, nem discordo
Meu consultor se comunica por escrito de forma clara -- Concordo plenamente</t>
  </si>
  <si>
    <t>Na maior parte das vezes que tentamos utilizar, a tarefa não foi concluída com eficiência.</t>
  </si>
  <si>
    <t>["Conversão (qualidade do catálogo, preços, listatem)","Promoções (ofertas, cupons, eventos)","Ajuda na resolução de problemas operacionais","Logística (FBA, FBA-Onsite, DBA, logística própria)","Marca (registro, proteção, conteúdo A+, loja oficial)","Advertising (anúncios patrocinados)","Seleção (recomendação de produtos, oportunidades)"]</t>
  </si>
  <si>
    <t xml:space="preserve">Ter um gerente ou um auxilio sobre publicidade, acho muito aquÃ©m o suporte de ADS para o valor que Ã© pago pelo programa. </t>
  </si>
  <si>
    <t>Sieno !</t>
  </si>
  <si>
    <t>SurveySubmission-38TmiKw6TWOb7YcFolvnjeUG0vB</t>
  </si>
  <si>
    <t>2026-01-19 14:14:20.01+00</t>
  </si>
  <si>
    <t>Sieno.</t>
  </si>
  <si>
    <t>A9KRJH2MRRBD1</t>
  </si>
  <si>
    <t>Gabriel Leal</t>
  </si>
  <si>
    <t>vendas@sieno.com.br</t>
  </si>
  <si>
    <t>Recomendações Estratégicas -- Sem importância
Assistência com Resolução de Problemas -- Muito importante
Estratégia com Promoções -- Sem importância
Gerenciamento e suporte de catálogo -- Muito importante
Suporte com gerenciamento de inventário -- Muito importante
Suporte com estratégia para novos produtos -- Muito importante</t>
  </si>
  <si>
    <t>Para a nossa loja, apenas reativar anúncios e deixá-los disponíveis para a compra é o que trás maior retorno em aumento de vendas, pois já temos o melhor preço e estoque.</t>
  </si>
  <si>
    <t>Rodrigo G.</t>
  </si>
  <si>
    <t>["Ajuda na resolução de problemas operacionais","Logística (FBA, FBA-Onsite, DBA, logística própria)","Marca (registro, proteção, conteúdo A+, loja oficial)","Seleção (recomendação de produtos, oportunidades)","Advertising (anúncios patrocinados)","Conversão (qualidade do catálogo, preços, listatem)","Promoções (ofertas, cupons, eventos)"]</t>
  </si>
  <si>
    <t>Candide - Loja Oficial</t>
  </si>
  <si>
    <t>SurveySubmission-38TsikiNgY8faQXmc1wOMmiMVAv</t>
  </si>
  <si>
    <t>2026-01-19 15:03:44.547+00</t>
  </si>
  <si>
    <t>Marcia Teixeira</t>
  </si>
  <si>
    <t>marcia@candide.com.br</t>
  </si>
  <si>
    <t>Foi maravilhosa a iniciativa do smart conect, só precisamos ajustar a ferramenta com dados q tinhamos no onsite, como romaneio e data de envio dos pedidos</t>
  </si>
  <si>
    <t>Stephanie</t>
  </si>
  <si>
    <t>Foi muito importante ele sugerir a iniciativa do smart conect para a nossa conta, crescemos muito , graças a essa iniciativa de piloto .</t>
  </si>
  <si>
    <t>Tudo otimo</t>
  </si>
  <si>
    <t>["Seleção (recomendação de produtos, oportunidades)","Promoções (ofertas, cupons, eventos)","Logística (FBA, FBA-Onsite, DBA, logística própria)","Conversão (qualidade do catálogo, preços, listatem)","Ajuda na resolução de problemas operacionais","Marca (registro, proteção, conteúdo A+, loja oficial)","Advertising (anúncios patrocinados)"]</t>
  </si>
  <si>
    <t>De fechamento de repasses mensais e Difal</t>
  </si>
  <si>
    <t>LOFT7</t>
  </si>
  <si>
    <t>SurveySubmission-38TuyViI1nCd6RDO53noV5hx22Q</t>
  </si>
  <si>
    <t>2026-01-19 15:22:16.225+00</t>
  </si>
  <si>
    <t xml:space="preserve">Loft 7 </t>
  </si>
  <si>
    <t xml:space="preserve">Felipe Augusto </t>
  </si>
  <si>
    <t>Felipe.comunale@pingoo.casa</t>
  </si>
  <si>
    <t>Recomendações Estratégicas -- Muito importante
Assistência com Resolução de Problemas -- Muito importante
Estratégia com Promoções -- Importante
Gerenciamento e suporte de catálogo -- Importante
Suporte com gerenciamento de inventário -- Muito importante
Suporte com estratégia para novos produtos -- Muito importante</t>
  </si>
  <si>
    <t>relatórios de vendas e FBA</t>
  </si>
  <si>
    <t>["Logística (FBA, FBA-Onsite, DBA, logística própria)","Ajuda na resolução de problemas operacionais","Promoções (ofertas, cupons, eventos)","Marca (registro, proteção, conteúdo A+, loja oficial)","Seleção (recomendação de produtos, oportunidades)","Advertising (anúncios patrocinados)","Conversão (qualidade do catálogo, preços, listatem)"]</t>
  </si>
  <si>
    <t>Sugestão de FBA</t>
  </si>
  <si>
    <t>REPSTORE</t>
  </si>
  <si>
    <t>SurveySubmission-38U6HbO0vF73xVG2Oj4ICPXPd4x</t>
  </si>
  <si>
    <t>2026-01-19 16:55:15.451+00</t>
  </si>
  <si>
    <t>Rep Store Ltda</t>
  </si>
  <si>
    <t>AB5LVICLQE9FA</t>
  </si>
  <si>
    <t>Naiara Bustilho Bocchi</t>
  </si>
  <si>
    <t>comercial@repstore.com.br</t>
  </si>
  <si>
    <t>Meu consultor entende do meu negócio -- Concordo plenamente
Meu consultor entende as necessidades do meu negócio com o programa SAS -- Concordo plenamente
Meu consultor entende sobre a minha categoria de venda -- Concordo plenamente
Meu consultor fornece recomendações estratégicas -- Concordo plenamente
Meu consultor tem conhecimento dos recursos do Seller Central -- Concordo plenamente
Meu consultor é responsivo via email -- Concordo parcialmente
Meu consultor se comunica por escrito de forma clara -- Concordo parcialmente</t>
  </si>
  <si>
    <t>["Seleção (recomendação de produtos, oportunidades)","Promoções (ofertas, cupons, eventos)","Conversão (qualidade do catálogo, preços, listatem)","Logística (FBA, FBA-Onsite, DBA, logística própria)","Ajuda na resolução de problemas operacionais","Advertising (anúncios patrocinados)","Marca (registro, proteção, conteúdo A+, loja oficial)"]</t>
  </si>
  <si>
    <t>Atualmente, uma das principais dificuldades no processo de criaÃ§Ã£o de anÃºncios na Amazon estÃ¡ relacionada Ã  exigÃªncia de documentaÃ§Ã£o adicional para comprovaÃ§Ã£o de procedÃªncia dos produtos.  Diferentemente da Amazon, marketplaces como o Mercado Livre e outros grandes players do e-commerce jÃ¡ aceitam a nota fiscal como documento comprobatÃ³rio para o cadastro e publicaÃ§Ã£o de anÃºncios. Esse modelo simplifica o processo sem comprometer a seguranÃ§a ou a autenticidade dos produtos ofertados.  No segmento de moda e vestuÃ¡rio, Ã© importante destacar que os fabricantes lanÃ§am, em mÃ©dia, duas coleÃ§Ãµes por ano. A cada nova coleÃ§Ã£o, Ã© necessÃ¡rio realizar o cadastro completo dos produtos â€” o que exige agilidade para que os itens estejam disponÃ­veis rapidamente no marketplace.  Caso a Amazon passe a aceitar a nota fiscal como comprovaÃ§Ã£o vÃ¡lida para criaÃ§Ã£o de anÃºncios, seria possÃ­vel ampliar de forma significativa o portfÃ³lio de produtos, acelerar o lanÃ§amento de novas coleÃ§Ãµes e garantir maior competitividade dentro da plataforma, sem comprometer os critÃ©rios de conformidade e originalidade dos produtos.</t>
  </si>
  <si>
    <t>SARAH MEYER</t>
  </si>
  <si>
    <t>Ela Ã© extremamente proativa, dinÃ¢mica e sempre disposta a ajudar, buscando soluÃ§Ãµes rÃ¡pidas e prÃ¡ticas para cada situaÃ§Ã£o. Sua dedicaÃ§Ã£o tem sido essencial para o nosso crescimento e evoluÃ§Ã£o dentro da plataforma.</t>
  </si>
  <si>
    <t>Uma boa estratÃ©gia seria concentrar aÃ§Ãµes e ofertas no inÃ­cio de cada mÃªs, perÃ­odo em que as pessoas estÃ£o com dinheiro na conta e mais propensas a comprar.  Essa movimentaÃ§Ã£o ajuda a impulsionar as vendas logo nos primeiros dias, aproveitando o fluxo de renda dos consumidores e melhorando o desempenho geral do mÃªs.</t>
  </si>
  <si>
    <t>RelatÃ³rio de Taxa de Vendas (Sell Through / ConversÃ£o)  Indica a velocidade de venda de cada produto, relacionando estoque disponÃ­vel, vendas realizadas e giro mÃ©dio.  Fundamental para entender quais itens tÃªm alta demanda e quais precisam de reforÃ§o ou ajustes de preÃ§o.</t>
  </si>
  <si>
    <t>FID Comex</t>
  </si>
  <si>
    <t>SurveySubmission-38U74k9Oo0cKMZmmun4x8tEPRXP</t>
  </si>
  <si>
    <t>2026-01-19 17:01:46.194+00</t>
  </si>
  <si>
    <t>Fid Comex</t>
  </si>
  <si>
    <t>AQY5116RC8CGZ</t>
  </si>
  <si>
    <t>Deiziane Bastos</t>
  </si>
  <si>
    <t>deiziane.bastos@fidcomex.com.br</t>
  </si>
  <si>
    <t>Melhorar a integraÃ§Ã£o de estoques</t>
  </si>
  <si>
    <t>Madesa Móveis</t>
  </si>
  <si>
    <t>SurveySubmission-38U8ug1LVHUgoSsC7JJwxHwZ5Ut</t>
  </si>
  <si>
    <t>2026-01-19 17:16:52.631+00</t>
  </si>
  <si>
    <t>Madesa móveis</t>
  </si>
  <si>
    <t xml:space="preserve">A3AJP9L2LOT0PL </t>
  </si>
  <si>
    <t>Giovanni Menin</t>
  </si>
  <si>
    <t>giovanni@madesa.com</t>
  </si>
  <si>
    <t>["Logística (FBA, FBA-Onsite, DBA, logística própria)","Marca (registro, proteção, conteúdo A+, loja oficial)","Seleção (recomendação de produtos, oportunidades)","Advertising (anúncios patrocinados)","Ajuda na resolução de problemas operacionais","Conversão (qualidade do catálogo, preços, listatem)","Promoções (ofertas, cupons, eventos)"]</t>
  </si>
  <si>
    <t>Maior interatividade entre as Ã¡reas internas, para que os problemas possam ser tratados com mais agilidade.</t>
  </si>
  <si>
    <t>Ana e MaÃ­ra</t>
  </si>
  <si>
    <t>Mais conhecimento sobre os temas relacionados ao seller central.</t>
  </si>
  <si>
    <t>mais foco em 3p</t>
  </si>
  <si>
    <t>GAMER HUT STORE</t>
  </si>
  <si>
    <t>SurveySubmission-38UARHJ7gF1uFyDm2zolPhcTOet</t>
  </si>
  <si>
    <t>2026-01-19 17:29:25.985+00</t>
  </si>
  <si>
    <t>Gamer Hut Store</t>
  </si>
  <si>
    <t>Bruno Akira</t>
  </si>
  <si>
    <t>akira.ghgames@gmail.com</t>
  </si>
  <si>
    <t>["Ajuda na resolução de problemas operacionais","Logística (FBA, FBA-Onsite, DBA, logística própria)","Promoções (ofertas, cupons, eventos)","Marca (registro, proteção, conteúdo A+, loja oficial)","Conversão (qualidade do catálogo, preços, listatem)","Advertising (anúncios patrocinados)","Seleção (recomendação de produtos, oportunidades)"]</t>
  </si>
  <si>
    <t>Relatoriso de busca pela minha marca propria. Me dizer quantas vezes o nome da minha marca Ã© buscado e junto de que palavras ela Ã© buscada</t>
  </si>
  <si>
    <t>123 Comprou!</t>
  </si>
  <si>
    <t>SurveySubmission-38UBzqxAavjDxQyPduz8ZsJJFYy</t>
  </si>
  <si>
    <t>2026-01-19 17:42:14.098+00</t>
  </si>
  <si>
    <t>Dayane Boschetti Rezniski</t>
  </si>
  <si>
    <t>dayane.boschetti@123comprou.com.br</t>
  </si>
  <si>
    <t>O programa é excelente e proporcionou um crescimento significativo da conta na Amazon após o ingresso no SAS. A assessora é ótima, muito engajada e parceira no dia a dia.
Como sugestão de melhoria, acreditamos que uma divisão menor de contas por assessor poderia contribuir para retornos ainda mais rápidos em algumas demandas. Fora esse ponto, todo o restante está excelente e atendendo plenamente às expectativas.</t>
  </si>
  <si>
    <t>O único ponto de melhoria realmente seria referente à agilidade. 
Como sugestão de melhoria, acreditamos que uma divisão menor de contas por assessor poderia contribuir para retornos ainda mais rápidos em algumas demandas operacionais. Fora esse ponto, todo o restante está excelente e atendendo plenamente às expectativas.</t>
  </si>
  <si>
    <t>Comercial estÃ¡ legal. Bem engajado. Pontos operacionais e pÃ³s vendas sempre Ã© um desafio. Uma oportunidade de melhorar o fluxo.</t>
  </si>
  <si>
    <t>Estamos satisfeitos com atendimento. Sinergia correta e eficiente junto ao time Fast Shop. Importante mante-lo por mais tempo atendendo a nossa conta.</t>
  </si>
  <si>
    <t>Ainda nÃ£o conseguimos iniciar os trabalhos. Estamos bloqueados por conta de renovaÃ§Ã£o de cadastro na Amazon.</t>
  </si>
  <si>
    <t xml:space="preserve">Ganho de buybox, Status entregas FBA Onsite, </t>
  </si>
  <si>
    <t>LUCAS HOME</t>
  </si>
  <si>
    <t>SurveySubmission-38UJHmATUaE39jJuzjkaae6TQfF</t>
  </si>
  <si>
    <t>2026-01-19 18:42:10.472+00</t>
  </si>
  <si>
    <t>Lucas Colchões</t>
  </si>
  <si>
    <t>FELIPE MATEUS COSTA FERREIRA</t>
  </si>
  <si>
    <t>felipe.costa@lucashome.com.br</t>
  </si>
  <si>
    <t>Recomendações Estratégicas -- Importante
Assistência com Resolução de Problemas -- Importante
Estratégia com Promoções -- Muito importante
Gerenciamento e suporte de catálogo -- Importante
Suporte com gerenciamento de inventário -- Importante
Suporte com estratégia para novos produtos -- Muito importante</t>
  </si>
  <si>
    <t>Facilidade na precificação no portal como um todo</t>
  </si>
  <si>
    <t>O atendimento é otimo, podemos crescer mais juntos.</t>
  </si>
  <si>
    <t>Facilitar a precificação</t>
  </si>
  <si>
    <t>["Conversão (qualidade do catálogo, preços, listatem)","Promoções (ofertas, cupons, eventos)","Marca (registro, proteção, conteúdo A+, loja oficial)","Seleção (recomendação de produtos, oportunidades)","Advertising (anúncios patrocinados)","Ajuda na resolução de problemas operacionais","Logística (FBA, FBA-Onsite, DBA, logística própria)"]</t>
  </si>
  <si>
    <t>Cadastro de Produtos em Massa</t>
  </si>
  <si>
    <t>Ainda nÃ£o comecei a utilizar.</t>
  </si>
  <si>
    <t>Com mais frequÃªncia um estudo de mercado, ideia de novos fornecedores e produtos.</t>
  </si>
  <si>
    <t>BOLDSNACKS</t>
  </si>
  <si>
    <t>SurveySubmission-38UPY6K1L1mNXdruSJdeeqcS2tc</t>
  </si>
  <si>
    <t>2026-01-19 19:33:40.675+00</t>
  </si>
  <si>
    <t>A2CTXF6VDT1TFY</t>
  </si>
  <si>
    <t>Magno Gabriel Paraiso Dos Santos</t>
  </si>
  <si>
    <t>magno.santos@boldsnacks.com.br</t>
  </si>
  <si>
    <t>["Promoções (ofertas, cupons, eventos)","Advertising (anúncios patrocinados)","Conversão (qualidade do catálogo, preços, listatem)","Marca (registro, proteção, conteúdo A+, loja oficial)","Ajuda na resolução de problemas operacionais","Logística (FBA, FBA-Onsite, DBA, logística própria)"]</t>
  </si>
  <si>
    <t>Web Mercadinho WM</t>
  </si>
  <si>
    <t>SurveySubmission-38UPmSz8Kip9KZngwcA40SkflIW</t>
  </si>
  <si>
    <t>2026-01-19 19:35:34.696+00</t>
  </si>
  <si>
    <t>Web MErcadinho</t>
  </si>
  <si>
    <t>A1H992YLX3PNN1</t>
  </si>
  <si>
    <t xml:space="preserve">Thomas Thalenberg </t>
  </si>
  <si>
    <t>michel.anjos@webfones.com.br</t>
  </si>
  <si>
    <t>["Promoções (ofertas, cupons, eventos)","Advertising (anúncios patrocinados)","Logística (FBA, FBA-Onsite, DBA, logística própria)","Seleção (recomendação de produtos, oportunidades)","Conversão (qualidade do catálogo, preços, listatem)","Marca (registro, proteção, conteúdo A+, loja oficial)","Ajuda na resolução de problemas operacionais"]</t>
  </si>
  <si>
    <t>AtÃ© o momento, nÃ£o.</t>
  </si>
  <si>
    <t>Alexandre Ã© fera!</t>
  </si>
  <si>
    <t>Nenhum</t>
  </si>
  <si>
    <t>Shop Mundo Digital</t>
  </si>
  <si>
    <t>SurveySubmission-38UX5PVJU4HPUNj1WZEeOiDfxtc</t>
  </si>
  <si>
    <t>2026-01-19 20:35:39.96+00</t>
  </si>
  <si>
    <t>SQPK</t>
  </si>
  <si>
    <t>Ramon Alija Ramos</t>
  </si>
  <si>
    <t>contato@shopmundodigital.com.br</t>
  </si>
  <si>
    <t>Recomendações Estratégicas -- Importante
Assistência com Resolução de Problemas -- Muito importante
Estratégia com Promoções -- Muito importante
Gerenciamento e suporte de catálogo -- Muito importante
Suporte com gerenciamento de inventário -- Muito importante
Suporte com estratégia para novos produtos -- Importante</t>
  </si>
  <si>
    <t xml:space="preserve">Seria muito positivo ter alguém mais especializado nos problemas de emissão de pedido. Notamos que algumas vendas têm problema no momento da emissão e acabam ficando pendentes sem enviar por conta desse problema. 
Nós sempre repassamos o problema para o suporte, mas nunca recebemos uma solução efetiva. 
Além disso, o serviço de entrega da Amazon e da terceirizada é péssimo, toda hora tem atrasos, extravio e problemas na entrega. O que acaba prejudicando a experiência do cliente e consequentemente nas nossas vendas. Pois, muitas vezes acabamos perdendo a venda e recebendo avaliação negativa. </t>
  </si>
  <si>
    <t>Meu consultor entende do meu negócio -- Concordo plenamente
Meu consultor entende as necessidades do meu negócio com o programa SAS -- Concordo parcialmente
Meu consultor entende sobre a minha categoria de venda -- Concordo parcialmente
Meu consultor fornece recomendações estratégicas -- Concordo parcialmente
Meu consultor tem conhecimento dos recursos do Seller Central -- Concordo parcialmente
Meu consultor é responsivo via email -- Nem concordo, nem discordo
Meu consultor se comunica por escrito de forma clara -- Concordo plenamente</t>
  </si>
  <si>
    <t>Iniciamos com nosso consultor recentemente, estamos nos conhecendo, mas até o momento tem sido muito solícito e presta todo o suporte necessário.</t>
  </si>
  <si>
    <t>["Conversão (qualidade do catálogo, preços, listatem)","Logística (FBA, FBA-Onsite, DBA, logística própria)","Ajuda na resolução de problemas operacionais","Promoções (ofertas, cupons, eventos)","Seleção (recomendação de produtos, oportunidades)","Advertising (anúncios patrocinados)","Marca (registro, proteção, conteúdo A+, loja oficial)"]</t>
  </si>
  <si>
    <t>Relatório de devoluções e extravio de mercadorias.</t>
  </si>
  <si>
    <t>Contato direto e nÃ£o por e-mail.</t>
  </si>
  <si>
    <t>Deccó Moda Íntima</t>
  </si>
  <si>
    <t>SurveySubmission-38WYUqY2j8KJhm2bI9y91Q0x2lF</t>
  </si>
  <si>
    <t>2026-01-20 13:46:52.445+00</t>
  </si>
  <si>
    <t>Decco Moda Intima</t>
  </si>
  <si>
    <t>A1BYA2ZQQML22E</t>
  </si>
  <si>
    <t>Everton Arruda Decco</t>
  </si>
  <si>
    <t>decco.everton@gmail.com</t>
  </si>
  <si>
    <t>Recomendações Estratégicas -- Importante
Assistência com Resolução de Problemas -- Importante
Estratégia com Promoções -- Importante
Gerenciamento e suporte de catálogo -- Muito importante
Suporte com gerenciamento de inventário -- Importante
Suporte com estratégia para novos produtos -- Importante</t>
  </si>
  <si>
    <t>Ana</t>
  </si>
  <si>
    <t>Meu consultor entende do meu negócio -- Nem concordo, nem discordo
Meu consultor entende as necessidades do meu negócio com o programa SAS -- Concordo parcialmente
Meu consultor entende sobre a minha categoria de venda -- Nem concordo, nem discordo
Meu consultor fornece recomendações estratégicas -- Discordo
Meu consultor tem conhecimento dos recursos do Seller Central -- Nem concordo, nem discordo
Meu consultor é responsivo via email -- Nem concordo, nem discordo
Meu consultor se comunica por escrito de forma clara -- Discordo</t>
  </si>
  <si>
    <t>["Conversão (qualidade do catálogo, preços, listatem)","Ajuda na resolução de problemas operacionais","Promoções (ofertas, cupons, eventos)","Logística (FBA, FBA-Onsite, DBA, logística própria)","Seleção (recomendação de produtos, oportunidades)","Marca (registro, proteção, conteúdo A+, loja oficial)","Advertising (anúncios patrocinados)"]</t>
  </si>
  <si>
    <t>ClimaRio</t>
  </si>
  <si>
    <t>SurveySubmission-38Wdj0EaUw6A7CQZ4z00UuI7sAk</t>
  </si>
  <si>
    <t>2026-01-20 14:29:51.692+00</t>
  </si>
  <si>
    <t>Climario</t>
  </si>
  <si>
    <t>A2L2BNCTMMP5A7</t>
  </si>
  <si>
    <t>Renato Moraes Torres</t>
  </si>
  <si>
    <t>renato.torres@climario.com.br</t>
  </si>
  <si>
    <t>Ads</t>
  </si>
  <si>
    <t>Nos visitando.</t>
  </si>
  <si>
    <t>["Promoções (ofertas, cupons, eventos)","Seleção (recomendação de produtos, oportunidades)","Conversão (qualidade do catálogo, preços, listatem)","Advertising (anúncios patrocinados)","Marca (registro, proteção, conteúdo A+, loja oficial)","Ajuda na resolução de problemas operacionais","Logística (FBA, FBA-Onsite, DBA, logística própria)"]</t>
  </si>
  <si>
    <t>Oportunidades Amazon por categorias, incluindo as que não trabalhamos ainda</t>
  </si>
  <si>
    <t xml:space="preserve">Nenhuma </t>
  </si>
  <si>
    <t xml:space="preserve">ALEXANDRE </t>
  </si>
  <si>
    <t xml:space="preserve">NENHUMA </t>
  </si>
  <si>
    <t>NAO</t>
  </si>
  <si>
    <t xml:space="preserve">NAO </t>
  </si>
  <si>
    <t>Midea Brasil</t>
  </si>
  <si>
    <t>SurveySubmission-38WeeXEbj92Yp84Sfm3fmZ8ik0A</t>
  </si>
  <si>
    <t>2026-01-20 14:37:29.413+00</t>
  </si>
  <si>
    <t>Priscila Bellissimo</t>
  </si>
  <si>
    <t>pbellissimo@mideacarrier.com</t>
  </si>
  <si>
    <t>Recomendações Estratégicas -- Importante
Assistência com Resolução de Problemas -- Importante
Estratégia com Promoções -- Muito importante
Gerenciamento e suporte de catálogo -- Importante
Suporte com gerenciamento de inventário -- Sem importância
Suporte com estratégia para novos produtos -- Serviço não é oferecido</t>
  </si>
  <si>
    <t>Meu consultor entende do meu negócio -- Concordo parcialmente
Meu consultor entende as necessidades do meu negócio com o programa SAS -- Concordo parcialmente
Meu consultor entende sobre a minha categoria de venda -- Concordo plenamente
Meu consultor fornece recomendações estratégicas -- Concordo parcialmente
Meu consultor tem conhecimento dos recursos do Seller Central -- Concordo plenamente
Meu consultor é responsivo via email -- Concordo parcialmente
Meu consultor se comunica por escrito de forma clara -- Concordo plenamente</t>
  </si>
  <si>
    <t>["Seleção (recomendação de produtos, oportunidades)","Promoções (ofertas, cupons, eventos)","Ajuda na resolução de problemas operacionais","Advertising (anúncios patrocinados)","Conversão (qualidade do catálogo, preços, listatem)","Marca (registro, proteção, conteúdo A+, loja oficial)"]</t>
  </si>
  <si>
    <t>Luciana</t>
  </si>
  <si>
    <t>comunicaÃ§Ã£o ser via whatsapp</t>
  </si>
  <si>
    <t>OUTLET DAS FÁBRICAS</t>
  </si>
  <si>
    <t>SurveySubmission-38WpIJfg87UG2CAdugg3Hbf5ABm</t>
  </si>
  <si>
    <t>2026-01-20 16:04:59.221+00</t>
  </si>
  <si>
    <t>A2M7TSZMYSF1WH</t>
  </si>
  <si>
    <t>Willian Marciniak</t>
  </si>
  <si>
    <t>willian@redemarketplace.com.br</t>
  </si>
  <si>
    <t>Recomendações Estratégicas -- Muito importante
Assistência com Resolução de Problemas -- Muito importante
Estratégia com Promoções -- Muito importante
Gerenciamento e suporte de catálogo -- Importante
Suporte com gerenciamento de inventário -- Importante
Suporte com estratégia para novos produtos -- Serviço não é oferecido</t>
  </si>
  <si>
    <t xml:space="preserve">Acredito que o SAS poderia estar mais próximo das operações do dia a dia, não apenas oferecendo benefícios, mas também ajudando a levantar e implementar estratégias práticas. A base de qualquer evolução está na estratégia: entender profundamente os desafios de seleção, anúncios, marca, conversão, logística, promoções e resolução de problemas, e a partir daí propor planos de ação claros e mensuráveis.
- Proximidade: maior acompanhamento junto à equipe, com feedback contínuo e presença ativa nas etapas críticas.
- Estratégia como pilar: em vez de focar apenas em incentivos, estruturar planos estratégicos que orientem cada área (seleção de produtos, campanhas de ads, fortalecimento da marca, otimização de conversão, logística eficiente e promoções mais assertivas).
- Integração: alinhar todas as frentes (marketing, operações, logística) em torno de objetivos comuns, garantindo consistência e eficiência.
Em resumo, o SAS pode se tornar não apenas um programa de suporte, mas um parceiro estratégico que ajuda a desenhar e executar caminhos de crescimento sustentável da minha operação.
</t>
  </si>
  <si>
    <t>O Igor tem sido extremamente prestativo e nos auxilia bastante sempre que precisamos, demonstrando comprometimento e disponibilidade. Acredito que o ponto de melhoria não está na postura dele, mas sim na falta de uma conversa mais aprofundada sobre como funciona a nossa operação, algo que eu mesmo não puxei até agora. Por isso, em algumas respostas anteriores coloquei que concordo apenas parcialmente. Tenho certeza de que, assim que alinharmos melhor esses detalhes, o atendimento ficará ainda mais assertivo e nossa operação tem potencial de no mínimo dobrar de tamanho. Vejo espaço para aprimorar a comunicação e construir juntos recomendações e planos de negócios mais direcionados, aproveitando toda a expertise que o Igor já vem demonstrando.</t>
  </si>
  <si>
    <t>Por ora não.</t>
  </si>
  <si>
    <t>Creio que o que mencionei anteriormente serve de base para essa resposta.</t>
  </si>
  <si>
    <t>["Promoções (ofertas, cupons, eventos)","Seleção (recomendação de produtos, oportunidades)","Logística (FBA, FBA-Onsite, DBA, logística própria)","Conversão (qualidade do catálogo, preços, listatem)","Ajuda na resolução de problemas operacionais","Marca (registro, proteção, conteúdo A+, loja oficial)","Advertising (anúncios patrocinados)"]</t>
  </si>
  <si>
    <t>Conteudo A+</t>
  </si>
  <si>
    <t>RELAXSHOP</t>
  </si>
  <si>
    <t>SurveySubmission-38X3EkS5L39XsWNTZSOIolOiySL</t>
  </si>
  <si>
    <t>2026-01-20 17:59:38.894+00</t>
  </si>
  <si>
    <t>Relaxshop</t>
  </si>
  <si>
    <t>A15SRU2XYQU4FN</t>
  </si>
  <si>
    <t>Andre Barros</t>
  </si>
  <si>
    <t>contato@relaxshop.com.br</t>
  </si>
  <si>
    <t>Trocar o consultor</t>
  </si>
  <si>
    <t xml:space="preserve">NÃ£o Ã© necessÃ¡rio </t>
  </si>
  <si>
    <t>eFácil Oficial</t>
  </si>
  <si>
    <t>SurveySubmission-38XIwBgYH06Xg4d9Y2vfnRpvGVD</t>
  </si>
  <si>
    <t>2026-01-20 20:08:44.998+00</t>
  </si>
  <si>
    <t>Efacil_oficial</t>
  </si>
  <si>
    <t>AXC7GFUCFYNH6</t>
  </si>
  <si>
    <t>Fernanda Coutinho</t>
  </si>
  <si>
    <t>fernanda.coutinho@martins.com.br</t>
  </si>
  <si>
    <t>A Rafa é excelente e tem contribuído muito com a gente. Como sugestão de melhoria, acho que poderia trazer mais ideias práticas de ações e sugestões de produtos, para facilitar ainda mais nossa execução.</t>
  </si>
  <si>
    <t>Ter mais agilidade em respostas</t>
  </si>
  <si>
    <t>["Promoções (ofertas, cupons, eventos)","Ajuda na resolução de problemas operacionais","Conversão (qualidade do catálogo, preços, listatem)","Marca (registro, proteção, conteúdo A+, loja oficial)","Advertising (anúncios patrocinados)","Logística (FBA, FBA-Onsite, DBA, logística própria)","Seleção (recomendação de produtos, oportunidades)"]</t>
  </si>
  <si>
    <t xml:space="preserve">Queria que o relatório de preço realmente fosse o preço que estivesse no front site. </t>
  </si>
  <si>
    <t>Ficamos um tempo sem assistencia pois o antigo contato com a Amazon acabou saindo da empresa e nos sentimos desasistidos durante algumas semanas. Com suporte apenas reativo e muito geralista.</t>
  </si>
  <si>
    <t>No momento nÃ£o tenho.</t>
  </si>
  <si>
    <t>Um relatÃ³rio de todas as listagens de produtos com links de fotos, preÃ§os e estoque.</t>
  </si>
  <si>
    <t>DD Máquinas  ⭐⭐⭐⭐⭐</t>
  </si>
  <si>
    <t>SurveySubmission-38ZFeoqe0vrbxqFu0EzGgWnuVYM</t>
  </si>
  <si>
    <t>2026-01-21 12:41:23.191+00</t>
  </si>
  <si>
    <t>DUPLOR COMERCIO DE FERRAMENTAS INDUSTRIAIS E</t>
  </si>
  <si>
    <t>A3HAOZ3K2T1Q86</t>
  </si>
  <si>
    <t>Isabela Proença Cunha</t>
  </si>
  <si>
    <t>isabela.p@ddmaquinas.com.br</t>
  </si>
  <si>
    <t>Recomendações Estratégicas -- Sem importância
Assistência com Resolução de Problemas -- Muito importante
Estratégia com Promoções -- Muito importante
Gerenciamento e suporte de catálogo -- Importante
Suporte com gerenciamento de inventário -- Sem importância
Suporte com estratégia para novos produtos -- Sem importância</t>
  </si>
  <si>
    <t>Mais oportunidades de rebate/promoções com redução de taxa. Voltar com o suporte de Ads.</t>
  </si>
  <si>
    <t>Vinicius Braga</t>
  </si>
  <si>
    <t>plano de negócios, recomendações, preciso que meu consultor traga estratégias para crescimento da minha conta</t>
  </si>
  <si>
    <t>["Promoções (ofertas, cupons, eventos)","Ajuda na resolução de problemas operacionais","Advertising (anúncios patrocinados)","Conversão (qualidade do catálogo, preços, listatem)","Logística (FBA, FBA-Onsite, DBA, logística própria)","Seleção (recomendação de produtos, oportunidades)","Marca (registro, proteção, conteúdo A+, loja oficial)"]</t>
  </si>
  <si>
    <t>NÃ£o tenho no momento.</t>
  </si>
  <si>
    <t>Um relatÃ³rio de produtos com todas as listagens, com fotos de produtos, preÃ§o De e preÃ§o por, descriÃ§Ã£o, SKU e etc</t>
  </si>
  <si>
    <t>Sportime.Lojaoficial</t>
  </si>
  <si>
    <t>SurveySubmission-38ZPQeE9KEHTZ1PbGtMY3u9rek9</t>
  </si>
  <si>
    <t>2026-01-21 14:01:44.424+00</t>
  </si>
  <si>
    <t>Sportime</t>
  </si>
  <si>
    <t>A2PRULNKWRGEX4</t>
  </si>
  <si>
    <t>Tabata Vidotto Franhan</t>
  </si>
  <si>
    <t>tabata.vidotto@yavdigitall.com.br</t>
  </si>
  <si>
    <t xml:space="preserve">Gostaríamos de ajuda com novas campanhas ads e não tivemos o retorno necessário para esse ponto </t>
  </si>
  <si>
    <t>["Advertising (anúncios patrocinados)","Marca (registro, proteção, conteúdo A+, loja oficial)","Seleção (recomendação de produtos, oportunidades)","Conversão (qualidade do catálogo, preços, listatem)","Ajuda na resolução de problemas operacionais","Logística (FBA, FBA-Onsite, DBA, logística própria)","Promoções (ofertas, cupons, eventos)"]</t>
  </si>
  <si>
    <t>Um pouco mais de agilidade nas resoluÃ§Ãµes dos problemas.</t>
  </si>
  <si>
    <t>Login Informática</t>
  </si>
  <si>
    <t>SurveySubmission-38ZRwsRV0kNxFN72mM0QSYHjvmQ</t>
  </si>
  <si>
    <t>2026-01-21 14:22:27.651+00</t>
  </si>
  <si>
    <t>LOGIN INFORMÁTICA</t>
  </si>
  <si>
    <t>JEAN LUIS PEREIRA SANTOS</t>
  </si>
  <si>
    <t>JEAN@LOGIN.COM.BR</t>
  </si>
  <si>
    <t>Recomendações Estratégicas -- Muito importante
Assistência com Resolução de Problemas -- Muito importante
Estratégia com Promoções -- Muito importante
Gerenciamento e suporte de catálogo -- Importante
Suporte com gerenciamento de inventário -- Sem importância
Suporte com estratégia para novos produtos -- Importante</t>
  </si>
  <si>
    <t>ACREDITO QUE PODERIA MELHORAR, SE TIVESSEMOS UMA VISÃO MAIS COMPLETA DO QUE ESTÁ SENDO DESENVOLVIDO DENTRO DA AMAZON PARA OS SELLERS INDEPENDENTE DOS EVENTOS. PQ HOJE TOMAMOS CONHECIMENTO DE MUITA COISA NOVA APENAS NOS EVENTOS...TALVEZ UMA MELHOR APROXIMAÇÃO COM OUTRAS ÁREAS DENTRO DA AMAZON DURANTE O ANO, FOSSE PERTINENTE.</t>
  </si>
  <si>
    <t>LUCIANA TAVARES</t>
  </si>
  <si>
    <t>ENTENDEMOS QUE AS DEMANDAS DOS CONSULTORES SÃO ELEVADAS, CONTUDO UM TEMPO DE RESPOSTA MENOR SERIA O IDEAL.</t>
  </si>
  <si>
    <t>["Seleção (recomendação de produtos, oportunidades)","Promoções (ofertas, cupons, eventos)","Ajuda na resolução de problemas operacionais","Logística (FBA, FBA-Onsite, DBA, logística própria)","Conversão (qualidade do catálogo, preços, listatem)","Advertising (anúncios patrocinados)","Marca (registro, proteção, conteúdo A+, loja oficial)"]</t>
  </si>
  <si>
    <t xml:space="preserve">RELATÓRIO QUE LISTE DE FORMA DIRETA O PRODUTO E SUAS RESPECTIVAS COMISSÕES (AMAZON) </t>
  </si>
  <si>
    <t>Ter uma analise de envios pro full mais assertiva, as vezes aparece itens que nÃ£o estÃ£o mais em mercado</t>
  </si>
  <si>
    <t>Victor</t>
  </si>
  <si>
    <t xml:space="preserve">Falei pouquÃ­ssimas vezes com esse consultor de ads </t>
  </si>
  <si>
    <t>Usefreedom</t>
  </si>
  <si>
    <t>SurveySubmission-38ZSYsO6wZqAq9MI1qvjtFMxqPn</t>
  </si>
  <si>
    <t>2026-01-21 14:27:30.925+00</t>
  </si>
  <si>
    <t>UsefreedomOficial</t>
  </si>
  <si>
    <t>A3RAXVPG5SP7VD</t>
  </si>
  <si>
    <t>Adriely Teles</t>
  </si>
  <si>
    <t>adriely.teles@sandromoscoloni.com.br</t>
  </si>
  <si>
    <t>Maira Lima</t>
  </si>
  <si>
    <t>["Promoções (ofertas, cupons, eventos)","Ajuda na resolução de problemas operacionais","Logística (FBA, FBA-Onsite, DBA, logística própria)","Seleção (recomendação de produtos, oportunidades)","Advertising (anúncios patrocinados)","Marca (registro, proteção, conteúdo A+, loja oficial)","Conversão (qualidade do catálogo, preços, listatem)"]</t>
  </si>
  <si>
    <t>RBM WEBSHOP</t>
  </si>
  <si>
    <t>SurveySubmission-38Zc2eMmV8ZN5NcAzxD9YP8aiWx</t>
  </si>
  <si>
    <t>2026-01-21 15:45:27.846+00</t>
  </si>
  <si>
    <t>A36T6TY0RFHGPU</t>
  </si>
  <si>
    <t>Larissa Holanda</t>
  </si>
  <si>
    <t>Larissa@rbmwebshop.com.br</t>
  </si>
  <si>
    <t xml:space="preserve">
1-voltar com o gerenciamento de ads, não faz sentido pagarmos o programa (que aumentou inclusive) e não termos mais gerente de ads. 
2-deixar os descontos críveis em períodos de ações menos agressivos para que tenhamos o mínimo de rentabilidade.  
</t>
  </si>
  <si>
    <t>Meu consultor entende do meu negócio -- Concordo plenamente
Meu consultor entende as necessidades do meu negócio com o programa SAS -- Concordo parcialmente
Meu consultor entende sobre a minha categoria de venda -- Concordo plenamente
Meu consultor fornece recomendações estratégicas -- Nem concordo, nem discordo
Meu consultor tem conhecimento dos recursos do Seller Central -- Concordo plenamente
Meu consultor é responsivo via email -- Concordo parcialmente
Meu consultor se comunica por escrito de forma clara -- Concordo plenamente</t>
  </si>
  <si>
    <t>1-retornar soluções de problemas com catálogo, itens inativos de forma mais rápida.
2-maior agilidade nas respostas no grupo e não deixar temas sem retorno ( ao menos sinalizar que está checando caso não tenha retorno).
3-enviar planilhas de ações com maior antecedência e um período maior de retorno.</t>
  </si>
  <si>
    <t>["Promoções (ofertas, cupons, eventos)","Ajuda na resolução de problemas operacionais","Conversão (qualidade do catálogo, preços, listatem)","Logística (FBA, FBA-Onsite, DBA, logística própria)","Seleção (recomendação de produtos, oportunidades)","Advertising (anúncios patrocinados)","Marca (registro, proteção, conteúdo A+, loja oficial)"]</t>
  </si>
  <si>
    <t>NÃ£o temos um apoio satisfatÃ³rio do time de ads e temos problemas recorrentes de anÃºncios que nÃ£o parecem ser resolvidos</t>
  </si>
  <si>
    <t>Expertise sobre a plataforma e regras da Amazon</t>
  </si>
  <si>
    <t>Melhora de comunicaÃ§Ã£o, respostas mais rÃ¡pidas, priorizaÃ§Ã£o, ajuda com problemas da plataforma, conhecimento sobre a plataforma</t>
  </si>
  <si>
    <t>Gostaria que a disponibilizaÃ§Ã£o da API ocorresse de forma facilitada e que pudessemos ser owners de nossos prÃ³prios dados</t>
  </si>
  <si>
    <t>Cozy - Ame sua casa</t>
  </si>
  <si>
    <t>SurveySubmission-38Zh4LsgCUeD0aPVxwA4PjqqgZo</t>
  </si>
  <si>
    <t>2026-01-21 16:26:47.701+00</t>
  </si>
  <si>
    <t>Cozy- ame sua casa</t>
  </si>
  <si>
    <t>A22U7FY2YWN6A2</t>
  </si>
  <si>
    <t>Renan Capoani</t>
  </si>
  <si>
    <t>renan@ditalia.com.br</t>
  </si>
  <si>
    <t>Recomendações Estratégicas -- Importante
Assistência com Resolução de Problemas -- Muito importante
Estratégia com Promoções -- Muito importante
Gerenciamento e suporte de catálogo -- Muito importante
Suporte com gerenciamento de inventário -- Importante
Suporte com estratégia para novos produtos -- Muito importante</t>
  </si>
  <si>
    <t>Meu consultor entende do meu negócio -- Discordo
Meu consultor entende as necessidades do meu negócio com o programa SAS -- Discordo
Meu consultor entende sobre a minha categoria de venda -- Discordo totalmente
Meu consultor fornece recomendações estratégicas -- Discordo totalmente
Meu consultor tem conhecimento dos recursos do Seller Central -- Nem concordo, nem discordo
Meu consultor é responsivo via email -- Nem concordo, nem discordo
Meu consultor se comunica por escrito de forma clara -- Concordo parcialmente</t>
  </si>
  <si>
    <t>Nai</t>
  </si>
  <si>
    <t>Loja Positivo</t>
  </si>
  <si>
    <t>SurveySubmission-38ZimpPSldY4fgGCtvWOU1LjM9N</t>
  </si>
  <si>
    <t>2026-01-21 16:40:55.118+00</t>
  </si>
  <si>
    <t>POSITIVO TECNOLOGIA S.A.</t>
  </si>
  <si>
    <t>A2S30917FR97KG</t>
  </si>
  <si>
    <t>Andressa Luize Silveira</t>
  </si>
  <si>
    <t>andressal@positivo.com.br</t>
  </si>
  <si>
    <t>Werner, Alexandre &lt;abwerner@amazon.com&gt;</t>
  </si>
  <si>
    <t>melhorar as negociações de comissão continuas, por mais tempo</t>
  </si>
  <si>
    <t>Liberacao de marca</t>
  </si>
  <si>
    <t>Agilidade com relacao a liberacao de marcas</t>
  </si>
  <si>
    <t>LUMAI</t>
  </si>
  <si>
    <t>SurveySubmission-38ZjFpBjdCuZb8trXLkpECUBWJa</t>
  </si>
  <si>
    <t>2026-01-21 16:44:45.605+00</t>
  </si>
  <si>
    <t>A22JSLOZPR9UM6</t>
  </si>
  <si>
    <t>Lucas Gueiros de Freitas Azevedo Maia</t>
  </si>
  <si>
    <t>lumai.imports@hotmail.com</t>
  </si>
  <si>
    <t>Manuella</t>
  </si>
  <si>
    <t>["Promoções (ofertas, cupons, eventos)","Logística (FBA, FBA-Onsite, DBA, logística própria)","Ajuda na resolução de problemas operacionais","Conversão (qualidade do catálogo, preços, listatem)","Marca (registro, proteção, conteúdo A+, loja oficial)","Seleção (recomendação de produtos, oportunidades)","Advertising (anúncios patrocinados)"]</t>
  </si>
  <si>
    <t xml:space="preserve">Sobre os relatorios, Acho que deveriam ser mais objetivos, mais simplificados, Ou fazer um treinamento pra conseguir olhar e extrais o melhor, pois tem tantos que no final n temos nem um... pq nos perdemos em meio a tanta informaÃ§Ã£o. Tinha que ter um de decisÃ£o rapida, simplificado... pode atÃ© existir todos esses pra uma analise mais detalhada, mas sinto falta de um mais objetivo, simples! </t>
  </si>
  <si>
    <t xml:space="preserve">Gostaria de receber mais insights sobre o tema, mais oportunidades referente a promoÃ§oes; Criar uma rotina de estrategia; </t>
  </si>
  <si>
    <t>Relatorios mais objetivos, facil de ler e entender; Principais itens vendidos; nossos itens com relaÃ§Ã£o a concorrencia; oportunidade de promoÃ§Ã£o, preÃ§o para ganhar  catalogo... coisas simples e objetivas</t>
  </si>
  <si>
    <t>CNM SHOP</t>
  </si>
  <si>
    <t>SurveySubmission-38ZjMIB5RDqQvZ2xlV3QZakpvyY</t>
  </si>
  <si>
    <t>2026-01-21 16:45:37.024+00</t>
  </si>
  <si>
    <t>BRINQUEI B.</t>
  </si>
  <si>
    <t>AHKDCADK44HSI</t>
  </si>
  <si>
    <t>Maria Eduarda Gomes da Silva</t>
  </si>
  <si>
    <t>comercial4@brinquei.com.br</t>
  </si>
  <si>
    <t>Recomendações Estratégicas -- Importante
Assistência com Resolução de Problemas -- Muito importante
Estratégia com Promoções -- Muito importante
Gerenciamento e suporte de catálogo -- Importante
Suporte com gerenciamento de inventário -- Importante
Suporte com estratégia para novos produtos -- Sem importância</t>
  </si>
  <si>
    <t>Mais promoções com reduções na comissão</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</si>
  <si>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Nem concordo, nem discordo
Meu consultor tem conhecimento dos recursos do Seller Central -- Concordo parcialmente
Meu consultor é responsivo via email -- Concordo parcialmente
Meu consultor se comunica por escrito de forma clara -- Concordo plenamente</t>
  </si>
  <si>
    <t>["Promoções (ofertas, cupons, eventos)","Marca (registro, proteção, conteúdo A+, loja oficial)","Logística (FBA, FBA-Onsite, DBA, logística própria)","Conversão (qualidade do catálogo, preços, listatem)","Ajuda na resolução de problemas operacionais","Seleção (recomendação de produtos, oportunidades)","Advertising (anúncios patrocinados)"]</t>
  </si>
  <si>
    <t xml:space="preserve">Plano de NegÃ³cio e reajustar estratÃ©gia trimestral. </t>
  </si>
  <si>
    <t xml:space="preserve">Tivemos um problema grande recentemente e a soluÃ§Ã£o foi muito demorada. </t>
  </si>
  <si>
    <t>Pichau</t>
  </si>
  <si>
    <t>SurveySubmission-38ZjoCVpP5crA62WzvLJbcR1Q3s</t>
  </si>
  <si>
    <t>2026-01-21 16:49:19.037+00</t>
  </si>
  <si>
    <t>A328H4KMUWIGAB</t>
  </si>
  <si>
    <t>Guilherme Spiess de Borba</t>
  </si>
  <si>
    <t>mktp.comercial8@pichau.com.br</t>
  </si>
  <si>
    <t>Recomendações Estratégicas -- Importante
Assistência com Resolução de Problemas -- Muito importante
Estratégia com Promoções -- Importante
Gerenciamento e suporte de catálogo -- Importante
Suporte com gerenciamento de inventário -- Importante
Suporte com estratégia para novos produtos -- Importante</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</si>
  <si>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Concordo plenamente
Meu consultor tem conhecimento dos recursos do Seller Central -- Concordo parcialmente
Meu consultor é responsivo via email -- Concordo plenamente
Meu consultor se comunica por escrito de forma clara -- Concordo plenamente</t>
  </si>
  <si>
    <t>["Promoções (ofertas, cupons, eventos)","Seleção (recomendação de produtos, oportunidades)","Logística (FBA, FBA-Onsite, DBA, logística própria)","Ajuda na resolução de problemas operacionais","Conversão (qualidade do catálogo, preços, listatem)","Advertising (anúncios patrocinados)","Marca (registro, proteção, conteúdo A+, loja oficial)"]</t>
  </si>
  <si>
    <t>MaÃ­ra</t>
  </si>
  <si>
    <t>GRAND COMMERCE</t>
  </si>
  <si>
    <t>SurveySubmission-38ZlSDWYtORsSoAAJczsSCbR4KW</t>
  </si>
  <si>
    <t>2026-01-21 17:02:51.642+00</t>
  </si>
  <si>
    <t xml:space="preserve">GrandCommerce </t>
  </si>
  <si>
    <t>A1JIWCLH62BUNZ</t>
  </si>
  <si>
    <t xml:space="preserve">Roberto Junior De Almeida </t>
  </si>
  <si>
    <t>Robertoalmeida@grandcommerce.com.br</t>
  </si>
  <si>
    <t xml:space="preserve">Não </t>
  </si>
  <si>
    <t>Tatiana Assis</t>
  </si>
  <si>
    <t xml:space="preserve">Não tenho nada a acrescentar </t>
  </si>
  <si>
    <t>["Seleção (recomendação de produtos, oportunidades)","Logística (FBA, FBA-Onsite, DBA, logística própria)","Conversão (qualidade do catálogo, preços, listatem)","Promoções (ofertas, cupons, eventos)","Ajuda na resolução de problemas operacionais","Advertising (anúncios patrocinados)","Marca (registro, proteção, conteúdo A+, loja oficial)"]</t>
  </si>
  <si>
    <t>X5 Music</t>
  </si>
  <si>
    <t>SurveySubmission-38Zocat8D4MBYlFzJM9tH466XtD</t>
  </si>
  <si>
    <t>2026-01-21 17:28:53.42+00</t>
  </si>
  <si>
    <t>x5 Music</t>
  </si>
  <si>
    <t>A3ISYVBX8D20DH</t>
  </si>
  <si>
    <t>Amanda</t>
  </si>
  <si>
    <t>amanda.ecomerce@x5music.com.br</t>
  </si>
  <si>
    <t>["Promoções (ofertas, cupons, eventos)","Ajuda na resolução de problemas operacionais","Logística (FBA, FBA-Onsite, DBA, logística própria)","Seleção (recomendação de produtos, oportunidades)","Conversão (qualidade do catálogo, preços, listatem)","Marca (registro, proteção, conteúdo A+, loja oficial)","Advertising (anúncios patrocinados)"]</t>
  </si>
  <si>
    <t>ainda nÃ£o</t>
  </si>
  <si>
    <t>no momento nÃ£o, ela Ã© sempre muito atenciosa &lt;3</t>
  </si>
  <si>
    <t xml:space="preserve">as vezes as visibilidade do chamando fica um pouco confuso </t>
  </si>
  <si>
    <t>4,2,1,5,3,6,7</t>
  </si>
  <si>
    <t>MOBCOMSTORE</t>
  </si>
  <si>
    <t>SurveySubmission-38ZuysVVBPxwgU9FsjgcOh04RQd</t>
  </si>
  <si>
    <t>2026-01-21 18:21:11.784+00</t>
  </si>
  <si>
    <t>Mobcom Store Full</t>
  </si>
  <si>
    <t>A2Q3ZN98SDB77I</t>
  </si>
  <si>
    <t>VANESSA LUCIANA DOS SANTOS</t>
  </si>
  <si>
    <t>vlsantos@alliedbrasil.com.br</t>
  </si>
  <si>
    <t>["Ajuda na resolução de problemas operacionais","Logística (FBA, FBA-Onsite, DBA, logística própria)","Promoções (ofertas, cupons, eventos)","Seleção (recomendação de produtos, oportunidades)","Conversão (qualidade do catálogo, preços, listatem)","Advertising (anúncios patrocinados)","Marca (registro, proteção, conteúdo A+, loja oficial)"]</t>
  </si>
  <si>
    <t>Deixar a Gente precificar de forma que seja facil e boa para nos.</t>
  </si>
  <si>
    <t>Ela Ã© otima</t>
  </si>
  <si>
    <t>Muitas, porÃ©m sempre param e nao vÃ£o para frente devido a politicas da Amazon</t>
  </si>
  <si>
    <t>Esplanada Móveis</t>
  </si>
  <si>
    <t>SurveySubmission-38ZyKkxCcs2zeHSsfUnToWoUiLz</t>
  </si>
  <si>
    <t>2026-01-21 18:48:45.427+00</t>
  </si>
  <si>
    <t>A8HY0O0OJNBU</t>
  </si>
  <si>
    <t>Giovanna Muller</t>
  </si>
  <si>
    <t>giovanna.muller@moveisesplanada.com.br</t>
  </si>
  <si>
    <t>Na parte de marca, é bem complicado subir marcas na Amazon</t>
  </si>
  <si>
    <t>Não digo uma melhoria para o consultor, mas a plataforma de ADS é bem complicada para entendermos, e mexermos, pois isso a Azazzu nos ajudou um pouco nessa parte</t>
  </si>
  <si>
    <t>["Seleção (recomendação de produtos, oportunidades)","Conversão (qualidade do catálogo, preços, listatem)","Promoções (ofertas, cupons, eventos)","Marca (registro, proteção, conteúdo A+, loja oficial)","Advertising (anúncios patrocinados)","Ajuda na resolução de problemas operacionais","Logística (FBA, FBA-Onsite, DBA, logística própria)"]</t>
  </si>
  <si>
    <t>Maira</t>
  </si>
  <si>
    <t>VIANOSSA MÓVEIS</t>
  </si>
  <si>
    <t>SurveySubmission-38a29G4cL88CwoRekybI776aXFn</t>
  </si>
  <si>
    <t>2026-01-21 19:20:07.343+00</t>
  </si>
  <si>
    <t xml:space="preserve">Vianossa Moveis </t>
  </si>
  <si>
    <t>A40OPBHFK9XCP</t>
  </si>
  <si>
    <t>Agnaldo Henrique Nossa</t>
  </si>
  <si>
    <t>agnaldonossa@vianossa.com.br</t>
  </si>
  <si>
    <t xml:space="preserve">Acredito que se tivessemos uma pessoa especializada em ADS no programa, nós ajudaria muito. </t>
  </si>
  <si>
    <t>Manoela e Matheus(nos ultimos 30 dias)</t>
  </si>
  <si>
    <t>Meu consultor entende do meu negócio -- Concordo parcialmente
Meu consultor entende as necessidades do meu negócio com o programa SAS -- Concordo plenamente
Meu consultor entende sobre a minha categoria de venda -- Nem concordo, nem discordo
Meu consultor fornece recomendações estratégicas -- Concordo plenamente
Meu consultor tem conhecimento dos recursos do Seller Central -- Concordo plenamente
Meu consultor é responsivo via email -- Concordo parcialmente
Meu consultor se comunica por escrito de forma clara -- Concordo parcialmente</t>
  </si>
  <si>
    <t>Acredito que estamos em boas mãos, foi muito bom com a Manoela e inciciou bem o trabalho com Matheus</t>
  </si>
  <si>
    <t>["Ajuda na resolução de problemas operacionais","Marca (registro, proteção, conteúdo A+, loja oficial)","Conversão (qualidade do catálogo, preços, listatem)","Seleção (recomendação de produtos, oportunidades)","Logística (FBA, FBA-Onsite, DBA, logística própria)","Advertising (anúncios patrocinados)","Promoções (ofertas, cupons, eventos)"]</t>
  </si>
  <si>
    <t xml:space="preserve">Relatorio de cotação por estado, para estudarmos aonde devemos melhorar nossa logistica propria, como vocês não tem integração com nosso cotador de frete, não temos essa informação. </t>
  </si>
  <si>
    <t>GP Ecomerce</t>
  </si>
  <si>
    <t>SurveySubmission-38a4ssVIuj77sQSkfIR3f5re5PP</t>
  </si>
  <si>
    <t>2026-01-21 19:42:37.164+00</t>
  </si>
  <si>
    <t>GP ECOMMERCE</t>
  </si>
  <si>
    <t>A1LA78N9L99MNO</t>
  </si>
  <si>
    <t>MAURO LUKAS CARDOSO DA SILVA</t>
  </si>
  <si>
    <t>maurolukas7@gmail.com</t>
  </si>
  <si>
    <t>Recomendações Estratégicas -- Importante
Assistência com Resolução de Problemas -- Muito importante
Estratégia com Promoções -- Importante
Gerenciamento e suporte de catálogo -- Importante
Suporte com gerenciamento de inventário -- Importante
Suporte com estratégia para novos produtos -- Serviço não é oferecido</t>
  </si>
  <si>
    <t>Elaboração de relatórios mais estratégicos e individualizados para a realidade de cada conta.</t>
  </si>
  <si>
    <t>Maior autonomia na resolução de problemas.</t>
  </si>
  <si>
    <t>Sobre o problema das centenas de devoluções ocorridas pela má gestão de envios da Total Express, problema este que se arrasta há quase 5 meses e ninguém fornece nenhuma explicação do que está acontecendo.. isso mostra uma total falta de controle, péssima gestão da diretoria e ausência de preparo vinda de uma empresa do porte da Amazon, fato este que é uma grande incoerência (ou convencia para os interesses de alguns é claro).</t>
  </si>
  <si>
    <t>["Ajuda na resolução de problemas operacionais","Logística (FBA, FBA-Onsite, DBA, logística própria)","Promoções (ofertas, cupons, eventos)","Conversão (qualidade do catálogo, preços, listatem)","Seleção (recomendação de produtos, oportunidades)","Advertising (anúncios patrocinados)","Marca (registro, proteção, conteúdo A+, loja oficial)"]</t>
  </si>
  <si>
    <t>Relatório Financeiro específico para débitos negativos, com o máximo de informações possíveis.</t>
  </si>
  <si>
    <t xml:space="preserve">O programa nÃ£o atua em soluÃ§Ãµes realmente efetivas para a resoluÃ§Ã£o de problema de contas que sofrem com questÃµes mais estruturais. NÃ³s passÃ¡vamos por um problema de indisponibilidade severa por conta da falta de integraÃ§Ãµes da Amazon, e nÃ£o foi trazida uma soluÃ§Ã£o eficaz para o problema. A soluÃ§Ã£o teve que vir do nosso lado, atÃ© mesmo a ideaÃ§Ã£o. As discussÃµes focam muito em preÃ§o e deal, sendo que, no nosso caso, isso jÃ¡ se mostrou ineficaz, pois o nosso problema nÃ£o Ã© esse. </t>
  </si>
  <si>
    <t>O consultor precisa estar tÃ£o a par da conta quanto nÃ³s, ou mais. Deve saber dos status dos nossos itens para poder trazer insights mais aprofundados.</t>
  </si>
  <si>
    <t>Trazer mais insights sobre as categorias que atuamos.</t>
  </si>
  <si>
    <t xml:space="preserve">RelatÃ³rio de FBA (posiÃ§Ãµes no fullfillment), </t>
  </si>
  <si>
    <t>WCT Fitness1</t>
  </si>
  <si>
    <t>SurveySubmission-38a5MM6FlsBskAc31LmBinfC7Tw</t>
  </si>
  <si>
    <t>2026-01-21 19:46:31.986+00</t>
  </si>
  <si>
    <t>WCT FITNESS</t>
  </si>
  <si>
    <t xml:space="preserve">Alexsander Ribeiro </t>
  </si>
  <si>
    <t>Alexsander.ribeiro@petina.com.br</t>
  </si>
  <si>
    <t>Tem ainda mais exclusividade com a nossa marca que é líder de mercado</t>
  </si>
  <si>
    <t>Meu consultor entende do meu negócio -- Concordo parcialmente
Meu consultor entende as necessidades do meu negócio com o programa SAS -- Concordo plenamente
Meu consultor entende sobre a minha categoria de venda -- Concordo plenamente
Meu consultor fornece recomendações estratégicas -- Concordo parcialmente
Meu consultor tem conhecimento dos recursos do Seller Central -- Concordo plenamente
Meu consultor é responsivo via email -- Concordo plenamente
Meu consultor se comunica por escrito de forma clara -- Concordo plenamente</t>
  </si>
  <si>
    <t xml:space="preserve">Tem os profissionais de outras áreas também com um melhor acesso no dia a dia </t>
  </si>
  <si>
    <t xml:space="preserve">Perder a consultora que estava em nossa conta é realmente uma grande PERDA - Profissional incrível a melhor que tivemos </t>
  </si>
  <si>
    <t>["Ajuda na resolução de problemas operacionais","Advertising (anúncios patrocinados)","Marca (registro, proteção, conteúdo A+, loja oficial)","Logística (FBA, FBA-Onsite, DBA, logística própria)","Promoções (ofertas, cupons, eventos)","Conversão (qualidade do catálogo, preços, listatem)","Seleção (recomendação de produtos, oportunidades)"]</t>
  </si>
  <si>
    <t xml:space="preserve">Entender melhor como nossa marca se comporta dentro da amazon e entender quais oportunidades podemos explorar para crescer ainda mais </t>
  </si>
  <si>
    <t>OtimizaÃ§Ã£o de listagens/checklist</t>
  </si>
  <si>
    <t>MMASHOP</t>
  </si>
  <si>
    <t>SurveySubmission-38aDjODO3ZBU5aw1f7jx0LE0eFQ</t>
  </si>
  <si>
    <t>2026-01-21 20:55:22.409+00</t>
  </si>
  <si>
    <t>A3MEO2LRV4PWI0</t>
  </si>
  <si>
    <t>MMA COMPANY ARTES MARCIAIS LTDA</t>
  </si>
  <si>
    <t>mmacompanyamazon@gmail.com</t>
  </si>
  <si>
    <t>Recomendações Estratégicas -- Muito importante
Assistência com Resolução de Problemas -- Muito importante
Estratégia com Promoções -- Muito importante
Gerenciamento e suporte de catálogo -- Importante
Suporte com gerenciamento de inventário -- Muito importante
Suporte com estratégia para novos produtos -- Sem importância</t>
  </si>
  <si>
    <t>MAÍARA LIMA</t>
  </si>
  <si>
    <t>Meu consultor entende do meu negócio -- Discordo
Meu consultor entende as necessidades do meu negócio com o programa SAS -- Discordo
Meu consultor entende sobre a minha categoria de venda -- Discordo
Meu consultor fornece recomendações estratégicas -- Discordo
Meu consultor tem conhecimento dos recursos do Seller Central -- Concordo plenamente
Meu consultor é responsivo via email -- Nem concordo, nem discordo
Meu consultor se comunica por escrito de forma clara -- Concordo plenamente</t>
  </si>
  <si>
    <t xml:space="preserve">Meu consultor ficou de fazer ás reunião. Enviar planilhas para aplicar promoções. Nos ajudar a engajar anúncios. </t>
  </si>
  <si>
    <t>["Ajuda na resolução de problemas operacionais","Promoções (ofertas, cupons, eventos)","Conversão (qualidade do catálogo, preços, listatem)","Logística (FBA, FBA-Onsite, DBA, logística própria)","Marca (registro, proteção, conteúdo A+, loja oficial)","Advertising (anúncios patrocinados)","Seleção (recomendação de produtos, oportunidades)"]</t>
  </si>
  <si>
    <t xml:space="preserve">Victor </t>
  </si>
  <si>
    <t>X Roots</t>
  </si>
  <si>
    <t>SurveySubmission-38aFcnFVc2iPWFTN9rAFB8jYD8N</t>
  </si>
  <si>
    <t>2026-01-21 21:10:56.242+00</t>
  </si>
  <si>
    <t>X Roots LTDA</t>
  </si>
  <si>
    <t>A1T0ZV8CFUSCZG</t>
  </si>
  <si>
    <t>Rafael</t>
  </si>
  <si>
    <t>xrcomercio@outlook.com</t>
  </si>
  <si>
    <t>Recomendações Estratégicas -- Importante
Assistência com Resolução de Problemas -- Serviço não é oferecido
Estratégia com Promoções -- Importante
Gerenciamento e suporte de catálogo -- Importante
Suporte com gerenciamento de inventário -- Sem importância
Suporte com estratégia para novos produtos -- Importante</t>
  </si>
  <si>
    <t xml:space="preserve">Parte-se do príncipio de que quando há uma contratação de serviço adicional dentro da plataforma, como é o caso do SAS, exista uma melhora significativa na resolução de problemas, devolutivas, logística, etc. E infelizmente, nos ultimos 3 meses não há qualquer serviço a ser elogiado ou que tenha sido cumprido de alguma forma. </t>
  </si>
  <si>
    <t>Thomas</t>
  </si>
  <si>
    <t>Meu consultor entende do meu negócio -- Nem concordo, nem discordo
Meu consultor entende as necessidades do meu negócio com o programa SAS -- Discordo
Meu consultor entende sobre a minha categoria de venda -- Nem concordo, nem discordo
Meu consultor fornece recomendações estratégicas -- Concordo parcialmente
Meu consultor tem conhecimento dos recursos do Seller Central -- Nem concordo, nem discordo
Meu consultor é responsivo via email -- Nem concordo, nem discordo
Meu consultor se comunica por escrito de forma clara -- Nem concordo, nem discordo</t>
  </si>
  <si>
    <t>A questão de melhoria é nas devolutivas plausíveis e com velocidade. Hoje, infelizmente há uma morosidade gigantesca com qualquer tipo de devolutiva. Entendo que possam ser temas que dependam de outros canais internos da AMZ, como acontecido nos ultimos 3 meses. Porém, os pontos de contato são restritos.</t>
  </si>
  <si>
    <t>O serviço premium, para as nossas contas, até o momento não trouxe nenhuma resolução positiva dos temas até então solicitados/tratados por nós. Há ainda sempre uma resposta padrão ou, na dependência de outros setores que se torna uma resposta morosa e com muito tempo de espera.</t>
  </si>
  <si>
    <t>São as mesmas já colocadas anteriormente.</t>
  </si>
  <si>
    <t>["Conversão (qualidade do catálogo, preços, listatem)","Ajuda na resolução de problemas operacionais","Promoções (ofertas, cupons, eventos)","Logística (FBA, FBA-Onsite, DBA, logística própria)","Advertising (anúncios patrocinados)","Seleção (recomendação de produtos, oportunidades)","Marca (registro, proteção, conteúdo A+, loja oficial)"]</t>
  </si>
  <si>
    <t xml:space="preserve">Acredito que iniciativas planos, estratÃ©gia </t>
  </si>
  <si>
    <t>Planeta do Bebê</t>
  </si>
  <si>
    <t>SurveySubmission-38bJmdHlTAhfJUh5T4Eh30H8t1d</t>
  </si>
  <si>
    <t>2026-01-22 06:14:56.364+00</t>
  </si>
  <si>
    <t>Planeta do bebê</t>
  </si>
  <si>
    <t>A38AILLX0ZWMVT</t>
  </si>
  <si>
    <t>Germana Gonçalves</t>
  </si>
  <si>
    <t>germana@planetadobebe.com.br</t>
  </si>
  <si>
    <t>suporte na publicidade</t>
  </si>
  <si>
    <t>["Promoções (ofertas, cupons, eventos)","Seleção (recomendação de produtos, oportunidades)","Logística (FBA, FBA-Onsite, DBA, logística própria)","Conversão (qualidade do catálogo, preços, listatem)","Advertising (anúncios patrocinados)","Marca (registro, proteção, conteúdo A+, loja oficial)","Ajuda na resolução de problemas operacionais"]</t>
  </si>
  <si>
    <t>relatorios e avisos ontime de anuncios que perderam o botão de compra, abastecimento onsite, abastecimento fba</t>
  </si>
  <si>
    <t>Nos Ãºltimos meses percebemos avanÃ§os importantes da Amazon em relaÃ§Ã£o Ã  competitividade no mercado brasileiro e tambÃ©m um esforÃ§o maior do time de gerenciamento em manter a comunicaÃ§Ã£o ativa, especialmente durante as campanhas sazonais. Isso tem sido positivo e demonstra um movimento de melhoria.  No entanto, ainda sentimos falta de um gerenciamento mais dinÃ¢mico, com trocas estratÃ©gicas mais rÃ¡pidas e personalizadas de acordo com o perfil de cada loja. Entendemos que o modelo de trabalho segue um padrÃ£o global, mas muitas vezes esse formato mais engessado acaba limitando aÃ§Ãµes comerciais que exigem agilidade e adaptaÃ§Ã£o ao comportamento do consumidor local.  Como sugestÃ£o, acreditamos que o programa SAS poderia evoluir oferecendo maior autonomia aos gerentes de conta para negociaÃ§Ãµes, ajustes tÃ¡ticos e suporte estratÃ©gico diferenciado conforme o estÃ¡gio e o perfil de cada parceiro. Esse tipo de flexibilidade ajudaria muito a aproveitar melhor o timing das oportunidades e a otimizar resultados.  De nossa parte, seguimos comprometidos em fazer o melhor uso das ferramentas da Amazon â€” inclusive com novos treinamentos internos â€” e estamos otimistas de que, com esses ajustes, poderemos crescer de forma mais consistente nos prÃ³ximos meses.</t>
  </si>
  <si>
    <t>BIANCA</t>
  </si>
  <si>
    <t>No inÃ­cio da mudanÃ§a de gerÃªncia, nÃ£o estÃ¡vamos satisfeitos com a transiÃ§Ã£o. Foi um perÃ­odo de adaptaÃ§Ã£o tanto para o nosso time quanto para a nova gerente, que ainda estava se familiarizando com as ferramentas da Amazon e com a nossa rotina de trabalho. Esse processo acabou impactando a qualidade do atendimento e a execuÃ§Ã£o das primeiras campanhas.  Com o tempo, percebemos uma melhora gradual. Hoje a gerente demonstra mais seguranÃ§a nas ferramentas e os problemas mais crÃ­ticos do inÃ­cio nÃ£o voltaram a acontecer. Ainda assim, sentimos que hÃ¡ espaÃ§o para evoluir em proatividade e organizaÃ§Ã£o no acompanhamento das aÃ§Ãµes.  Como sugestÃ£o, seria importante manter as reuniÃµes quinzenais previamente agendadas e, apÃ³s cada encontro, enviar um breve resumo por escrito com os pontos principais discutidos e prÃ³ximos passos. TambÃ©m reforÃ§o a importÃ¢ncia de priorizar a comunicaÃ§Ã£o escrita â€” mesmo quando o Ã¡udio Ã© mais prÃ¡tico â€” para facilitar o acompanhamento interno e evitar desencontros de informaÃ§Ã£o.  De modo geral, o atendimento vem se tornando mais estÃ¡vel, mas acreditamos que com ajustes na rotina e na forma de comunicaÃ§Ã£o ele pode atingir um nÃ­vel mais consistente e estratÃ©gico.</t>
  </si>
  <si>
    <t>Belmicro</t>
  </si>
  <si>
    <t>SurveySubmission-38byKvhfyMEphMDWCNqRTjuC2dH</t>
  </si>
  <si>
    <t>2026-01-22 11:48:24.787+00</t>
  </si>
  <si>
    <t>Belmicro.shop</t>
  </si>
  <si>
    <t>A3LGV2SX75WN63</t>
  </si>
  <si>
    <t>ALINE LOPES MONTEIRO</t>
  </si>
  <si>
    <t>aline.monteiro@belmicro.com.br</t>
  </si>
  <si>
    <t>Alexandre</t>
  </si>
  <si>
    <t>não</t>
  </si>
  <si>
    <t>["Conversão (qualidade do catálogo, preços, listatem)","Promoções (ofertas, cupons, eventos)","Logística (FBA, FBA-Onsite, DBA, logística própria)","Ajuda na resolução de problemas operacionais","Seleção (recomendação de produtos, oportunidades)","Marca (registro, proteção, conteúdo A+, loja oficial)","Advertising (anúncios patrocinados)"]</t>
  </si>
  <si>
    <t xml:space="preserve">ja solicitei alguns e não foi executado </t>
  </si>
  <si>
    <t>Ads e Marca</t>
  </si>
  <si>
    <t>Tudo otimo!</t>
  </si>
  <si>
    <t>Brasilfoods</t>
  </si>
  <si>
    <t>SurveySubmission-38c6e0QUiTSaQPrOEFS4NFGI0Uy</t>
  </si>
  <si>
    <t>2026-01-22 12:56:43.41+00</t>
  </si>
  <si>
    <t>A1DKGRTSUGGWEF</t>
  </si>
  <si>
    <t>Victor Ribeiro Tavares de Souza</t>
  </si>
  <si>
    <t>victorbrasilfoods@gmail.com</t>
  </si>
  <si>
    <t>Recomendações Estratégicas -- Importante
Assistência com Resolução de Problemas -- Importante
Estratégia com Promoções -- Muito importante
Gerenciamento e suporte de catálogo -- Importante
Suporte com gerenciamento de inventário -- Sem importância
Suporte com estratégia para novos produtos -- Importante</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</si>
  <si>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Concordo plenamente
Meu consultor tem conhecimento dos recursos do Seller Central -- Concordo plenamente
Meu consultor é responsivo via email -- Nem concordo, nem discordo
Meu consultor se comunica por escrito de forma clara -- Concordo plenamente</t>
  </si>
  <si>
    <t>Ultimamente reparo que vendemos consideravelmente somente em datas, e em dias comuns a Amazon cai muito perante aos outros nossos canais</t>
  </si>
  <si>
    <t>Demora pra retornar</t>
  </si>
  <si>
    <t>Loja iPlace</t>
  </si>
  <si>
    <t>SurveySubmission-38c77xU65BINmjF0CNXuD3jUp8d</t>
  </si>
  <si>
    <t>2026-01-22 13:00:41.669+00</t>
  </si>
  <si>
    <t>Loja My Store</t>
  </si>
  <si>
    <t>Bianca de Lima</t>
  </si>
  <si>
    <t>bianca.lima@herval.com.br</t>
  </si>
  <si>
    <t xml:space="preserve">Precisa melhorar na resolução de problemas, os prazos para resolver internamente na Amazon são demorados. </t>
  </si>
  <si>
    <t>Por vezes ter mais agilidade nos retorno pelo whatsApp.</t>
  </si>
  <si>
    <t xml:space="preserve">Entendo que não deveria ficar tudo centralizado em um chamado só, pois por vezes precisamos tratar de assuntos diferentes no mesmo tempo e acaba ficando confuso. </t>
  </si>
  <si>
    <t>["Seleção (recomendação de produtos, oportunidades)","Promoções (ofertas, cupons, eventos)","Conversão (qualidade do catálogo, preços, listatem)","Marca (registro, proteção, conteúdo A+, loja oficial)","Ajuda na resolução de problemas operacionais","Logística (FBA, FBA-Onsite, DBA, logística própria)","Advertising (anúncios patrocinados)"]</t>
  </si>
  <si>
    <t>POLISHOP - LOJA OFICIAL</t>
  </si>
  <si>
    <t>SurveySubmission-38c9e3cUEnqMeNaJv8sqJk7XKcq</t>
  </si>
  <si>
    <t>2026-01-22 13:21:23.082+00</t>
  </si>
  <si>
    <t>Loja Oficial Polishop</t>
  </si>
  <si>
    <t>A2UJ5SEO16LY8R</t>
  </si>
  <si>
    <t>André Lopes de Assis</t>
  </si>
  <si>
    <t>andre.assis@polishop.com.br</t>
  </si>
  <si>
    <t>Ter maior facilidade e abertura para negociações de comissão nas campanhas mensais</t>
  </si>
  <si>
    <t>["Marca (registro, proteção, conteúdo A+, loja oficial)","Logística (FBA, FBA-Onsite, DBA, logística própria)","Seleção (recomendação de produtos, oportunidades)","Ajuda na resolução de problemas operacionais","Advertising (anúncios patrocinados)","Conversão (qualidade do catálogo, preços, listatem)","Promoções (ofertas, cupons, eventos)"]</t>
  </si>
  <si>
    <t>Magazine MGP</t>
  </si>
  <si>
    <t>SurveySubmission-38c9ohrHbIPBe8EN1FaCUjmOZwP</t>
  </si>
  <si>
    <t>2026-01-22 13:22:48.468+00</t>
  </si>
  <si>
    <t>AKNCWNFOFKMUH</t>
  </si>
  <si>
    <t>João Henrique de Andrade Lima</t>
  </si>
  <si>
    <t>magazinemgp@gmail.com</t>
  </si>
  <si>
    <t>Queria que os consultores tivessem mais autonomia para alguns casos.</t>
  </si>
  <si>
    <t xml:space="preserve">Bianca </t>
  </si>
  <si>
    <t>Meu consultor entende do meu negócio -- Concordo parcialmente
Meu consultor entende as necessidades do meu negócio com o programa SAS -- Concordo plenamente
Meu consultor entende sobre a minha categoria de venda -- Concordo plenamente
Meu consultor fornece recomendações estratégicas -- Concordo plenamente
Meu consultor tem conhecimento dos recursos do Seller Central -- Concordo plenamente
Meu consultor é responsivo via email -- Concordo plenamente
Meu consultor se comunica por escrito de forma clara -- Concordo plenamente</t>
  </si>
  <si>
    <t>["Seleção (recomendação de produtos, oportunidades)","Promoções (ofertas, cupons, eventos)","Conversão (qualidade do catálogo, preços, listatem)","Ajuda na resolução de problemas operacionais","Advertising (anúncios patrocinados)","Logística (FBA, FBA-Onsite, DBA, logística própria)","Marca (registro, proteção, conteúdo A+, loja oficial)"]</t>
  </si>
  <si>
    <t xml:space="preserve">Como sabemos a Amazon Ã© bem burocrÃ¡tica em resoluÃ§Ã£o de problemas do dia a dia, a gerente acaba ficando sobrecarregada com resoluÃ§Ã£o de problemas do cotidiano da operaÃ§Ã£o, o ideal Ã© que tivesse uma equipe encarregada de resoluÃ§Ã£o desses problemas tipo FBAOS e deixasse a gerente livre para tratar de assuntos comerciais que sÃ£o mais valiosos </t>
  </si>
  <si>
    <t xml:space="preserve">Maira </t>
  </si>
  <si>
    <t xml:space="preserve">Gostaria de mais serviÃ§os, como um canal para resoluÃ§Ã£o de problemas do dia dia da operaÃ§Ã£o </t>
  </si>
  <si>
    <t>Pro4ce</t>
  </si>
  <si>
    <t>SurveySubmission-38cGmvh8uYzUlCnQv2qxT8ckYr5</t>
  </si>
  <si>
    <t>2026-01-22 14:20:07.129+00</t>
  </si>
  <si>
    <t>Pro4ce Mundo Automação</t>
  </si>
  <si>
    <t>A16HEPINP4FDB1</t>
  </si>
  <si>
    <t>PAULO HENRIQUE ROLLWAGEN</t>
  </si>
  <si>
    <t>paulo@pro4ce.com</t>
  </si>
  <si>
    <t>["Ajuda na resolução de problemas operacionais","Promoções (ofertas, cupons, eventos)","Conversão (qualidade do catálogo, preços, listatem)","Marca (registro, proteção, conteúdo A+, loja oficial)","Advertising (anúncios patrocinados)","Logística (FBA, FBA-Onsite, DBA, logística própria)","Seleção (recomendação de produtos, oportunidades)"]</t>
  </si>
  <si>
    <t>Lojas Lebes</t>
  </si>
  <si>
    <t>SurveySubmission-38cWhfFZ3cE6m38HsXyzt3wGvW6</t>
  </si>
  <si>
    <t>2026-01-22 16:30:59.675+00</t>
  </si>
  <si>
    <t>Daniela Lopes</t>
  </si>
  <si>
    <t>daniela.lopes@lebes.com.br</t>
  </si>
  <si>
    <t>["Marca (registro, proteção, conteúdo A+, loja oficial)","Logística (FBA, FBA-Onsite, DBA, logística própria)","Advertising (anúncios patrocinados)","Conversão (qualidade do catálogo, preços, listatem)","Promoções (ofertas, cupons, eventos)","Seleção (recomendação de produtos, oportunidades)","Ajuda na resolução de problemas operacionais"]</t>
  </si>
  <si>
    <t xml:space="preserve">Os retornos dos chamados da Amazon sÃ£o muito difÃ­ceis, genÃ©ricos e raramente respondem o que Ã© solicitado </t>
  </si>
  <si>
    <t>Lojas Dália</t>
  </si>
  <si>
    <t>SurveySubmission-38cdyDUQPOEpJ4f5QgWYnxCU7JW</t>
  </si>
  <si>
    <t>2026-01-22 17:30:45.667+00</t>
  </si>
  <si>
    <t>Lojas Dalia</t>
  </si>
  <si>
    <t>A59RDUS3OPQDV</t>
  </si>
  <si>
    <t>Fernanda Mendes Muniz da Silva</t>
  </si>
  <si>
    <t>atendimento@lojasdalia.com.br</t>
  </si>
  <si>
    <t>Tivemos um suporte de ADS nesse trimestre, foi muito bom! Pena que acabou.</t>
  </si>
  <si>
    <t>Me atende muito bem</t>
  </si>
  <si>
    <t>["Promoções (ofertas, cupons, eventos)","Seleção (recomendação de produtos, oportunidades)","Logística (FBA, FBA-Onsite, DBA, logística própria)","Advertising (anúncios patrocinados)","Ajuda na resolução de problemas operacionais","Conversão (qualidade do catálogo, preços, listatem)","Marca (registro, proteção, conteúdo A+, loja oficial)"]</t>
  </si>
  <si>
    <t>Os relatórios existente suprem minhas necessidades</t>
  </si>
  <si>
    <t>NÃ£o tenho nenhum suporte de ads. Acho este ponto muito ruim. Abastecimento do onsite tambÃ©m Ã© muito complexo e moroso</t>
  </si>
  <si>
    <t>Thomas Thalemberg</t>
  </si>
  <si>
    <t>super prestativo e ativo</t>
  </si>
  <si>
    <t>Gerenciamento de onsite. Acho o mÃ©todo muito ruim. Deveria ser possivel conectar com meu ERP</t>
  </si>
  <si>
    <t>LM FULL ACESSORIOS</t>
  </si>
  <si>
    <t>SurveySubmission-38cegjQZwkVlUg5BZNCR763dlpG</t>
  </si>
  <si>
    <t>2026-01-22 17:36:39.056+00</t>
  </si>
  <si>
    <t>LM FULL</t>
  </si>
  <si>
    <t>A2QHCDPKVBIA4S</t>
  </si>
  <si>
    <t>Alexsandro Santos Sousa</t>
  </si>
  <si>
    <t>lm22full@gmail.com</t>
  </si>
  <si>
    <t>A criação de conteúdo A+ poderia ter um limite maior de envios de ASINS ( hoje e limitado a 10 Asins por solicitação ) foi atualizado e a tabela para incluir os Asins sumiu, minha sugestão e que inclua um campo para informar quais Asins precisamos da criação de conteúdo a+</t>
  </si>
  <si>
    <t>["Ajuda na resolução de problemas operacionais","Logística (FBA, FBA-Onsite, DBA, logística própria)","Promoções (ofertas, cupons, eventos)","Conversão (qualidade do catálogo, preços, listatem)","Seleção (recomendação de produtos, oportunidades)","Marca (registro, proteção, conteúdo A+, loja oficial)","Advertising (anúncios patrocinados)"]</t>
  </si>
  <si>
    <t>Acredito que melhorar as campanhas com investimento, de forma mais ampla e intuitiva deva melhorar o programa, ja hÃ¡ um inicio nesse sentido, entÃ£o vamos aguardar para ver a evoluÃ§Ã£o</t>
  </si>
  <si>
    <t>Victor kaneco</t>
  </si>
  <si>
    <t>ja trocou meu consultor, a atual ja me parece bem mais prestativa e disposta a cuidar da conta, vamos aguardar a evoluÃ§Ã£o</t>
  </si>
  <si>
    <t>Talvez a flexibilizaÃ§Ã£o para vinculo de conteÃºdos A+ para Marcas que nÃ£o o fazem nas Listagem. Mesmo que isso necessite uma aprovaÃ§Ã£o depois pela marca.</t>
  </si>
  <si>
    <t>Neste momento, mesmo com alguns problemas na questÃ£o logÃ­stica, nÃ£o houve uma puniÃ§Ã£o que comprometesse a operaÃ§Ã£o, logo podemos melhorar Ainda mais o dia a dia, agradeÃ§o;</t>
  </si>
  <si>
    <t>Que eles ja avaliassem as marcas que trabalhamos e mandassem recomendaÃ§Ãµes de ASIN com demanda e baixa oferta sem necessidade de solicitarmos</t>
  </si>
  <si>
    <t>Outlet das Malas</t>
  </si>
  <si>
    <t>SurveySubmission-38cgkto6g6M4uak2o2IJDpUHYTr</t>
  </si>
  <si>
    <t>2026-01-22 17:53:39.956+00</t>
  </si>
  <si>
    <t>Diego</t>
  </si>
  <si>
    <t>*A3H7XMX9SQOWOI*</t>
  </si>
  <si>
    <t>DIEGO VARELA TONELLA</t>
  </si>
  <si>
    <t>diego@tonellas.com</t>
  </si>
  <si>
    <t>Recomendações Estratégicas -- Importante
Assistência com Resolução de Problemas -- Muito importante
Estratégia com Promoções -- Muito importante
Gerenciamento e suporte de catálogo -- Importante
Suporte com gerenciamento de inventário -- Serviço não é oferecido
Suporte com estratégia para novos produtos -- Serviço não é oferecido</t>
  </si>
  <si>
    <t>Meu consultor entende do meu negócio -- Discordo
Meu consultor entende as necessidades do meu negócio com o programa SAS -- Nem concordo, nem discordo
Meu consultor entende sobre a minha categoria de venda -- Nem concordo, nem discordo
Meu consultor fornece recomendações estratégicas -- Concordo parcialmente
Meu consultor tem conhecimento dos recursos do Seller Central -- Concordo parcialmente
Meu consultor é responsivo via email -- Nem concordo, nem discordo
Meu consultor se comunica por escrito de forma clara -- Concordo parcialmente</t>
  </si>
  <si>
    <t xml:space="preserve">Chamados demoram muito pra solucionar casos. </t>
  </si>
  <si>
    <t>["Advertising (anúncios patrocinados)","Seleção (recomendação de produtos, oportunidades)","Marca (registro, proteção, conteúdo A+, loja oficial)","Conversão (qualidade do catálogo, preços, listatem)","Promoções (ofertas, cupons, eventos)","Ajuda na resolução de problemas operacionais","Logística (FBA, FBA-Onsite, DBA, logística própria)"]</t>
  </si>
  <si>
    <t xml:space="preserve">Bom dia ! A nossa gerente de conta Ã© excelente . Nossa troca no dia a dia Ã© mt saudavel e proveitosa. meu ponto Ã© que o time da amz que da suporte de catalogo e mt fraco pois nao conseguem efetivamente resolver. Nao se entendem com a anymarket que Ã© uma integradora homologada. Alem de termos milhÃµes del problemas no FBA ONSITE que sempre sao mt dificeis de gerenciar junto any e amz. Qnd vendemos, vendemos mt.. mas sempre c mt sofrimento operacional como um todo. Comercialmente esta td mt em alinha com a sarah, mas, ela precisa de um time de apoio que funcione melhor. Que Ã© pra mim onde Ã© falho. Inclusive pra solucao de identificaÃ§Ã£o de cobrancas no cartao de credito que nao consigo resposta e declarar internamente para meu contabil.   </t>
  </si>
  <si>
    <t xml:space="preserve">Nao! Cm disse o problema esta com o backoffice </t>
  </si>
  <si>
    <t>Nao estamos usando ads</t>
  </si>
  <si>
    <t>Loja Naif</t>
  </si>
  <si>
    <t>SurveySubmission-38cjF6LXH1qe82RIB6Uksvtbh5r</t>
  </si>
  <si>
    <t>2026-01-22 18:14:06.194+00</t>
  </si>
  <si>
    <t>Naif</t>
  </si>
  <si>
    <t>A1FWVDRJ300A9D</t>
  </si>
  <si>
    <t xml:space="preserve">Caio Basílio Faria </t>
  </si>
  <si>
    <t>Caiobasilio.mktp@gmail.com</t>
  </si>
  <si>
    <t>Recomendações Estratégicas -- Muito importante
Assistência com Resolução de Problemas -- Muito importante
Estratégia com Promoções -- Importante
Gerenciamento e suporte de catálogo -- Importante
Suporte com gerenciamento de inventário -- Importante
Suporte com estratégia para novos produtos -- Importante</t>
  </si>
  <si>
    <t>Meu consultor entende do meu negócio -- Concordo parcialmente
Meu consultor entende as necessidades do meu negócio com o programa SAS -- Concordo parcialmente
Meu consultor entende sobre a minha categoria de venda -- Concordo parcialmente
Meu consultor fornece recomendações estratégicas -- Nem concordo, nem discordo
Meu consultor tem conhecimento dos recursos do Seller Central -- Nem concordo, nem discordo
Meu consultor é responsivo via email -- Concordo parcialmente
Meu consultor se comunica por escrito de forma clara -- Concordo plenamente</t>
  </si>
  <si>
    <t>["Conversão (qualidade do catálogo, preços, listatem)","Ajuda na resolução de problemas operacionais","Advertising (anúncios patrocinados)","Logística (FBA, FBA-Onsite, DBA, logística própria)","Seleção (recomendação de produtos, oportunidades)","Promoções (ofertas, cupons, eventos)","Marca (registro, proteção, conteúdo A+, loja oficial)"]</t>
  </si>
  <si>
    <t>HOUSE ORGANIZER</t>
  </si>
  <si>
    <t>SurveySubmission-38dfcVIrThrMMx0wtmjuv52FXpq</t>
  </si>
  <si>
    <t>2026-01-23 02:14:07.862+00</t>
  </si>
  <si>
    <t>House Organizer</t>
  </si>
  <si>
    <t>A2FI9JH94BEWZD</t>
  </si>
  <si>
    <t>Marcio Gordiano</t>
  </si>
  <si>
    <t>gordiano@gmail.com</t>
  </si>
  <si>
    <t>Recomendações Estratégicas -- Muito importante
Assistência com Resolução de Problemas -- Muito importante
Estratégia com Promoções -- Muito importante
Gerenciamento e suporte de catálogo -- Muito importante
Suporte com gerenciamento de inventário -- Sem importância
Suporte com estratégia para novos produtos -- Muito importante</t>
  </si>
  <si>
    <t>["Promoções (ofertas, cupons, eventos)","Logística (FBA, FBA-Onsite, DBA, logística própria)","Seleção (recomendação de produtos, oportunidades)","Advertising (anúncios patrocinados)","Conversão (qualidade do catálogo, preços, listatem)","Marca (registro, proteção, conteúdo A+, loja oficial)","Ajuda na resolução de problemas operacionais"]</t>
  </si>
  <si>
    <t>HAIZ SHOP</t>
  </si>
  <si>
    <t>SurveySubmission-38epQ5O72bfn1udq3e1Jt3Qhpt6</t>
  </si>
  <si>
    <t>2026-01-23 12:04:31.842+00</t>
  </si>
  <si>
    <t>Haiz Oficial</t>
  </si>
  <si>
    <t>A35916VCXXGVPN</t>
  </si>
  <si>
    <t>Herick Oliveira</t>
  </si>
  <si>
    <t>marketplaces05@haiz.ai</t>
  </si>
  <si>
    <t>Muito solícito.</t>
  </si>
  <si>
    <t>Atuar mais em resoluÃ§Ãµes de problemas operacionais referente a falhas dos processos do FBA/ONSITE , pois eles acabam afetando o custo da operaÃ§Ã£o.</t>
  </si>
  <si>
    <t>Alexandre Ã© muito proativo e ajuda bastante nos problemas porÃ©m o foco dele Ã© mais comercial o que estÃ¡ correto, mas o programa precisaria tambÃ©m desse apoio efetivo em operaÃ§Ãµes.</t>
  </si>
  <si>
    <t>Precisaria organizar a estrutura como conseguir citar alguma mensagem que mandou, hoje quando abre a visualizaÃ§Ã£o fica um pouco bagunÃ§ada quando falamos de varios problemas ao mesmo tempo, o que acaba dificultando o uso.</t>
  </si>
  <si>
    <t xml:space="preserve">RelatÃ³rios referente ao faturador no fba para exportaÃ§Ã£o de todas as notas emitidas de todas as operaÃ§Ãµes , relatorio de acompanhamento de data de entrega do produto ao cliente como de cancelamento e acompanhamento de solicitaÃ§Ãµes de cancelamento e devoluÃ§Ã£o e como esta o status da venda para controlar os recebÃ­veis e conseguir identificar os possÃ­veis casos que precisam de acompanhamento  </t>
  </si>
  <si>
    <t>Triboshop Online</t>
  </si>
  <si>
    <t>SurveySubmission-38ezIyw5MEVNvKoouBxx9jzHpS4</t>
  </si>
  <si>
    <t>2026-01-23 13:25:48.091+00</t>
  </si>
  <si>
    <t>TRIBOSHOP ONLINE</t>
  </si>
  <si>
    <t>A12FCNE6U9W9GG</t>
  </si>
  <si>
    <t>Marcio Ferreira Cintra</t>
  </si>
  <si>
    <t>triboshoponline@gmail.com</t>
  </si>
  <si>
    <t>Recomendações Estratégicas -- Importante
Assistência com Resolução de Problemas -- Importante
Estratégia com Promoções -- Importante
Gerenciamento e suporte de catálogo -- Importante
Suporte com gerenciamento de inventário -- Sem importância
Suporte com estratégia para novos produtos -- Sem importância</t>
  </si>
  <si>
    <t>["Promoções (ofertas, cupons, eventos)","Seleção (recomendação de produtos, oportunidades)","Logística (FBA, FBA-Onsite, DBA, logística própria)","Ajuda na resolução de problemas operacionais","Conversão (qualidade do catálogo, preços, listatem)","Marca (registro, proteção, conteúdo A+, loja oficial)","Advertising (anúncios patrocinados)"]</t>
  </si>
  <si>
    <t xml:space="preserve">Melhorias ba comunicaÃ§Ã£o, principalmente importÃ¢ncia de retorno real por parte de ads, ainda sentimos que focam muito em que investimentos sem trazer tanto retorno. Em geral amanos atendimento e atenÃ§Ã£o + eventos </t>
  </si>
  <si>
    <t xml:space="preserve">Ele tem sido excelente </t>
  </si>
  <si>
    <t>Sages</t>
  </si>
  <si>
    <t>SurveySubmission-38fBGKfC3zmoxmJuCsIeMmwosq1</t>
  </si>
  <si>
    <t>2026-01-23 15:04:07.365+00</t>
  </si>
  <si>
    <t xml:space="preserve">SAGES </t>
  </si>
  <si>
    <t>AP4NJE6S6Z69T</t>
  </si>
  <si>
    <t>Gabrielle Maria da silva</t>
  </si>
  <si>
    <t>gabrielle.silva@grupozerbini.com.br</t>
  </si>
  <si>
    <t>Thomas thalenberg</t>
  </si>
  <si>
    <t>Todos estão ok</t>
  </si>
  <si>
    <t>Ajudar na inserÃ§Ã£o de novos produtos no catÃ¡logo.</t>
  </si>
  <si>
    <t>Continue assim.</t>
  </si>
  <si>
    <t>Ter um controle melhor dos problemas, assiduidade e comunicaÃ§Ã£o para melhor eficÃ¡cia das resoluÃ§Ãµes.</t>
  </si>
  <si>
    <t>RelatÃ³rio detalhado que mostra todas as taxas incidentes de um SKU, incluindo as tarifas logÃ­sticas.</t>
  </si>
  <si>
    <t>TuttiCasa</t>
  </si>
  <si>
    <t>SurveySubmission-38fQDV36tiKBs2xLnTRHF1OgwDs</t>
  </si>
  <si>
    <t>2026-01-23 17:07:05.67+00</t>
  </si>
  <si>
    <t>Tutticasa Comercial Ltda</t>
  </si>
  <si>
    <t>AM3YQ73N5RTDU</t>
  </si>
  <si>
    <t>Sonia Martins</t>
  </si>
  <si>
    <t>gerencia@feniceconsultoria.com.br</t>
  </si>
  <si>
    <t>Recomendações Estratégicas -- Importante
Assistência com Resolução de Problemas -- Importante
Estratégia com Promoções -- Importante
Gerenciamento e suporte de catálogo -- Serviço não é oferecido
Suporte com gerenciamento de inventário -- Importante
Suporte com estratégia para novos produtos -- Serviço não é oferecido</t>
  </si>
  <si>
    <t>Indicação de produtos que estão com tendencia (mais procurados) para ajudar ao vendedor a melhorar seu catalogo (loja).</t>
  </si>
  <si>
    <t>Meu consultor entende do meu negócio -- Concordo plenamente
Meu consultor entende as necessidades do meu negócio com o programa SAS -- Concordo parcialmente
Meu consultor entende sobre a minha categoria de venda -- Concordo plenamente
Meu consultor fornece recomendações estratégicas -- Nem concordo, nem discordo
Meu consultor tem conhecimento dos recursos do Seller Central -- Concordo parcialmente
Meu consultor é responsivo via email -- Concordo plenamente
Meu consultor se comunica por escrito de forma clara -- Concordo plenamente</t>
  </si>
  <si>
    <t>Recomendações e suporte coma conta.</t>
  </si>
  <si>
    <t>Ajudar com a resolução de problema.</t>
  </si>
  <si>
    <t>["Promoções (ofertas, cupons, eventos)","Seleção (recomendação de produtos, oportunidades)","Conversão (qualidade do catálogo, preços, listatem)","Ajuda na resolução de problemas operacionais","Marca (registro, proteção, conteúdo A+, loja oficial)","Logística (FBA, FBA-Onsite, DBA, logística própria)","Advertising (anúncios patrocinados)"]</t>
  </si>
  <si>
    <t>Relatório onde conste preço praticados por produtos similares na concorrência.</t>
  </si>
  <si>
    <t>ResoluÃ§Ã£o de problemas melhorou com o chat exclusivo SAS. PorÃ©m Ã© importante uma atenÃ§Ã£o maior em promoÃ§Ãµes diferenciadas para clientes SAS.</t>
  </si>
  <si>
    <t>Jeffeson Cunha</t>
  </si>
  <si>
    <t>Tive dificuldades de acessar ele em diversos momentos, tanto via WhatsApp quanto ligaÃ§Ãµes.</t>
  </si>
  <si>
    <t>Tornar essa parte mais visivel no seller central para clientes SAS.</t>
  </si>
  <si>
    <t>Oster Brasil</t>
  </si>
  <si>
    <t>SurveySubmission-38fSv0BNGVZ9w87dP9OlflBu4yn</t>
  </si>
  <si>
    <t>2026-01-23 17:29:18.401+00</t>
  </si>
  <si>
    <t>Oster e Cadence</t>
  </si>
  <si>
    <t>1102146047902 e 1102237904002</t>
  </si>
  <si>
    <t>Diego Guilherme Lopes Ritter</t>
  </si>
  <si>
    <t>diego.lopes@newellco.com</t>
  </si>
  <si>
    <t>["Seleção (recomendação de produtos, oportunidades)","Promoções (ofertas, cupons, eventos)","Advertising (anúncios patrocinados)","Ajuda na resolução de problemas operacionais","Marca (registro, proteção, conteúdo A+, loja oficial)","Conversão (qualidade do catálogo, preços, listatem)","Logística (FBA, FBA-Onsite, DBA, logística própria)"]</t>
  </si>
  <si>
    <t>Mega Compras</t>
  </si>
  <si>
    <t>SurveySubmission-38fUEbbqOUMdqVt38TIYXeIlbIq</t>
  </si>
  <si>
    <t>2026-01-23 17:40:07.984+00</t>
  </si>
  <si>
    <t>Fernanda Souza</t>
  </si>
  <si>
    <t>fernanda.souza@megacompras.com.br</t>
  </si>
  <si>
    <t>Informar oportunidades vs a categoria de forma numérica e qualitativa, ser mais precisa quanto a estratégia de negócios, avaliar descontos</t>
  </si>
  <si>
    <t>até o omento só tivemos a tatiane</t>
  </si>
  <si>
    <t>Meu consultor entende do meu negócio -- Nem concordo, nem discordo
Meu consultor entende as necessidades do meu negócio com o programa SAS -- Nem concordo, nem discordo
Meu consultor entende sobre a minha categoria de venda -- Nem concordo, nem discordo
Meu consultor fornece recomendações estratégicas -- Discordo
Meu consultor tem conhecimento dos recursos do Seller Central -- Concordo parcialmente
Meu consultor é responsivo via email -- Discordo
Meu consultor se comunica por escrito de forma clara -- Nem concordo, nem discordo</t>
  </si>
  <si>
    <t>ser mais proativa, sinto que as demandas são mais reativas , agilidade nas devolutivas e organização de demandas</t>
  </si>
  <si>
    <t xml:space="preserve">conheci recentemente </t>
  </si>
  <si>
    <t>["Seleção (recomendação de produtos, oportunidades)","Logística (FBA, FBA-Onsite, DBA, logística própria)","Advertising (anúncios patrocinados)","Marca (registro, proteção, conteúdo A+, loja oficial)","Promoções (ofertas, cupons, eventos)","Conversão (qualidade do catálogo, preços, listatem)","Ajuda na resolução de problemas operacionais"]</t>
  </si>
  <si>
    <t>vendedor disponibilizar cupons e seus uso, relação de estoque venda</t>
  </si>
  <si>
    <t xml:space="preserve">pelo fato de cuidar de diversas categorias nao tem um conhecimento necessario para entender a categoria  </t>
  </si>
  <si>
    <t>NegociuN</t>
  </si>
  <si>
    <t>SurveySubmission-38fYptlNfKLT4WEt0nsbBesRjqV</t>
  </si>
  <si>
    <t>2026-01-23 18:17:58.273+00</t>
  </si>
  <si>
    <t>NegociuN-Store</t>
  </si>
  <si>
    <t>A27TBZFHKSTLIW</t>
  </si>
  <si>
    <t>João Pedro Ranzani</t>
  </si>
  <si>
    <t>jranzani@negociun.com.br</t>
  </si>
  <si>
    <t>Alexandre é de grande valor para a operação. sempre muito solicito e disponível para auxiliar em nossas demandas</t>
  </si>
  <si>
    <t>["Promoções (ofertas, cupons, eventos)","Ajuda na resolução de problemas operacionais","Seleção (recomendação de produtos, oportunidades)","Advertising (anúncios patrocinados)","Conversão (qualidade do catálogo, preços, listatem)","Marca (registro, proteção, conteúdo A+, loja oficial)","Logística (FBA, FBA-Onsite, DBA, logística própria)"]</t>
  </si>
  <si>
    <t>Acredito que poderia deixar as planilhas mais enxutas e mais fÃ¡ceis de preencher</t>
  </si>
  <si>
    <t>PODIUMFIT</t>
  </si>
  <si>
    <t>SurveySubmission-38fcACN1BvMtbJfKK8Z9UhHO6ng</t>
  </si>
  <si>
    <t>2026-01-23 18:45:19.546+00</t>
  </si>
  <si>
    <t>Podiumfit</t>
  </si>
  <si>
    <t>KYLVIO LEOPOLDO E SILVA ELEUTERIO</t>
  </si>
  <si>
    <t>podiumfit@podiumfit.com.br</t>
  </si>
  <si>
    <t>["Seleção (recomendação de produtos, oportunidades)","Conversão (qualidade do catálogo, preços, listatem)","Ajuda na resolução de problemas operacionais","Marca (registro, proteção, conteúdo A+, loja oficial)","Advertising (anúncios patrocinados)","Promoções (ofertas, cupons, eventos)","Logística (FBA, FBA-Onsite, DBA, logística própria)"]</t>
  </si>
  <si>
    <t>ReuniÃ£o semanal/quinzenal, envio semanal de pontos estratÃ©gicos que possam melhorar as vendas, maior auxilio em pontos como: coleta, abertura e direcionamento de chamado.</t>
  </si>
  <si>
    <t>MaÃ­ra Lima</t>
  </si>
  <si>
    <t>QueroShoes</t>
  </si>
  <si>
    <t>SurveySubmission-38fkgLiLyfM215HXrQnramC0vEm</t>
  </si>
  <si>
    <t>2026-01-23 19:55:22.284+00</t>
  </si>
  <si>
    <t>SHOE</t>
  </si>
  <si>
    <t>A1BGG62X7PU46P</t>
  </si>
  <si>
    <t>Leonardo Lopes de Andrade Silva</t>
  </si>
  <si>
    <t>lorenzzolopezml@gmail.com</t>
  </si>
  <si>
    <t>["Promoções (ofertas, cupons, eventos)","Ajuda na resolução de problemas operacionais","Advertising (anúncios patrocinados)","Seleção (recomendação de produtos, oportunidades)","Conversão (qualidade do catálogo, preços, listatem)","Marca (registro, proteção, conteúdo A+, loja oficial)","Logística (FBA, FBA-Onsite, DBA, logística própria)"]</t>
  </si>
  <si>
    <t>Lucas Amaral</t>
  </si>
  <si>
    <t>Loja JBL Oficial</t>
  </si>
  <si>
    <t>SurveySubmission-38ftnIzmyb4gfjiLUxp7TQCArMp</t>
  </si>
  <si>
    <t>2026-01-23 21:10:18.278+00</t>
  </si>
  <si>
    <t>JBL Oficial</t>
  </si>
  <si>
    <t>AJEZ3BXXMDQDK</t>
  </si>
  <si>
    <t>Luas da Fonseca Hehn</t>
  </si>
  <si>
    <t>lucas.hehn@harman.com</t>
  </si>
  <si>
    <t>["Ajuda na resolução de problemas operacionais","Promoções (ofertas, cupons, eventos)","Conversão (qualidade do catálogo, preços, listatem)","Advertising (anúncios patrocinados)","Seleção (recomendação de produtos, oportunidades)","Marca (registro, proteção, conteúdo A+, loja oficial)","Logística (FBA, FBA-Onsite, DBA, logística própria)"]</t>
  </si>
  <si>
    <t>Melhoria da dinamica de ofertas e investimentos</t>
  </si>
  <si>
    <t>Jeff</t>
  </si>
  <si>
    <t>Acompanhamento da conta</t>
  </si>
  <si>
    <t>DCP Kids</t>
  </si>
  <si>
    <t>SurveySubmission-38fvQUUs5xLuBrImvN1OHaL34fj</t>
  </si>
  <si>
    <t>2026-01-23 21:23:43.645+00</t>
  </si>
  <si>
    <t>A1QBGO94U78XLK</t>
  </si>
  <si>
    <t>Frederico Prado</t>
  </si>
  <si>
    <t>contato@dcpkids.com.br</t>
  </si>
  <si>
    <t>É necessário um gerente de ads com acompanhamento, isso faria diferença total no resultado dos sellers</t>
  </si>
  <si>
    <t>Meu consultor entende do meu negócio -- Concordo parcialmente
Meu consultor entende as necessidades do meu negócio com o programa SAS -- Nem concordo, nem discordo
Meu consultor entende sobre a minha categoria de venda -- Concordo parcialmente
Meu consultor fornece recomendações estratégicas -- Discordo
Meu consultor tem conhecimento dos recursos do Seller Central -- Concordo parcialmente
Meu consultor é responsivo via email -- Nem concordo, nem discordo
Meu consultor se comunica por escrito de forma clara -- Discordo</t>
  </si>
  <si>
    <t>Nada pessoal com a minha gerente porém esse trimestre foi um completo fiasco o atendimento, justo no período mais importante do ano. A comunicação não tem sido clara o suficiente, por muitas vezes solicito algo e não há um confirmação de que a solicitação foi atendida, sendo assim causando impressão de que não foi feito, na verdade isso é algo frequente e que causa frustração. Há muito o que melhorar caso continuemos. Gostaria de pontuar também a falta de supervisão no programa, o supervisor da minha gerente saiu de licença paternidade (o que é mais do que justo) porém não designaram ninguém para cobrir a ausência.</t>
  </si>
  <si>
    <t>O pouco do serviço que usei, que é a alteração de imagens as vezes a imagem não sobe e preciso refazer.</t>
  </si>
  <si>
    <t>["Conversão (qualidade do catálogo, preços, listatem)","Seleção (recomendação de produtos, oportunidades)","Advertising (anúncios patrocinados)","Ajuda na resolução de problemas operacionais","Promoções (ofertas, cupons, eventos)","Logística (FBA, FBA-Onsite, DBA, logística própria)","Marca (registro, proteção, conteúdo A+, loja oficial)"]</t>
  </si>
  <si>
    <t>MURIFASHION</t>
  </si>
  <si>
    <t>SurveySubmission-38fxuhIYddfukb1GWrbWhSrjtd7</t>
  </si>
  <si>
    <t>2026-01-23 21:44:10.438+00</t>
  </si>
  <si>
    <t>Murifashion</t>
  </si>
  <si>
    <t>A1Q75E08702612</t>
  </si>
  <si>
    <t xml:space="preserve">Luiz alberto arruda decco </t>
  </si>
  <si>
    <t>betoodecco@gmail.com</t>
  </si>
  <si>
    <t>["Promoções (ofertas, cupons, eventos)","Logística (FBA, FBA-Onsite, DBA, logística própria)","Ajuda na resolução de problemas operacionais","Conversão (qualidade do catálogo, preços, listatem)","Seleção (recomendação de produtos, oportunidades)","Advertising (anúncios patrocinados)","Marca (registro, proteção, conteúdo A+, loja oficial)"]</t>
  </si>
  <si>
    <t>A plataforma da amazon em relaÃ§Ã£o aos demais Mercado Livre e Shopee nÃ£o Ã© tÃ£o boa e tambÃ©m o meu contato com a gerente de contas Shopee e Mercado Livre Ã© muito mais constante, eu tenho um problema sÃ©rio que eu infelizmente tenho muitas atividades e coordeno vÃ¡rios outros negÃ³cios e a minha agenda ela Ã© complexa e o gerente muitas vezes precisa me cobrar muitas vezes a mesma coisa e sei que isso Ã© chato, mas os gerentes das outras plataformas assim o fazem e o relacionamento Ã© muito bom... o meu relacionamento com a Sarah Ã© bom, nÃ£o tenho nada a reclamar, mas acredito que em funÃ§Ã£o da minha agenda os nossos encontros praticamente nÃ£o acontecem mais e naturalmente as outras plataformas saem na frente, eu entendo que se a gente tem um acessoramento grÃ¡tis, a gente preicisa se adaptar a plataforma e a agenda dos gerentes, mas quando a gente paga, acredito que Ã© ao contrÃ¡rio, certo? mas de toda forma em uma prÃ³xima renovaÃ§Ã£o certamente a chance de eu nÃ£o renovar mais por entender que Ã© o acessoramento de outras plataformas Ã© melhor Ã© grande.</t>
  </si>
  <si>
    <t>Eu sei que existe uma polÃ­tica da Amazon de enviar os relatÃ³rios por email, mas sinceramente eu nÃ£o tenho tempo e nem saco para ficar vendo relatÃ³rios no e-mail, os demais gerentes de conta, basicamente falam sobre isso nas reuniÃµes semanais e a gente traÃ§a metas e objetivos semanais.</t>
  </si>
  <si>
    <t>ZAROC</t>
  </si>
  <si>
    <t>SurveySubmission-38g6ZwLfEpcFHYpcD6Gn4KAYQJP</t>
  </si>
  <si>
    <t>2026-01-23 22:55:25.488+00</t>
  </si>
  <si>
    <t xml:space="preserve">ZAROC </t>
  </si>
  <si>
    <t>*A3P1I2IGXVD9BD*</t>
  </si>
  <si>
    <t xml:space="preserve">LUÍS FELIPE KLUG </t>
  </si>
  <si>
    <t>felipe@zaroc.com.br</t>
  </si>
  <si>
    <t>Recomendações Estratégicas -- Importante
Assistência com Resolução de Problemas -- Muito importante
Estratégia com Promoções -- Muito importante
Gerenciamento e suporte de catálogo -- Sem importância
Suporte com gerenciamento de inventário -- Sem importância
Suporte com estratégia para novos produtos -- Muito importante</t>
  </si>
  <si>
    <t xml:space="preserve">Continuar melhorando a plataforma e acelerar as parcerias com influenciadores </t>
  </si>
  <si>
    <t xml:space="preserve">SARAH MEYER </t>
  </si>
  <si>
    <t>Alexandre Wener</t>
  </si>
  <si>
    <t>Insider Store</t>
  </si>
  <si>
    <t>SurveySubmission-38gX4FZrt8v339SggZC7t1YGq8k</t>
  </si>
  <si>
    <t>2026-01-24 02:33:14.493+00</t>
  </si>
  <si>
    <t>A32KDVWBJ9TXRE</t>
  </si>
  <si>
    <t>Alexandre Luis Lima Alves</t>
  </si>
  <si>
    <t>alexandre.alves@insiderstore.com.br</t>
  </si>
  <si>
    <t>["Logística (FBA, FBA-Onsite, DBA, logística própria)","Ajuda na resolução de problemas operacionais","Promoções (ofertas, cupons, eventos)","Conversão (qualidade do catálogo, preços, listatem)","Seleção (recomendação de produtos, oportunidades)","Advertising (anúncios patrocinados)","Marca (registro, proteção, conteúdo A+, loja oficial)"]</t>
  </si>
  <si>
    <t xml:space="preserve">Acredito que poderia ser compartilhada informaÃ§Ãµes de performance vs categoria ou carteira assessorada, para comparativo de estratÃ©gia e direcional de agressividade dos preÃ§os. Esses </t>
  </si>
  <si>
    <t xml:space="preserve">Tatiane Assis </t>
  </si>
  <si>
    <t xml:space="preserve">Agilidade nas devolutivas e acompanhamento das pendÃªncias, comeÃ§o meio e fim para que os assuntos nÃ£o fiquem soltos </t>
  </si>
  <si>
    <t>Incluir dados de investimento de midia, estoque geral e por sku em uma mesma tela</t>
  </si>
  <si>
    <t xml:space="preserve">O consultor Ã© novo, chegou tem um mÃªs Ã© recente para opinar </t>
  </si>
  <si>
    <t>Samsung Loja Oficial</t>
  </si>
  <si>
    <t>I wanna sleep</t>
  </si>
  <si>
    <t>New Era Brasil</t>
  </si>
  <si>
    <t>CAFFEINE ARMY | SUPERCOFFEE</t>
  </si>
  <si>
    <t>WEBBOLSAS</t>
  </si>
  <si>
    <t>Casa &amp; Vídeo</t>
  </si>
  <si>
    <t>Spaceyy Oficial</t>
  </si>
  <si>
    <t>Emma Colchões Brasil LTDA</t>
  </si>
  <si>
    <t>Buddemeyer</t>
  </si>
  <si>
    <t>MegaMamute.</t>
  </si>
  <si>
    <t>PGS ONLINE</t>
  </si>
  <si>
    <t>Luuna</t>
  </si>
  <si>
    <t>samsonite</t>
  </si>
  <si>
    <t>ONYK</t>
  </si>
  <si>
    <t>TudoEsportes</t>
  </si>
  <si>
    <t>Acer Brasil</t>
  </si>
  <si>
    <t>GRANDCOMMERCE EMBU</t>
  </si>
  <si>
    <t>Loja Oikos Oficial</t>
  </si>
  <si>
    <t>TKLA Oficial</t>
  </si>
  <si>
    <t>Econominet</t>
  </si>
  <si>
    <t>JVC Moda Básica</t>
  </si>
  <si>
    <t>iRobot Brasil</t>
  </si>
  <si>
    <t>Kärcher - Loja Oficial</t>
  </si>
  <si>
    <t>LENOVO OFICIAL</t>
  </si>
  <si>
    <t>RINO BIKE</t>
  </si>
  <si>
    <t>Yogateria</t>
  </si>
  <si>
    <t>CHAPELARIAVINTAGE</t>
  </si>
  <si>
    <t>Loja Bezzter</t>
  </si>
  <si>
    <t>GAHE DISTRIBUIDORA</t>
  </si>
  <si>
    <t>CIA DO WHISKY</t>
  </si>
  <si>
    <t>Philco Oficial</t>
  </si>
  <si>
    <t>Loja Panasonic Oficial</t>
  </si>
  <si>
    <t>BEELINK</t>
  </si>
  <si>
    <t>Fintech shop</t>
  </si>
  <si>
    <t>NATROL</t>
  </si>
  <si>
    <t>ZHIYUN BRASIL</t>
  </si>
  <si>
    <t>parent_customer_id</t>
  </si>
  <si>
    <t>parent_name</t>
  </si>
  <si>
    <t>merchant_customer_id</t>
  </si>
  <si>
    <t>merchant_name</t>
  </si>
  <si>
    <t>alias</t>
  </si>
  <si>
    <t>om_alias</t>
  </si>
  <si>
    <t>psps_status</t>
  </si>
  <si>
    <t>seller_status</t>
  </si>
  <si>
    <t>program</t>
  </si>
  <si>
    <t>winston_program</t>
  </si>
  <si>
    <t>billing_status</t>
  </si>
  <si>
    <t>alteracao</t>
  </si>
  <si>
    <t>subscription_start_date</t>
  </si>
  <si>
    <t>actual_program</t>
  </si>
  <si>
    <t>is_unique_parent_psps</t>
  </si>
  <si>
    <t>is_unique_parent</t>
  </si>
  <si>
    <t>created_date</t>
  </si>
  <si>
    <t>first_activity_date</t>
  </si>
  <si>
    <t>naiaraco</t>
  </si>
  <si>
    <t>No PSPS</t>
  </si>
  <si>
    <t>Active</t>
  </si>
  <si>
    <t>Essentials</t>
  </si>
  <si>
    <t>Enabled</t>
  </si>
  <si>
    <t>Correct</t>
  </si>
  <si>
    <t>rafasaad</t>
  </si>
  <si>
    <t>With PSPS</t>
  </si>
  <si>
    <t>Pro</t>
  </si>
  <si>
    <t>ITX-GAMER</t>
  </si>
  <si>
    <t>ON-PLUS</t>
  </si>
  <si>
    <t>Engage Eletro - Full</t>
  </si>
  <si>
    <t>steshino</t>
  </si>
  <si>
    <t>Engage ⭐⭐⭐⭐⭐</t>
  </si>
  <si>
    <t>judebri</t>
  </si>
  <si>
    <t>Nespresso Parceiro.</t>
  </si>
  <si>
    <t>Nespresso Brasil Oficial</t>
  </si>
  <si>
    <t>kapecab</t>
  </si>
  <si>
    <t>Casa Bouclé</t>
  </si>
  <si>
    <t>cyrof</t>
  </si>
  <si>
    <t>GRUPO CAFFEINE ARMY / SUPERCOFFEE</t>
  </si>
  <si>
    <t>oportela</t>
  </si>
  <si>
    <t>rosdeoli</t>
  </si>
  <si>
    <t>anaccbon</t>
  </si>
  <si>
    <t>CENTERSPORT</t>
  </si>
  <si>
    <t>diasigor</t>
  </si>
  <si>
    <t>Paulo Cezar Bordados</t>
  </si>
  <si>
    <t>Paulo Cesar Enxovais</t>
  </si>
  <si>
    <t>Firenze Enxovais</t>
  </si>
  <si>
    <t>Mapeli Enxovais</t>
  </si>
  <si>
    <t>Azbuy</t>
  </si>
  <si>
    <t>artalon</t>
  </si>
  <si>
    <t>luat</t>
  </si>
  <si>
    <t>matbalb</t>
  </si>
  <si>
    <t>nainerps</t>
  </si>
  <si>
    <t>JMM SHOP</t>
  </si>
  <si>
    <t>mairabl</t>
  </si>
  <si>
    <t>GMTA Oficial</t>
  </si>
  <si>
    <t>Shop SMD</t>
  </si>
  <si>
    <t>biancra</t>
  </si>
  <si>
    <t>Balaqui Shop</t>
  </si>
  <si>
    <t>Balaqui Estofados</t>
  </si>
  <si>
    <t>V3RCOMERCIAL</t>
  </si>
  <si>
    <t>Fortalvit</t>
  </si>
  <si>
    <t>Fortalvit.fba</t>
  </si>
  <si>
    <t>Sieno Total</t>
  </si>
  <si>
    <t>Import EUA</t>
  </si>
  <si>
    <t>Gamer Place</t>
  </si>
  <si>
    <t>vinbrags</t>
  </si>
  <si>
    <t>svxmeyer</t>
  </si>
  <si>
    <t>ZAROC.SP</t>
  </si>
  <si>
    <t>luanpg</t>
  </si>
  <si>
    <t>Prime Comercio</t>
  </si>
  <si>
    <t>4FITNESS</t>
  </si>
  <si>
    <t>EASY DECOR</t>
  </si>
  <si>
    <t>4Fitness_SP</t>
  </si>
  <si>
    <t>Miroc_Magazine</t>
  </si>
  <si>
    <t>BOYA DO BRASIL</t>
  </si>
  <si>
    <t>Consul Oficial</t>
  </si>
  <si>
    <t>G7 Nutrição Esportiva</t>
  </si>
  <si>
    <t>Mimorada.</t>
  </si>
  <si>
    <t>CASA_E_FERRAMENTAS</t>
  </si>
  <si>
    <t>STRONG NOW</t>
  </si>
  <si>
    <t>fepeco</t>
  </si>
  <si>
    <t>Desconto Magazine</t>
  </si>
  <si>
    <t>melhorcompraoficial</t>
  </si>
  <si>
    <t>PURO NUTRITION</t>
  </si>
  <si>
    <t>LUCAS COLCHÕES</t>
  </si>
  <si>
    <t>MUNUS</t>
  </si>
  <si>
    <t>MS Web</t>
  </si>
  <si>
    <t>Disabled</t>
  </si>
  <si>
    <t>Ativar PSPS</t>
  </si>
  <si>
    <t>Quem disse, Berenice?</t>
  </si>
  <si>
    <t>DR. JONES</t>
  </si>
  <si>
    <t>O.U.i Paris</t>
  </si>
  <si>
    <t>Vult Oficial</t>
  </si>
  <si>
    <t>Shop Favs</t>
  </si>
  <si>
    <t>Shop Favs ES</t>
  </si>
  <si>
    <t>abwerner</t>
  </si>
  <si>
    <t>Pichau FBA</t>
  </si>
  <si>
    <t>DECOLAB OFICIAL</t>
  </si>
  <si>
    <t>lvalese</t>
  </si>
  <si>
    <t>Coluna Relax :)</t>
  </si>
  <si>
    <t>I WANNA SLEEP SP</t>
  </si>
  <si>
    <t>Coluna Relax Br</t>
  </si>
  <si>
    <t>COUTINHO VENDAS ONLINE LTDA</t>
  </si>
  <si>
    <t>COUTINHO ATACADO</t>
  </si>
  <si>
    <t>COUTINHO MODAS</t>
  </si>
  <si>
    <t>TRACE MINERALS</t>
  </si>
  <si>
    <t>1 HORA</t>
  </si>
  <si>
    <t>Mega Compras MG</t>
  </si>
  <si>
    <t>thalent</t>
  </si>
  <si>
    <t>LINDONA COSMÉTICOS</t>
  </si>
  <si>
    <t>bitelman</t>
  </si>
  <si>
    <t>Vikings Digital</t>
  </si>
  <si>
    <t>DEPOSITO DE AROMAS</t>
  </si>
  <si>
    <t>Donkey Store</t>
  </si>
  <si>
    <t>ACLS ECOMMERCE</t>
  </si>
  <si>
    <t>ECOMMERCE MGS</t>
  </si>
  <si>
    <t>BLUZE STORE</t>
  </si>
  <si>
    <t>AMR STOREE</t>
  </si>
  <si>
    <t>EASYTECHINFOR</t>
  </si>
  <si>
    <t>Mega-Mamute</t>
  </si>
  <si>
    <t>TCLSEMP.</t>
  </si>
  <si>
    <t>LEBRE STORE</t>
  </si>
  <si>
    <t>WALGREEN</t>
  </si>
  <si>
    <t>BOYA BR</t>
  </si>
  <si>
    <t>Next10 Nutrition</t>
  </si>
  <si>
    <t>Everlast Nutrition</t>
  </si>
  <si>
    <t>Gorila Shield</t>
  </si>
  <si>
    <t>Gshield SP</t>
  </si>
  <si>
    <t>GSP´</t>
  </si>
  <si>
    <t>Gshield BR</t>
  </si>
  <si>
    <t>RELÓGIOS CAMPANA SP</t>
  </si>
  <si>
    <t>RELÓGIOS CAMPANA</t>
  </si>
  <si>
    <t>KVN PODIUMFIT</t>
  </si>
  <si>
    <t>KYLNE</t>
  </si>
  <si>
    <t>Clicou Tech</t>
  </si>
  <si>
    <t>Loja Clicou Shops</t>
  </si>
  <si>
    <t>Outlet Malas</t>
  </si>
  <si>
    <t>JM3 MOVEIS</t>
  </si>
  <si>
    <t>REP Store Ltda</t>
  </si>
  <si>
    <t>REP ST0RE</t>
  </si>
  <si>
    <t>Oi Cosméticos!</t>
  </si>
  <si>
    <t>Emcompre Full</t>
  </si>
  <si>
    <t>Maximo suplementos</t>
  </si>
  <si>
    <t>Salva Smart</t>
  </si>
  <si>
    <t>Loja Oikos</t>
  </si>
  <si>
    <t>TriboShop II</t>
  </si>
  <si>
    <t>Triboshop 3</t>
  </si>
  <si>
    <t>LUMEO PLACE STORE</t>
  </si>
  <si>
    <t>Login Tecnologia</t>
  </si>
  <si>
    <t>Liectroux Brasil</t>
  </si>
  <si>
    <t>Basilio Utilidades</t>
  </si>
  <si>
    <t>Cadence Oficial</t>
  </si>
  <si>
    <t>INVICTAONLINE</t>
  </si>
  <si>
    <t>Oster Oficial</t>
  </si>
  <si>
    <t>Loja Cadence</t>
  </si>
  <si>
    <t>Dorel Oficial</t>
  </si>
  <si>
    <t>NutriBullet Oficial</t>
  </si>
  <si>
    <t>B.A TRAVESSEIROS</t>
  </si>
  <si>
    <t>Zapata Confecções</t>
  </si>
  <si>
    <t>danicgm</t>
  </si>
  <si>
    <t>SUACASAHOME</t>
  </si>
  <si>
    <t>RF Import</t>
  </si>
  <si>
    <t>Pet\'s Menu</t>
  </si>
  <si>
    <t>Obabox Oficial</t>
  </si>
  <si>
    <t>Loja Grupo Multi Oficial</t>
  </si>
  <si>
    <t>AnkerDirect BR</t>
  </si>
  <si>
    <t>ROYAL PARFUM</t>
  </si>
  <si>
    <t>Pet do Caramelo</t>
  </si>
  <si>
    <t>X PINK</t>
  </si>
  <si>
    <t>FID COMEX FULL</t>
  </si>
  <si>
    <t>Loja Madesa Móveis</t>
  </si>
  <si>
    <t>Grupo Technos Oficial</t>
  </si>
  <si>
    <t>Oferta e Companhia</t>
  </si>
  <si>
    <t>Britânia</t>
  </si>
  <si>
    <t>Kubbo.</t>
  </si>
  <si>
    <t>Lojas Kubbo ⭐⭐⭐⭐⭐</t>
  </si>
  <si>
    <t>LuvinCo</t>
  </si>
  <si>
    <t>Suggar Eletrodomésticos</t>
  </si>
  <si>
    <t>the suplementos</t>
  </si>
  <si>
    <t>Mills Utensilios</t>
  </si>
  <si>
    <t>STY FULL LTDA</t>
  </si>
  <si>
    <t>ML MARKET LTDA</t>
  </si>
  <si>
    <t>MTD IMPORTS</t>
  </si>
  <si>
    <t>Buddemeyer Loja</t>
  </si>
  <si>
    <t>Empore</t>
  </si>
  <si>
    <t>Vidro e Decor</t>
  </si>
  <si>
    <t>Giralar SP</t>
  </si>
  <si>
    <t>Hering Oficial Prime</t>
  </si>
  <si>
    <t>Lojas Dalia 160</t>
  </si>
  <si>
    <t>Utilizaí Utilidades</t>
  </si>
  <si>
    <t>DON SHOPP</t>
  </si>
  <si>
    <t>DON PTK</t>
  </si>
  <si>
    <t>LRZ Beauty</t>
  </si>
  <si>
    <t>MaluBeauty</t>
  </si>
  <si>
    <t>GP Ecommerce</t>
  </si>
  <si>
    <t>Lojas Colombo S/A</t>
  </si>
  <si>
    <t>Ar Certo</t>
  </si>
  <si>
    <t>Vetpet Line</t>
  </si>
  <si>
    <t>Smart Choice Tech</t>
  </si>
  <si>
    <t>Slim Fitness FBA</t>
  </si>
  <si>
    <t>Samsonite Brasil Oficial</t>
  </si>
  <si>
    <t>Manada Animal</t>
  </si>
  <si>
    <t>Loja Oficial | Kidsy</t>
  </si>
  <si>
    <t>Loja Oficial Aiebao</t>
  </si>
  <si>
    <t>Hunter Fan</t>
  </si>
  <si>
    <t>Casa Dona Ib</t>
  </si>
  <si>
    <t>DUX Nutrition Lab</t>
  </si>
  <si>
    <t>Granelle Armazém</t>
  </si>
  <si>
    <t>MULTIMOVEIS_IND</t>
  </si>
  <si>
    <t>A Casa de Móveis</t>
  </si>
  <si>
    <t>BAGNAWEB</t>
  </si>
  <si>
    <t>Desativar PSPS</t>
  </si>
  <si>
    <t>Nutreline</t>
  </si>
  <si>
    <t>SHOPGRA.</t>
  </si>
  <si>
    <t>Webcontinental_1PFF</t>
  </si>
  <si>
    <t>Huawei Digital</t>
  </si>
  <si>
    <t>Naturallee</t>
  </si>
  <si>
    <t>Belote</t>
  </si>
  <si>
    <t>ROCK SUPLEMENTOS</t>
  </si>
  <si>
    <t>THE ONE Supps</t>
  </si>
  <si>
    <t>Efácil Full</t>
  </si>
  <si>
    <t>RHEAD RED HIGH END STUDIOS</t>
  </si>
  <si>
    <t>TREVO ECOM</t>
  </si>
  <si>
    <t>MAALUSTORE</t>
  </si>
  <si>
    <t>Quero Shoess</t>
  </si>
  <si>
    <t>CRz Store</t>
  </si>
  <si>
    <t>Cozy - Ame sua Casa</t>
  </si>
  <si>
    <t>zShops</t>
  </si>
  <si>
    <t>Comprebel</t>
  </si>
  <si>
    <t>Bel Micro</t>
  </si>
  <si>
    <t>Belmicro Fulfillment</t>
  </si>
  <si>
    <t>MAUROSPBR</t>
  </si>
  <si>
    <t>Inpower 2</t>
  </si>
  <si>
    <t>DUPINOFICIAL</t>
  </si>
  <si>
    <t>SYANGBRASIL</t>
  </si>
  <si>
    <t>Totalty</t>
  </si>
  <si>
    <t>GOMES MODAS</t>
  </si>
  <si>
    <t>ROCCO STORE</t>
  </si>
  <si>
    <t>MUAYTHAI SHOP</t>
  </si>
  <si>
    <t>Yogateria_full</t>
  </si>
  <si>
    <t>Galpao12 Loja Oficial</t>
  </si>
  <si>
    <t>H2O Purificadores Serra</t>
  </si>
  <si>
    <t>H2O Purificadores Barueri</t>
  </si>
  <si>
    <t>usefreedomoficial</t>
  </si>
  <si>
    <t>OUTLET 5.0</t>
  </si>
  <si>
    <t>Goplay10</t>
  </si>
  <si>
    <t>IDIMEX do Brasil</t>
  </si>
  <si>
    <t>CLIMAMIX</t>
  </si>
  <si>
    <t>Leveros</t>
  </si>
  <si>
    <t>WCT FITNESS1</t>
  </si>
  <si>
    <t>DuRio</t>
  </si>
  <si>
    <t>Vitrine Direta</t>
  </si>
  <si>
    <t>Avant Sp</t>
  </si>
  <si>
    <t>Sandrini Atacado e Varejo Ltda</t>
  </si>
  <si>
    <t>INOVIVO</t>
  </si>
  <si>
    <t>Huawei Loja Autorizada</t>
  </si>
  <si>
    <t>BRINKANTO</t>
  </si>
  <si>
    <t>JamesNaWeb</t>
  </si>
  <si>
    <t>Rony Versatil</t>
  </si>
  <si>
    <t>Loja Loja</t>
  </si>
  <si>
    <t>Dog Eletro</t>
  </si>
  <si>
    <t>Guime Store</t>
  </si>
  <si>
    <t>Loja Yud</t>
  </si>
  <si>
    <t>UszeOrganize</t>
  </si>
  <si>
    <t>Cafy Informatica</t>
  </si>
  <si>
    <t>Insider Loja Oficial</t>
  </si>
  <si>
    <t>Insider Oficial</t>
  </si>
  <si>
    <t>Primetek ES</t>
  </si>
  <si>
    <t>ABC DA CONSTRUÇÃO</t>
  </si>
  <si>
    <t>Prioriza Webshop</t>
  </si>
  <si>
    <t>OficialWebshop</t>
  </si>
  <si>
    <t>Edifier Brasil Loja Oficial</t>
  </si>
  <si>
    <t>Homepoint MG</t>
  </si>
  <si>
    <t>Vivarelax</t>
  </si>
  <si>
    <t>belezafavorita</t>
  </si>
  <si>
    <t>NOW OFICIAL</t>
  </si>
  <si>
    <t>MEMORIAS BRASIL</t>
  </si>
  <si>
    <t>SONY BR</t>
  </si>
  <si>
    <t>Digital Note</t>
  </si>
  <si>
    <t>Outlet das Fábricas</t>
  </si>
  <si>
    <t>Muscle-Box</t>
  </si>
  <si>
    <t>Musclebox</t>
  </si>
  <si>
    <t>Blend Suplementos</t>
  </si>
  <si>
    <t>YOU GREEN</t>
  </si>
  <si>
    <t>NOW_OFICIAL</t>
  </si>
  <si>
    <t>TACNAR COMERCIO</t>
  </si>
  <si>
    <t>Motorola Oficial</t>
  </si>
  <si>
    <t>Formulados Farma</t>
  </si>
  <si>
    <t>Beautfy</t>
  </si>
  <si>
    <t>LUZ COSMÉTICOS</t>
  </si>
  <si>
    <t>JGN Hub Digital</t>
  </si>
  <si>
    <t>Mascotitos</t>
  </si>
  <si>
    <t>Couro50</t>
  </si>
  <si>
    <t>LOJA OFICIAL FTW</t>
  </si>
  <si>
    <t>BIGENS</t>
  </si>
  <si>
    <t>Bigens Filial</t>
  </si>
  <si>
    <t>Grupo Marista</t>
  </si>
  <si>
    <t>Under Armour Brasil</t>
  </si>
  <si>
    <t>Mizuno Brasil</t>
  </si>
  <si>
    <t>EASY MAGAZINE</t>
  </si>
  <si>
    <t>HOMECLOCK</t>
  </si>
  <si>
    <t>RBM RELOGIOS</t>
  </si>
  <si>
    <t>Tudão Tech</t>
  </si>
  <si>
    <t>QLC Sport</t>
  </si>
  <si>
    <t>COMPRAMAIS Store</t>
  </si>
  <si>
    <t>TNTinfo</t>
  </si>
  <si>
    <t>Primetek Computadores</t>
  </si>
  <si>
    <t>Decoratta</t>
  </si>
  <si>
    <t>Mimo Style</t>
  </si>
  <si>
    <t>FULL MELHOR PARA VOCE</t>
  </si>
  <si>
    <t>Frigelar Ltda.</t>
  </si>
  <si>
    <t>Frigelar Comércio e Indústria Ltda</t>
  </si>
  <si>
    <t>FRIGELAR COMERCIO LTDA</t>
  </si>
  <si>
    <t>FRIGELAR COM. IND. LTDA.</t>
  </si>
  <si>
    <t>year</t>
  </si>
  <si>
    <t>date_value</t>
  </si>
  <si>
    <t>date_view</t>
  </si>
  <si>
    <t>activity_id</t>
  </si>
  <si>
    <t>activity_date</t>
  </si>
  <si>
    <t>last_modified_date</t>
  </si>
  <si>
    <t>month_name</t>
  </si>
  <si>
    <t>week</t>
  </si>
  <si>
    <t>seller_name</t>
  </si>
  <si>
    <t>mc_alias</t>
  </si>
  <si>
    <t>main_pf</t>
  </si>
  <si>
    <t>program_launch_date</t>
  </si>
  <si>
    <t>category</t>
  </si>
  <si>
    <t>sub_category</t>
  </si>
  <si>
    <t>topic</t>
  </si>
  <si>
    <t>sub_topic</t>
  </si>
  <si>
    <t>status</t>
  </si>
  <si>
    <t>description</t>
  </si>
  <si>
    <t>business_days</t>
  </si>
  <si>
    <t>program_tag</t>
  </si>
  <si>
    <t>status_complet</t>
  </si>
  <si>
    <t>category_tag</t>
  </si>
  <si>
    <t>partially_resolved</t>
  </si>
  <si>
    <t>first_activity</t>
  </si>
  <si>
    <t>created_week_number</t>
  </si>
  <si>
    <t>concatenated_week</t>
  </si>
  <si>
    <t>concatenated_month</t>
  </si>
  <si>
    <t>week_first_activity</t>
  </si>
  <si>
    <t>month_first_activity</t>
  </si>
  <si>
    <t>proactive_task</t>
  </si>
  <si>
    <t>Month</t>
  </si>
  <si>
    <t>717e29f4-364f-4a5d-8609-d50dda9fb0e3</t>
  </si>
  <si>
    <t xml:space="preserve">October  </t>
  </si>
  <si>
    <t>4eek</t>
  </si>
  <si>
    <t>CONSUMABLES</t>
  </si>
  <si>
    <t>COMPLETED</t>
  </si>
  <si>
    <t>Problema para verificar o usuário.</t>
  </si>
  <si>
    <t>Account issue</t>
  </si>
  <si>
    <t>KYC</t>
  </si>
  <si>
    <t xml:space="preserve">125288528002October  </t>
  </si>
  <si>
    <t>9b255819-4329-4f3b-a4d1-7c9223b600cc</t>
  </si>
  <si>
    <t xml:space="preserve">March    </t>
  </si>
  <si>
    <t>1eek</t>
  </si>
  <si>
    <t>Seller sinalizou problema em alguns ASINs de FBA inativo. Ao visualuzar o QuickSuite de FBA, as offers estavam bloqueadas devido certificado digital. \naberto esse chamado: https://t.corp.amazon.com/V2125698132</t>
  </si>
  <si>
    <t>FBA</t>
  </si>
  <si>
    <t>Invoicer</t>
  </si>
  <si>
    <t xml:space="preserve">191336978502March    </t>
  </si>
  <si>
    <t>69dcbacd-fa6f-4ca3-a6a4-bd532540b3e9</t>
  </si>
  <si>
    <t>SOFTLINES</t>
  </si>
  <si>
    <t>Seller quer saber todos o Child ASIN do Parent ASIN B0D7QRSDRK e o time de listing está verificando se existe essa possibilidade</t>
  </si>
  <si>
    <t>Catalog</t>
  </si>
  <si>
    <t>Listing</t>
  </si>
  <si>
    <t xml:space="preserve">601998582602October  </t>
  </si>
  <si>
    <t>f699b04b-044e-4bb6-82f3-0139eca2a1c2</t>
  </si>
  <si>
    <t>2eek</t>
  </si>
  <si>
    <t>Seller realizou o envio pra fba no dia 25/09 e até hoje não foi concluido o inbound, solicitei pro time investigar o que aconteceu com os itens. https://t.corp.amazon.com/V1962638716</t>
  </si>
  <si>
    <t>Inbound</t>
  </si>
  <si>
    <t>PSA</t>
  </si>
  <si>
    <t>1bff3918-2a82-4561-9943-5dd3114879a9</t>
  </si>
  <si>
    <t xml:space="preserve">December </t>
  </si>
  <si>
    <t>Ficaram unidades pendentes na coleta, solicitou outro veiculo.</t>
  </si>
  <si>
    <t>Pickup</t>
  </si>
  <si>
    <t xml:space="preserve">125288528002December </t>
  </si>
  <si>
    <t>b9900068-c292-403a-8d4a-bf983f32a7d0</t>
  </si>
  <si>
    <t>Pedido de remoção que não foi realizado</t>
  </si>
  <si>
    <t>Removals</t>
  </si>
  <si>
    <t>965b1074-25d7-4d91-8966-8d12e44695d0</t>
  </si>
  <si>
    <t>Encerrar oferta que houve venda sem estoque.</t>
  </si>
  <si>
    <t>Education</t>
  </si>
  <si>
    <t>1b6fe224-717f-41fd-b470-ec1bed60b873</t>
  </si>
  <si>
    <t>5eek</t>
  </si>
  <si>
    <t>Fez o envio do pedido porém não chegou no cliente final</t>
  </si>
  <si>
    <t>Reimbursement</t>
  </si>
  <si>
    <t>e9f1825e-9cca-4923-ad39-92334317c1fe</t>
  </si>
  <si>
    <t xml:space="preserve">January  </t>
  </si>
  <si>
    <t>OTHER HARDLINES</t>
  </si>
  <si>
    <t>comprovante de reembolsos.</t>
  </si>
  <si>
    <t>MFN</t>
  </si>
  <si>
    <t xml:space="preserve">24558652202January  </t>
  </si>
  <si>
    <t>05a7be49-b3f0-4c43-9454-ae8dda704b79</t>
  </si>
  <si>
    <t>Comprovante de reemboslos. https://t.corp.amazon.com/V2061635942</t>
  </si>
  <si>
    <t>762b441a-079e-4c41-87aa-685ad823aa4a</t>
  </si>
  <si>
    <t>Garantia de AZ  https://issues.amazon.com/issues/V2061939230</t>
  </si>
  <si>
    <t>A to Z Warranty</t>
  </si>
  <si>
    <t>33c1eef2-f0db-44ea-bec8-aab045693b1a</t>
  </si>
  <si>
    <t>23 pedidos de Garantia de A\n\n28/12: Issue recebido \n06/01 Iniciei a abertura dos tts \nhttps://issues.amazon.com/issues/V2072577734\nhttps://issues.amazon.com/issues/V2072598624\nhttps://issues.amazon.com/issues/V2072613120\nhttps://issues.amazon.com/issues/V2072637307\nhttps://issues.amazon.com/issues/V2072672885\nhttps://issues.amazon.com/issues/V2072868165\nhttps://issues.amazon.com/issues/V2072902124\nhttps://issues.amazon.com/issues/82f5b6d1-523a-47ca-b010-e0ae9dd488e1</t>
  </si>
  <si>
    <t>a5f5da8d-ec5b-45a4-acf5-3f0bde9a9440</t>
  </si>
  <si>
    <t>Comprador fez a devolução do item e o seller acreditava que estaria em um FC da amazon, porém o envio foi feito para o endereço do seller.</t>
  </si>
  <si>
    <t>877823a8-b7ee-4505-b9c4-fc7fd6140b05</t>
  </si>
  <si>
    <t>2 pedidos estão impactando o seller não sabe o motivo. \n</t>
  </si>
  <si>
    <t>Metrics</t>
  </si>
  <si>
    <t>f7803de5-0208-406d-be8a-1ed32aa3f827</t>
  </si>
  <si>
    <t>3eek</t>
  </si>
  <si>
    <t>Endereço de devolução errado. \n21/01: Issue recebido \n21/01: tt aberto p/ time de SelfShip Issues\nhttps://t.corp.amazon.com/V2081186501\n19/02: Novo tt aberto a pedido do Math cesar https://t.corp.amazon.com/V2113940138\n25/02: Reembolso aprovado https://t.corp.amazon.com/V2081186501/communication\n</t>
  </si>
  <si>
    <t>Problem with customer orders</t>
  </si>
  <si>
    <t>3eb546a3-91f5-4222-b48c-4bbc1847d1d0</t>
  </si>
  <si>
    <t>Um pedido foi gerado para o seller mesmo a loja em férias.</t>
  </si>
  <si>
    <t>3554f241-bcea-4610-81f3-a4d6c40b8454</t>
  </si>
  <si>
    <t xml:space="preserve">February </t>
  </si>
  <si>
    <t>Seller entrou em contato solicitando informações sobre as unidades do ASIN que estão constando como " impossível de ser enviado " em seu painel. \n\nFoi aberto um bin-check: https://t.corp.amazon.com/V2100246131</t>
  </si>
  <si>
    <t>Reserved</t>
  </si>
  <si>
    <t xml:space="preserve">101837981602February </t>
  </si>
  <si>
    <t>81ed7056-935d-4e7e-9f1f-80d1cad8c752</t>
  </si>
  <si>
    <t>Seller não fez o envio programado devido problemas no caminhão. Quando foi cancelar o envio, já estava como finalizado e algumas unidades foram localizadas. PORÉM NÃO HOUVE ENVIO. aberto um inbound issues para entender quais são essas unidades e como cancelar a NF: https://t.corp.amazon.com/V2121716101</t>
  </si>
  <si>
    <t>3fb1c551-8960-4f3c-83c1-40edfe3ad28d</t>
  </si>
  <si>
    <t>24/02 - Seller mencionou que unidades do asin consta como " impossível de ser enviado " \n24/02 - aberto um bin-check para XCV9</t>
  </si>
  <si>
    <t>cbbafa66-4563-4bd9-b491-0e0e55aa0775</t>
  </si>
  <si>
    <t>September</t>
  </si>
  <si>
    <t>tiaydasi</t>
  </si>
  <si>
    <t>Seller teve dúvidas na questão de verificação de documentos, mostrei o melhor caminho</t>
  </si>
  <si>
    <t>358205651902September</t>
  </si>
  <si>
    <t>48123ad1-a298-4ea4-8b36-95dbd802af30</t>
  </si>
  <si>
    <t>ASINS inativos por conterem Claims de suplementos</t>
  </si>
  <si>
    <t>Healthcare Products</t>
  </si>
  <si>
    <t>51ae8d2d-677b-4ad2-906b-4cb376b77652</t>
  </si>
  <si>
    <t>Seller foi removido do Onsite por questões de envio tardio</t>
  </si>
  <si>
    <t>Seller Flex</t>
  </si>
  <si>
    <t>Enforcement</t>
  </si>
  <si>
    <t>6d6cb936-172f-4dfd-82cc-1f34f814fe64</t>
  </si>
  <si>
    <t>CE</t>
  </si>
  <si>
    <t>05/fev: entrou em contato sobre um cliente que abriu reclame aqui\nhttps://t.corp.amazon.com/V2099289364\n\n10/fev: cobrei o responsável</t>
  </si>
  <si>
    <t xml:space="preserve">24383333802February </t>
  </si>
  <si>
    <t>a1ff7a15-6dc8-48b4-ac07-e5318686cb5b</t>
  </si>
  <si>
    <t>05/fev: Entrou em contato referente ao envio  FBA196HY07WK que está em recebimento a muito tempo\n\nhttps://t.corp.amazon.com/V2098983848\n\n07/fev: Os itens foram recebidas em outra PO,\n\n09/fev: comuniquei o vendedor sobre</t>
  </si>
  <si>
    <t>f67b430a-69f5-450b-9af7-b66cdd4e7279</t>
  </si>
  <si>
    <t>09fev: informou que o envio que estavaa agendado para o dia 12/2 já está sendo recebido - FBA197HCKLMS\nhttps://t.corp.amazon.com/V2103014179\n</t>
  </si>
  <si>
    <t>6df85f58-e534-4a43-8508-a1ab0e0eb3ac</t>
  </si>
  <si>
    <t>19/fev: vendedor quis contestar a discrepância, mostrei o caminho ideal por ILAC, e acompanharei a tratativa.</t>
  </si>
  <si>
    <t>b1f0867c-d92e-4f2c-aa06-dd797e68cd07</t>
  </si>
  <si>
    <t>24/fev: seller entrou em contato para saber sobre o desconto do empréstimo.\n\nInformei que foi retido porque usou a conta da Amazon como garantia\n\n25/fev: Abri o chamado\nhttps://t.corp.amazon.com/V2120284460\n\n04/março: subi SIF\nhttps://na.vici.pars.amazon.dev/mpa-escalations#/caseDetails/1772628943489121</t>
  </si>
  <si>
    <t>Payments</t>
  </si>
  <si>
    <t>1f4ce24c-0f85-4025-87c0-9f648d1a46cb</t>
  </si>
  <si>
    <t>4/fev: ASIN inativado por autenticidade, todos appeals foram negados, e auxiliei a como enviar um appeal corretamente\nhttps://t.corp.amazon.com/V2098162251\n\n06/fev: Aguardando enviar o .zip com as NFS\n\n\n09/fev: subi abuse escalation\nhttps://na.vici.pars.amazon.dev/mpa-escalations#/caseDetails/1770657447041306\n\n11/fev: abri o ticket para enforcement\nhttps://t.corp.amazon.com/V2105275667\n\n12/fev: vendedor precisa fazer uma entrevista que o mesmo foi notificado por email,. e só vão liberar quando ela concluir\n\n19/fev: procurando alternativas para tentar marcar a entrevista.\n\n23/fev: enforcement removido, agora basta mover as units para sellable</t>
  </si>
  <si>
    <t>Product Policy Compliance</t>
  </si>
  <si>
    <t xml:space="preserve">414165418502February </t>
  </si>
  <si>
    <t>066c172c-1b24-4ef3-8243-041263e05cf6</t>
  </si>
  <si>
    <t>4/fev: informou que todas cargas estavam sendo canceladas.\n\nao checar o vendedor tem problema de capacidade, comunicação via slack com o Ezequiel</t>
  </si>
  <si>
    <t>Inventory</t>
  </si>
  <si>
    <t>b4c36610-9278-4f27-b816-83e7d8494827</t>
  </si>
  <si>
    <t>05/fev: informou que não consegue cadastrar a chapinha taiff\nhttps://na.winston.a2z.com/Seller-BR/task/10433\n\nEstá em recall, aguardando certificado INMETRO - Solicitado no dia 06/02 - as 9:32\n\n09/fev: enviou o documento e anexei no chamado para ativação.</t>
  </si>
  <si>
    <t>Recall</t>
  </si>
  <si>
    <t>7666f78a-253e-4994-a22d-4f31a31ad9a3</t>
  </si>
  <si>
    <t>4/fev: mandou mensagem questionando porque não conseguia inboudar\n\nNão cadastrou o SKU na planilha fiscal</t>
  </si>
  <si>
    <t>8e5097be-dddb-4134-92e6-1ff761dcd1fe</t>
  </si>
  <si>
    <t>29/jan: Queria tentar enviar o produto mas não conseguia por ser hazmat. Instrui a enviar a planilha. Passou de 48h e não foi classificado ainda\n\nhttps://t.corp.amazon.com/V2095235996</t>
  </si>
  <si>
    <t>Hazmat</t>
  </si>
  <si>
    <t>4d6c3d0f-77d8-4f8b-a561-9b8e3c897052</t>
  </si>
  <si>
    <t>09/fev: Vendedor não consegue solicitar ILAC\n\nhttps://t.corp.amazon.com/V2103117356\n\n11/fev: vendedor mandou o produto errado, tem que responder o NOT PO\n\nhttps://t.corp.amazon.com/V2082582713</t>
  </si>
  <si>
    <t>32af313a-ee2d-4069-822f-fa8aca75255c</t>
  </si>
  <si>
    <t>10/fev: vendedor recebeu comunicação de NOT PO, e instrui a como fazer</t>
  </si>
  <si>
    <t>1c18733f-eeb1-42c5-839e-f42fd4afc1bc</t>
  </si>
  <si>
    <t>09/fev: querem aprovação da marca mas não tem NF de compra\nhttps://na.winston.a2z.com/Seller-BR/task/10523\n\n11/fev: sem respostas, comunicação com o seller</t>
  </si>
  <si>
    <t>Brand Registry</t>
  </si>
  <si>
    <t>45fff744-1289-438d-899a-6e3104ab759e</t>
  </si>
  <si>
    <t>11/fev: informou que não conseguiria inboundar o ASIN.\n\nInformei que era produto perigoso e enviou a planilha hazmat</t>
  </si>
  <si>
    <t>0ee587ee-315b-4aaf-828f-cf3fc5f9dc8b</t>
  </si>
  <si>
    <t>09fev/ Entrou em contato sobre unidades que seriam decartadas porque não responderam o chaamdo 19235273821 \n\nEntrei em contato com uma reponsável no CD para evitar o descarte\nhttps://t.corp.amazon.com/V2038205182/communication\n\nhttps://t.corp.amazon.com/V2066495378/communication\n\n11/fev: gbrflex confirmou que seguiriam o fluxo de entrega\n\n19/fev: criei TT porque o vendedor teve descarte, e o problema persiste:\nhttps://t.corp.amazon.com/V2113897047</t>
  </si>
  <si>
    <t>46b9da6e-85a1-40ac-8d60-927d41cd6ba6</t>
  </si>
  <si>
    <t>19/fev: quer contestar as métricas, porém não informou o número dos pedidos no chamado 414165418502. Pedio os detalhes e solicitei ao vendedor para prosseguir.\n\n23/fev: seller não enviou provas nem mais infos, abri o chamado:\nhttps://t.corp.amazon.com/V2118021220</t>
  </si>
  <si>
    <t>1326d5eb-c448-4af3-a038-4de91cd7c744</t>
  </si>
  <si>
    <t>19/fev: seller informou que não conseguia inboundar os itens, ao verificar a planilha fiscal não estava cadastrada, informei para realizar o cadastro e após clicar na mensagem de erro para prosseguir com o envio</t>
  </si>
  <si>
    <t>8ba813ad-4c5a-4b47-a2d0-18683ea208e6</t>
  </si>
  <si>
    <t>26/fev: quer contestar a discrepância, ILAC recusado\nhttps://t.corp.amazon.com/V2121591191\n\n27/fev: TT aberto para FBA\nhttps://t.corp.amazon.com/V2122811424\n\n3/março: escalei por email\n\nhttps://t.corp.amazon.com/V2129468946</t>
  </si>
  <si>
    <t>4fef38cf-450e-4aa3-8b56-cc1a99a03ccb</t>
  </si>
  <si>
    <t>Acompnhando SPLAT, issue do ALIAS antigo\nhttps://approvals.amazon.com/approval/45654974/details/memo-view/notes-and-summary</t>
  </si>
  <si>
    <t xml:space="preserve">351067276502February </t>
  </si>
  <si>
    <t>c3dbe532-c91f-41fa-b32b-9b96a10c044a</t>
  </si>
  <si>
    <t>18/fev: vendedor enviou documentação para contestar 2 garantias AtoZ.\n\n701-2729097-6327441: https://issues.amazon.com/issues/9f3583fb-deee-4eab-b51b-b2ac4b6f398d\n\n702-0943579-5843444: https://issues.amazon.com/issues/V2113775250</t>
  </si>
  <si>
    <t>cb2390dc-81ef-46a8-b5f4-0e5876578b99</t>
  </si>
  <si>
    <t>18/fev: vendedor enviou documentação sobre um pedido que foi despachado e entregue, porém o cliente cancelou o pedido e não devolveu o produto\nhttps://t.corp.amazon.com/V2113751371</t>
  </si>
  <si>
    <t>85fc3894-96c5-483c-b210-4a3b1828d25b</t>
  </si>
  <si>
    <t>WORK IN PROGRESS</t>
  </si>
  <si>
    <t>02/03 - Seller entrou em contato sinalizando que o ASIN está classificado como medicamento, uma classificação errada visto que ele vende o mesmo produto com ml diferentes e não está classificado.\naberto chamado para risc:</t>
  </si>
  <si>
    <t xml:space="preserve">1096087678002March    </t>
  </si>
  <si>
    <t>ed391718-db08-48cf-8fdf-228ac0423aa4</t>
  </si>
  <si>
    <t xml:space="preserve">November </t>
  </si>
  <si>
    <t>A cliente já recebeu o produto desde o dia 10/09, mas até o momento o pedido ainda não consta como concluído, o que está impedindo o recebimento dos pontos pela compra. \n\nPode nos orientar sobre como podemos concluir esse pedido no sistema ou, se possível, realizar essa conclusão diretamente por aí?</t>
  </si>
  <si>
    <t xml:space="preserve">301429377802November </t>
  </si>
  <si>
    <t>bb1a1730-f5b7-4ec9-95b4-6984e6b1837a</t>
  </si>
  <si>
    <t>Imagem principal está errada e não conseguem remover</t>
  </si>
  <si>
    <t>Catalog adjustment</t>
  </si>
  <si>
    <t>08f930bb-4c64-419b-8b85-91af7d12c796</t>
  </si>
  <si>
    <t>03/03 - Seller entrou em contato solicitando ajuste no nome do ASIN: B09BDL7X4K - está com nome errado.\n03/03 - Atividade encaminhada ao time de catálogo ajustar essa questão. TT: https://t.corp.amazon.com/V2096783183</t>
  </si>
  <si>
    <t xml:space="preserve">687037975702February </t>
  </si>
  <si>
    <t>f54599a7-2db9-4761-9945-10960aa76980</t>
  </si>
  <si>
    <t>Seller entrou em contato solicitando alteração no campo Marca, está como genérico e quer alterar para : Super Nutrition\naberto chamado para catálogo: https://t.corp.amazon.com/V2105599043</t>
  </si>
  <si>
    <t>541e9760-5c25-49b7-aedd-481bc9e39955</t>
  </si>
  <si>
    <t>19/02 - Seller solicitou alteração no campo marca.\n19/02 - Solicitado ao time de catálogo realizar a alteraçaõ. TT: https://t.corp.amazon.com/V2114049838\n19/02 - aberto tambem chamado para offshoring: https://na.winston.a2z.com/Seller-BR/task/10802</t>
  </si>
  <si>
    <t>a3bdc543-dbe3-4b89-9a1a-100e4406e104</t>
  </si>
  <si>
    <t>Problema ao listar o ASIN - Erro 5886 (marca como genérica)\nAberto chamado para equipe de BMO: https://t.corp.amazon.com/V2120676862</t>
  </si>
  <si>
    <t>ae36e844-65a3-4b20-8c9c-c7ea544a4a9e</t>
  </si>
  <si>
    <t>Problema ao listar o ASIN - Erro 5886 (marca como genérica)\naberto um chamado para o time de BMO: https://t.corp.amazon.com/V2120667600</t>
  </si>
  <si>
    <t>30a0ddd9-4fa5-4992-b7e6-65091de3d3e9</t>
  </si>
  <si>
    <t>Seller informou que não reconhecia quem recebeu - e o condominio confirmou que não eram funcionários. Agora seguimos com a trativa dos reembolsos pendentes</t>
  </si>
  <si>
    <t xml:space="preserve">16898656902November </t>
  </si>
  <si>
    <t>15db6e6d-bf07-4a51-b0f0-99cca1834b05</t>
  </si>
  <si>
    <t>remoção offiline oversized</t>
  </si>
  <si>
    <t>b284e78b-aa2d-4125-89ce-f916e742323f</t>
  </si>
  <si>
    <t>Seller informa que o ponto de coleta em londrina fechou. Como fazer os envios?\n03/03 - Verificando com o @vholanda\naberto ticket solicitando coleta\nhttps://t.corp.amazon.com/V2127359080\n09/03 - Vai ter coleta, validando as informações.\n11/03 - Solicitado para o seller avisar quando entrar um pedido com DBA.</t>
  </si>
  <si>
    <t xml:space="preserve">187533500102March    </t>
  </si>
  <si>
    <t>28aad591-23bb-461f-8833-31c519dec541</t>
  </si>
  <si>
    <t>Seller com primeiro pedido com coleta.\n12/03 - Trouxe a informação.\nVerificando com o @vholanda se está tudo certo.\nFeito, tudo certo. Pedido coletado.</t>
  </si>
  <si>
    <t>0bf6350c-614c-422e-9c0d-757faf070cb0</t>
  </si>
  <si>
    <t>Seller teve o SKU convertido de FBA para logística do vendedor.</t>
  </si>
  <si>
    <t xml:space="preserve">60769061802November </t>
  </si>
  <si>
    <t>ab550410-2003-48ca-9b3b-d0ab4b14e3dd</t>
  </si>
  <si>
    <t>Seller informa que não está conseguindo permitir usuário</t>
  </si>
  <si>
    <t>Transfer</t>
  </si>
  <si>
    <t>d01449c6-9345-488f-9818-c9b75014344f</t>
  </si>
  <si>
    <t>Seller gostaria de saber o motivo de algumas devoluções visto que não houve tentativa de entrega</t>
  </si>
  <si>
    <t>278e74d6-84fb-4842-a8f0-b5ca4a2f4700</t>
  </si>
  <si>
    <t>Seller não consegue enviar pedido com etiqueta dos correios, não é localizado pela transportadora.</t>
  </si>
  <si>
    <t>93058ef5-6c25-4425-a2a3-f4edb78218fb</t>
  </si>
  <si>
    <t>Seller esta com os produtos da Marca REALME em recall, solicitei a retivação deles.\n\nEmail enviado para (electronics-safety@amazon.com.br)\n\n09/03 - ajuste de catalogo - https://na.winston.a2z.com/Seller-BR/task/11471</t>
  </si>
  <si>
    <t xml:space="preserve">183456830502March    </t>
  </si>
  <si>
    <t>5039659d-ea3d-4e3a-b6a9-3419f7fbfda0</t>
  </si>
  <si>
    <t>Seller solicita reinvidicação de alguns casos de SAFE-T</t>
  </si>
  <si>
    <t xml:space="preserve">542325043802January  </t>
  </si>
  <si>
    <t>0f0b112d-9e4d-4b9f-a95b-01dfdd32cc88</t>
  </si>
  <si>
    <t>Isenção de métricas</t>
  </si>
  <si>
    <t>8206ee0b-05d0-4704-8137-18b463e665d4</t>
  </si>
  <si>
    <t>Seller não concorda com a decisão de negado do SAFE-T. Produto foi danificado pela Amazon no transporte segundo o seller.\n28/01 - Seller trouxe o problema. Aberto o TT https://t.corp.amazon.com/V2089939438\n02/02 - Responderam informando que não se enquadra nas políticas\n03/02 - Seller notificado</t>
  </si>
  <si>
    <t>674571c0-5665-4ed6-9ab1-9edaa20357d8</t>
  </si>
  <si>
    <t>Seller teve o asin desativado pro reclamação de produto errado e acredita que o FC alocou os produtos trocados, solicitei um bin check V1953557425/ V1953858930</t>
  </si>
  <si>
    <t xml:space="preserve">98835860802October  </t>
  </si>
  <si>
    <t>db3b0f98-a077-426e-945e-de10eb29822f</t>
  </si>
  <si>
    <t>Seller solicitou o bin check de todos os itens do envio ID:FBA190NR77D2 - V1954749126</t>
  </si>
  <si>
    <t>a498e566-3886-41a7-94a4-9b70b359f648</t>
  </si>
  <si>
    <t>Seller reclama que sua offer está atribuida ao buybox errado. https://na.winston.a2z.com/Seller-BR/task/8838 / V1963381675</t>
  </si>
  <si>
    <t>2800b109-37ab-4e4e-b0e0-18d486b4e4ee</t>
  </si>
  <si>
    <t>Houve um desconto de 236k, seller questiona o motivo do desconto</t>
  </si>
  <si>
    <t xml:space="preserve">24679550702December </t>
  </si>
  <si>
    <t>1ab8b309-f889-4284-be53-7b3a63eb36ab</t>
  </si>
  <si>
    <t>seller pediu orientações de como seguir com o pedido de remoção, e mostrei o caminho</t>
  </si>
  <si>
    <t>97759973202September</t>
  </si>
  <si>
    <t>aab1cdd2-eb75-4c7c-b68e-07c3f36dad52</t>
  </si>
  <si>
    <t>Seller questionou porque a coleta não tinha passado, foi devido a um problema interno da TEX</t>
  </si>
  <si>
    <t>95dff1a2-710c-43df-a6a6-034b34c87721</t>
  </si>
  <si>
    <t>Seller informa que coleta não passou e isso está impactado suas métricas, ao analisar os pedidos que não foram coletados, não estão impactando</t>
  </si>
  <si>
    <t>f5f867f5-ea16-411c-b135-2c398220c5b3</t>
  </si>
  <si>
    <t>Coelta não passou, informei o Vinicius Holanda</t>
  </si>
  <si>
    <t>b28df791-ab43-4025-9b9d-2ef1fd0e8258</t>
  </si>
  <si>
    <t xml:space="preserve">July     </t>
  </si>
  <si>
    <t>Seller precisava da confirmação da data de removal no FC, enviado para ele junto com o anexo necessário.</t>
  </si>
  <si>
    <t xml:space="preserve">117086860802July     </t>
  </si>
  <si>
    <t>82a8ea35-5da4-4494-b51a-5fb633b39118</t>
  </si>
  <si>
    <t>Seller Enviou a nota ficar pra solicitar a autorização para a marca reebok, mas as informações de qtde de produto estava rasurada e a emissão ultrapassou os 365 dias</t>
  </si>
  <si>
    <t xml:space="preserve">244366726002October  </t>
  </si>
  <si>
    <t>f39ec517-aede-49d0-82ca-3519e104aa89</t>
  </si>
  <si>
    <t>Seller teve um erro crasso na sua conta que gerou 554 pedidos cancelados no Onsite, ao solicitar a remoção das métricas foi negado, o que resultou no strike da conta. Solicitei pro time reativar\nhttps://t.corp.amazon.com/V1982691273</t>
  </si>
  <si>
    <t>0a2d23a8-f590-4e36-ba9e-0b9744398291</t>
  </si>
  <si>
    <t>Seller entrou em contato conosco informando sobre um pedido de retirada e alega que um dos produtos não condizia com o ASIN. \n\nhttps://t.corp.amazon.com/V1969964329</t>
  </si>
  <si>
    <t xml:space="preserve">560201489502October  </t>
  </si>
  <si>
    <t>c8264861-5729-4a0e-b1d0-3d5b94b38fcf</t>
  </si>
  <si>
    <t>Seller entrou em contato, solicitando ajuda com alguns ASIN\'s que se encontravam em "Policy Compliance" devido a documentação de conformidade. Ele já havia enviado recursos de alguns ASIN\'s, alguns deles já estavam aprovados e se encontravam ativos, porém, outros foram recusados. \nFoi aberto um chamado para backoffice: https://t.corp.amazon.com/P371933200</t>
  </si>
  <si>
    <t xml:space="preserve">985914499902January  </t>
  </si>
  <si>
    <t>bebc0b3c-f7ca-487e-86dc-05e33aef2c9e</t>
  </si>
  <si>
    <t>Acesser o desemepnho da conta e vi a reclamação, verifiquei o GMAS e decidi agir.</t>
  </si>
  <si>
    <t xml:space="preserve">617231255902January  </t>
  </si>
  <si>
    <t>2e9a37ae-1719-4d18-ba16-a4075c9415cc</t>
  </si>
  <si>
    <t>16/jan: Entrou em contato informando que não conseguia enviar o AISN B01IU6URTE, abri o TT para FBA\n\nhttps://t.corp.amazon.com/V2075184460\n\n19/jan: responderam o chamado\n\n20/jan: comuniquei o seller, chamada concluida</t>
  </si>
  <si>
    <t>d28db5c4-9dd7-48f5-acda-811e6248064f</t>
  </si>
  <si>
    <t>21/jan: Entrou em contato que o ASIN estava inativo por Wrong Product\n\nBincheck: https://t.corp.amazon.com/V2081097821\n\n22/jan: Mesmo sem confirmação mandei o cod para reativação</t>
  </si>
  <si>
    <t>ae2980e8-da53-44d0-bf14-776551c05df6</t>
  </si>
  <si>
    <t>Seller está com asin indisponivel mas está com estoque disponivel no FBA. O time está investigando https://t.corp.amazon.com/V2039911115</t>
  </si>
  <si>
    <t xml:space="preserve">653060435802December </t>
  </si>
  <si>
    <t>ede979d7-b266-4f11-9719-74510457b98a</t>
  </si>
  <si>
    <t>Seller informa que criou um novo envio e deseja cancelar a NF anterior (do envio antigo).\nShippment não enviado.\n02/03 - Verificado com o ndierodr\nDentro das 24h de emissão, basta excluir o envio, fora desse prazo o seller precisa verificar com o contador.</t>
  </si>
  <si>
    <t xml:space="preserve">59283260402March    </t>
  </si>
  <si>
    <t>9fbdd10e-7d16-4428-984d-6fa0f5e4fa84</t>
  </si>
  <si>
    <t>Seller entrou em contato para verificar por que tais recebimentos ainda não deram entrada no estoque, recebimentos ainda estão dentro do prazo. Acompanhando! \n\nRecebimento: \nFBA192S446NP\nFBA192S32Z9P\nFBA192TRJX6C\nFBA192FK6Y9T</t>
  </si>
  <si>
    <t xml:space="preserve">124090551902November </t>
  </si>
  <si>
    <t>da727271-8de1-405d-9cb8-85af5d53ffe3</t>
  </si>
  <si>
    <t>Seller pediu ajuda para ver por que os envios ainda não deu entrada no Estoque.</t>
  </si>
  <si>
    <t>93d94754-b5df-49c7-adcb-5de6202a0a57</t>
  </si>
  <si>
    <t>Seller estava com asins classificados como reservados, aberto um chamado para o pessoal do FC fazer a conferência.</t>
  </si>
  <si>
    <t>0527e6a1-dba1-432e-8de3-8976af8122d6</t>
  </si>
  <si>
    <t>(PSA) UTC-5 Seller solciita liberação de ASIN, solicitado foto do ean na embalagem do produto</t>
  </si>
  <si>
    <t>f6a64a6a-966d-4efc-8bab-99707c7dec58</t>
  </si>
  <si>
    <t>UTC5 - Seller solicita liberação de ASIN</t>
  </si>
  <si>
    <t>bc09279a-f6b3-4a5b-9730-f498cbe9bac0</t>
  </si>
  <si>
    <t>Seller solicita liberação de ASIN para DBA, L5 (DBA não aceita) informado as logísitcas aceitas nesses ASINs</t>
  </si>
  <si>
    <t>6914504b-1d04-42cc-a863-7a51848b47db</t>
  </si>
  <si>
    <t>Seller com remessa com entrega atrasada para o FBA FBA1930G0NVL. Necessário comprovante de coleta da transportadora.</t>
  </si>
  <si>
    <t>2ea8ec09-dc60-4e92-a921-1c75f04743ee</t>
  </si>
  <si>
    <t>Seller com oferta inativada PSC, já enviou via account health</t>
  </si>
  <si>
    <t>6b7b058d-5bbb-48dc-bbd7-fa71971eb371</t>
  </si>
  <si>
    <t>Seller com remessa atrasada para FBA - FBA192FK6Y9T. Necessário comprovante de coleta da transportadora.</t>
  </si>
  <si>
    <t>29b9c1bf-a257-4f45-9b46-aa34cb87fcb4</t>
  </si>
  <si>
    <t>Seller com conta desativada</t>
  </si>
  <si>
    <t>945bfb6b-ab8c-4899-9a65-68a08c62f512</t>
  </si>
  <si>
    <t>Seller esta tentando criar uma conta no seller central, precisar enviar um email. Mandei um modelo pra eles</t>
  </si>
  <si>
    <t xml:space="preserve">98385811302February </t>
  </si>
  <si>
    <t>297a3462-4556-4bd7-8d6e-482d09c480c9</t>
  </si>
  <si>
    <t>Seller enviou o email para liberação de criação de uma nova conta, mas ainda não obtive resposta, estou em contato com o time pra entender sobre prazos</t>
  </si>
  <si>
    <t>60c73c76-9b6e-49ef-b74d-dd6395458bac</t>
  </si>
  <si>
    <t>Seller solicita isenção de métricas para alguns pedidos que caíram como DBA ao invés de MFN.\n02/03 - Trouxe a issue.\nAberto tt\nhttps://t.corp.amazon.com/V2126097352\n04/03 - Aprovado, 48h para refletir.</t>
  </si>
  <si>
    <t xml:space="preserve">241002216802March    </t>
  </si>
  <si>
    <t>c9b82f5a-aef6-49fb-8a74-dfa4ed07b532</t>
  </si>
  <si>
    <t>Seller não está conseguindo gerar etiqueta \n06/03 - Aberto Issue\nhttps://t.corp.amazon.com/V2130776524</t>
  </si>
  <si>
    <t>71c815de-761b-4f6f-94f5-bfe049898e96</t>
  </si>
  <si>
    <t>Ajuste de dimensões dos ASINs B0B2RVM257 e B076B9D3LM\n03/03 - Informou as medidas\nhttps://t.corp.amazon.com/V2127386916\n04/03 - Medidas alteradas</t>
  </si>
  <si>
    <t>f7560cec-26d2-4275-89c9-8dba4a29c880</t>
  </si>
  <si>
    <t>Realizou a exportação de um produto com variações pelo Bling para a plataforma Amazon. No Bling, o status aparece como “exportado” porém não está aparecendo na Amazon.</t>
  </si>
  <si>
    <t>Integration</t>
  </si>
  <si>
    <t xml:space="preserve">137029362402November </t>
  </si>
  <si>
    <t>1800f271-bb19-4f1f-b3da-b3f3d47827bf</t>
  </si>
  <si>
    <t>Seller teve problema no inbound, as unidades se encontram como defective.\nequipe externa que está investigando as unidades por algum fator que está afetando o compliance.</t>
  </si>
  <si>
    <t>f2c64a78-c398-4673-9928-6f4754afb26f</t>
  </si>
  <si>
    <t>Problema ao listar um ASIN, pois está em Recall</t>
  </si>
  <si>
    <t xml:space="preserve">560201489502December </t>
  </si>
  <si>
    <t>539d27bd-8a2a-4375-a426-18c4886f06f9</t>
  </si>
  <si>
    <t>Envio consta como " Cancelado " porém seller fez o envio.</t>
  </si>
  <si>
    <t>e7716f8c-614d-45c5-8916-894070bf97f3</t>
  </si>
  <si>
    <t>94 pedidos constando como envios tardios / enviados dentro do prazo</t>
  </si>
  <si>
    <t>ec09b781-9c13-45d4-8126-e3fc05e912f8</t>
  </si>
  <si>
    <t>Fez um envio de produto de bebe e o cliente recebeu uma camiseta</t>
  </si>
  <si>
    <t>529b107e-22ca-424c-92cb-50b9fe0cfcd2</t>
  </si>
  <si>
    <t>ASIN foi listado e já entrou em recall</t>
  </si>
  <si>
    <t>4d4d307f-4f81-4183-a392-598d8345fc84</t>
  </si>
  <si>
    <t>05/fev: tentou cadastrar e porém está dando erro de matching de marca, porém está certo\nhttps://na.winston.a2z.com/Seller-BR/task/10434\n\n06/fev: vendedor mandou foto do produto, seguiremos com a tratativa.\n\n11/fev: aguardando aprovação de marca\n\n10/fev: Aguardando brand role permission para seguir com o cadastramento\n\nASIN B0GN41MS1X listado</t>
  </si>
  <si>
    <t xml:space="preserve">11103651302February </t>
  </si>
  <si>
    <t>1689a21c-7fff-4899-8278-096d4c9a0496</t>
  </si>
  <si>
    <t>10/fev: demanda que ISM trouxe.\nCaso de MFI que o ILAC não fecha\n\nEstá pendente do seller enviar os documentos\nhttps://t.corp.amazon.com/V2097747456/communication</t>
  </si>
  <si>
    <t>da890cce-3aa7-4ce3-9fc5-510ebff80892</t>
  </si>
  <si>
    <t>09/fev: Questionou sobre o envio FBA19743YJ8S\nhttps://t.corp.amazon.com/V2102968048\n\n11/fev: ticket transporteS:\nhttps://t.corp.amazon.com/V2105712316</t>
  </si>
  <si>
    <t>46d636ae-ab54-4d6e-950a-e587b4a42cfa</t>
  </si>
  <si>
    <t>20/fev: seller solicitou ILAC mas não aparece o CASE ID, abri os TTs para acompanhar o problema e solução.\n\nhttps://t.corp.amazon.com/V2114940706\nhttps://t.corp.amazon.com/V2114979105</t>
  </si>
  <si>
    <t>96d00ed5-0e0c-449a-951b-a84427ab7dbb</t>
  </si>
  <si>
    <t>23/fev: seller enviou as fotos para solicitar o cadastro de um New ASIN que está com problemas no vinculo da marca.\n\nBrand name no GS1 diferente do nome da marca, e está dando conflito\n\nhttps://na.winston.a2z.com/Seller-BR/task/10782</t>
  </si>
  <si>
    <t>47889f63-23c7-4d2c-a1ba-9f17057faf7c</t>
  </si>
  <si>
    <t>24/fev: seller não consegue listar devido o Owner no GS1 ser diferente da Amazon</t>
  </si>
  <si>
    <t>1c12fe3b-6bb7-405c-b1e1-918345d07cf5</t>
  </si>
  <si>
    <t>Os clientes fizeram a devolução do produto sem condições de revenda (riscado/danificado) e, inclusive, em um dos pedidos, sequer foi devolvido o produto que enviamos.</t>
  </si>
  <si>
    <t>16116314302September</t>
  </si>
  <si>
    <t>d9a8bbdc-c5af-4dc3-8d28-227a2063b64f</t>
  </si>
  <si>
    <t>Gostaria de contestar 3 reembolsos</t>
  </si>
  <si>
    <t>37664c09-615c-499d-968c-7c165507df5f</t>
  </si>
  <si>
    <t>education sobre como verificar casos de garantia de A a Z.</t>
  </si>
  <si>
    <t xml:space="preserve">24558652202December </t>
  </si>
  <si>
    <t>56f5d0db-16ec-49c0-9dbd-b8729a9bc0c3</t>
  </si>
  <si>
    <t>O seller argumenta que o cliente recebeu o reembolso e ainda assim continua com o produto. 702-7310419-5572240.</t>
  </si>
  <si>
    <t>abb22cd6-b099-4c74-9b7d-4a26635c69d7</t>
  </si>
  <si>
    <t>Comprovante de reembolsos. \nhttps://t.corp.amazon.com/V2029522358</t>
  </si>
  <si>
    <t>7ca0bdef-8c31-4398-a2b9-932af25f1801</t>
  </si>
  <si>
    <t>Pedido avariado em transporte.  701-0200447-2147435 \nFechando essa tesk. Não consigo localizar o ID que o seller enviou e ele não resposnde. \n ( 96650-32604-0647241)</t>
  </si>
  <si>
    <t>b9914ded-9191-44e5-b6c3-101b87c58657</t>
  </si>
  <si>
    <t>Comprovante de reembolso. \nhttps://t.corp.amazon.com/V2055727919</t>
  </si>
  <si>
    <t>2d3b2f42-ab3c-477b-bd9a-a79d4dbd150c</t>
  </si>
  <si>
    <t>Problema ao criar envio, diz ter atingido a capacidade, mas tem espaço\n\nTT aberto: https://t.corp.amazon.com/V2074162289</t>
  </si>
  <si>
    <t xml:space="preserve">191336978502January  </t>
  </si>
  <si>
    <t>8a6febaa-1340-492f-a0ce-e2daf642de82</t>
  </si>
  <si>
    <t>Seller solicita as insenção de metricas// https://t.corp.amazon.com/V2071459100</t>
  </si>
  <si>
    <t xml:space="preserve">21753463202January  </t>
  </si>
  <si>
    <t>3b87df02-1b34-451c-826d-3a90531806c6</t>
  </si>
  <si>
    <t>Seller solicita insenção de métricas MFN// https://t.corp.amazon.com/V2071469913</t>
  </si>
  <si>
    <t>da3dcaa4-4b9e-43c9-a7b9-66047b171c58</t>
  </si>
  <si>
    <t>Seller teve perca de buybox por performance. \n\nTicket: http://t.corp.amazon.com/V2074000675\n\n21/01 - solicitei uma nova analise: https://t.corp.amazon.com/V2081246279</t>
  </si>
  <si>
    <t>Other</t>
  </si>
  <si>
    <t>4dc2e42e-91d2-4286-8bcd-ce21d7b1dc22</t>
  </si>
  <si>
    <t>Seller não está conseguindo liberar os pedidos de devolução. \n\nTT: https://t.corp.amazon.com/V2083907252\n\n13/02 - https://t.corp.amazon.com/V2107561032/overview\n\n19/02: https://t.corp.amazon.com/V2114089191\n\n10/03 - email enviado</t>
  </si>
  <si>
    <t>6aae40a4-0ca0-4f8d-90a9-12bbdd6d43b0</t>
  </si>
  <si>
    <t>Seller continua recebendo cobrança de taxas de serviços Amazon, enviei um email pra Paula Capulto para mais esclarecimentos. \nE também não reconhece uma compra de 10,00 e seja saber referente a que:\nhttps://t.corp.amazon.com/V2090968103</t>
  </si>
  <si>
    <t>f685bd91-3dff-4ffd-baff-6a88376bc491</t>
  </si>
  <si>
    <t>Description update.  https://na.winston.a2z.com/Seller-BR/task/9437</t>
  </si>
  <si>
    <t xml:space="preserve">245677411802November </t>
  </si>
  <si>
    <t>fcf8c343-a63a-4a93-84a9-ac0e135a95c6</t>
  </si>
  <si>
    <t>Seller teve duas cobranças no seu cartão, e desconhece os valores.\n\nhttps://t.corp.amazon.com/V2064335730</t>
  </si>
  <si>
    <t xml:space="preserve">655945459902January  </t>
  </si>
  <si>
    <t>107cb8bf-80ea-4305-b9ee-470a5bba51fe</t>
  </si>
  <si>
    <t>Seller esta com todas as suas ofertas onsite inativas. \n\nhttps://t.corp.amazon.com/V2105734624</t>
  </si>
  <si>
    <t xml:space="preserve">314278248802February </t>
  </si>
  <si>
    <t>1e60c621-a9b0-4ba3-a32b-6c74f1152064</t>
  </si>
  <si>
    <t>Seller teve 53 asins suprimido por uso indevido da palavra FENDI, solicitei revisão do RBS\n\nhttps://na.winston.a2z.com/Seller-BR/task/10719</t>
  </si>
  <si>
    <t>Proactive</t>
  </si>
  <si>
    <t>06b3ff2c-d744-4a95-8360-4bde53e6d86d</t>
  </si>
  <si>
    <t>05/março: entrou em contato para contestar a devolução do reembolso \n\n702-4133225-6893005</t>
  </si>
  <si>
    <t xml:space="preserve">16116314302March    </t>
  </si>
  <si>
    <t>6c72c2da-c3b2-4962-876e-aad9b751c16e</t>
  </si>
  <si>
    <t>09/março: Seller deseja contestar alguns reembolsos.\n\nhttps://t.corp.amazon.com/V2134779070\nhttps://t.corp.amazon.com/V2134782419\nhttps://t.corp.amazon.com/V2134786796\nhttps://t.corp.amazon.com/V2134788905\nhttps://t.corp.amazon.com/V2134791493\nhttps://t.corp.amazon.com/V2134794702\nhttps://t.corp.amazon.com/V2134797838\n</t>
  </si>
  <si>
    <t>91cfd6c8-4e0e-4854-a73c-d91e6678dc85</t>
  </si>
  <si>
    <t>Solicitação de remoção. \n03/02: Issue recebido\n03/02: tt aberto para FBA https://t.corp.amazon.com/V2096647603\n19/02: Gabriel abriu um tt para o FC solictando updates sobre o removol.</t>
  </si>
  <si>
    <t xml:space="preserve">247227556102February </t>
  </si>
  <si>
    <t>e954acf9-7e0b-4e15-a219-95cfe7e357dd</t>
  </si>
  <si>
    <t>30/01 - Seller está com asin: B0D5NXTJK1 inativo classificado como medicamento. \n30-01 - Aberto chamado para risc: https://t.corp.amazon.com/V2092354943</t>
  </si>
  <si>
    <t xml:space="preserve">734743947702February </t>
  </si>
  <si>
    <t>8243e660-9d61-4198-b829-61956d96244a</t>
  </si>
  <si>
    <t>Seller informa que está com alguns problemas para autorização de Marca Easy.\n04/02 - Trouxe o problema, verifiquei a conta e não localizei solicitação de registro.\nSolicitei para o seller solicitar primeiro. Vou deixar task em aberto para auxliar e acompanhar\n06/02 - Seller tentou via brand registry.\n09/02 - Verificado o print do e-mail que enviaram, time que realizar uma call com a Avant SP.\naguardando seller.</t>
  </si>
  <si>
    <t xml:space="preserve">1087931314602February </t>
  </si>
  <si>
    <t>e22d603f-493a-4377-b28d-50c93a786549</t>
  </si>
  <si>
    <t>Seller gostaria de saber como consultar CTe de uma NF, de um pedido FBA.\n03/02 - seller trouxe o problema\n04/02 - Passei o protocolo do CTe\n05/02 - Seller confirmou que deu certo.</t>
  </si>
  <si>
    <t>d81599da-b0b4-4067-85c1-b003401b4d1b</t>
  </si>
  <si>
    <t>Seller com ASINs bloqueados. Soliticado auxilio para offshoring, não possui muitos detalhes no seller central, ficou confuso.\n04/02 - Seller trouxe o problema, aberto task winston\nhttps://na.winston.a2z.com/Seller-BR/task/10364\n05/02 - Desbloqeuado, ofertas ativas.</t>
  </si>
  <si>
    <t>4fdb235c-61d6-4f8b-962d-295ec60b6333</t>
  </si>
  <si>
    <t>Seller com ASINs bloqueados. Soliticado auxilio para offshoring.\n06/02 - Seller trouxe a issue\n09/02 - aberto task com offshoring \nhttps://na.winston.a2z.com/Seller-BR/task/10509\n13/02 - Corrigiu as planilhas fiscais.\n19/02 - Aberto unblock offer, mas identifiquei que não corrigiu a planilha de atributos fiscais do produto.\nhttps://t.corp.amazon.com/V2114118960\nTime respondeu que é isso mesmo, não corrigiu atributos fiscais do produto.\n23/02 - Questionei o seller novamente.\n24/02 - Disse que está pendente do fiscal deles. Encerrando a atividade, caso retorne hoje (24/02) ou amanhã eu reabro (25/02).</t>
  </si>
  <si>
    <t>2816a011-5382-41bf-9bf4-82226607da53</t>
  </si>
  <si>
    <t>Seller tem tênis BRANCO mas listing mostra AZUL MARINHO.</t>
  </si>
  <si>
    <t xml:space="preserve">320035971002October  </t>
  </si>
  <si>
    <t>5e681edd-9295-48dd-a01b-82e6ea982ac8</t>
  </si>
  <si>
    <t>Liberação de usuários.</t>
  </si>
  <si>
    <t xml:space="preserve">549848560202November </t>
  </si>
  <si>
    <t>2d0b6436-9dc7-4bd7-aa83-53e7f0b19846</t>
  </si>
  <si>
    <t>27/jan: Vendedor entrou em contato que não conseguia acessar alguns pedidos no painel devido a mensagem de erro.\n\nFiz o levantamentoe 49 pedidos foram cancelados, 2 despachados e entregues e os outros 5 que apresentavam erro no Painel pertenciam a outra conta deles</t>
  </si>
  <si>
    <t xml:space="preserve">366327938802January  </t>
  </si>
  <si>
    <t>d958b878-0a55-4088-b50b-913790d81343</t>
  </si>
  <si>
    <t>05/março: Informou que os ASINs estavam bloqueados sem motivos, recomendei completar a oferta</t>
  </si>
  <si>
    <t xml:space="preserve">617231255902March    </t>
  </si>
  <si>
    <t>a8e2aeba-56e0-470f-b7ff-96c1a7f64c00</t>
  </si>
  <si>
    <t>3/março: Removemos o recall do item, porém as units não ficaram sellables.\nhttps://t.corp.amazon.com/V2125699931</t>
  </si>
  <si>
    <t>d93861fd-9e42-40ab-8644-3e18a24f3fa5</t>
  </si>
  <si>
    <t>10/março: seller pediu apoio no ASIN inativado sem motivo\n\nhttps://na.winston.a2z.com/Seller-BR/task/11536</t>
  </si>
  <si>
    <t>ca24d6b8-111f-4ad9-b23a-b30923541142</t>
  </si>
  <si>
    <t>Seller solicita atualizações sobre o processo de remoção. Pedido: Remoç 1P - Feito no dia 16 de fev. \naberto o chamado: https://t.corp.amazon.com/V2127277846</t>
  </si>
  <si>
    <t xml:space="preserve">985914499902March    </t>
  </si>
  <si>
    <t>6c6ac49c-c2d4-4910-8598-11aa61eac489</t>
  </si>
  <si>
    <t>Seller gostaria de fazer alteração na descrição de 39 asins e não conseguiu solicitar via offshoring. como ele me mandou a planilha respondida, fiz a abertura do chamado: https://na.winston.a2z.com/Seller-BR/task/11362</t>
  </si>
  <si>
    <t>6e20c948-2a79-4cd0-a901-a9b44dc68216</t>
  </si>
  <si>
    <t>produto tinha logo que não podia, seller removeu porém o appeal foi negado</t>
  </si>
  <si>
    <t xml:space="preserve">127737463602October  </t>
  </si>
  <si>
    <t>d6cbde0f-012d-4664-af7a-9424bafb237b</t>
  </si>
  <si>
    <t>03/março: verifiquei que os ASINs foram inativados por erro de NF\nhttps://t.corp.amazon.com/V2126949585</t>
  </si>
  <si>
    <t xml:space="preserve">24383333802March    </t>
  </si>
  <si>
    <t>6b9c3d77-3aba-4865-b3c1-90171f2a2708</t>
  </si>
  <si>
    <t>09/março: oferta desativada por Wrong Product\nhttps://t.corp.amazon.com/V2133597009</t>
  </si>
  <si>
    <t>a1331850-4e9a-43f2-ab39-831734c5ce09</t>
  </si>
  <si>
    <t>11/março: Informou que não consegue inboundar o item devido a restrição da marca. Iformei que deveria solicitar e aguardo.</t>
  </si>
  <si>
    <t>258cfaf3-b670-403b-8d0e-2b194292a62c</t>
  </si>
  <si>
    <t>Problema com t-rex</t>
  </si>
  <si>
    <t>103928980802September</t>
  </si>
  <si>
    <t>12fa07ca-c023-400f-acaa-67453dd3292f</t>
  </si>
  <si>
    <t>Os produtos que estamos cadastrando para venda no FBA ONSITE não estão constando na plataforma para alimentarmos</t>
  </si>
  <si>
    <t>33294db7-85a7-4905-8d27-35510e395990</t>
  </si>
  <si>
    <t>Seller questionou 74 pedidos que foram reembolsados ao cliente. Ao analisar passou dos 60 dias da politica da amazon, não conseguiremos recorrer</t>
  </si>
  <si>
    <t>0277ff66-6019-4d2d-b0f1-e4570be2c0ba</t>
  </si>
  <si>
    <t>CAU Garantia</t>
  </si>
  <si>
    <t>2130c6a8-dc12-431d-b472-c259ca9855c3</t>
  </si>
  <si>
    <t>SEFAZ - BA está fora do ar, não está recebendo os dados de notas fiscais. Provavelmente 14 pedidos Onsite fiquem pendentes hoje por conta disso.</t>
  </si>
  <si>
    <t>a6ff3d41-f9ec-424a-9cc5-4c6289c2c7e7</t>
  </si>
  <si>
    <t>Contestação de métricas do Onsite</t>
  </si>
  <si>
    <t>9ffdb7d2-856c-4093-8821-2602e189749c</t>
  </si>
  <si>
    <t>03//março: Reembolso foi aprovado, porém o seller não recebeu\nhttps://t.corp.amazon.com/V2047076768/communication\nhttps://t.corp.amazon.com/V2125746466\n\nhttps://t.corp.amazon.com/V2125787208</t>
  </si>
  <si>
    <t xml:space="preserve">24386750602March    </t>
  </si>
  <si>
    <t>de63bcf8-27be-47ca-8ad7-aacf29f31464</t>
  </si>
  <si>
    <t>Seller estava com dúvida referenta a unidades que estavam classificados com vencidos, mas ao verificar aparentemente foram movidos pra sellable.</t>
  </si>
  <si>
    <t>124090551902September</t>
  </si>
  <si>
    <t>fe7ec7f7-26d9-4511-9cc1-e4a65e8d6e9d</t>
  </si>
  <si>
    <t>Seller estava com dúvida referente a unidades do  produtos que estão sendo recebidos em FBA190KHGHJG, V1923955883</t>
  </si>
  <si>
    <t>b11ecb7e-2de4-4113-ac6c-df3873e78897</t>
  </si>
  <si>
    <t>Seller não esta conseguindo enviar os itens dele pra DBA, mas os produtos então como HAZMAT L5, vaamos tentar reclassificar os itens para ele poderem atuar em DBA. Aguardando a solicitação do seller pra pode iniciar o appeal - chamado aberto V1922733628</t>
  </si>
  <si>
    <t>a774917b-be13-4466-a868-452ef8e60155</t>
  </si>
  <si>
    <t>O Seller teve seus ASIN FBA bloqueados, sem motivo aparente, estamos atuando com o time de FBA pra entender porque essas offers estão inativas. V1935529895</t>
  </si>
  <si>
    <t>760ede83-f08f-40da-941b-56c716697947</t>
  </si>
  <si>
    <t>Seller relata que o ASIN B0B9P6WJ18 e após o dive deep, descobrimos que o motivo foi por indice de cancelamento. orientei o seller como reativar a offer</t>
  </si>
  <si>
    <t>ea282a94-526d-465d-8f86-4c9f9746002c</t>
  </si>
  <si>
    <t>Seller solicita aumento da sua capacidade de armazenamento em FBA V1952329956</t>
  </si>
  <si>
    <t>4deb7e20-c3fd-4824-a113-a7c36087c1e8</t>
  </si>
  <si>
    <t>SKU com discrepância de vendas vs estoque. Verificado que possui remessa com discrepância, informado passo a passo para investigação dessas units no seller central.</t>
  </si>
  <si>
    <t xml:space="preserve">435346364602January  </t>
  </si>
  <si>
    <t>d61b7aa8-018a-4609-a04f-0a2e67f91a45</t>
  </si>
  <si>
    <t>Seller está com problema para enviar pedidos On Site, na plataforma marca como NF pendente sendo que a mesma está autorizada pelo SEFAZ\n13/01 - Seller trouxe o problema verificado com o Ops Owner @kelsonmc, já tem ticket sobre o problema (https://t.corp.amazon.com/V2064057016/ )\n14/01 - Informaram que validaram o XML com uma ferramenta do SEFAZ e possui campos em branco.\n16/01 - Seller forneceu um XML de um pedido que está tudo certo e não está liberando a NF no Onsite\nTT com o time de intech aberto pelo @guscamar sem resposta por enquanto: https://t.corp.amazon.com/V2072869982/\n28/01 - Seller informou que foi resolvido, solicitei a reativação da conta seller flex, reativado.\n</t>
  </si>
  <si>
    <t>0948f0e4-a1e7-4ab1-b2f0-f1b375217f20</t>
  </si>
  <si>
    <t xml:space="preserve">August   </t>
  </si>
  <si>
    <t>queria um relátório que contesse infomações de Fees e pedidos. Passei pro o MC</t>
  </si>
  <si>
    <t xml:space="preserve">26774818902August   </t>
  </si>
  <si>
    <t>28f833cc-d564-4977-a615-02ba4d108f63</t>
  </si>
  <si>
    <t>Seller informa que os Asin de FBA estavam inativos no Seller Central.</t>
  </si>
  <si>
    <t xml:space="preserve">625725137302October  </t>
  </si>
  <si>
    <t>eed81126-c7e3-4b13-817b-11cbd88b55c4</t>
  </si>
  <si>
    <t>Produtos da marca CK foram pausados em FBA devido NF negada.\n\nChamado aberto, aguardando liberação: https://t.corp.amazon.com/V1981174596</t>
  </si>
  <si>
    <t>2645a824-6ae0-4838-80f0-79e8d16ea495</t>
  </si>
  <si>
    <t>Seller solicitou ajuda com ASINS inativos, porém, não possuia SKU orientei a preencher essa questão na planilha FISCAL.</t>
  </si>
  <si>
    <t>c38491f5-92b3-447c-9f86-11f41df313cf</t>
  </si>
  <si>
    <t>2/fev: Account Manager informou que o Seller não estava conseguindo reativar oferta.\nhttps://t.corp.amazon.com/V2095608208\n\n4/fev: informou que foi negado, subi SIF\nhttps://na.vici.pars.amazon.dev/mpa-escalations/index.html#/caseDetails/1770226265678379\n\n10/fev: pedi apoio para o time de fba\nhttps://t.corp.amazon.com/V2104167860\n\n11/fev: seller tem que enviar o appeal, comuniquei 3x,</t>
  </si>
  <si>
    <t xml:space="preserve">10369153302February </t>
  </si>
  <si>
    <t>860ca3b4-0b87-4550-be0a-923b68a63238</t>
  </si>
  <si>
    <t>05/fev: Seller está com problema na emissão de etiqueta, como não conseguirmos fazer nada, já abri chamado para isenção de métricas porque o vendedor sofre com inativações\nhttps://t.corp.amazon.com/V2098972162</t>
  </si>
  <si>
    <t>638d4834-6b00-4ede-926f-d539144a4409</t>
  </si>
  <si>
    <t>09/fev: Informou que recebeu um Reclame Aqui do pediod 702-8291050-7503449 .\n\nPorém foi extraviado pela transportadora, o cliente não foi reembolsado e nem o vendedor.\n\nhttps://t.corp.amazon.com/V2103167256\n\n10/fev: Viktocae criou esse outro TT\nhttps://t.corp.amazon.com/V2104509407 \n\n11/fev: cobrei updates</t>
  </si>
  <si>
    <t>a29d1fd2-637c-4595-bbb0-f9edca5fb1ba</t>
  </si>
  <si>
    <t>09/fev: informou que as coletas de FBA não passou.\n\nEntrei em contato com o @vholanda\n\n11/fev: time confirmou que os pacotes foram coletados\n\n10/fev: TT time de transportes\nhttps://t.corp.amazon.com/V2104289617</t>
  </si>
  <si>
    <t>8623af9d-30e2-4f75-a971-bff0e206fe9f</t>
  </si>
  <si>
    <t>25/fev: querem realizar o inbound desse item, porém não preencheram corrretamente a planilha fiscal. Identifiquei o erro e passei para corrigirem.</t>
  </si>
  <si>
    <t>74e471bf-fe3a-4798-be61-70d11f5e6ed7</t>
  </si>
  <si>
    <t>26/fev: precisa de liberação no CD\nhttps://t.corp.amazon.com/V2121777843</t>
  </si>
  <si>
    <t>3071737a-c5ca-407f-92cc-84d2deadc3fb</t>
  </si>
  <si>
    <t>Seller sinalizou 4 asins com problemas no inbound. em seu painel diz estar danificado, abri um chamado para o FC dizer o que aconteceu com as unidades, já que o seller diz ter saído do galpão dele em perfeito estado: https://t.corp.amazon.com/V2125772488</t>
  </si>
  <si>
    <t xml:space="preserve">277711423902March    </t>
  </si>
  <si>
    <t>2fd9fede-c610-435e-96ba-02e45b5aaf10</t>
  </si>
  <si>
    <t>Seller teve as NFS rejeitadas para estado do RN\naberto um invoicing error para fba: https://t.corp.amazon.com/V2137648927</t>
  </si>
  <si>
    <t>badd163e-b663-4964-89ed-5a3475868865</t>
  </si>
  <si>
    <t>Seller está com problemas nos pedidos: 701-7494967-0798660 e 701-1526354-0129800 e 701-8845034-3428221 e 701-1197067-5583420 onde o cliente sinalizou não ter recebido 2 deles.\nAbri um chamado para o time de FBA conferir se conseguimos o comprovante de entrega: https://t.corp.amazon.com/V2135101401</t>
  </si>
  <si>
    <t>aa4e66ab-d694-4882-9500-d82c9ee0e895</t>
  </si>
  <si>
    <t>Seller informa que está com problemas de permissão de usuário, relata que as permissões foram concedidas mas fica sem acesso.</t>
  </si>
  <si>
    <t xml:space="preserve">128174680202November </t>
  </si>
  <si>
    <t>0199d359-4863-4d30-99cd-a604d25db5d1</t>
  </si>
  <si>
    <t>04/03 - Seller entrou em contato sinalizando que teve vendas do produto, porém os clientes receberam o produto errado. \nSolicitei bin-check para o FC: https://t.corp.amazon.com/V2128377685</t>
  </si>
  <si>
    <t xml:space="preserve">24679550702March    </t>
  </si>
  <si>
    <t>145b6134-f77d-4bd3-851b-4c91a4095881</t>
  </si>
  <si>
    <t>ASIN está em tombstoned, precisa fazer alteração no título, porém so o proprietário da marca consegue realizar a alteração. aberto um chamado para catalogo tentar restabelecer o asin: https://t.corp.amazon.com/V2139221193</t>
  </si>
  <si>
    <t>78638488-74af-429b-97f9-5fc1a015fa85</t>
  </si>
  <si>
    <t>Seller teve seus pagamentos cancelados mas era só solicitar no painel de pagamentos.\nPassei o caminho para ele que deveria ser feito.</t>
  </si>
  <si>
    <t>55616ef0-8bef-46cc-9070-c689835236fa</t>
  </si>
  <si>
    <t>Seller precisa de autorização da marca trifil: https://t.corp.amazon.com/P322239525</t>
  </si>
  <si>
    <t xml:space="preserve">827345792502October  </t>
  </si>
  <si>
    <t>d13be1e2-4e89-4a47-9596-bba52d673875</t>
  </si>
  <si>
    <t>Seller está com o asin com os atributos missmatch com 1P, solicitei pro time de catalogo realizasse as alterações. https://t.corp.amazon.com/V2039528230</t>
  </si>
  <si>
    <t xml:space="preserve">256525648402December </t>
  </si>
  <si>
    <t>23f22971-e2b4-4e46-812d-76f99a4063dd</t>
  </si>
  <si>
    <t>Seller realizou o coleta no FC GRU8, mas disse que não recebeu sua NF. Solicitei pro time do FC.</t>
  </si>
  <si>
    <t>627010921602September</t>
  </si>
  <si>
    <t>26509025-9ba1-46d9-80fc-756a3ee52ff6</t>
  </si>
  <si>
    <t>Seller estava com dúvida sem tinha itens dele bloqueados em GRU8</t>
  </si>
  <si>
    <t>8d0fd5e7-402e-44e8-ae25-38c5281c2526</t>
  </si>
  <si>
    <t>03/02 - Seller entrou em contato sinalizando problema para criar envios\n03/02 - Em conversa com @teigdebo o problema era alta cobertura de estoque, porém, no fim do dia a maioria dos itens foram liberados e o seller já deve conseguir fazer envios.</t>
  </si>
  <si>
    <t xml:space="preserve">662733088802February </t>
  </si>
  <si>
    <t>f01eb57a-ff8d-4d18-92fd-dba453fce93f</t>
  </si>
  <si>
    <t>09/02 - Revisão nas remessas: FBA196WZ78L5 / FBA196WX8XMT - em trânsito prazo estabelecido expirado\n09/02 - Aberto inbound issues para verificar o envio: https://t.corp.amazon.com/V2103230535</t>
  </si>
  <si>
    <t>a7a567f8-4129-4f28-bc94-34547a409038</t>
  </si>
  <si>
    <t>Localizar NFs do mês de Dezembro e Janeiro</t>
  </si>
  <si>
    <t>fe6616bf-e752-46ac-a86e-9028d2be03e6</t>
  </si>
  <si>
    <t>19/02 - Seller teve autorização da marca KEUNE negada\n20/02 - Aberto chamado para offshoring\nO chamado para offshoring fez a liberação da marca, porém o problema principal é que há ASINs da marca no " Estado da conta " Fazendo com que a marca fique travada. foi aberto um cif para retirar esses itens do estado da conta: https://na.vici.pars.amazon.dev/mpa-escalations/index.html#/caseDetails/1772249966778099?tab=1 + https://na.vici.pars.amazon.dev/mpa-escalations/index.html#/caseDetails/1772250239149225 + https://na.vici.pars.amazon.dev/mpa-escalations/index.html#/caseDetails/1772250487828152</t>
  </si>
  <si>
    <t>ae136201-49f8-4474-b0d2-604fe30f6ef5</t>
  </si>
  <si>
    <t>Envio para FBA sem atualização:  FBA196WX8XMT e FBA196WZ78L5\nAberto um inbound issues: https://t.corp.amazon.com/V2114936442\nThread rolando no slack</t>
  </si>
  <si>
    <t>d9ecb71b-2aa9-43c7-8789-c4031afe1802</t>
  </si>
  <si>
    <t>Seller com problema de estoque sendo zerado.\n09/03 - Trouxe a issue\naberto tt com time de integration para validar se possui alguma integradora que o seller não sabe ou se é um erro Amazon.\nhttps://t.corp.amazon.com/V2133790205\n10/03 - Possui integradora, informado para o seller qual, disse que vai verificar.</t>
  </si>
  <si>
    <t xml:space="preserve">133844711902March    </t>
  </si>
  <si>
    <t>1902e054-eef4-4250-a4ca-51567038a3cf</t>
  </si>
  <si>
    <t>ASIN: B0C46P8K65 - Seller está questionando sobre o pedido que será cancelado em breve sendo que tem dois dias a compra e o prazo deles é de 4 dias de preparo. \n11/03 - Trouxe a issue\ninformado que está configurado como 0 dias de preparo e o máximo permitido para alterar é de 1 dia de preparo.\nVerificado com o diasigor e possui uma outra informação configurada por ASIN. Validando.</t>
  </si>
  <si>
    <t>18d95785-8e60-483a-a273-6122f698d33f</t>
  </si>
  <si>
    <t>Seller solicitou um bin check dos produtos, pois está com muita reclamação dos clientes. V1926817568</t>
  </si>
  <si>
    <t>13351599302September</t>
  </si>
  <si>
    <t>7bb34d43-5d71-4939-aad2-0c8260bef14d</t>
  </si>
  <si>
    <t>Seller teve 3 skus bloqueados por motivo desconhecido. \n</t>
  </si>
  <si>
    <t xml:space="preserve">29271934502November </t>
  </si>
  <si>
    <t>562117fa-a041-4103-bbd9-0a131add3d50</t>
  </si>
  <si>
    <t>Skus inativos.</t>
  </si>
  <si>
    <t>79fe0eb3-37af-4d24-b0fd-cfbb90aa461c</t>
  </si>
  <si>
    <t>Erro na finalização do carrinho.</t>
  </si>
  <si>
    <t>7d2635a0-e863-4569-9dbc-dde42ca8e7c4</t>
  </si>
  <si>
    <t>Seller está co problema de tracking.</t>
  </si>
  <si>
    <t>422eab0e-01c5-4c07-aeb0-28c65922962a</t>
  </si>
  <si>
    <t>Seller está com problema na Sefaz do ES, algumas notas não atualizavam no portal onsite.</t>
  </si>
  <si>
    <t>23763219-f844-4a6c-a749-bfafb51d3ed9</t>
  </si>
  <si>
    <t>Seller teve a conta a conta desativada</t>
  </si>
  <si>
    <t xml:space="preserve">175133439302November </t>
  </si>
  <si>
    <t>44f06286-f70f-495e-b51b-edb8da909ea8</t>
  </si>
  <si>
    <t>Seller está com problema em questão de Pedidos Pendetes.\n\nChamado aberto: https://issues.amazon.com/issues/V1988080911</t>
  </si>
  <si>
    <t>a5d7fdda-de71-417e-af99-2757390f75c1</t>
  </si>
  <si>
    <t>Solicitou ajuda com performance de produtos, indiquei chamar o MC</t>
  </si>
  <si>
    <t>5dbc793e-699a-44ef-9fa5-753075eed91b</t>
  </si>
  <si>
    <t>Conferência de algumas marcas que não possui liberação</t>
  </si>
  <si>
    <t>ad15c3ec-e2da-4857-b425-f3f204bd6775</t>
  </si>
  <si>
    <t>Teve o desbloqueio do ASIN mas mesmo assim continua aparecendo como pendência nas métricas.</t>
  </si>
  <si>
    <t>7016ea16-b184-4f3d-993f-77ee231f7282</t>
  </si>
  <si>
    <t>Está com risco de inativação da conta por policy compliance.</t>
  </si>
  <si>
    <t>c3ff3031-36f7-488a-b38d-128f4f8dd3fe</t>
  </si>
  <si>
    <t>Seller estava com asin FBA bloqueados por problemas fiscais, após atualizações nas planilhas os ASIN voltaram automáticamente.</t>
  </si>
  <si>
    <t xml:space="preserve">481703768002November </t>
  </si>
  <si>
    <t>f8c11a71-d77d-42d9-bd89-b9d3cf301f4e</t>
  </si>
  <si>
    <t>Item está como "Reservado" porém as units estão Sellable no FC Research. Oversized seguir com removal offline</t>
  </si>
  <si>
    <t xml:space="preserve">16898656902October  </t>
  </si>
  <si>
    <t>38a8d2e4-bf92-41f8-98e8-06e711902393</t>
  </si>
  <si>
    <t>Os detlahes do produto não estavam refletindo na Pagina de Vendas</t>
  </si>
  <si>
    <t>46083ae7-664c-4d90-822c-e68ca521e861</t>
  </si>
  <si>
    <t>produto reservado, dentro do fba</t>
  </si>
  <si>
    <t>547ffc61-064b-4306-a81c-62c2ab816d6f</t>
  </si>
  <si>
    <t>Alterar descrição porque não está refletindo no site</t>
  </si>
  <si>
    <t>e206f589-cac3-437d-a615-f0682c240d39</t>
  </si>
  <si>
    <t>Problema para verificar identidade do usuário</t>
  </si>
  <si>
    <t>4a774f84-6fa4-4d19-8c05-ed47be978971</t>
  </si>
  <si>
    <t>Produto hazmat com informações faltantes de bateria, seller foi orientado a preencher a planilha e relaizar o upload no seller central. // 28/07 - Após a ánalise pelo pandash o produto continua inativo, precisei subir um tiket para o time responsável V1876088058 e vou informar pro seller sobre a nova data de resolução // 30/07 - Subi as documentações que estavam faltando e reabri o chamado.</t>
  </si>
  <si>
    <t xml:space="preserve">170004727002July     </t>
  </si>
  <si>
    <t>3ddd03fa-6cf3-43e4-9231-3cb18b9077af</t>
  </si>
  <si>
    <t>Produto que estão reservados, mas não ficam selleable, precisei solicitar mais informações para o seller, e estou aguardando a resposta dele para seguir com o tiket para o time responsável. // 28/07 - abrir um bin check para verificar o fisico dos produtos no FC - V1876312835 // Via Ticket responderam que os produtos não estão no FC, entramos em contato com o time de Investigation para saber qual passos devemos seguir.  V1922855847 - V1927264869</t>
  </si>
  <si>
    <t>52906106-72f9-4406-9bbe-d425eb9a026d</t>
  </si>
  <si>
    <t>Seller realizou o appeal e foi negado. \n\nhttps://na.vici.pars.amazon.dev/mpa-escalations/submit#/caseDetails/1772806563290326</t>
  </si>
  <si>
    <t xml:space="preserve">690138852002March    </t>
  </si>
  <si>
    <t>d6703e15-56b0-44e2-99d7-5de31b856b33</t>
  </si>
  <si>
    <t>Seller solicitou a criação de novos asin. \n\nhttps://na.winston.a2z.com/Seller-BR/task/11440</t>
  </si>
  <si>
    <t>917bc3b6-03e9-4188-8c5c-ca507515d2c2</t>
  </si>
  <si>
    <t>Seller solicitou a criação de 2 asin com isenção de ean\n\nhttps://na.winston.a2z.com/Seller-BR/task/11490</t>
  </si>
  <si>
    <t>81385519-f20d-4131-85b9-ca31dcf7ad3f</t>
  </si>
  <si>
    <t>Seller teve o asin suprimido Blacklisted\n\nhttps://t.corp.amazon.com/V2139225242</t>
  </si>
  <si>
    <t>5404e29e-dc5c-45b7-a612-30d1de596a99</t>
  </si>
  <si>
    <t>Seller solicitou alteração no cadastro do ASIN, abri uma task pra offshoring https://na.winston.a2z.com/Seller-BR/task/8483</t>
  </si>
  <si>
    <t>549848560202September</t>
  </si>
  <si>
    <t>0334716c-4f7c-48b5-a9b7-341785acff24</t>
  </si>
  <si>
    <t>03/março: informou sobre instabilidade no integrador para liberação das etiquetas\nhttps://t.corp.amazon.com/V2126964103</t>
  </si>
  <si>
    <t xml:space="preserve">103928980802March    </t>
  </si>
  <si>
    <t>a82c71c7-7d7b-4cd3-9aa6-45d20ae5872d</t>
  </si>
  <si>
    <t>05/março: entrou em contato informando que solicitou correção da imagem pelo chamado 19607251431, porém nã orefletiu.\n\nPedi as fotos para o vendedor</t>
  </si>
  <si>
    <t>1a315934-99d2-40c8-90a7-cb61954b3b0c</t>
  </si>
  <si>
    <t>Seller solicita remoção de avaliação negativa de 4 pedidos</t>
  </si>
  <si>
    <t xml:space="preserve">241419664602November </t>
  </si>
  <si>
    <t>afabbe1b-ade5-47b2-ae02-fcdd122af9b7</t>
  </si>
  <si>
    <t>Seller solicita, isenção de métricas por conta de frete, uma task de offshoring alterou algumas informações no catálogo incluindo o frete</t>
  </si>
  <si>
    <t>aed23ac6-9677-41c2-bfdf-406b3ed0bb34</t>
  </si>
  <si>
    <t>Problemas de permissão de usuário, não consegue atribuir as permissões ou realizar a verificação de identidade. Quando vai logar também esse usuário não consegue, coloca o código de verificação e mostra como inválido.</t>
  </si>
  <si>
    <t>58399a2f-8707-4fd4-b340-2cdfae7954ad</t>
  </si>
  <si>
    <t>Seller solicita insenção de métricas LSR. Problema de integração.</t>
  </si>
  <si>
    <t xml:space="preserve">60769061802December </t>
  </si>
  <si>
    <t>dff1d9dd-ca4b-4406-99ac-5cb10bb94ba2</t>
  </si>
  <si>
    <t>ASINs: B0C79W6WSS e B0BRT8J3BH.\nSeller recebeu notificação de item expirado.\nAberto Bin check para validar.\n03/03 - Trouxe a issue.\nAberto TT\nhttps://t.corp.amazon.com/V2127486016\n04/03 - Tudo certo com o inventário. Desconsiderar mensagem.</t>
  </si>
  <si>
    <t xml:space="preserve">124090551902March    </t>
  </si>
  <si>
    <t>c527d7b2-a7a4-445f-afc7-3a4446e723da</t>
  </si>
  <si>
    <t>B0B9P6WJ18 - ASIN classificado hazmat, mas as units estão como em processamento. Solicitado para o FC liberar.\n06/03 - Seller trouxe a issue.\nAberto bin check\nhttps://t.corp.amazon.com/V2130486882\n09/03 - Liberando, possui 528 disponível já</t>
  </si>
  <si>
    <t>6a10102f-35c1-4318-ba07-14f44786715b</t>
  </si>
  <si>
    <t>Seller com remessa em inbound desde Janeiro. Era para ter ido para GRU9 e foi para XCV9.\n13/03 - Seller trouxe o problema, aberto TT para GRU9 investigar.\nhttps://t.corp.amazon.com/V2139031715\n13/03 - Aberto outro para XCV9\nhttps://t.corp.amazon.com/V2139315217</t>
  </si>
  <si>
    <t>9515f4f3-75c4-4566-ba98-11abce4fca7d</t>
  </si>
  <si>
    <t>Seller com problema de oferta híbrida</t>
  </si>
  <si>
    <t>Hybrid Offer</t>
  </si>
  <si>
    <t xml:space="preserve">24928216102January  </t>
  </si>
  <si>
    <t>83f5951a-3c8d-4f89-8e3a-e68b92a2953a</t>
  </si>
  <si>
    <t>Seller estava com dúvida sobre as configurações na impressora no onsite.\n27/01: issue recebido.</t>
  </si>
  <si>
    <t>59fc7ec9-e235-494d-b780-74989dd8b094</t>
  </si>
  <si>
    <t>Excluir variação\n29/01: issue recebido \n29/01: tt aberto para Offshoring https://na.winston.a2z.com/Seller-BR/task/10239</t>
  </si>
  <si>
    <t>91f172ac-ee5a-4739-ab9e-51bf1da2665d</t>
  </si>
  <si>
    <t>03/03 - Seller queria acesso a API para extrair relatórios \nPassei o caminho para ele fazer essa solicitação.</t>
  </si>
  <si>
    <t xml:space="preserve">1045128782102March    </t>
  </si>
  <si>
    <t>bd45c980-5e07-4eea-b510-d59940373bdb</t>
  </si>
  <si>
    <t>Seller não está conseguindo acessar os pedidos do FBA Onsite.</t>
  </si>
  <si>
    <t xml:space="preserve">355214089002October  </t>
  </si>
  <si>
    <t>b8615d03-87e9-456f-ab98-901c194d2d31</t>
  </si>
  <si>
    <t>Pedido do seller não reflete no painel do FBA Onsite.</t>
  </si>
  <si>
    <t>5e4e9ba2-f449-4f67-9368-1c450f40171b</t>
  </si>
  <si>
    <t>Seller não esta conseguindo adicionar estoque nos produtos do FBA Onsite mesmo já tendo convertido o produto para FBA.\n</t>
  </si>
  <si>
    <t>56e7404b-b754-4667-a9f2-207f9a5b8e22</t>
  </si>
  <si>
    <t>Seller não consegue agendar a coleta de um pedido\n13/01 - Trouxe a issue, solcitado para o seller entrar em contato com o ops owner Fernando Teca +55 11 4130-2207\n16/01 - Seller não conseguiu contato com o Ops Owner, @fernamte disse que vai entrar em contato com o seller\n19/01 - Questionei o seller se conseguiu um retorno do Ops Owner @fernamte\n20/01 - Seller retornou informando que não teve mais retorno do Ops Owner. Encontrei o CTI para o caso. Abri o TT V2079715086\n23/01 - Verifiquei e o pedido foi cancelado.</t>
  </si>
  <si>
    <t xml:space="preserve">1026263719202January  </t>
  </si>
  <si>
    <t>8c4c7e6c-3aa7-4718-8aad-f13da6a5e298</t>
  </si>
  <si>
    <t>Seller não concorda com alguns reembolsos ao cliente, solicita auxilio com algumas devoluções.\n\n22/01 - trouxe o problema, aberto tt\nhttps://t.corp.amazon.com/V2082678932\n02/02 - Cobrei um retorno\n04/02 - Time respondeu solicitando para o seller abrir uma reivindicação de SAFE-T</t>
  </si>
  <si>
    <t>4d6c3242-a02f-4ea9-bcbc-51d7794f8685</t>
  </si>
  <si>
    <t>Ele questionou porque a conta dele não tinha algumas permissões, informei que só a conta Master tinha as permissões para realizar essas alterações, e caso tivesse com algum problema na conta master era pra me informar que iria apresentar o plano para correção</t>
  </si>
  <si>
    <t xml:space="preserve">16898656902August   </t>
  </si>
  <si>
    <t>3e33bf50-342e-4620-98fb-9b47954f2880</t>
  </si>
  <si>
    <t>Seller questionou o porque o ASIN B0CK5ZXTT7 foi inativado, pode ser um dos casos semlhantes as outras, pedi investigação para o time de offshoring</t>
  </si>
  <si>
    <t>c66602ec-29ce-49c6-b4d2-31118aeb5946</t>
  </si>
  <si>
    <t>escalei o caso para POC da loggi pedindo mais informações, foi liberado o reembolso, aguardando aprovação</t>
  </si>
  <si>
    <t>1c3ee393-a4c7-470c-9d3e-e278ff0ad64d</t>
  </si>
  <si>
    <t>Problema de usuário - chamad 18935929841</t>
  </si>
  <si>
    <t xml:space="preserve">24383333802December </t>
  </si>
  <si>
    <t>ad5d2cc7-2ef6-4ad0-9d03-273e8c7e12cb</t>
  </si>
  <si>
    <t>gating brand</t>
  </si>
  <si>
    <t>9d3404d7-cdb0-4080-b307-7b47f8f30826</t>
  </si>
  <si>
    <t>chamado 18966713441</t>
  </si>
  <si>
    <t>24a43c7f-2fea-4666-b4c4-806148683c94</t>
  </si>
  <si>
    <t>b4b3bcfe-9c56-4336-bcb3-c58f2be6c0b9</t>
  </si>
  <si>
    <t>Alteração de IE, backfill offer unblock</t>
  </si>
  <si>
    <t>0aba2bee-64a2-4db3-b6a1-a9f6ee5def6a</t>
  </si>
  <si>
    <t>Recebemos no dia 06/11 um e-mail deste caso "ID do Caso:18695996391", falando que teriamos um prazo de 30 dias e após isso as unidades seriam descartadas, porém analisando a data informada é o dia 22/11, então não são 30 dias como falaram. Sabe me dizer se as unidades foram descartadas, se temos como recorrer?</t>
  </si>
  <si>
    <t>86e4f325-8253-4c1c-9bc8-55d4faee7a8b</t>
  </si>
  <si>
    <t>Obrigado Tiago, fico no aguardo. Outra coisa, o envio FBA192WMPY58 não me dá a opção de abrir chamado para a recontagem do ITE08148. Não sei se posso abrir por aqui, mas por via de dúvidas, segue em anexo o comprovante de entrega e a Nota Fiscal de Entrada.\n\nResposta: Verifiquei aqui e está disponível para realizar a contestação, deve ser feita por lá, caso eu solicitar internamente aqui vão recusar na hora porque não foi seguido o processo corretamente.\n\nCaso apresentar algum erro ou algo do tipo, pode me mandar aqui, por gentileza.\n\nE contesta com o comprovante da entrega no CD e a NF de compra do produto, para comprovar posse do inventário.</t>
  </si>
  <si>
    <t>ff4080e8-42e3-4b91-9c02-6e0cd6489ca9</t>
  </si>
  <si>
    <t>Todos os nossos anúncios estão bloqueados, preciso da sua ajuda lra ativarmos o quanto antes. Sabe me explicar o que aconteceu dessa vez? Pois já ajustamos a IE na semana passada...</t>
  </si>
  <si>
    <t>99d2236b-ba1b-4b4c-9959-6b22bc4c0b9b</t>
  </si>
  <si>
    <t>Viu, o envio FBA1924ZTD8Z é a mesma questão também. Não deixam abrir chamado.\n\nResposta: Não preencheu as informações de rastreios, foi envio por conta p´ropria</t>
  </si>
  <si>
    <t>21f5d48e-fba3-4f33-a114-22a7d5293d83</t>
  </si>
  <si>
    <t>Demora no inbound FBA19130WNXQ e  FBA192WKYWQK\nVou dividir aqui em duas categorias, os que irei abrir chamado interno para os Centro de distribuições com apoio do time de FBA para identificarmos os problemas:\n\n• FBA193NVQ145, FBA193TCZWHZ, FBA193NY2T8G, FBA193NX0RCV - Esses recebimentos estão estranhos, vou abrir chamado para o time do XCV9\n• FBA193NZ0SFP - Vou verificar com o time do GRU9 o que houve que essas unidades nesse recebimento\n\nEsses estão seguindo o fluxo, um pouco demorado, mas sem problemas aparente, vamos acompanhar, porém caso até a próxima sexta não alterem os status, eu irei prosseguir com as aberturas dos chamados:\n\n• FBA1943VJ0QN - Em transporte\n• FBA1942NHC7Q, FBA1943V86PF, FBA1943WRHMN, FBA1943X0XVQ - As unidades estão como "PREP" esse status é quando o ASIN está sendo preparado para ser armazenado, esse processo pode demorar um poquinho mesmo.\n• FBA193CXP9DK - O envio não se encerrou mas as unidades estão disponíveis para venda.\n• FBA1943VZSJ8, FBA1943WS9Y5, FBA1943RZVQR - Estão em recebimento, não identifiquei anormalidades.</t>
  </si>
  <si>
    <t>c174113b-7f5a-4013-afa6-9285f6544073</t>
  </si>
  <si>
    <t>Tiagoo, preciso da sua ajuda de novo, sei que está em evento hoje me desculpaa, mas preciso da sua ajuda com isso.\n\nTenho dois ASINs (pelo que vi até agora, talvez aparecem mais) que estão ativos porém foram bloqueados pela Amazo e quando entro em "Corrigir oferta" simplesmente não aparece nada de erro para resolver.\n\nEu abri um chamado e fui atendida por um moço chamado Ricardo, ele disse que não conseguiram resolver e tiveram que abrir um chamado interno de ID 19108181841, deixei o print em anexo pra você. Me ajuda com isso? Preciso desbloquear essas ofertas o quanto antes...</t>
  </si>
  <si>
    <t>0ed71fcd-04a6-450e-99be-b36981e31bfa</t>
  </si>
  <si>
    <t>Apoio nas aprovações da marca Pix e BRX</t>
  </si>
  <si>
    <t>1fa087ed-e64d-4109-a9f8-e165aec704ea</t>
  </si>
  <si>
    <t>B0D7F19S2L/B0D9Z8CGSY - Reclamações de produto errado, providenciando aqui o check com o time do FBA para te fornecer o código.\n\nO ASIN B0D5DR4HMR é reclamação informando que o produto não condiz com a página de venda</t>
  </si>
  <si>
    <t>24654f71-8867-48b5-b1f1-65b8f54aa317</t>
  </si>
  <si>
    <t>aqui vai ser selection boost</t>
  </si>
  <si>
    <t>f5c77fc6-7a0d-477b-99a3-5dddd9f9ae4e</t>
  </si>
  <si>
    <t>Seller com uma devolução que não foi liberada por eles e o produto devolvido é divergente.\n25/02 - Trouxe a issue\nAberto tt\nhttps://t.corp.amazon.com/V2120687527\n26/02 - Pediu para abrir outro\nhttps://t.corp.amazon.com/V2121858996\n02/03 - Seller deve orientar o cliente a procurar a Amazon, esse caso é entre a Amazon e o Cliente.\nFalei para o seller também acompanhar a conta e caso tenha algum débito desse pedido me avisar.\n</t>
  </si>
  <si>
    <t xml:space="preserve">230755558102February </t>
  </si>
  <si>
    <t>e98c25a1-a65d-41c2-81e8-db21b8738787</t>
  </si>
  <si>
    <t>Seller não estava conseguindo incluir as documentações na validação, ao investigar percebemos que estava faltando incluir um dos sócios</t>
  </si>
  <si>
    <t xml:space="preserve">690138852002November </t>
  </si>
  <si>
    <t>603b406d-718c-4920-9c43-99f923b51902</t>
  </si>
  <si>
    <t>Asin do seller está apresentando o ferte de 1 milhão, abri o ticket pra ajustarem: https://t.corp.amazon.com/V2002728298</t>
  </si>
  <si>
    <t>0e6feb19-9b85-4814-9f98-161dfa9a17c6</t>
  </si>
  <si>
    <t>Seller não está conseguindo finalizar sua verificação de usuário no seller central, fala que o email já esta sendo ultilizado, mas n está</t>
  </si>
  <si>
    <t>e8a5c97e-dbc7-4c3d-b9a4-d2312b5067c5</t>
  </si>
  <si>
    <t>Seller estava com a informação no site e pediu pra alterar https://na.winston.a2z.com/Seller-BR/task/9502</t>
  </si>
  <si>
    <t>66092d6e-c9b8-4015-8a4f-f3677584cfcf</t>
  </si>
  <si>
    <t>Seller teve o seu asin movido pra blacklist - abri um appeal para reativar. https://t.corp.amazon.com/V2020358882</t>
  </si>
  <si>
    <t>92ef24d2-0721-4fd3-af40-88bf7986af1d</t>
  </si>
  <si>
    <t>Seller informa que o asin foi atualizado para a voltagem errada, solicitei pro time de offshore que alterasse novamente: https://na.winston.a2z.com/Seller-BR/task/9433</t>
  </si>
  <si>
    <t>95febcf7-5d26-4493-8806-089ead5e2e12</t>
  </si>
  <si>
    <t>Seller pediu que nos ajustasse o titulo do asin e a voltagem https://na.winston.a2z.com/Seller-BR/task/9461</t>
  </si>
  <si>
    <t>100347e0-fa2c-4a46-b6ed-657ae2be8cd0</t>
  </si>
  <si>
    <t>Seller informa que a comissão dos ASINs deveriam ser de 12% e estão marcando como 15% (comissão de categoria, não é negociação)\n03/03 - Trouxe a issue.\n06/03 - Questionado o seller se teve algum pedido com a comissão errada.</t>
  </si>
  <si>
    <t xml:space="preserve">774839834202March    </t>
  </si>
  <si>
    <t>ba993842-489c-4db3-a93f-a3319c245cd6</t>
  </si>
  <si>
    <t>Seller teve reembolso negado por ser considerado Restritos/Proibidos/Recolhidos. \n701-1826728-3635409; 702-6393931-3273868; \n24/02: tt criado para o pedido 702-6474743-1072223 https://t.corp.amazon.com/V2119249787</t>
  </si>
  <si>
    <t xml:space="preserve">183456830502November </t>
  </si>
  <si>
    <t>4c919352-82c8-4276-bf77-3ef90d74c2a0</t>
  </si>
  <si>
    <t>Aprovação da Marca Havana</t>
  </si>
  <si>
    <t xml:space="preserve">16898656902December </t>
  </si>
  <si>
    <t>ec0c9d80-a882-4694-9a41-d1430c456ea0</t>
  </si>
  <si>
    <t>pricing error, precisamos contestar a métrica de CR</t>
  </si>
  <si>
    <t>48780f89-f30f-4070-88e7-ac88a05a508b</t>
  </si>
  <si>
    <t>liberação de usuario - na verdade o seller não verificou corretamente, com isso as permissões não foram liberadas - e também precisa de kyc us</t>
  </si>
  <si>
    <t xml:space="preserve">160165983902December </t>
  </si>
  <si>
    <t>fdc26c6a-179a-4946-98b5-c3a1b809b2b3</t>
  </si>
  <si>
    <t>queria solicitar análise mais rápida da marca, e passei o caminho para corrigir o erro 5461 pelos serviços premium</t>
  </si>
  <si>
    <t xml:space="preserve">24383333802November </t>
  </si>
  <si>
    <t>33d24ca9-c344-46b1-8a2e-5ee8dbedd427</t>
  </si>
  <si>
    <t>Liberção marca microsoft - dako</t>
  </si>
  <si>
    <t>bbb6d274-5d7a-4931-a049-38f46e86274c</t>
  </si>
  <si>
    <t>teve dificuldade no que preencher para solicitar ILAC do envio  FBA192509RHK</t>
  </si>
  <si>
    <t>cc726af3-71a3-4029-91bb-406423574aec</t>
  </si>
  <si>
    <t>duvida pra pcriar kits</t>
  </si>
  <si>
    <t>4e7b264f-1dde-4026-a04f-e58b9103b2d0</t>
  </si>
  <si>
    <t>Erro 5886</t>
  </si>
  <si>
    <t>fb8b121e-8f61-4be0-b263-ab441b851fac</t>
  </si>
  <si>
    <t>UTC5</t>
  </si>
  <si>
    <t>0cfdb2cc-e3e4-4ca9-8e8f-ec283c17fe56</t>
  </si>
  <si>
    <t>Tiago, uma dúvida. Você consegue me ajudar com uma questão que estamos tendo quanto a alguns envios?\n\nSão 13 envio no total até onde eu sei, acredito que todos são de fornecedor e conseguimos agenda somente pra dezembro, mas precisamos entregar ainda esse mês... A Amanda do FBA está falando diretamente com a Aline, nossa supervisora de expedição porém está demorando a dar um retorno, tentei falar com o Ale mas ele é mais da parte comercial né... você é minha última esperança rsrs, consegue me ajudar a adiantar as datas de agendamento desses envios?\n\nResposta: Não da, a pessoa que em tese conseguiria era a Amanda com HOT PO</t>
  </si>
  <si>
    <t>9262c1a3-42b3-4efe-b05b-58a3a69b4c6c</t>
  </si>
  <si>
    <t>Aprovação da Marca Nardelli</t>
  </si>
  <si>
    <t>999c957f-478a-474d-9fa8-69dd360e04e9</t>
  </si>
  <si>
    <t>gating de reclamação</t>
  </si>
  <si>
    <t>a5704b40-838a-4fb5-a329-2c87174081dc</t>
  </si>
  <si>
    <t>Apoio para liberação da marca Vonder</t>
  </si>
  <si>
    <t>b103e396-88da-415e-98f6-eb412198426b</t>
  </si>
  <si>
    <t>contestação</t>
  </si>
  <si>
    <t>0d8bd8ac-dd4f-48ab-94e6-2d157cef5582</t>
  </si>
  <si>
    <t>Queria ver contigo sobre uma situação de login aqui... Temos um colaborador que precisou trocar de email, porém o email que ele vai usar agora já tem acesso criado na Amazon e está vinculado ao celular de uma antiga colaboradora. Semana passada eu entrei em contato com ela pra conseguir logar na conta, aí consegui e troquei o número dela pelo dele, porém hoje ele foi tentar entrar aqui e me disse que pediu o número dela novamente... Consegue me ajudar com isso?</t>
  </si>
  <si>
    <t>933d6e15-4672-421b-bb87-e70625022e8d</t>
  </si>
  <si>
    <t>FBA19130WNXQ e FBA19193PVGW demora pra inboundar</t>
  </si>
  <si>
    <t>2030d0d1-dadf-4829-84db-0892c6a7b58b</t>
  </si>
  <si>
    <t>O seller está com o produto inativado por reclamação do cliente e estava com duvida sobre o processo de envio do recurso.</t>
  </si>
  <si>
    <t xml:space="preserve">128837707402February </t>
  </si>
  <si>
    <t>581a7e45-9bc7-4297-8fa0-5e0f4e9d7618</t>
  </si>
  <si>
    <t>Seller esta com Diversos asin suprimidos por uso propriedade intelectual uso "new balance"\n\nhttps://na.winston.a2z.com/Seller-BR/task/10391</t>
  </si>
  <si>
    <t>2392e2be-c79d-4694-8287-c88615e746fb</t>
  </si>
  <si>
    <t>Seller está com ASIN inflingindo as propriedade intelectual.</t>
  </si>
  <si>
    <t>1bfa2ba2-b991-4970-851b-0def0ba894fc</t>
  </si>
  <si>
    <t>Seller estava com dúvidas sobre o que conseguiriamos fazer com comentários negativos.</t>
  </si>
  <si>
    <t>f8709cd1-ace7-475c-90dc-7e68a1697faf</t>
  </si>
  <si>
    <t>Seller esta com Diversos asin suprimidos por uso propriedade intelectual uso "new balance"\n\nhttps://na.winston.a2z.com/Seller-BR/task/10484</t>
  </si>
  <si>
    <t>037e5d14-4f2e-40af-bf3c-7fc766df0eb6</t>
  </si>
  <si>
    <t>Seller estava com duvida se o reembolso do pedido 701-9295001-7869809 foi efetivado.</t>
  </si>
  <si>
    <t xml:space="preserve">24558652202March    </t>
  </si>
  <si>
    <t>4a45725d-22d5-4ee2-91a9-9d890ecceeeb</t>
  </si>
  <si>
    <t>O seller teve um dos itens enviado via correios e atualmente se encontra em ribeirão das neves-MG e o seller não reconhece o recebimento, passei mais informações pra eles. 701-2930911-1719456\nhttps://t.corp.amazon.com/V2121623362/overview</t>
  </si>
  <si>
    <t>b8bd7b39-c710-4504-98a0-c1e87d52704c</t>
  </si>
  <si>
    <t>O Seller teve seu asin movido pra blacklisted \n\nhttps://t.corp.amazon.com/V2126109234\n04/03 - https://t.corp.amazon.com/V2128558223</t>
  </si>
  <si>
    <t>de188627-3ede-4cc9-b899-3a0682756035</t>
  </si>
  <si>
    <t>O cliente processou o seller sobre um reembolso.  pedido 701-7631309-5323429\n\nEstou em conversa com a helofb@</t>
  </si>
  <si>
    <t>5921affd-80df-4c1d-a262-2ffa966569bc</t>
  </si>
  <si>
    <t>Seller realizou o appeal do produto, mas foi negado.\n\nhttps://na.vici.pars.amazon.dev/mpa-escalations/submit#/caseDetails/1772479645013355</t>
  </si>
  <si>
    <t>32ca8de8-705d-4bf1-8a35-f940dc7e3741</t>
  </si>
  <si>
    <t>seller realizou o appeal, foi aprovado mas o ASIN n foi restabelecido.\n\nhttps://na.vici.pars.amazon.dev/mpa-escalations/submit#/caseDetails/1772743229702181\n\n09/03 email enviado pra abuse.</t>
  </si>
  <si>
    <t>e3d633d8-61e0-4aa8-8ed4-f4fe5dc8b747</t>
  </si>
  <si>
    <t>O Seller solicita o comprovante de entrega do pedido 702-7866045-8129869 enviado pela TEX, o cliente o acionou judicialmente.\nhttps://t.corp.amazon.com/V2120452527/communication</t>
  </si>
  <si>
    <t>f5701aa2-8d7f-4bfc-83b8-1eb59b30aac5</t>
  </si>
  <si>
    <t>O cliente envio o procuto errado para FC (XCV9) estou em contato com o time pra saber como proceder. \nhttps://t.corp.amazon.com/V2125790609</t>
  </si>
  <si>
    <t>88e02bfa-44f8-401e-9f55-22ea1977de7a</t>
  </si>
  <si>
    <t>Cliente pagou pelo envio da devolução do produto e deseja reembolso desse valor. \n\nhttps://t.corp.amazon.com/V2125966464</t>
  </si>
  <si>
    <t>cc10341e-e7b4-427d-8ada-9297c5ef8298</t>
  </si>
  <si>
    <t>O seller queria saber sobre o recurso de SAFE-T que foi negado, mas o reembolso caiu dia 13/02/2025 - 701-0200447-2147435</t>
  </si>
  <si>
    <t>6d0e62b3-069e-424a-98fc-8da3ce0e8675</t>
  </si>
  <si>
    <t>O Seller estava com duvida sobre o processo de reembolso do pedido 702-2229111-5561802</t>
  </si>
  <si>
    <t>4cee705a-3124-45f4-9ad8-8c5cdf9a4873</t>
  </si>
  <si>
    <t>Seller solicita o reembolso do de 1 unidade do pedido  701-2930911-1719456, que foi extraviado.\n\nhttps://t.corp.amazon.com/V2134949938</t>
  </si>
  <si>
    <t>67184b32-c29c-44ef-809f-454e705272d6</t>
  </si>
  <si>
    <t>Seller tinha duvidas sobre o Garantia de A a Z fechada.</t>
  </si>
  <si>
    <t>709ce066-e3b7-4731-aff5-826bf09eb48e</t>
  </si>
  <si>
    <t>Seller solicitou a carta reembolso do pedido 702-7196898-3005058</t>
  </si>
  <si>
    <t>e955af42-c130-478f-b7ba-ab3cd5c95190</t>
  </si>
  <si>
    <t>Seller queria saber sobre os status de pedidos antigos. 701-7498119-9972200 e 702-0433774-5280255</t>
  </si>
  <si>
    <t>9e9146b3-cea2-4b24-9e2f-dfc7087ef39e</t>
  </si>
  <si>
    <t>Seller queria saber sobre a devolução do pedido  701-9564570-2333069/ AM949678945BR</t>
  </si>
  <si>
    <t>a3b3dc8b-8f50-4903-a01e-99239bc38494</t>
  </si>
  <si>
    <t>Seller solicitou a carta de reembolso do pedido 702-2323544-5246625\n\nhttps://t.corp.amazon.com/V2133696348</t>
  </si>
  <si>
    <t>f91fd294-ef8a-4ac3-b777-da84fda7c498</t>
  </si>
  <si>
    <t>problema com liberação da nova conta para operar em FBA</t>
  </si>
  <si>
    <t xml:space="preserve">45146550802October  </t>
  </si>
  <si>
    <t>f975f201-6c2a-4622-833c-9b4e7e5d21d6</t>
  </si>
  <si>
    <t>Seller estava com dúvida sobre uns pedidos que estavam com um valor "pré pago" maior que o valor do pedido, e identificamos que o motivo que o cliente parcelou o produtos em 11x ou mais que ai possui juros.</t>
  </si>
  <si>
    <t>98385811302September</t>
  </si>
  <si>
    <t>d6d2879d-4048-4517-bce2-59298ffe18f8</t>
  </si>
  <si>
    <t>Seller não recebeu seu repasse, ele está com status de cancelado, mas verificando no campo de pagamentos os saldo foi movido pra o proximo repasse.</t>
  </si>
  <si>
    <t>60bb5356-e79d-48f9-9012-becbd2348a95</t>
  </si>
  <si>
    <t>ASIN\'s com problemas fiscais</t>
  </si>
  <si>
    <t xml:space="preserve">551856008602January  </t>
  </si>
  <si>
    <t>bc1614af-7a6d-4382-8d94-85f97158c520</t>
  </si>
  <si>
    <t>Seller solicitou no dia 15/01 ajuda com o processo de inbound que foi fechado com descrepâncias. No dia 19/01 foi aberto um Inbound Issues, para analisar essa questão: https://t.corp.amazon.com/V2078505780</t>
  </si>
  <si>
    <t>12e704b7-05d3-4c2d-9ba9-9b5ff3ef817c</t>
  </si>
  <si>
    <t>Enviei as planilhas fornecidas pelo Seller e enviei novamente pelo pandash.\nAtualizações refletiram corretamente\n\n17992858141</t>
  </si>
  <si>
    <t xml:space="preserve">55427353102July     </t>
  </si>
  <si>
    <t>6a93fa71-f73a-4077-8639-98b18a97e7cb</t>
  </si>
  <si>
    <t>Seller precisava de ajuda no preenchimento de produtos HAZMAT</t>
  </si>
  <si>
    <t>b095684a-8230-4bef-a5f7-17e12d72dd6e</t>
  </si>
  <si>
    <t>falta apenas a alteração dos titulos - ID: 7707</t>
  </si>
  <si>
    <t>f4f97337-ca0c-448a-a494-66d8567e390a</t>
  </si>
  <si>
    <t>Seller pediu correção de mais 2 itens Hazmat</t>
  </si>
  <si>
    <t>6d68b2ba-0e1e-47ae-b970-5d1a978f9eb2</t>
  </si>
  <si>
    <t>Aguardando aprovação da marca</t>
  </si>
  <si>
    <t>fb0d2a1a-1bc8-4849-8a5a-5b384b81a5e1</t>
  </si>
  <si>
    <t>Dúvidas sobre Brand Registry e questionou sobre um envio que estava em transporte.</t>
  </si>
  <si>
    <t xml:space="preserve">589580604602November </t>
  </si>
  <si>
    <t>21386982-e446-411d-a88e-9fac6270f6ad</t>
  </si>
  <si>
    <t>unir variações</t>
  </si>
  <si>
    <t>f0574ffc-37fe-4455-aef4-05fa91c82758</t>
  </si>
  <si>
    <t>Reclamou de discrepancia enfrete frete cobrado x tabela de frete</t>
  </si>
  <si>
    <t xml:space="preserve">24386750602August   </t>
  </si>
  <si>
    <t>071b92b0-0efc-4f7c-9989-9ab221deec78</t>
  </si>
  <si>
    <t>Seller estava com problemas para receber o reembolso e consegui escalar para o time de Seller Flex, pois foram motivos por erro da amazon.\n\n17724410891 - 17926205671 - 17972778981</t>
  </si>
  <si>
    <t>2397b7de-a7f1-4c9c-8a24-b3940310bb3c</t>
  </si>
  <si>
    <t>Seller questiona o reembolso, chamado 18160501881, prço de venda do produto era 238 reais com base nas vendas dos últimos 90 dias, e o seller recebeu um reembolso de 50 reais</t>
  </si>
  <si>
    <t>2ac11985-1897-4210-ac5a-44294d169ea8</t>
  </si>
  <si>
    <t>17749791021 - Aguardando resolução no chamado aberto pelo Seller</t>
  </si>
  <si>
    <t>5a1bec5e-f288-4b66-8e28-3f1a54ba40f7</t>
  </si>
  <si>
    <t>17972851271 - Em análise</t>
  </si>
  <si>
    <t>fa2d5aca-3cbe-4761-ad3c-022f147ba0db</t>
  </si>
  <si>
    <t>Asin está reservado no Seller Flex porque o produto está classificado como Hazmat, mas ele não é</t>
  </si>
  <si>
    <t>a4ae1bbb-81ba-4f3f-8cc0-ad5384d967d9</t>
  </si>
  <si>
    <t>18135194301 - reembolsado aprovado</t>
  </si>
  <si>
    <t>a074be77-ab72-469d-94a9-6eddc65cb70b</t>
  </si>
  <si>
    <t>17941974131 - seller aguardando retorno através do chamado para reembolso do pedido</t>
  </si>
  <si>
    <t>38d33154-a8f7-4675-9c35-9b763f773850</t>
  </si>
  <si>
    <t>17926205671 - Reembolsado\n</t>
  </si>
  <si>
    <t>761e6b75-cd09-4eae-abe6-0cdc207931d9</t>
  </si>
  <si>
    <t>17724410891 - Reembolso aprovado</t>
  </si>
  <si>
    <t>5d8c860c-0d36-493b-872c-06e0e56437c7</t>
  </si>
  <si>
    <t>Seller tinha que criar uma contestação no T-Rex pra conseguirmos escalar</t>
  </si>
  <si>
    <t>3c44b013-7730-4e2b-9752-44a890553299</t>
  </si>
  <si>
    <t>17972778981 - pedido reembolsado</t>
  </si>
  <si>
    <t>74c0c80b-1666-4bab-acd1-9cb623610b3b</t>
  </si>
  <si>
    <t>Seller  estava com problema no cartão cadastrado na amazon</t>
  </si>
  <si>
    <t>23a16c14-c75d-4883-b75b-f2588db85de1</t>
  </si>
  <si>
    <t>Seller com ASIN B0DPB55MCY em PSC por autenticidade, está enviando a NF porém é recusado.\n03/02 - Trouxe o problema\n04/02 - Aberto SIF \nhttps://na.vici.pars.amazon.dev/mpa-escalations/#/caseDetails/1770208806277035\n09/02 - SIF tirou bloqueio, contudo uma das ofertas ainda não retornou. Aberto task winston\nhttps://na.winston.a2z.com/Seller-BR/task/10504\n11/02 - Informaram que não está com problemas no ASIN, possui ofertas ativas, recomendaram a excluir e listar novamente. Passado para o seller.</t>
  </si>
  <si>
    <t xml:space="preserve">55427353102February </t>
  </si>
  <si>
    <t>55730634-6bec-448d-88c1-ffd9459a5d83</t>
  </si>
  <si>
    <t>Seller está tentando enviar produto para FBA porém aparece mensagem que não pode ser enviado e deve conferir as medidas.\nASIN: B0CPN6189J\n09/02 - Trouxe a issue, aberto task com catálogo 1P. Para correção de Medidas por precaução.\nhttps://t.corp.amazon.com/V2103304768\nCorreção realizada mesmo assim sem sucesso.\nAberto ticket de  Sales - ASIN Capacity Limits (FBA)\nhttps://t.corp.amazon.com/V2103440037\n10/02 - Final do dia responderam informando que não possui nenhum bloqueio no ASIN.\nPediram para abrir um Invbound Issue\nhttps://t.corp.amazon.com/V2105643002\n12/02 - Aberto no novo CTI\nhttps://t.corp.amazon.com/V2106420190\nAs medidas pode estar em conflito com as dimensões do pacote que possui um lado maior que 102.\nAberto tt para catálogo de 1P visto que as medidas quem ganha no posicionamento é 1P.\nhttps://t.corp.amazon.com/V2106628072\n13/02 - Desbloqueado para envio.</t>
  </si>
  <si>
    <t>51e5dccb-98c2-493b-aeaf-5ec2cb22a22f</t>
  </si>
  <si>
    <t>Seller com oferta bloqueada pois precisa de aprovação.\n20/02 - Seller trouxe o problema, aberto TT\nhttps://t.corp.amazon.com/V2115172257\n28/02 - Aprovado, ofertas ativas.</t>
  </si>
  <si>
    <t>9c2d8222-46f7-425c-9057-2c263d1e79a1</t>
  </si>
  <si>
    <t>Seller com ASIN B0FPSXBM6R com oferta indisponível, mesmo com estoque.\n26/02 - Trouxe a issue, aberto task com RBS.\nhttps://na.winston.a2z.com/Seller-BR/task/10982\n09/03 - Sem bloqueios\n</t>
  </si>
  <si>
    <t>a20b54e5-af6e-482d-9b45-79a46b7c44a3</t>
  </si>
  <si>
    <t>Seller com ASIN B0GQD5H69W bloqueado, sem muitas informações.\n26/02 - Trouxe a issue, aberto task com RBS\nhttps://na.winston.a2z.com/Seller-BR/task/10986\n02/03 - Ativo sozinho</t>
  </si>
  <si>
    <t>e4c82e31-4e56-4869-9d1a-375168e25cdf</t>
  </si>
  <si>
    <t>Seller com oferta em PSC com risco de remoção. ASIN B07Q84FG6V.\n26/02 - Trouxe a issue\nSolicitado os documentos que colocou no recurso\n03/03 - Enviou os documentos, aberto ticket para Risc\nhttps://t.corp.amazon.com/V2126887736\n04/03 - Indicou outro CTI\n05/03 - Aberto\nhttps://issues.amazon.com/issues/RISC-CET-80696\n10/03 - Sobre esse ASIN o time está solicitando um dos seguintes doc:\n-Transportadores/Slings: Relatório de Teste ABNT NBR 16365\n-Portadores: Relatório de teste ASTM F2236:24 ou EN 13209-2:2015\n-Slings: Relatório de teste ASTM F2907:22 ou CEN/TR 16512:2015\naguardando o seller me enviar.</t>
  </si>
  <si>
    <t>1cfc1c86-1e2f-41d6-9c18-e8f24b6f4d02</t>
  </si>
  <si>
    <t>Seller está alterando a imagem porém não está refletindo.\nASIN: B0GQD1N4WX / B0GQCKDBD7\n26/02 - Seller trouxe a issue\naberto task com RBS\nhttps://na.winston.a2z.com/Seller-BR/task/10987\n02/03 - Alterado, em até 48h reflete na oferta.</t>
  </si>
  <si>
    <t>b2296bf8-de9f-4ed5-b413-5bb7ff592b9c</t>
  </si>
  <si>
    <t>Seller com todas as units em defective.\nASIN B0DLLLY4VJ \n26/02 - Trouxe a issue.\nAberto bin check com GRU9\nhttps://t.corp.amazon.com/V2121746896\n02/03 - Estava em investigação, não encontrado problemas.\nAberto bin check solicitando para colocar para sellable novamente.\nhttps://t.corp.amazon.com/V2125647181\nFC alterando para sellable</t>
  </si>
  <si>
    <t>Defective</t>
  </si>
  <si>
    <t>87f9eab9-d2c9-4122-8e62-ca1e65f95318</t>
  </si>
  <si>
    <t>Seller está com restrição de capacidade para os ASIN\'s</t>
  </si>
  <si>
    <t xml:space="preserve">108483856702December </t>
  </si>
  <si>
    <t>f33db15a-6efd-4694-9c1e-78b3c821abd3</t>
  </si>
  <si>
    <t>Pediu ajuda para alterar os dados do Faturador (IE)</t>
  </si>
  <si>
    <t>4440c122-ca8e-40b4-8242-b4d8d667e4f8</t>
  </si>
  <si>
    <t>a173eb17-c153-4634-971b-7d7eca2f8a5b</t>
  </si>
  <si>
    <t>Reclamação de produto diferente do anunciado</t>
  </si>
  <si>
    <t>0a4fd372-924c-43dd-9d5c-f97e3d459570</t>
  </si>
  <si>
    <t>Possuia duvida referente a Garantia A to Z</t>
  </si>
  <si>
    <t>54c4da49-cc46-46a5-903d-1531daa24bb8</t>
  </si>
  <si>
    <t>Anúncios de FBA cairam por conta de problema fiscal</t>
  </si>
  <si>
    <t>3a9aedd5-a8e6-4a5e-b849-fdad3a50e94f</t>
  </si>
  <si>
    <t>UN constam como " impossível de ser enviada "</t>
  </si>
  <si>
    <t>e2447b9e-68e0-44c0-8a45-aad6421d3ac6</t>
  </si>
  <si>
    <t>Dúvida sobre ASIN e remoção</t>
  </si>
  <si>
    <t>30945351-afd6-4444-a9bb-eed0d3422811</t>
  </si>
  <si>
    <t>Envios ao FBA apresentando erros por conta de dimensões (capacidade do FC)</t>
  </si>
  <si>
    <t>c59c2da0-388d-41b3-8fb7-ec1067de4c13</t>
  </si>
  <si>
    <t>Dúvidas fiscais</t>
  </si>
  <si>
    <t>20b83c8b-d8b3-44bd-b683-b60eeb06192d</t>
  </si>
  <si>
    <t>Devolução estava aparecendo sem o endereço</t>
  </si>
  <si>
    <t>6c4d830b-687e-460e-9cb2-accfcb2fcb15</t>
  </si>
  <si>
    <t>Itens trocados durante o processo de inbound, seller solicita revisao</t>
  </si>
  <si>
    <t>e9985c34-9ab1-4da9-a126-edae66db9501</t>
  </si>
  <si>
    <t>Estoque da loja que esta no ONSITE, esta como reservado.</t>
  </si>
  <si>
    <t>88cd0fee-940b-4f0c-87e3-962fa44a798a</t>
  </si>
  <si>
    <t>Dúvida sobre criação de modo de envio personalizado</t>
  </si>
  <si>
    <t>d9159087-6a5f-4fc8-9e03-8d9c78811316</t>
  </si>
  <si>
    <t>Solicitou ajuda para solicitar coleta DBA</t>
  </si>
  <si>
    <t>52189378-8831-4c49-88b6-8bf4889b583c</t>
  </si>
  <si>
    <t>ASIN: B0DGLXLJJH , B0DJH5YLFQ em policy compliance</t>
  </si>
  <si>
    <t>5c71ffc3-9b49-4178-ac78-88057542ec56</t>
  </si>
  <si>
    <t>Seller esta com o asin inativo em FBA\n\nhttps://t.corp.amazon.com/V2127141853</t>
  </si>
  <si>
    <t xml:space="preserve">755841394202March    </t>
  </si>
  <si>
    <t>8681eccd-08a9-419b-8371-2903c0ac26cb</t>
  </si>
  <si>
    <t>Seller esta com 94 und reservado no seller central, mas no FC está sellable. \n\nhttps://t.corp.amazon.com/V2135113529</t>
  </si>
  <si>
    <t>83582f26-45ef-4e22-816c-16926823a1c5</t>
  </si>
  <si>
    <t>Seller não está conseguindo atualizar o atributo da marca. \n\nhttps://na.winston.a2z.com/Seller-BR/task/11523</t>
  </si>
  <si>
    <t>63932b33-2b9b-4176-8540-ecf21715ce7b</t>
  </si>
  <si>
    <t>Seller esta querendo encerrar ofertas de FBA.</t>
  </si>
  <si>
    <t>533cd459-a44c-4b8e-a3f0-e4061ac313d0</t>
  </si>
  <si>
    <t>Seller estava com duvidas, sobre os envios pra FBA.</t>
  </si>
  <si>
    <t>4122075e-838f-4c3e-92f5-ee4dccbd8f50</t>
  </si>
  <si>
    <t>Seller com oferta bloqueada, erro faturador\n03/03 - trouxe a issue\naberto tthttps://t.corp.amazon.com/V2126985231\n04/03 - Ofertas ativas</t>
  </si>
  <si>
    <t xml:space="preserve">1005231704002March    </t>
  </si>
  <si>
    <t>df75a310-bb8d-425e-bb66-3bf7dfe52d2d</t>
  </si>
  <si>
    <t>Seller com oferta bloqueada, erro faturador\n03/03 - Trouxe a issue\nAberto tt\nhttps://t.corp.amazon.com/V2127116063\n04/03 - Ofertas ativas.</t>
  </si>
  <si>
    <t>92278161-c61d-4dd2-8f24-6ac262500a97</t>
  </si>
  <si>
    <t>B0FX5VCB9C - ASIN em PSC Wrong Product\n10/03 - Trouxe a issue\nAberto bin check\nhttps://t.corp.amazon.com/V2134894733\nBin check tudo certo - Informado SOP para o seller desbloquear\n11/03 - Oferta ativa.</t>
  </si>
  <si>
    <t>e679680e-a80d-4830-b557-3bf84502cdab</t>
  </si>
  <si>
    <t>B0FMTB9RNV - ASIN em PSC "Product Wrong"\n12/03 - Trouxe a issue.\nAberto Bin Check\nhttps://t.corp.amazon.com/V2137630503</t>
  </si>
  <si>
    <t>7efdd068-7cbf-4932-8ebd-e4f369d1892f</t>
  </si>
  <si>
    <t>Seller solicitou a remoção de avaliações negativas. https://na.vici.pars.amazon.dev/mpa-escalations/submit#/caseDetails/1767964684542041/ https://na.vici.pars.amazon.dev/mpa-escalations/submit#/caseDetails/1768237841059758</t>
  </si>
  <si>
    <t xml:space="preserve">60238888002January  </t>
  </si>
  <si>
    <t>82020e95-c7ef-473c-97ae-644fc96278da</t>
  </si>
  <si>
    <t>Seller teve o pedido cancelado, mas foi entregado para o cliente. // https://t.corp.amazon.com/V2066570864</t>
  </si>
  <si>
    <t>3938fffc-4ec9-42df-9c7f-b4dd0fb223bf</t>
  </si>
  <si>
    <t>Cliente está enfrentando problemas com SAFE-T abri o chamado pro time// https://t.corp.amazon.com/V2065344997// https://t.corp.amazon.com/V2066864054</t>
  </si>
  <si>
    <t>5fbc3db8-3934-420b-a9a2-22f11ff6b8d1</t>
  </si>
  <si>
    <t>Seller estava com duvida de como proceder quando o produto está em entrega e o seller solicita cancelamento.</t>
  </si>
  <si>
    <t>e0e67d79-2a8b-40e4-b0f7-cd9e22c5d3a4</t>
  </si>
  <si>
    <t>Seller informa que a garantia de AtoZ do pedido 702-6986732-8445864 foi aprovado, mas eles não receberam o reembolso, solicitei pra o time revisar. https://issues.amazon.com/issues/V2065380207</t>
  </si>
  <si>
    <t>cc24a557-2d09-41b6-9fbb-787e8dc4808c</t>
  </si>
  <si>
    <t>Seller solicita uma reividicação de garantia de AtoZ https://issues.amazon.com/issues/V2065534730</t>
  </si>
  <si>
    <t>6017429e-8d65-49fa-9e23-c4544c5a057f</t>
  </si>
  <si>
    <t>Seller estava com duvida de quanto tempo leva o processamento de compra.</t>
  </si>
  <si>
    <t>f29f56fd-be64-4ce3-b99a-22c49a1c2a68</t>
  </si>
  <si>
    <t>Houve problema para expedir os produtos, NF\'s estão sendo rejeitadas</t>
  </si>
  <si>
    <t xml:space="preserve">560201489502January  </t>
  </si>
  <si>
    <t>1bb4f473-05db-49d4-8764-b945a3af9a57</t>
  </si>
  <si>
    <t>O pedido foi cancelado, porém, seller fez o envio.</t>
  </si>
  <si>
    <t>e1862aff-97c3-48d2-9bd6-bef4311da792</t>
  </si>
  <si>
    <t>Pedidos sendo executados de produtos que não tem estoque a mais de 1 mês.\nPossuia estoque no integrador.</t>
  </si>
  <si>
    <t>097a5a8e-2f5c-4dd1-81ae-15561cd06a92</t>
  </si>
  <si>
    <t>Seller entrou em contato sinalizando ASIN\'s inativos devido a documentação de conformidade. \n\nAberto o chamado para ver há trava pelo time de risc: https://t.corp.amazon.com/V2092169231</t>
  </si>
  <si>
    <t>fd390ffe-af6b-424f-94da-3e9c6765b44d</t>
  </si>
  <si>
    <t>Alteração do endereço comercial</t>
  </si>
  <si>
    <t xml:space="preserve">45146550802December </t>
  </si>
  <si>
    <t>d3e1faa3-1b40-4e33-8e9d-9731ca6f1e65</t>
  </si>
  <si>
    <t>91 pedidos do seller não foram coletados. \n22/01: O seller não encaminhou as inforamções.</t>
  </si>
  <si>
    <t xml:space="preserve">93900917902January  </t>
  </si>
  <si>
    <t>101d5c84-5a56-40b5-bc44-35196c26e4cd</t>
  </si>
  <si>
    <t>Falta de Pick-up\n20/01: Issue recebido \n20/01: tt aberto p/ o time de seller flex https://t.corp.amazon.com/V2080196599</t>
  </si>
  <si>
    <t>236855ce-606f-4a99-b1c1-759bd27e796a</t>
  </si>
  <si>
    <t>Problemas ao fazer o envio motorista se recusou pegar pois passava das medidas</t>
  </si>
  <si>
    <t xml:space="preserve">282538163102November </t>
  </si>
  <si>
    <t>07dc6bf4-3383-44cd-8aec-0edb7fe0004a</t>
  </si>
  <si>
    <t>Seller solicita a remoção de avaliações negativas, mas a primeira solicitação via chamado 18759414391 já foi aprovada.</t>
  </si>
  <si>
    <t xml:space="preserve">13351599302November </t>
  </si>
  <si>
    <t>23f800bb-f1cd-4e77-8c31-80eabd7cc5d3</t>
  </si>
  <si>
    <t>Seller está com o asin ativo no SC, mas não reflete no Site. constatamos que ele está em blacklist. foi feito o Appeal TT: https://t.corp.amazon.com/V1991762670 / https://t.corp.amazon.com/V1994574512</t>
  </si>
  <si>
    <t>51f028dd-6d19-4b65-8ae0-c64f38284beb</t>
  </si>
  <si>
    <t>Seller está com o produto ativo no SC, mas não reflete no site. está com a tabela de frete desconfigurada. Solicitei que ele verficasse primeiro na sua Integradora</t>
  </si>
  <si>
    <t>e8b7d64c-86e3-425d-addf-35a527e10386</t>
  </si>
  <si>
    <t>Seller pede a solicitação de remoção de avaliação negativa do order  701-7401471-6373831, porém não me enviou o número do chamado de SPS, estou aguardando.</t>
  </si>
  <si>
    <t>0a2eff55-19ac-4b84-ae21-8a31e8003ec9</t>
  </si>
  <si>
    <t>Seller solicitou remoção de avaliações negativas 701-1826920-5034605/ 701-7862689-7916212</t>
  </si>
  <si>
    <t>f4a65e00-8e43-43af-9c3d-b5f23b1eda3e</t>
  </si>
  <si>
    <t>Seller identificou que o ASIN estava com a descrição errada no site. Pedi pro time de Offshore ajusta ASAP</t>
  </si>
  <si>
    <t>a4a1544f-cc8f-4832-b2dc-dfa9b97b6067</t>
  </si>
  <si>
    <t>Seller solicita que removemos as avaliações negativas dos pedidos 701-8020572-5164224/ 702-8732690-6809803 referente ao impacto do projeto piloto que eles realizaram. SIF aberto: https://na.vici.pars.amazon.dev/mpa-escalations/index.html#/caseDetails/1763389925625457</t>
  </si>
  <si>
    <t>d6dc0ec4-3711-46e2-bdf2-fa436c1ed75b</t>
  </si>
  <si>
    <t>Seller pediu pra realizar a criação/adicionar novos asin no catálogo. tt:https://na.winston.a2z.com/Seller-BR/task/9377</t>
  </si>
  <si>
    <t>f93a2388-ce62-420f-ae69-e89d3698c89a</t>
  </si>
  <si>
    <t>Seller solicita que alterassemos as imagens do produto. pedi que ele me confirmasse o ean do produto.</t>
  </si>
  <si>
    <t>d13c7969-ae40-414b-9ca7-bbdbe6976877</t>
  </si>
  <si>
    <t>Seller está com a descrição do ASIN errada, solicitei pro time alterar task: https://na.winston.a2z.com/Seller-BR/task/9363</t>
  </si>
  <si>
    <t>416439c4-0212-45b4-9223-0d36e6f48bbe</t>
  </si>
  <si>
    <t>Seller está com mais de 700 pedidos em LSR mas não deveriam. solicitei a insenção e abri o tt pro time de SS investigar o que aconteceu</t>
  </si>
  <si>
    <t>18aacd11-d51b-43db-9299-286377342f7e</t>
  </si>
  <si>
    <t>Seller informa que as imagens estão diferente do fisico. https://na.winston.a2z.com/Seller-BR/task/9479</t>
  </si>
  <si>
    <t>adac077e-37ba-48bb-a82f-78d75a952a61</t>
  </si>
  <si>
    <t>Seller teve seu asin movido pra recall, tt aberto: https://t.corp.amazon.com/V2016180290</t>
  </si>
  <si>
    <t>5041fa84-29d5-4072-892e-db8cae8af7e0</t>
  </si>
  <si>
    <t>Seller pediu pra alterar as dimensões dos produtos.</t>
  </si>
  <si>
    <t>8ed16362-cbbb-464e-969a-3083d1035969</t>
  </si>
  <si>
    <t>Seller questiona as informação da NFs emitidas pelo Amazon.</t>
  </si>
  <si>
    <t xml:space="preserve">256525648402February </t>
  </si>
  <si>
    <t>c10498c2-09f3-4a09-9de7-5022c7691c29</t>
  </si>
  <si>
    <t>Bom dia, Tiago! Tudo bem?\n\nNo mês de dezembro, identificamos alguns ajustes referentes a cargas classificadas como AUSENTE_DA_ENTRADA, conforme abaixo:\n\nR$ 133,54 – AUSENTE_DA_ENTRADA – 20117832221 – Referente à carga FBA1935143X7\n\nR$ 285,12 – AUSENTE_DA_ENTRADA\n\nR$ 7.621,44 – AUSENTE_DA_ENTRADA\n\nR$ 2.503,32 – AUSENTE_DA_ENTRADA\n\nR$ 1.571,60 – AUSENTE_DA_ENTRADA\n\nR$ 402,78 – AUSENTE_DA_ENTRADA\n\nR$ 196,39 – AUSENTE_DA_ENTRADA\n\nConseguimos identificar apenas uma dessas cargas. Poderia, por gentileza, nos auxiliar na identificação das demais?</t>
  </si>
  <si>
    <t xml:space="preserve">414165418502January  </t>
  </si>
  <si>
    <t>ed88bd03-3211-41cd-a3bb-196df8ee80db</t>
  </si>
  <si>
    <t>Problemas com aprovação da documentação\nTCL e ACER</t>
  </si>
  <si>
    <t>51f217e2-c8ac-4acf-b305-e470e1959e8b</t>
  </si>
  <si>
    <t>Não consegue fazer o envio para FBA</t>
  </si>
  <si>
    <t>bc0cfa2d-0a18-4c16-9ef5-9f2b5b3ccafc</t>
  </si>
  <si>
    <t>12/jan: Seller entrou em contato sobre um ASIN que estava inativado, instrui o mesmo a abrir um chamado para enviar o POA\n\n13/jan: Responderam o chamado do seller e montei o POA para ele e instrui a enviar no chamado\n\n14/jan: Seller não respondeu o chamado 19274246101 com o POA, informei que caso não refaça todo processo e envie o POA a oferta ficará inativa.\n\n14/jan: Encerrei a tarefa como PSA</t>
  </si>
  <si>
    <t>923353a7-ca20-4f3d-9b75-b28b09542f23</t>
  </si>
  <si>
    <t>Seller não sabia fazer as solicitações de Serviços Premium\n\n1. Baixe a planilha "Atualização de Atributos de catálogo" preencha apenas com a informação que você gostaria de alterar.\n2. Vai no Google Drive e coloca essa planilha lá (preenchida)\n3. Gere um link para outras pessoas acessarem essa planilha (deixe público)\n4. Coloque esse link no campo "Faça o upload do arquivo para u mserviço de armazenamento em nuvem e compartilhe o link conosco\n5. Forneça um comentário sobre a atividade, essa por exemplo, você pode mencionar que gostaria de realizar a correção do título.</t>
  </si>
  <si>
    <t>edd5ff8b-009e-433c-a3dd-1494e1aa576b</t>
  </si>
  <si>
    <t>14/jan: Seller entrou em contato sobre a discrepância no envio FBA1950HT0TC \nhttps://t.corp.amazon.com/V2073733085\n\n16/jan: COmuniquei o seller que aguardo retorno\n\n19/jan: Respoderam o chamado do Inbound Issues e pedi mais informações para contestar\nhttps://t.corp.amazon.com/V2073750273\n\n26/jan: Informei para eles realizarem a abertura de um novo chamado, alegando que selecionaram a opção errada.\nEle abriu o chaamdo 19347480201 e farei acompanhamento\n\n27/jan: Foi negado porque o seller confirmou que enviou unidades a menos</t>
  </si>
  <si>
    <t>58a639df-9a04-44c0-a76f-e187a00a36f2</t>
  </si>
  <si>
    <t>16/jan: Seller entrou em contato sobre cobranças no Pedido de Remoção, o mesmo disse que tinha sido informado que não seria cobrado\n\n16/jan: Informei que o pedido de remoção era pago e pedi comprovações sobre quem informou que era isento a remoção</t>
  </si>
  <si>
    <t>dd4d9662-38f1-4a76-825c-8fa5a1183ba3</t>
  </si>
  <si>
    <t>16/jan: Seller entrou em contato solicitando a correção de 2 ASINs, instrui a pedir pelos Serviços Premium\n\n19/jan: Seller entrou em contato confirmando que apenas 1 ASIN houve correção e outro não\n\nAbri o TT de CAU para Catalogo já que o 1P está ganhando.\nhttps://t.corp.amazon.com/V2078719014\n</t>
  </si>
  <si>
    <t>1af9c8e0-624e-47d1-9bfa-e9c5020ebe93</t>
  </si>
  <si>
    <t>19/jan: Seller entrou em contato com problema da liberação de 1 etiqueta.\n\nAo analisar o pagamento estava pendente, devido a isso não é liberado todas informações para faturamento, impossibilitando na lbieração da etiqueta.\n\nID de envio \nPkWmlm2VB\n\nID do pedido\n701-3920742-6287450</t>
  </si>
  <si>
    <t>a1c6fd9f-7f99-461c-82ee-2d3008876cdb</t>
  </si>
  <si>
    <t>21/jan: Seller questiona sobre um pedido de remoção, ao verificar é o problema do POA1 onde não realizam as tentativas de entrega e retorna direto para o CD\n\nEscalei por email\n\n26/jan: Cobrei a thread no email\n\n27/jan: Abri o novo TT pra ele\nhttps://t.corp.amazon.com/V2088186289\n\n28/jan: Vendedor irá realizar o removal no FC</t>
  </si>
  <si>
    <t>95ef7b19-e35b-41a6-9120-3111a1bc3e98</t>
  </si>
  <si>
    <t>22/jan: Não aceitaram o ID do agendamento do seller no POA1\n\nEntrei em contato com o gsoezequ@ para liberarem a entrada</t>
  </si>
  <si>
    <t>c1e2e018-6e4c-4f8d-a544-68c919c3c94c</t>
  </si>
  <si>
    <t>26/jan: Não consegue fazer relatório no faturador\n\n27/jan: voltou a funcionar</t>
  </si>
  <si>
    <t>264b20dd-22dc-4c79-bca2-714978c2216c</t>
  </si>
  <si>
    <t>27/jan: Entrou em contato para reativar a oferta\nhttps://t.corp.amazon.com/V2088273521\n\n28/jan: Não é possível reativar até que conclua a remoção, enviou o produto errado. \n\nVendedor comunicado e ciente da violação.</t>
  </si>
  <si>
    <t>5a1966e8-df73-4424-aac7-26886bc5d9ef</t>
  </si>
  <si>
    <t>29/jan: informou que a TEX não está enviando os canhotos assinados para recorrerem ILAC.\n\nAbri o chamado de PCP Transprotation\nhttps://t.corp.amazon.com/V2091142062\n\n4/fev: solicitei as minutras que precisavam, porém sem retorno. Fechado como PSA</t>
  </si>
  <si>
    <t>66daffde-e4d0-4e16-b989-8fd8ab0c8016</t>
  </si>
  <si>
    <t>Seller com ASINs com oferta inativa devido preço competitivo.</t>
  </si>
  <si>
    <t xml:space="preserve">93900917902December </t>
  </si>
  <si>
    <t>647eddb6-1efe-4225-aaf5-0026086069c8</t>
  </si>
  <si>
    <t>V1867665434 - V1867932484</t>
  </si>
  <si>
    <t xml:space="preserve">625725137302July     </t>
  </si>
  <si>
    <t>6cfb449c-1fa2-4296-b877-cef5003eaa6a</t>
  </si>
  <si>
    <t>appeal negado de produto healthcare</t>
  </si>
  <si>
    <t xml:space="preserve">97596278102October  </t>
  </si>
  <si>
    <t>aa361343-6b6b-4e87-873d-27329d4758f0</t>
  </si>
  <si>
    <t>Seller solicitou a remoção da avaliação do pedido 701-5972433-6789819\n\nhttps://na.vici.pars.amazon.dev/mpa-escalations/submit#/caseDetails/1771524454126798</t>
  </si>
  <si>
    <t xml:space="preserve">827345792502February </t>
  </si>
  <si>
    <t>929be1a2-d1cb-4431-8cbb-be450ad5efc8</t>
  </si>
  <si>
    <t>Shpiment FBA18XG014K8 estava com ILAC travado, e foram reembolsados</t>
  </si>
  <si>
    <t xml:space="preserve">92771955402July     </t>
  </si>
  <si>
    <t>047aa15d-82af-477a-9904-fff572b19cbc</t>
  </si>
  <si>
    <t>76 pedidos pendentes.</t>
  </si>
  <si>
    <t xml:space="preserve">193343155102December </t>
  </si>
  <si>
    <t>89c07590-f26e-4d28-85b0-fe9f22cb5014</t>
  </si>
  <si>
    <t>Erro no inventario FBA.\nhttps://t.corp.amazon.com/V2042333313/communication</t>
  </si>
  <si>
    <t>5ab8ad88-673e-485f-b2e4-0cfe68135792</t>
  </si>
  <si>
    <t>Seller reclama dos impactos que teve em suas métricas e diz que foram ocasionadas porque 2 pedidos que foram feitos de teste no período que eles estavam entrando no programa. informei o time de Onsite para agilizar a insenção desse impacto.</t>
  </si>
  <si>
    <t xml:space="preserve">93900917902August   </t>
  </si>
  <si>
    <t>cf549c8b-bb6d-4423-89e2-0274b00f736b</t>
  </si>
  <si>
    <t>Seller reclama sobre as suas metricas em seller flex, mas já está rolando o scalation internamente, vou acompanhar o caso... V1915627244</t>
  </si>
  <si>
    <t>c2fb26ff-9413-4804-b987-9477576ed80a</t>
  </si>
  <si>
    <t>Seller sinalizou ajuste na marca de 33 asins, marca " True Source " \naberto um chamado para offshoring realizar a correção: https://na.winston.a2z.com/Seller-BR/task/11309</t>
  </si>
  <si>
    <t xml:space="preserve">610886576March    </t>
  </si>
  <si>
    <t>6a56f4c7-34bc-4281-8e59-678cd2621789</t>
  </si>
  <si>
    <t>Problema ao listar o ASIN: B0FKHPB1J7 - Erro 5886 (marca como genérica)\nAberto um ticket para New Stamping time de BMO: https://t.corp.amazon.com/V2133574428</t>
  </si>
  <si>
    <t>be757ba7-3816-42c4-9560-1bd852cf4241</t>
  </si>
  <si>
    <t>Seller tentou listar um asin, porem ao fazer a listagem ele foi para o estado da conta e não aparece em seu inventário. contém informações de qualidade de sono, o que fez com que o asin ficasse tombstoned. Abri um tt para catalogo retirar essas infos: https://t.corp.amazon.com/V2136416813</t>
  </si>
  <si>
    <t>63a77bc7-dda4-4add-93c3-0668727cb136</t>
  </si>
  <si>
    <t>ASIN em tombstoned: B0DKPDKPQG\naberto um chamado para catálogo para tentar tirar de tombstoned: https://t.corp.amazon.com/V2133590672</t>
  </si>
  <si>
    <t>87058ded-7e35-4de9-90a5-c269b5640b0c</t>
  </si>
  <si>
    <t>Os produtos entregue em FBA estão com o status de DEFECTIVE e precisei abrir um ticket pro FC GRU9 para entender melhor qual o defeito que o produto apresentou.</t>
  </si>
  <si>
    <t xml:space="preserve">117086860802August   </t>
  </si>
  <si>
    <t>c708e988-7b5f-42fb-a35e-3d0715e65fcf</t>
  </si>
  <si>
    <t>Produtos foram movidos pra recall, aguardando os documentos, chamado aberto para realizar o appeal. já realizamos as alterações necessárias, foi aberto um novo ticket para solicitar a reinstatement da offer.  solicitei alterações no descripiton do asin via wiston, aguardando efetivar pra iniciar um nova apeal - ID: 8276\n\nhttps://t.corp.amazon.com/V1902351853\n\nEstamos tentando via outro ticket - RISC-CET-43056</t>
  </si>
  <si>
    <t>6e400672-da44-4f27-b175-86f8d355b50d</t>
  </si>
  <si>
    <t>O Seller veio informar que o ASIN B09DZ26NRW está classificado como hazmat, mas investigando vi que o appeal que ele mandou foi com a documentação (planilha errada) então encaminhei o arquivo correto e pedi pra ele refazer o appeal. caso não consiga retornar conosco. \n\n</t>
  </si>
  <si>
    <t>7cf7ecd0-36f4-4bda-9dbe-c82910be49a0</t>
  </si>
  <si>
    <t>Seller informa que possui imagem de outro produto na oferta. Erro de mismatch</t>
  </si>
  <si>
    <t xml:space="preserve">508996769902November </t>
  </si>
  <si>
    <t>a107c9b7-106b-40e4-a523-986bb410f471</t>
  </si>
  <si>
    <t>Seller informa que fez o cadastro de alguns produto via seller central contudo não está aparcendo 41 ASINS</t>
  </si>
  <si>
    <t>ee0b5e42-7b5e-4dcf-87e2-bbb074e9e4ac</t>
  </si>
  <si>
    <t>Seller informa que cadastrou alguns ASINs contudo não está aparecendo no seller central</t>
  </si>
  <si>
    <t>50720dd3-3188-442b-9018-e09b2e9fd492</t>
  </si>
  <si>
    <t>Seller solicita auxilio para desbloqueio de um ASIN. Policy Compliance.</t>
  </si>
  <si>
    <t>0eaa7b17-3838-48c0-b247-851ca2a6ab2d</t>
  </si>
  <si>
    <t>Seller solicita correção no título e na descrição do ASIN B0CXQ62YCF</t>
  </si>
  <si>
    <t>9b525286-8eac-4f11-86f1-26180a674e48</t>
  </si>
  <si>
    <t>Seller solicita correção da foto, cor e nome do produto visto que se trata de um produto cinza e na oferta está vermelho</t>
  </si>
  <si>
    <t>cbd14a96-a509-42ad-9bea-7808aa54f8d9</t>
  </si>
  <si>
    <t>Seller entrou em contato solicitando suporte com o chamado: 18374307951 , pois há alguns ASINS inativo devido violação mesmo contendo certificado Anvisa.</t>
  </si>
  <si>
    <t xml:space="preserve">1078200608102October  </t>
  </si>
  <si>
    <t>2c502697-6efd-4d26-bdce-ee7f11f29a10</t>
  </si>
  <si>
    <t>Seller entrou em contato solicitando ajuda em questão de Garantia A a Z de 6 pedidos.\n\nEscalation feito: \nhttps://issues.amazon.com/issues/P319243593\nhttps://issues.amazon.com/issues/P319243795\nhttps://issues.amazon.com/issues/P319243987\nhttps://issues.amazon.com/issues/P319244121\nhttps://issues.amazon.com/issues/P319244245</t>
  </si>
  <si>
    <t>c792065d-6411-448c-88db-dc52c0a73554</t>
  </si>
  <si>
    <t>Seller entrou em contato solicitando apoio nas garantias A a Z abertas com a Amazon.</t>
  </si>
  <si>
    <t>d1df68b7-064b-4e25-b29a-6aaca0303e8f</t>
  </si>
  <si>
    <t>Seller mandou alguns pedidos para Garantia de A a Z porém ainda está em análise</t>
  </si>
  <si>
    <t>581b759a-5ef0-4dba-a427-d528a694dfa6</t>
  </si>
  <si>
    <t>Seller solicitou ajuda com Buybox em questão de performance.</t>
  </si>
  <si>
    <t>0a6ad5ef-4615-496a-a8a5-a1a0594757c1</t>
  </si>
  <si>
    <t>Seller solicitou contestação em Garantias de A a Z\n\nAguardando chamado: https://issues.amazon.com/issues/V1981339849</t>
  </si>
  <si>
    <t>d72f7436-d101-4ca0-a867-7bd697543dc8</t>
  </si>
  <si>
    <t>Seller solicitou ajuda com impactos de envios tardios.\n\nChamado aberto: https://issues.amazon.com/issues/OP-4386</t>
  </si>
  <si>
    <t>7200399e-205f-4763-859b-cb3cc63bcfd9</t>
  </si>
  <si>
    <t>Cancelamento pedidos do seller.</t>
  </si>
  <si>
    <t xml:space="preserve">355214089002February </t>
  </si>
  <si>
    <t>62b7d957-3e34-4fc1-b44b-2c3d60ef756d</t>
  </si>
  <si>
    <t>Item do seller está com a AMZL precisamos entender quando será devolvido. \n04/02: Issue recebido\n04/02: tt aberto para a transportadora https://t.corp.amazon.com/V2097979835/overview\n11/02: Novo tt aberto https://t.corp.amazon.com/V2105714847\n20/02: O tt foi fechado pela Ester, estou tentando contato com algum POC da AMZBR.</t>
  </si>
  <si>
    <t>479ee3bd-26aa-45ed-b5a7-891bcbb1327f</t>
  </si>
  <si>
    <t>Seller estava com problemas com pedido de liebração de vendas.\n03/02: Issue recebido.</t>
  </si>
  <si>
    <t>e3377a99-15e8-4e2a-8d19-075c8394dcbc</t>
  </si>
  <si>
    <t>Liberação de vendas.\n05/02: Issue recebido \n05/02: https://na.winston.a2z.com/Seller-BR/task/10449</t>
  </si>
  <si>
    <t>52f5b324-334e-443e-9028-72ae23c06a4c</t>
  </si>
  <si>
    <t>Item do seller parado com a Transportadora. \n13/02: Issue recebido \n13/02: tt aberto https://t.corp.amazon.com/V2107864178</t>
  </si>
  <si>
    <t>3d3abcee-00c0-4dfe-9639-4257f6e6a52f</t>
  </si>
  <si>
    <t>Loja do seller está correndo risco de de deixar o programa. \n10/02: Issue recebido</t>
  </si>
  <si>
    <t>04c1137a-0380-4810-8d5b-2d446345e007</t>
  </si>
  <si>
    <t>Autorização de marca.\n12/02: Issue recebido \n12/02: tt aberto https://na.winston.a2z.com/Seller-BR/task/10612</t>
  </si>
  <si>
    <t>9fc1831a-30de-4e6e-b09c-9e1bf2dea59c</t>
  </si>
  <si>
    <t>Seller informou que não foi coletado todos os pacotes. \n19/02: Issue recebido \n19/02: Falando com o time</t>
  </si>
  <si>
    <t>1b5be8c4-a74e-4d91-bf00-801c5fa6bcf2</t>
  </si>
  <si>
    <t>Seller está enfrentando problemas para dar premissão para os novos usuários na conta deles. estamos tentando resolver o problema. João ta tarckando.</t>
  </si>
  <si>
    <t xml:space="preserve">170004727002October  </t>
  </si>
  <si>
    <t>d0c8503c-bc77-4f06-a0dd-a378893d525a</t>
  </si>
  <si>
    <t>diversos pedidos garantia A a Z</t>
  </si>
  <si>
    <t xml:space="preserve">1078200608102December </t>
  </si>
  <si>
    <t>444d7af1-d3d6-4647-836f-5cadeda10789</t>
  </si>
  <si>
    <t>Seller queria saber onde ficava os relatórios com informações de inventário FBA</t>
  </si>
  <si>
    <t xml:space="preserve">170004727002November </t>
  </si>
  <si>
    <t>ce815805-6e1e-4c49-bb33-2ce67d0d953d</t>
  </si>
  <si>
    <t>02/02 - Seller entrou em contato pedindo ajuda para reestabelecer o ASIN: B0DFQL6Z8H - que está em Voldemort.\n02/02 - Solicitado imagem ao seller e após receber abri o chamado com o POA criado para ativar novamente o ASIN: https://t.corp.amazon.com/V2095655300</t>
  </si>
  <si>
    <t xml:space="preserve">408932491102February </t>
  </si>
  <si>
    <t>9b5c1a1b-d6b9-49cc-aa45-f2a6d9913931</t>
  </si>
  <si>
    <t>03/03 - Seller entrou em contato solicitando ajuda com o ASIN: B0DKFYJCXF - está em voldemort\n04/04 - Aberto o chamado e enviando o POA para reestabelecer o ASIN. TT: https://t.corp.amazon.com/V2097879428</t>
  </si>
  <si>
    <t>63cb8d2b-1f2b-4afb-8e98-b7cdf7d43689</t>
  </si>
  <si>
    <t>20/02 - Seller solicitou ajuda com o ASIN\n20/02 - Ao fazer a verificação vi que está em Voldemort\n20/02 - Aberto um chamado para offshoring: https://na.winston.a2z.com/Seller-BR/task/10781</t>
  </si>
  <si>
    <t>4621191e-1947-410a-afec-89a4682e07b6</t>
  </si>
  <si>
    <t>Seller está com problema de Product Policy Compliance, solicitei ao fc conferir as un e enviar fotos comprovando a data de vencimento</t>
  </si>
  <si>
    <t xml:space="preserve">816067318102November </t>
  </si>
  <si>
    <t>824f8188-28fb-42fa-b84d-e698929fabd0</t>
  </si>
  <si>
    <t>Asin possui estoque, mas permanece desabilitado. Abri chamado para product inventory fba: https://t.corp.amazon.com/V1989360199</t>
  </si>
  <si>
    <t>dd0eaec4-5e55-427f-ab07-28704d118d22</t>
  </si>
  <si>
    <t>aparece como não coletado, e para nos ele foi enviado, então com algum romaneio da coleta nos ajuda a identificar se os pedidos foram bipados todos.\n\nResposta: Referente ao romaneio você pode usar esse relatório: Menu &gt; Pedidos &gt; Relatório de pedidos &gt; EasyShip Orders (DBA)\n\nE pode usar o filtro de "Select shipment status": Waiting for pickup (Aguardando coleta) e coletado</t>
  </si>
  <si>
    <t xml:space="preserve">474741185002December </t>
  </si>
  <si>
    <t>dd588aa8-f73c-46ec-b662-a261f5a1eb48</t>
  </si>
  <si>
    <t>problemas na coleta</t>
  </si>
  <si>
    <t>2d77d5f7-8915-4dce-859d-ebeb2dea5988</t>
  </si>
  <si>
    <t>Estamoso preocupados com a coleta de hoje devido ao grande volume, conseguimos pedr um carro extra ou se a coleta de hoje pode vir com um carro dedicado?\n</t>
  </si>
  <si>
    <t>64992268-e7c4-4a52-a8f7-c2f1d810ea46</t>
  </si>
  <si>
    <t>Possibilidade de aumentar o tempo de preparo dos pedidos. \n15/01: Issue recebido\n15/01: tt aberto https://t.corp.amazon.com/V2073888295</t>
  </si>
  <si>
    <t xml:space="preserve">69746651January  </t>
  </si>
  <si>
    <t>2ad38911-86bf-4e81-b608-9cb52c464dae</t>
  </si>
  <si>
    <t>Seller com alguns ASINs bloqueados, problema de invoicer Erro 663</t>
  </si>
  <si>
    <t xml:space="preserve">971539676602January  </t>
  </si>
  <si>
    <t>d2c0f6d3-03ef-4238-954b-ba6c8272f349</t>
  </si>
  <si>
    <t>Seller está tentando enviar algumas units para FBA, porém apresenta erro de capacitade para o ASIN ou erro de dimensão.\n14/01 - Trouxe a Issue</t>
  </si>
  <si>
    <t>45e0411b-774e-4c9c-9f5b-563eb4211036</t>
  </si>
  <si>
    <t>ASIN B084BP3J48 em PSC Autenticidade do produto. Enviou as NF\'s e foram negadas.\n21/01 - Seller trouxe o problema, aberto SIF\nhttps://na.vici.pars.amazon.dev/mpa-escalations/#/caseDetails/1769001293574995?tab=1\n26/01 - Cobrei o time\n02/02 - ASIN reativado</t>
  </si>
  <si>
    <t>6a0b8085-7526-49be-ac2b-eaa7113541ae</t>
  </si>
  <si>
    <t>Seller reclama que o valor foi bloqueado para repasse, informa que no domingo tinha 400k para retirada e depois na segunda-feira não tinha mais esse valor disponível.\n20/01 - Trouxe o problema, argumentado que o valor está bloqueado por políticas de entrega, aguardando a entrega dos produtos.\nSeller não concordou, aberto tt com payments.\n21/01 - https://t.corp.amazon.com/P371975288\n26/01 - Pedidos bloqueados por política de entrega.</t>
  </si>
  <si>
    <t>1f8993b2-270b-449a-854b-4eae64b0338f</t>
  </si>
  <si>
    <t>Seller está com o ASIN B07PJFLKWG em PSC de autenticidade que está sendo negado por conta do CNPJ diferente do cadastrado no seller central. Compra feita pelo CNPJ matriz e o CNPJ no seller central é Filial\n30/01 - Seller trouxe a issue, aberto SIF e explicado.\nhttps://na.vici.pars.amazon.dev/mpa-escalations#/caseDetails/1769777943994978\n31/01 - Desbloqueado</t>
  </si>
  <si>
    <t>d37f2523-0d90-4005-be89-2be63f9b858c</t>
  </si>
  <si>
    <t>Produtos em recall</t>
  </si>
  <si>
    <t xml:space="preserve">46733383915January  </t>
  </si>
  <si>
    <t>3987aa2f-6782-4955-90cb-06e555da9151</t>
  </si>
  <si>
    <t>asins estavam em recall e foram removidos</t>
  </si>
  <si>
    <t>a393846c-42f7-4146-b4c7-acfdd6fbe697</t>
  </si>
  <si>
    <t>19/jan: Seller deseja contestar discrepâncias\nhttps://t.corp.amazon.com/V2078876279\n\nReembolso do envio FBA19192GMVN aprovado (20718985741)\n\nO outro está PSA</t>
  </si>
  <si>
    <t>f98b137a-8087-4a9f-9dd8-6b5d91fbd0a4</t>
  </si>
  <si>
    <t>29/jan: Vendedor questionou o ASIN reservado e verifiquei que o FNSku pertencia a Onsite.\n\nPedi para eles abrirem o chamado (19370897091) .\n\n3/fev: Realizei a abertura do chamado interno https://t.corp.amazon.com/V2096567508\n\nAqui teremos que tirar o "reservado" de todos FNSku pertencentes ao Onsite\n\n06/fev: Novo TT\nhttps://t.corp.amazon.com/beca987a-2a46-486c-8700-0c7cec8cd74f\n\n10/fev: escalei no Asana</t>
  </si>
  <si>
    <t>54b89e77-270e-48d4-b97f-7823e447e6d8</t>
  </si>
  <si>
    <t>Seller solicita reembolso de diversos removals que ele não recebeu - ticket aberto V1955959054</t>
  </si>
  <si>
    <t xml:space="preserve">627010921602October  </t>
  </si>
  <si>
    <t>acc50c6a-97b6-43f2-b13a-6c249b443b75</t>
  </si>
  <si>
    <t>Seller informa que esta com problemas de removal, mas o chamado de SPS ainda está sob análise -18619033861 orientei que continuasse o atendimento por lá</t>
  </si>
  <si>
    <t>070ec966-e8a4-44fc-b367-816d7452018d</t>
  </si>
  <si>
    <t>Seller informa que está com problemas para imprimir as etiquetas do order id, abriu chamado mas ainda sem resposta. solicitei pra ele qual é a integradora que ele usa pra poder abrir o ticket</t>
  </si>
  <si>
    <t>f147c63b-d33c-47b9-9a54-56808f7a5b10</t>
  </si>
  <si>
    <t>Seller desconfiava que os itens eviados pra FBA não foram devidamente inboudados, informei que foram sim</t>
  </si>
  <si>
    <t>e0aac0f1-36e2-4729-a8cc-c55f918fca76</t>
  </si>
  <si>
    <t>Seller reclama sobre alguns itens que não foram entregues na remoções e solicitou reembolso.</t>
  </si>
  <si>
    <t>86d28373-0b39-4963-bdc8-39a72e42bd9f</t>
  </si>
  <si>
    <t>Seller informa que está sem o conteúdo A+ Premium, e ao falar com o time verificamos que o serviço caiu para todos o seller, time de brand está atuando na resolução.</t>
  </si>
  <si>
    <t>7122c6c8-9839-4643-89c1-b7602b336428</t>
  </si>
  <si>
    <t>Seller solicita aumento a sua capacidade de estoque em FBA. ticket aberto: https://t.corp.amazon.com/V1982317771</t>
  </si>
  <si>
    <t>9e6e8e27-f028-4dc9-ad11-33a07dbd32ab</t>
  </si>
  <si>
    <t>Invoicer de serviço Amazon não aparecem ao seller do periode de Dez\'24 a Set\'25. email enviado para o time de Invoicer/SX para resolução.-- https://issues.amazon.com/issues/V1881105369</t>
  </si>
  <si>
    <t xml:space="preserve">24674493302November </t>
  </si>
  <si>
    <t>493fc202-62ad-474a-ba4e-c281ec1879f4</t>
  </si>
  <si>
    <t>Seller informa que o campo de TAX Library não está dando a opção de baixar as NF.</t>
  </si>
  <si>
    <t>1352b105-37c6-4b15-b8e0-5d72a6c2cfd7</t>
  </si>
  <si>
    <t>child asin não está vinculado ao parent asin\nhttps://na.winston.a2z.com/Seller-BR/task/7837</t>
  </si>
  <si>
    <t xml:space="preserve">97596278102August   </t>
  </si>
  <si>
    <t>bb8479ea-5b58-415f-9eec-e1f820118ac8</t>
  </si>
  <si>
    <t>Atualizar bullet point\nB0DFQL5GHL \nB09JZNX84H\nB09LDDYBCW</t>
  </si>
  <si>
    <t>c8b71b0c-1c9e-4fb8-8eff-3cbe7924a997</t>
  </si>
  <si>
    <t>Atualizar títulos\nB0DFQL5GHL, B09JZNX84H  e B09LDDYBCW</t>
  </si>
  <si>
    <t>97cf1000-86e8-4d6f-9cc3-29fae069f88b</t>
  </si>
  <si>
    <t>Seller questiona porque o asin B0F9ZK7375 foi bloqueado</t>
  </si>
  <si>
    <t>d35f36c5-47cb-4630-8e0a-41206dfd690f</t>
  </si>
  <si>
    <t>18281352221 - pedi um bin check pro time do fc para verificar se as validades estavam dentro dos padrões</t>
  </si>
  <si>
    <t>90c59432-98d8-461a-83e1-080698657af8</t>
  </si>
  <si>
    <t>Atualizar nome das variações\n\nB0DCDJPZFK - B0DCCLCLQK</t>
  </si>
  <si>
    <t>87cee84a-b9f3-4d5e-b217-b1e01786699d</t>
  </si>
  <si>
    <t>Atualizar descrição\nB0DFQMNBHY\nB0DFQM2GJZ\nB0DFQVZ86Q\n\n</t>
  </si>
  <si>
    <t>1f2fb7ee-54ab-47b7-98bc-a27b8774aaad</t>
  </si>
  <si>
    <t>Seller gostaria de realizar mudanças para ativação dos asins B09JZNX84H e B09LDDYBCW. Mostrei o caminho certo, porque não seria possível solicitar reativação</t>
  </si>
  <si>
    <t>4a032f30-950d-4aaa-bc7d-5ae60abcbb2b</t>
  </si>
  <si>
    <t>atualização de título\nB0B8T9QWJX</t>
  </si>
  <si>
    <t>ea318e9d-066f-440d-be0e-a51989ec6fed</t>
  </si>
  <si>
    <t>Seller questiona porque o ASIN B0F9ZT5C81 foi desativado</t>
  </si>
  <si>
    <t>d0102eb6-ec84-44c5-98ca-4203f2eec63f</t>
  </si>
  <si>
    <t>Correção das crições dos ASINS: B0DFQM2GJZ, B0DFQMNBHY, B0B8THYY3R, B09VVVKHW5, B09RCL69MC</t>
  </si>
  <si>
    <t>07f9df2a-3b35-4115-8233-03c70f3f1054</t>
  </si>
  <si>
    <t>Corrigir os títulos das variações: Trocar Medio para 900g - Foi corrigido\n\nB07RFM1Q6P\nB09VVJGY38\nB09VVT4D96\nB09VVD8RDL\nB09VVB6WCF\nB09VVFS82G\nB09VVNYWBY\nB09VVQQP56\nB09VVVKHW5\nB09VVLR22K\nB09VV7RZ93\nB09XN9NZG1\nB09XN9VTWJ\nB09XN8H1B7\nB09XNB6YK8\nB09XN9HS7K\nB09XN96TZB\nB09XN91GFV\nB09XN7ZRDQ\nB09XN8QNWP\nB09LDCTY9R\n</t>
  </si>
  <si>
    <t>4be7a4ff-6737-40c5-8e07-e57ed12134ff</t>
  </si>
  <si>
    <t>Trocar Contagem de unidades: 1\nB0BWPKQ19Y - Contagem de unidades: 1 - 3P\n\nB09RCWYKDB - Contagem de unidades: 1 - 3P\n\nB09RCTT23X - Contagem de unidades: 1 - 3P\n\nB09VVJGY38 - Contagem de unidades: 1 - 3P\n\nB09VVT4D96 - Contagem de unidades: 1 - 3P\n\nB09VVD8RDL - Contagem de unidades: 1 - 3P\n\nB09VVLR22K - Contagem de unidades: 1 - 3P\n\nB09VV7RZ93 - Contagem de unidades: 1 - 3P\n\nB0DFQPH8FW - Contagem de unidades: 1 - Peso do Produto: 1000 gramas 3P\n\nB0DFQN5MT4 - Contagem de unidades: 1 - Peso do Produto: 1000 gramas 3P\n\nB0DFQMT6PL - Contagem de unidades: 1 - Peso do Produto: 1000 gramas 3P\n\nB0DFQL5GHL - Contagem de unidades: 1 - Peso do Produto: 1000 gramas 3P</t>
  </si>
  <si>
    <t>cc679fa1-7d91-4475-aaa8-7e344cc4cf27</t>
  </si>
  <si>
    <t>Correção de atributo Fabricante dos ASINS \nB0BWPFLFZ7\nB0BWPQF9HS\nB0BWPKQ19Y\nB0BWPWJNB6</t>
  </si>
  <si>
    <t>f2d9e202-52bc-40cc-90a9-6af46391b56c</t>
  </si>
  <si>
    <t>atualizar descrições B0CDJKBMW3 e B0CDJHGZJX</t>
  </si>
  <si>
    <t>a9de85cf-e2eb-4534-8bfc-d7f0deb97213</t>
  </si>
  <si>
    <t>reativação ASIN B07RFM1Q6P</t>
  </si>
  <si>
    <t>42bd7bb8-8dc3-48d2-8f89-cc803ae186d6</t>
  </si>
  <si>
    <t>Ativação do ASIN B0F9ZT5C81 - estou fazendo o acompanhamento e cobrei o responsável do caso para ser resolvido com urgencia - seller solicitou remoção</t>
  </si>
  <si>
    <t>a6baf99c-b582-44b5-bcf0-3c09e95abe89</t>
  </si>
  <si>
    <t>gostaria de solicitar remoção de comentários, mostrei o caminho para solicitar a remoção</t>
  </si>
  <si>
    <t>4b9186b1-caa9-4fe0-8fff-94d00c654c90</t>
  </si>
  <si>
    <t>seller queria saber o motivo exato que o asin B07RFM1Q6P foi desativado, informei que está sendo classificado como medicamento mas nao tenho a informação completa e mostrei o caminho para correção</t>
  </si>
  <si>
    <t>af44a0a4-206e-40fc-9c4e-10b61a142aff</t>
  </si>
  <si>
    <t>Seller  contesta a garantia de A a Z , mas o chamado ainda está em aberto, vou acompanhar o caso 18256424321 - garantia foi concedida</t>
  </si>
  <si>
    <t xml:space="preserve">60238888002August   </t>
  </si>
  <si>
    <t>4e00920c-7abd-49a2-85db-77c43862672b</t>
  </si>
  <si>
    <t>referente ao relatorio de vizualização de tarifas. Precisamos exatamente desse relatorio com um filtro de data maior, ja que no painel aparece semanal.</t>
  </si>
  <si>
    <t xml:space="preserve">247227556102November </t>
  </si>
  <si>
    <t>4f5a6bb8-8470-4921-ac31-7bf3bf85f369</t>
  </si>
  <si>
    <t>Removals.</t>
  </si>
  <si>
    <t>df7be66a-19a7-4a27-bb18-6583478ed87b</t>
  </si>
  <si>
    <t>No painel mostra um valor de 20 e no repasse foi cobrado 60, somente um exemplo pois temos varias cobranças diferentes.</t>
  </si>
  <si>
    <t>8d8e0c33-4ff3-4434-bf3d-108eab80eb85</t>
  </si>
  <si>
    <t>Solicita alteração do nome do produto, informado o link de serviços premium</t>
  </si>
  <si>
    <t xml:space="preserve">153775969402October  </t>
  </si>
  <si>
    <t>0ec57b9a-b617-4f0a-a7ee-c3dea765b0a5</t>
  </si>
  <si>
    <t>Seller informa que o EAN de um ASIN está em outro ASIN (erro de mismatch)</t>
  </si>
  <si>
    <t>67e92c0c-b7fc-4d6e-95fb-ab08c8cee4e8</t>
  </si>
  <si>
    <t>Seller solicita auxilio para reembolso para o consumidor de pedidos FBA</t>
  </si>
  <si>
    <t>eed6366f-001a-4193-a99e-1a580a2fc76a</t>
  </si>
  <si>
    <t>Erro 8572:\n\no EAN está registrado para a empresa PC PARTNER TECHNOLOGY PTE. LIMITED. Neste caso, como a Amazon puxa os dados diretamente do GS1 portal, há algumas opções que podemos fazer:\n\n1 - A marca ZOTAC atualiza estes dados direto no GS1 e, quando refletir lá, o erro 8572 não aparecerá no Seller Central;\n2 - Rodar o troubleshooting via CSI para tentar corrigir o problema;\n3 - O seller cadastrar o produto com o brand PC PARTNER e abrirmos um chamado para o time de catálogo atualizar a marca.\n\n\nPara as opções 2 e 3, é necessário que o Seller tenha alguma prova que o produto pertence à marca Zotac. Aí creio que valha a pena tirar fotos da caixa do produto, com todos os ângulos, e uma nota fiscal válida.</t>
  </si>
  <si>
    <t xml:space="preserve">11103651302January  </t>
  </si>
  <si>
    <t>984aa35d-a23e-4fa6-bac9-cf45f7d29629</t>
  </si>
  <si>
    <t>Modelo da CPU está errado, devido a urgência (modelo é I3 e no cadastro está I5) solicitei a correção com risco de CX</t>
  </si>
  <si>
    <t>9fd87a56-e770-4253-bcc9-e64a8b3dd68b</t>
  </si>
  <si>
    <t>26/jan: Entrou em contato porque as units estavam em reservado, ao analisar no FC Research vi que estavam em PREP e informei ao vendedor</t>
  </si>
  <si>
    <t>1928c610-962d-4074-938c-21fc699f66b9</t>
  </si>
  <si>
    <t>23/jan: Problemas para listar o produto devido a correspondencia do nome\nhttps://taskei.amazon.dev/tasks/V2083854298\n\n28/jan: Comuniquei ao vendedor que aguardo o time resolver. Foi listado, mas deu match com informações gringas.</t>
  </si>
  <si>
    <t>7b0b056d-eae3-4437-90dc-413292e78bc9</t>
  </si>
  <si>
    <t>23/01: questionou porque os itens estavam em "Reservado". Ao analisar no FC Research vi que estavam em PREP e comuniquei ao vendedor.</t>
  </si>
  <si>
    <t>a3e6f4c9-1310-41e3-9a54-1936a4130c78</t>
  </si>
  <si>
    <t>Seller solicitou isenção dos pedidos de LSR. \n\nhttps://t.corp.amazon.com/V2127170427</t>
  </si>
  <si>
    <t xml:space="preserve">128837707402March    </t>
  </si>
  <si>
    <t>98599ddf-d131-4638-bb5d-2997852aa929</t>
  </si>
  <si>
    <t>Produto avariado pelo transporte e o reembolso foi negado indevidamente. \n702-6498438-6682643\n20/02: tt aberto https://t.corp.amazon.com/V2115318356</t>
  </si>
  <si>
    <t xml:space="preserve">183456830502December </t>
  </si>
  <si>
    <t>a11fbdcd-2c8c-423a-aa26-c9a1a436722d</t>
  </si>
  <si>
    <t>Pode nos ajudar com a garantia:702-6132390-7473034 não houve nenhum tipo de falha operaçional, encaminhamos todas as evidencias, recorremos através da garantia e mesmo assim o valor foi estornado ao cliente, está nitido que se trata de uma fraude por parte do cliente que dificultou todo o processo e até mesmo a acareação.   https://issues.amazon.com/issues/V2066799375</t>
  </si>
  <si>
    <t>86de2fc2-162f-44f2-bd19-c5f794f10907</t>
  </si>
  <si>
    <t>Vocês seguiram com o estorno do valor e a cliente não permitiu a coleta do produto.  701-7565857-9077064\n20/02: tt aberto https://t.corp.amazon.com/V2115350784</t>
  </si>
  <si>
    <t>dee08b1c-759b-4325-aea7-3aaa1f6fad73</t>
  </si>
  <si>
    <t>Cobrança Indevida.</t>
  </si>
  <si>
    <t>d08493b7-9664-42f6-8fb5-2ed00a1ce5bf</t>
  </si>
  <si>
    <t>Cliente abriu garantia por avaria no produto e o valor foi estornado indevidamente, visto que estava fora do prazo de troca. 702-0035893-4119412</t>
  </si>
  <si>
    <t>f3ea9f75-115e-4cb2-a69d-693308d1f9c6</t>
  </si>
  <si>
    <t>Seller deseja ser reembolsado por um item que retornou do cliente bloqueado com senha. 701-7674710-0754607</t>
  </si>
  <si>
    <t>165fc649-b8f4-451f-90f8-51f0a4b4c09f</t>
  </si>
  <si>
    <t>30/01 - Problema ao criar envio, diz ter atingido a capacidade, mas tem espaço\n30/01 - Em conversa com @jueeno ela liberou espaço ao seller.</t>
  </si>
  <si>
    <t xml:space="preserve">191336978502February </t>
  </si>
  <si>
    <t>28d67894-060f-4953-bb98-d19a3aa2a6f3</t>
  </si>
  <si>
    <t>Problemas para inboundar itens, mesmo estando nas dimensões corretas e não possui restrições na categoria</t>
  </si>
  <si>
    <t xml:space="preserve">92771955402October  </t>
  </si>
  <si>
    <t>52fa53ac-2efc-4a0e-be98-ac1ca35e3cd3</t>
  </si>
  <si>
    <t>Está com problema para gerar o envio desses ASINS\n</t>
  </si>
  <si>
    <t>edfff466-92f8-4ee6-9d5b-6b5706bb7467</t>
  </si>
  <si>
    <t>Seller reclama que em um pedido enviaram 5 unidades ao inves de uma, e um envio deu shortage</t>
  </si>
  <si>
    <t>9150cb1c-1462-487d-9a94-45440dc57934</t>
  </si>
  <si>
    <t>MFI</t>
  </si>
  <si>
    <t>3cf3e90b-102d-4d0c-9de4-688e6a4c0de1</t>
  </si>
  <si>
    <t>atraso no pagamento</t>
  </si>
  <si>
    <t>f1fe139a-c84c-4007-a56c-d6c04736621b</t>
  </si>
  <si>
    <t>Unidades não estão disponíveis para venda</t>
  </si>
  <si>
    <t>046f3d07-0e66-4bbc-9683-5b74a7b918a2</t>
  </si>
  <si>
    <t>Repasse atrasou</t>
  </si>
  <si>
    <t>e2ab1547-ab50-43b7-b3fe-8ed8a770b981</t>
  </si>
  <si>
    <t>03/maço: erro caiu pela instabilidade do SEFAZ</t>
  </si>
  <si>
    <t xml:space="preserve">127737463602March    </t>
  </si>
  <si>
    <t>3d6b258f-08d5-4606-8410-5a6bfc03f927</t>
  </si>
  <si>
    <t>05/março: coleta não passou e afetou as métricas dele\n\n06/março: creii o TT\nhttps://t.corp.amazon.com/V2130530157</t>
  </si>
  <si>
    <t>2bc3e446-777e-4a26-93fa-80ba5198c592</t>
  </si>
  <si>
    <t>05//março: coleta não passou e foram impactados na métrica.\n\n06/março: solicitei a isenção:\nhttps://t.corp.amazon.com/V2130532041</t>
  </si>
  <si>
    <t>e08d3202-47cd-4bd6-a7ce-52ddbe49403b</t>
  </si>
  <si>
    <t>05/março: Restrição no ASIN para criar inbound\nhttps://t.corp.amazon.com/V2129343854</t>
  </si>
  <si>
    <t xml:space="preserve">671124237502March    </t>
  </si>
  <si>
    <t>97f0c326-7974-4740-bc77-a6d5aae635d8</t>
  </si>
  <si>
    <t>Seller esta com o produtos FBM sem refletir no vi que ele ta setando no modo férias, orientei como desativar</t>
  </si>
  <si>
    <t xml:space="preserve">430279805602February </t>
  </si>
  <si>
    <t>ff68d704-a473-41fa-ad79-43831c18be80</t>
  </si>
  <si>
    <t>Seller solicita isenção de métricas</t>
  </si>
  <si>
    <t xml:space="preserve">72695582302December </t>
  </si>
  <si>
    <t>2ca67cf0-2523-4113-84a7-f313c8537dda</t>
  </si>
  <si>
    <t>Seller sem coleta desde o dia 18/02.\n24/02 - Trouxe o problema.\nVerificado com o @vholanda, terá a coleta hoje. Alinhado com a transportadora. Acompanhando.\n26/02 - Resolvido.</t>
  </si>
  <si>
    <t xml:space="preserve">128664783802February </t>
  </si>
  <si>
    <t>4f075081-3f75-448e-b375-09b8ba06dcfe</t>
  </si>
  <si>
    <t>Isenção de métricas, transportadora não estava passando para realizar a coleta.\n26/02 - Aberto TT\nhttps://t.corp.amazon.com/V2121934446\n11/03 - Isento</t>
  </si>
  <si>
    <t>ae83bdbf-b0ca-4925-af73-68e53aba4c1c</t>
  </si>
  <si>
    <t>Seller com problema de sincronização com o ERP</t>
  </si>
  <si>
    <t xml:space="preserve">153775969402December </t>
  </si>
  <si>
    <t>59fc6094-42fa-423e-8f73-6a69e0942dc3</t>
  </si>
  <si>
    <t>Seller solicita correção de foto</t>
  </si>
  <si>
    <t>12ebb3db-4edc-4f8f-b934-8bddb5af44d4</t>
  </si>
  <si>
    <t>Seller com oferta inativa (Not Discoverable)</t>
  </si>
  <si>
    <t>931ce995-a79d-406f-b9a3-c4bd2899d864</t>
  </si>
  <si>
    <t>Seller informa que erro de imagem está retornando. Aberto task para correção, dessa vez catálogo conseguiu identificar o que ocorreu.</t>
  </si>
  <si>
    <t>a9be2c61-409f-49d9-b11d-1a13309c7ece</t>
  </si>
  <si>
    <t>Seller solicitou uma criação de uma nova variação.\nhttps://na.winston.a2z.com/Seller-BR/task/10163\n\n05/02 : novo ticket: https://na.winston.a2z.com/Seller-BR/task/10430</t>
  </si>
  <si>
    <t xml:space="preserve">481703768002January  </t>
  </si>
  <si>
    <t>4529222f-ac01-4db6-b5a7-86f60e5f26d3</t>
  </si>
  <si>
    <t>Seller entrou em contato reportando problema ao criar conta para novos colaboradores. É solicitado uma confirmação e cai em um looping.\n\nVini escalou o caso via e-mail.</t>
  </si>
  <si>
    <t xml:space="preserve">7763660815February </t>
  </si>
  <si>
    <t>513fcfe1-f93a-46a8-93ba-390f72003354</t>
  </si>
  <si>
    <t>2 ASIN sem aparecer o botão de compra / faltam informações cadastrais do produto.</t>
  </si>
  <si>
    <t xml:space="preserve">642643854302November </t>
  </si>
  <si>
    <t>051c1a55-b6cd-46c3-8adb-0260dd458d24</t>
  </si>
  <si>
    <t>Item em tombstoned!</t>
  </si>
  <si>
    <t xml:space="preserve">666400200602January  </t>
  </si>
  <si>
    <t>2ef1fb59-c88b-41d7-92ba-1e1c965093de</t>
  </si>
  <si>
    <t>oferta hibrida</t>
  </si>
  <si>
    <t xml:space="preserve">361885515402November </t>
  </si>
  <si>
    <t>9be9209c-6cca-4ab2-8089-b2121463f2cc</t>
  </si>
  <si>
    <t>Problema para liberar as eitquetas SF - cap hit AMZL</t>
  </si>
  <si>
    <t>7b18d82a-129f-420e-9f14-8f331cfff4db</t>
  </si>
  <si>
    <t>Data de lançamento: 21/10/2025 - amazon retail ganhando rank</t>
  </si>
  <si>
    <t>d217a816-7fb6-4904-9f75-892f31ac11fa</t>
  </si>
  <si>
    <t>Solicitação de Remoção de Avaliação Negativa. https://na.vici.pars.amazon.dev/mpa-escalations/submit#/caseDetails/1769532424929344</t>
  </si>
  <si>
    <t xml:space="preserve">475342556402January  </t>
  </si>
  <si>
    <t>840ab3bf-5ecb-4fee-9a96-97cc0bd8c9af</t>
  </si>
  <si>
    <t>Seller está com problemas no processamento do pedido, ele está alterando sozinho de 5 pra 0 dias no sistema. há um ticket de investigação aberta estamos acompanhando. V1921271321- V1927294985</t>
  </si>
  <si>
    <t>133844711902September</t>
  </si>
  <si>
    <t>1644b9b6-a00a-4247-a8a7-faae5607ec92</t>
  </si>
  <si>
    <t>Asin em risco de desativação. \n24/02: SIF aberto https://na.vici.pars.amazon.dev/mpa-escalations/index.html#/caseDetails/1772041726810565</t>
  </si>
  <si>
    <t xml:space="preserve">316851710302February </t>
  </si>
  <si>
    <t>7e9bf90e-2f0b-47f8-8462-aabcdb439411</t>
  </si>
  <si>
    <t>Motorista não está conseguindo bipar as etiquetas. \n23/02: Issue recebido\n25/02: time de transportes estão realizando a análise.</t>
  </si>
  <si>
    <t>d513ddc6-ce8c-401c-a4e0-bfe2348b7176</t>
  </si>
  <si>
    <t>Apareceu um erro ao tentar registrar a caixa master de um item, pode me ajudar?\n\nFoi na criação do M-12696\n\n Resposta: Oversized</t>
  </si>
  <si>
    <t xml:space="preserve">25248213105November </t>
  </si>
  <si>
    <t>d7515190-a197-428d-97ad-ecda230906f6</t>
  </si>
  <si>
    <t>Problema ao gerar nota fiscal, pedi para abrir chamado no seller central - aguardar resposta no caso 18819319841</t>
  </si>
  <si>
    <t>0e9603ca-7b73-44ea-ad3b-567bcd2c0948</t>
  </si>
  <si>
    <t>FBA19352F2K9\nFBA1935108BS\n demora para inboundar</t>
  </si>
  <si>
    <t>250035b5-74fc-434b-a7b5-84d793e01cb3</t>
  </si>
  <si>
    <t>Unidades sellable mas sem oferta ativa.</t>
  </si>
  <si>
    <t>6ff29299-76be-4bb2-b2da-99b0fa1c11cf</t>
  </si>
  <si>
    <t>Estamos com uma oferta inativa, e está como \'\'ativo\'\' ainda, consegue verificar? ASIN B0BQX6NNVC, SKU nosso 11580_FBA, está falando que o inventário está em analise, mas não vamos remover o item do full</t>
  </si>
  <si>
    <t xml:space="preserve">508996769902January  </t>
  </si>
  <si>
    <t>f1e00830-d12a-454d-92f9-d97723590c65</t>
  </si>
  <si>
    <t>15/jan: Tentou cadastrar mas deu o erro de "SKU Duplicado", pedi para preencher a planilha e realizarmos o cadastro com time de Listing\n\n16/jan: Enviou a planilha e criei o TT\nhttps://taskei.amazon.dev/tasks/V2075271430\n\n19/jan: Ticket em execução\n\n20/jan: Tarefa concluida, ASIN listado</t>
  </si>
  <si>
    <t>f0f01b0a-ec12-4622-b93c-dba904e3a9ed</t>
  </si>
  <si>
    <t>16/jan: Seller pediu apoio no DOC, não faço ideia qual seja e entrei em contato com o anqaguer@\n\n19/jan: Abri o chamado para o time de gating\n\n22/jan: Informei sobre a FISPQ</t>
  </si>
  <si>
    <t>25b7e75e-97d7-4704-8d56-a108785d432f</t>
  </si>
  <si>
    <t>21/jan: Seller informou que tentou realizar as alterações de imagens mas sem sucesso. Como as imagens estavam MUITO erradas, solicitei direto pro time de catalogo\n\nhttps://t.corp.amazon.com/P371859547</t>
  </si>
  <si>
    <t>ff26cd3a-0f60-4085-8f44-a5653ba1ed63</t>
  </si>
  <si>
    <t>22/jan: MC trouxe o problema que o seller teve problema de pricing error em FBA, tentamos seguir com o cancelamento de 2200 pedidos mais ou menos, porém só foi aceito o cancelamento dos que tinham 70% acima dos descontos.\n\n23/jan: Task force e cancelamos de 10 em 10 no QUIP estão os TT\nhttps://quip-amazon.com/yXYUAisZrgxs#temp:C:WIN2b0c8e17a8394310a7ab6f2a5</t>
  </si>
  <si>
    <t>664b822c-cbb2-4ae4-8044-57daf657282c</t>
  </si>
  <si>
    <t>Seller está tentando cadastrar uma nova marca, porém aparece erro na fase inicial</t>
  </si>
  <si>
    <t xml:space="preserve">358205651902December </t>
  </si>
  <si>
    <t>5df70f33-358a-47ab-a251-bb87c097a266</t>
  </si>
  <si>
    <t>Foi realizada verificação na conta do vendedor após o recebimento de asins inativos via e-mail, o asin necessita apenas do certificado GFSI para se tornar ativo novamente, contém unidades no FC paradas.</t>
  </si>
  <si>
    <t xml:space="preserve">619747148002March    </t>
  </si>
  <si>
    <t>8a8da57a-e920-411d-b4f4-2c4ac6e95a33</t>
  </si>
  <si>
    <t>03/março: quis chegar se no chamado 19443479871 precisava de ação da parte dele pelo Not PO</t>
  </si>
  <si>
    <t xml:space="preserve">1069577391202March    </t>
  </si>
  <si>
    <t>b003a65f-42ef-40ac-a2c9-79eb0f574bf9</t>
  </si>
  <si>
    <t>03/março: tiveram ofertas por NF recusada.\nhttps://t.corp.amazon.com/V2127027742\n</t>
  </si>
  <si>
    <t>ca442ce1-b767-4796-a969-eb0649e49d04</t>
  </si>
  <si>
    <t>12/março: Informou que não reconhece quem recebeu os pacotes da remoção 260115U9A\n\nhttps://t.corp.amazon.com/V2080988855/communication\n</t>
  </si>
  <si>
    <t>3e806e5a-5335-4f43-8a8d-25c8fac9b490</t>
  </si>
  <si>
    <t>09/março informou que os titulos estavam errrados, solicitei a correção\nhttps://na.winston.a2z.com/Seller-BR/task/11466</t>
  </si>
  <si>
    <t>63d2fc47-d69c-4533-a740-0759ddac3c57</t>
  </si>
  <si>
    <t>não coube todos os ASINs em uma atividade\n\nTratativa com o @mmalves</t>
  </si>
  <si>
    <t>3ad88d05-0efe-4dae-9169-3244cfe9eebf</t>
  </si>
  <si>
    <t>10/março: solicitou a correção de 29 títulos dos ASINs\nhttps://na.winston.a2z.com/Seller-BR/task/11496</t>
  </si>
  <si>
    <t>a8ff1703-bbe2-4759-a99c-0a0f7c1af9aa</t>
  </si>
  <si>
    <t>Produtos Hazmat</t>
  </si>
  <si>
    <t xml:space="preserve">16116314302October  </t>
  </si>
  <si>
    <t>e159cf91-dc03-457d-bcb4-76bc80bd5ca1</t>
  </si>
  <si>
    <t>Seller quer saber qual o número do pedido que foi cancelado para contestação</t>
  </si>
  <si>
    <t>0d6ab325-aa5d-4a42-b922-2963d8297dc1</t>
  </si>
  <si>
    <t>Problema ao adicionar estoque no Onsite</t>
  </si>
  <si>
    <t>38041394-246b-49be-861e-f3cc63db8eec</t>
  </si>
  <si>
    <t>não conseguiu adicionar estoque nos asins - ao checar ele não converteu os produtos para FBA</t>
  </si>
  <si>
    <t>2a67e088-4e21-4302-a3d2-15a8392c280a</t>
  </si>
  <si>
    <t>Liberação de medium hazmat</t>
  </si>
  <si>
    <t>ebbac8f9-59da-40a8-9bd8-935a760adc56</t>
  </si>
  <si>
    <t>ASIN reservado</t>
  </si>
  <si>
    <t>e87124a3-1da1-49e6-8962-bae4e8cdbca2</t>
  </si>
  <si>
    <t>estoque ainda constava como reservado, falei para aguardar 24h e atualizar o estoque devido a liberação de hazmat ter sido recente</t>
  </si>
  <si>
    <t>e0e9d1bd-ed33-4006-8b53-00bcff2664ca</t>
  </si>
  <si>
    <t>Selelr tomou processo de um cliente</t>
  </si>
  <si>
    <t>Legal Issues</t>
  </si>
  <si>
    <t>ebc5b344-65cc-43b1-a7bb-aaa4d84995c7</t>
  </si>
  <si>
    <t>Seller não recebeu a coleta, devido isso impactou suas métricas de envios\n\n05/03 - seller não recebeu coleta e devido isso teve impacto em suas métricas \n05/03 - aberto o ticket para revisão das métricas\nhttps://t.corp.amazon.com/V2129521485</t>
  </si>
  <si>
    <t xml:space="preserve">434163431202March    </t>
  </si>
  <si>
    <t>cd39c6ab-daae-4eca-b89c-0faf198c58dd</t>
  </si>
  <si>
    <t>Recebemos uma devolução em nossa loja de um aprelho que nós não vendemos, trata-se de um Notbook Lenovo. O mesmo se encontra lacrado, o problema é que não veio NF e na etiqueta de transporte veio somente o nome do cliente e endereço, procuramos em nosso sistema e encontramos 2 pedidos desse cliente os dois são de placas de video, o que não tem nada a ver com a devolução.  A duvida é como proceder nesse caso ?</t>
  </si>
  <si>
    <t xml:space="preserve">10369153302January  </t>
  </si>
  <si>
    <t>0f6d794d-ed1b-4d48-b4ee-f4cb229ea8bd</t>
  </si>
  <si>
    <t>Produto de FBA vendendo como Logística Própria</t>
  </si>
  <si>
    <t>60d75f48-15bf-4f9e-b67c-c688a892a63d</t>
  </si>
  <si>
    <t>Seller tomou strike</t>
  </si>
  <si>
    <t>7f65ddb2-ced5-451e-94be-7f2a4da50fff</t>
  </si>
  <si>
    <t>UITC5</t>
  </si>
  <si>
    <t>326d578d-bc45-4f9e-a1c3-4b1740689e48</t>
  </si>
  <si>
    <t>12/jan: Enviei os números dos chamados para o seller realizar a reativação dos ASINs\n\n14/jan: Comuniquei o AM e encerrei a tarefa</t>
  </si>
  <si>
    <t>03e59ec8-4716-402f-83e4-aa0b2d3af08d</t>
  </si>
  <si>
    <t>13/jan: Abriu o chamado falando que todas ofertas não estavam disponíveis, informei para ele checar a caixa de email, entender qual métrica foi afetada para auxiliar no POA\n\n14/jan: Cobrei o seller se conseguiu acessar a informação\n\n14/jan: Comuniquei o AM e encerrando como PSA</t>
  </si>
  <si>
    <t>783f86fa-6ad8-47d3-8068-be68df3c9c23</t>
  </si>
  <si>
    <t>20/jan: AM entrou em contato informando que a conta caiu, e sem motivos aparente\nhttps://t.corp.amazon.com/V2079809469\n\nTambém notei que a IE dele alterou resultando em NFs recusadas,  como não teve comunicação a conta foi inativada por essa questão\n\nSeller alterou a IE, rodou o backfill e atualemte a conta está ativa.</t>
  </si>
  <si>
    <t>b239c5c6-7f38-488c-8f0f-3d9cae1c9ea2</t>
  </si>
  <si>
    <t>20/jan: Entrou em contato sobre ASIN FBA vendendo como MFN. Enviei o SOP\n\n21/jan: chequei e foi corrigido corretamente</t>
  </si>
  <si>
    <t>494da5e2-e337-4b81-832d-9344a5e45e1c</t>
  </si>
  <si>
    <t>15/jan: Seller entrou em contato porque não consegue remover o ASIN ASIN: B01318HLCC\n\nTT Removal: https://t.corp.amazon.com/V2074135660\n\n20/jan: Cobrei atualizações\n\n23/jan: units disponiveis para remoção.</t>
  </si>
  <si>
    <t>79bfdced-b3b1-466b-953e-86dd891b787e</t>
  </si>
  <si>
    <t>23/jan: Seller pediu apoio nas reclamações de Wrong Product</t>
  </si>
  <si>
    <t>df6c9197-0508-47dc-b324-ed90dd80e338</t>
  </si>
  <si>
    <t>22/jan: Entrou em contato para remover as reclamações e ativar a oferta\n\n\nB09729YMPT: https://t.corp.amazon.com/V2082366584\nB0B34XSXHP: https://t.corp.amazon.com/V2082368043\n\n22/jan: mandei os códigos para contestarem</t>
  </si>
  <si>
    <t>298d93ff-ff2c-4dd3-b5f0-0f3d50cc1efc</t>
  </si>
  <si>
    <t>27/jan: vendedor entrou em contato que não conseguiu lbierar a equieta, e ao verificar vi que o pagamento estava pendente.\n\nInformei para entrar em contato com o OPS OWNER no grupo Daniel Abreu e abrir o chamado no Onsite</t>
  </si>
  <si>
    <t>fda9650c-468e-463e-aa6c-d62e6d54bea8</t>
  </si>
  <si>
    <t>Asin inativo por Recall\n29/01: email enviado para o seller.</t>
  </si>
  <si>
    <t xml:space="preserve">16137818802January  </t>
  </si>
  <si>
    <t>2b9bf413-0005-4953-b92f-c6846e143243</t>
  </si>
  <si>
    <t>Seller solicitou que tentou uma remoção de avaliação negativa via seller central e foi negado abri um abuse-escalation para solicitar.</t>
  </si>
  <si>
    <t xml:space="preserve">13351599302October  </t>
  </si>
  <si>
    <t>576d62dc-df1c-4bf8-91d8-741d5f0fb67c</t>
  </si>
  <si>
    <t>Seller estava com duvida sobre o prazo de envio de seu produto.</t>
  </si>
  <si>
    <t xml:space="preserve">256525648402January  </t>
  </si>
  <si>
    <t>5f7e3a3e-d3a7-489a-9dd9-354a217bfa32</t>
  </si>
  <si>
    <t>Cadastro de nova marca. \n06/02: Issue recebido</t>
  </si>
  <si>
    <t xml:space="preserve">20025747402February </t>
  </si>
  <si>
    <t>b2fc66ce-5f1f-4427-a57c-ed7621e3c455</t>
  </si>
  <si>
    <t>Erro de Usuários\n05/02: Issue receido</t>
  </si>
  <si>
    <t>13e5b867-a8ca-4893-a927-1f104febf518</t>
  </si>
  <si>
    <t>Asin inativo por preço alto/baixo\n11/02: Issue recebido.</t>
  </si>
  <si>
    <t>94924be1-8126-44c6-80c3-ab62ed8f013d</t>
  </si>
  <si>
    <t>Seller deseja uma carta de circularização\n13/02: Issue recebido \n23/02: tt aberto https://t.corp.amazon.com/V2118375434/communication\n</t>
  </si>
  <si>
    <t>a34052d7-96fc-4130-b14f-f5077fb910db</t>
  </si>
  <si>
    <t>Questionou informações sobre DIFAL</t>
  </si>
  <si>
    <t xml:space="preserve">24386750602November </t>
  </si>
  <si>
    <t>24a3584e-6c0a-4142-8f03-59fd3ef7c147</t>
  </si>
  <si>
    <t>02/02 - Aprovação de marca TRUSS recusada (gating)\n02/02 - Aberto chamado para backoffice verificar o gating: https://t.corp.amazon.com/V2095538348</t>
  </si>
  <si>
    <t xml:space="preserve">779493596402February </t>
  </si>
  <si>
    <t>f047fb08-4594-4bb1-966d-6d49d36ab77c</t>
  </si>
  <si>
    <t>02/02 - Aprovação de marca TRUSS recusada (gating)\n02/02 - aberto chamado para backoffice verificar o gating: https://t.corp.amazon.com/V2095489743</t>
  </si>
  <si>
    <t>6fa583ae-f5db-4c55-94bb-eee3f4174827</t>
  </si>
  <si>
    <t>10/02 - Seller não obteve sucesso no envio da planilha de hazmat\n10/02 - aberto um chamado para classificar o produto: https://t.corp.amazon.com/V2104454451</t>
  </si>
  <si>
    <t>235208fc-a0e9-4d30-8c7a-22aedaddbc98</t>
  </si>
  <si>
    <t>13/02 - Seller entrou em contato apresentando problemas com aprovação da marca DAVINES.\n13/02 - Aberto chamado para offshoring/Role Permissions</t>
  </si>
  <si>
    <t>6d2bea1e-35e1-4df0-8574-cfe36d729f22</t>
  </si>
  <si>
    <t>701-8857893-7433047 - Seller solicita reivindicação de Garantia de A a Z.\n12/02 - Trouxe a issue\n13/02 - Aberto.\nhttps://issues.amazon.com/issues/V2107834165\n17/02 - Negado\n19/02 - Aberto um novo ticket\nhttps://issues.amazon.com/issues/V2113763137\n20/02 - Negado, aberto um novo\nhttps://issues.amazon.com/issues/V2114907603\n23/02 - Negado, estão informando que o seller não respondeu dentro do prazo com informações válidas. (verificando está tudo correto), aberto um novo.\nhttps://issues.amazon.com/issues/V2117950109\n24/02 - Negado, aberto um novo.\nhttps://issues.amazon.com/issues/V2119079634\nnegado pois constou duplicidade.\n25/02 - Modificado resposta e aberto um novo.\nhttps://issues.amazon.com/issues/V2120298304\n26/02 - Recusado.</t>
  </si>
  <si>
    <t xml:space="preserve">59283260402February </t>
  </si>
  <si>
    <t>f2fb01e8-3c09-4351-bc26-3c2e537496f7</t>
  </si>
  <si>
    <t>702-4206157-2750639 - Seller solicita reivindicação de garantia de A a Z.\n12/02 - Trouxe a issue\n13/02 - Aberto tt\nhttps://issues.amazon.com/issues/V2107846173\n17/02 - Negado, pois seller não enviou recurso. Recurso foi enviado no dia 28/01\n19/02 - Aberto um novo.\nhttps://issues.amazon.com/issues/V2113767172\n20/02 - Aprovado - removido.</t>
  </si>
  <si>
    <t>65964b4a-8ebc-4a32-ae11-eb09dde22d6e</t>
  </si>
  <si>
    <t>702-5053732-1821034 - Seller deseja recorrer a garantia de A a Z.\n12/02 - Trouxe a issue.\nAberto TT\nhttps://issues.amazon.com/issues/V2107813123\n17/02 - Negado, informando que não enviou o recurso. Recurso enviado no dia 08 e 12 de Janeiro.\n19/02 - Aberto um novo\nhttps://issues.amazon.com/issues/V2113771121\n20/02 - Aprovado - removido ODR</t>
  </si>
  <si>
    <t>c882598d-41e6-418c-9f41-0ea3b20b4675</t>
  </si>
  <si>
    <t>701-5918326-1061829 - Seller deseja reivindicação de garantia de A a Z.\n12/02 - Trouxe a Issue\n13/02 - Aberto tt\n17/02 - Aprovado.</t>
  </si>
  <si>
    <t>b4818877-99a6-467b-bf00-d4d61efbc428</t>
  </si>
  <si>
    <t>Seller solicita reivindicação de garantia de A a Z. 701-6906919-0375403\n20/02 - Seller trouxe o problema.\nAberto tt \nhttps://issues.amazon.com/issues/V2115102106\n23/02 - Negado, aberto outro.\nhttps://issues.amazon.com/issues/V2117932243\n24/02 - Aprovado.</t>
  </si>
  <si>
    <t>5b5c45c1-aff1-48df-920f-d3e3ea8d8dd3</t>
  </si>
  <si>
    <t>Seller solicita remoção de comentário negativo.\n24/02 - Trouxe a issue\nAberto SIF\nhttps://na.vici.pars.amazon.dev/mpa-escalations/#/caseDetails/1771967232820892\n25/02 - Aprovado</t>
  </si>
  <si>
    <t>8cef9d3e-1a71-48b0-8fde-afbbdb42acbb</t>
  </si>
  <si>
    <t>ASIN B097LVYQ1X, sem botão de compra. Buyability analyzer ok.\n03/03 - Aberto task com RBS\nhttps://na.winston.a2z.com/Seller-BR/task/11365\n\n\n</t>
  </si>
  <si>
    <t xml:space="preserve">538911850502March    </t>
  </si>
  <si>
    <t>e7dfd1fc-ee09-4044-90c4-69e3fe96e021</t>
  </si>
  <si>
    <t>ASIN possui estoque mas não está com botão de compra disponível</t>
  </si>
  <si>
    <t xml:space="preserve">137029362402January  </t>
  </si>
  <si>
    <t>fcbe5aa9-140d-4da1-9d66-647f05afc354</t>
  </si>
  <si>
    <t>ASIN inativo como policy compliance e seller não teve resposta do recurso enviado\n\nTT aberto: https://t.corp.amazon.com/V2074102330</t>
  </si>
  <si>
    <t>11e1da17-a0fb-4bc3-9229-345f93f78788</t>
  </si>
  <si>
    <t>28/jan: Entrou em contato para tirar algumas duvidas de Seller Flex que houve divergências nas comunicações passadas no Seller Central com o time de Onsite\n\nFiz o alinhamento com ela e não foi uma issue, porém, passei alguns pontos de como podemos trabalhar</t>
  </si>
  <si>
    <t xml:space="preserve">301429377802January  </t>
  </si>
  <si>
    <t>e4c78d04-eeb3-4260-8f8e-d5a2a707f23a</t>
  </si>
  <si>
    <t>Rastreio sem atualização desde 30/12 \n14/01 issue recebido \n14/01 Ticket p/ o time de Easy Ship aberto. \nhttps://t.corp.amazon.com/V2072710600</t>
  </si>
  <si>
    <t xml:space="preserve">355214089002January  </t>
  </si>
  <si>
    <t>287fde0e-5894-4888-87e8-b46ed6126b45</t>
  </si>
  <si>
    <t>20/jan: Ale entrou em contato pelo chat do seller, e pediu apoio para reativação de 2 ASIns\n\nASIN B0B34XSXHP: A oferta deste produto foi encerrada por CR.\n\nASIN B00B0MDS06: Uso indevido da marca JBL\nhttps://t.corp.amazon.com/V2079715941\n\n21/jan: O time de backoffice abriu um chamado em um QUIP e aguardo retorno\n\n23/jan: Cobrei o ticket\n\n26/jan: Indentifiquei que o ASIN foi cadastrado com a marca Selenium, e talvez por isso esteja caindo no compliance.\nhttps://t.corp.amazon.com/V2086939352\n\n27/jan: Time de gating abriu Abuse Escalation\n\n29/jan: Sem retorno\n\n2//fev: Correct stamping Selenium&gt;JBL</t>
  </si>
  <si>
    <t xml:space="preserve">160165983902January  </t>
  </si>
  <si>
    <t>1284faeb-7b2c-4444-9429-853383785045</t>
  </si>
  <si>
    <t>22/jan: recebi a thread no email com problema de otp de um usuário. Assumi a trativa\n\n26/jan: Passei o link que o pessoal de Registration Hub me informou e passei pra eles</t>
  </si>
  <si>
    <t>cd110079-adbf-4bc8-942d-b22b3e19da88</t>
  </si>
  <si>
    <t>30/jan: TEntou atualziar a descrição varias vezes mas sem sucesso, solicitei pro time de offshoring\n\nhttps://na.winston.a2z.com/Seller-BR/task/10287</t>
  </si>
  <si>
    <t>68dcedbf-d8db-4da8-adbe-035c33799257</t>
  </si>
  <si>
    <t>Seller está tentando aprovação para marca Moschino.</t>
  </si>
  <si>
    <t xml:space="preserve">625725137302January  </t>
  </si>
  <si>
    <t>235ee9b9-eefb-46f9-8575-56e72f4bb347</t>
  </si>
  <si>
    <t>Seller está tentando aprovação para marca Moschino Beauty.\n\nTT aberto: https://t.corp.amazon.com/V2072749855</t>
  </si>
  <si>
    <t>128c41a4-8ae9-49f3-a3ec-4878644c4acd</t>
  </si>
  <si>
    <t>Itens em estoque constando como " Impossível de ser enviado " \n\nTT aberto: https://t.corp.amazon.com/V2072755332</t>
  </si>
  <si>
    <t>9a45be84-ce04-4271-947b-9d865a06f364</t>
  </si>
  <si>
    <t>Seller está tentando aprovação para marca Lattafa.\nTT aberto: https://t.corp.amazon.com/V2072743771</t>
  </si>
  <si>
    <t>93d593f9-15d9-486b-a8ef-cf9797df4089</t>
  </si>
  <si>
    <t>Dia 20/01 - Seller entrou em contato apontando problemas com a marca DAVIDOFF, mesmo possuindo aprovação da marca.\nDia 20/01 - Foi aberto um chamado para backoffice investigar.\n\nTT: https://t.corp.amazon.com/V2079794423</t>
  </si>
  <si>
    <t>130d540c-da25-4a11-928c-09a79b533b5f</t>
  </si>
  <si>
    <t>Units ASIN B0G83947XY classificadas como defective\n15/01 - Seller trouxe a issue\nAberto Bin check, \n20/01 -informou que não possui unidades físicas disponível.\n21/01 - aberto ticket de unproductive inventory (https://t.corp.amazon.com/V2081158498)\n\nrealizando um dive deep possui dois ASINs para esse FNSKU.\nInformado duas opções para o seller para o processo de correção labeling, remover (mais rápido) ou eu tentar solicitar com o time de FBA essa correção dentro do FC\n</t>
  </si>
  <si>
    <t xml:space="preserve">1087931314602January  </t>
  </si>
  <si>
    <t>a19cfed7-58a1-4201-b15a-d14b4290256f</t>
  </si>
  <si>
    <t>Temos dois pedidos aqui que já passaram o prazo dos 60 dias, estou enviando em anexo, olha pra gente se eles realmente deveriam parar de refletir?\n\nResposta: Olá boa tarde!\n\nEssa é a data do pedido, porém é contabilizado na data que foi acionada a garantia A a Z.\n\n701-4602819-0347414 -&gt; Solicitado no dia 29/10/2025\n702-0143500-0299433 -&gt; Solicitado no dia 13/10/2025</t>
  </si>
  <si>
    <t xml:space="preserve">351067276502December </t>
  </si>
  <si>
    <t>53ee3267-c6dd-4f39-89b8-61fe06ab21e6</t>
  </si>
  <si>
    <t>Estou com alguns pedidos aqui que chegaram em nosso integrador com um valor de desconto, porem, aqui na Amazon a gente não consegue enxergar de onde vem esse desconto, se é de algum cupom ou algo relacionado. Vou te enviar o print em que nos foi enviado pelo integrador que comprova que o desconto veio direito das proprias informações que a Amazon envia na integração. Segue tambem os numeros dos pedidos em que tivemos esse mesmo problema. \n\n702-0966910-6489855 / 701-9730422-9366612 / 701-6957267-1369069 / 701-9330779-1696211 / 701-4938475-1539414\n\nResposta: Verifiquei detalhadamente os pedidos no Seller Central e confirmo que os valores estão corretos, de acordo com o que foi cadastrado originalmente. O desconto aplicado está dentro do esperado e você pode consultar o motivo específico diretamente no painel.\n\nSugiro verificar com sua integradora se a diferença que você está observando não está relacionada à configuração do preço De/Por no cadastro do produto. Às vezes, essa configuração pode gerar essa percepção de divergência nos valores.\n\nPor favor, consulte sua integradora sobre isso e me informe o retorno deles para que possamos avaliar melhor a situação, caso necessário. No momento, não identifico nenhuma irregularidade nos valores dos pedidos.\n\nEstou à disposição para ajudar com qualquer esclarecimento adicional!</t>
  </si>
  <si>
    <t>7dacd4e7-8cfc-4599-b980-e31af9e5cdb3</t>
  </si>
  <si>
    <t>Seller sinalizou que o asin esta no estado da conta mas não esta inativo, fez o envio do recurso e mesmo assim teve a recusa. As NFs apresentadas não contém erro e superam a quantidade vendida. \n\nAberto SIF:</t>
  </si>
  <si>
    <t xml:space="preserve">175133439302March    </t>
  </si>
  <si>
    <t>a39689d5-7331-4652-97cd-5ef9760fd297</t>
  </si>
  <si>
    <t>correção do "peso do pacote", solicitei para Offshoring porém devido a questão do Brand Ranking não liberou a alteração, realizei a solicitação para o time de catálogo (1p)</t>
  </si>
  <si>
    <t xml:space="preserve">103928980802December </t>
  </si>
  <si>
    <t>ed5f5ed9-4d83-4bab-af6f-ba6e40f32ed7</t>
  </si>
  <si>
    <t>Essa venda 702-3152416-4341014 retornou com avaria, a tela esta quebrada. Foi aberto o chamado 19221531521 e foi passado essa passo a passo para solicitar o reembolso.</t>
  </si>
  <si>
    <t xml:space="preserve">11613361102January  </t>
  </si>
  <si>
    <t>23622444-53c9-4de8-a10b-e5eafedd79c3</t>
  </si>
  <si>
    <t>Seller entrou em contato com um processo, porém já havia passado o blurb e questionei como está o andamento para passar a Carlene</t>
  </si>
  <si>
    <t>d359fcec-7ccf-4d27-97ec-5c1d202d3ea8</t>
  </si>
  <si>
    <t>14/jan: Seller entrou em contato pedindo apoio sobre o processo, enviei o email para a Heloisa Badin\n\n14/jan: Enviei o blurb informado para o seller, e ele retornou com alguns outros questionamentos, retornei para Helo\n\n15/jan: Helo mandou as informações solicitadas, e agora está pendente de ação do seller.</t>
  </si>
  <si>
    <t>2618768f-26c0-4a96-90ef-fd4d4780abdc</t>
  </si>
  <si>
    <t>05/jan: Seller não escolheu a opção no chamado 19016997661 e devido a isso a tratativa foi encerrada\n\n09/jan: Informei o seller para realizar a nova abertura do chamado mencionando o caso anterior\n\n13/jan: Realizei a abertura do TT Removal Issue para tentarmos tratar o caso diretamente\n\n14//jan: O seller respondeu o chamado 19016997661 selecionando a opção A, com isso o time responsável seguirá com a tratativa de RSR</t>
  </si>
  <si>
    <t>75ba3540-ad5e-43d5-8a94-bae28d87ec34</t>
  </si>
  <si>
    <t>Processo 0150586-60.2025.8.05.0001</t>
  </si>
  <si>
    <t>a371618b-39ee-493b-8901-f532dea047c5</t>
  </si>
  <si>
    <t>15/jan: Seller abriu o chamado 19288682351 (SPS) para solicitar reembolso de uma devolução que recebeu incorreta. Teve um retorno inadequado para situação e realizei a abertura do chamado SF - Switcheroo\n\n15/jan: O cliente ainda não foi reembolsado e com isso não conseguimos aprovar o rrembolso, informei ao seller para acompahar, quando foi liberado ele me retorna que reabro o chamado\n\nhttps://t.corp.amazon.com/V2073929486\n\n15/jan: Encerrado como PSA</t>
  </si>
  <si>
    <t>18cd80ed-9f18-4fa5-9688-5f6dc98a4ad4</t>
  </si>
  <si>
    <t>15/jan: Entrou em contato sobre 50 units que perdiram remoção 3x e todas foram canceladas. O time de SPS abriu o chamado para o time de FBA que trnou em contato com o time do XCV9\n\nhttps://t.corp.amazon.com/V2071757233\n\n16/jan: Me adicionei em cópia e farei o acompanhamento/tratativa junto ao time\n\n19/jan: Comuniquei o seller que aguardo retorno\n\n27/jan: Comunicação com o seller\n\n30/jan: Realizei a call com a Amanda e abri o chamado com todas comprovações do descarte indevido:\nhttps://t.corp.amazon.com/V2092344769\n\n2/fev: Amanda abriu um chamado pedindo aproval mas foi negado automaticamente, pedi para ela refazer. Estamos aguardando a aprovação da Responsável de Reembolsos.\n\nDecisão final: Referente ao pedido de remoção 250729RLZ (50 unidades do ASIN B0DHW4J6TW) os pedidos de reembolso foram criados e pode levar até 7 dias para serem aprovados.\n\nNúmero de Transação: 20686253081\n2 unidades / R$ 3463.60 \n\nNúmero de Transação: 20687529511\n9 unidades / R$ 15586.20 \n\nNúmero de Transação: 20686478251\n4 unidades / R$ 6927.20\n\nNúmero de Transação: 20686246461\n4 unidades / R$ 6927.20 \n\nNúmero de Transação: 20687504171\n4 unidades / R$ 6927.20\n\nNúmero de Transação: 20686987051\n7 unidades / R$ 12122.60\n\nNúmero de Transação: 20686722061\n6 unidades / R$ 10390.80\n\nNúmero de Transação: 20687844831\n3 unidades / R$ 5195.40\n\nNúmero de Transação: 20686456451\n11 unidades / R$ 19049.80</t>
  </si>
  <si>
    <t>12b5148b-68f9-4c76-a3af-e19a7931a920</t>
  </si>
  <si>
    <t>21/jan: seller informou que respondeu o chamado 19016997661 escolhendo ao pção A, porém após isso, não teve mais retorno. Abri um novo TT\nhttps://t.corp.amazon.com/P371964371\n\n23/jan: Pedi ao AM informar o vendedor porque não consigo enviar os FNKsku pelo chamado devido conter as letras (FUK) dentro do fnsku\n\n26/jan: Entrou em contato realizando cobranças, e pedi um email para enviar a lista para darmos entrada no estoque fiscalmente.\n\n27/jan: Comunicação com o seller\n\n2/fev: As unidades foram descartadas, como podemos abater esse valor?\n\n10/fev: aguardando tratativa do comercial</t>
  </si>
  <si>
    <t>8f4cf69d-e1db-42d0-b736-29115a377466</t>
  </si>
  <si>
    <t>21/jan: Seller abriu o chamado 19274886801 referente as caixas que recebeu com avaria e gostaria do reembolso. Pedi mais fotos e questionei se todos os pacotes chegaram com avaria.\n\n27/jan: Abri o chamado de removal issue para entender o que precisamos para verificar se o reembolso é plausivel.\nhttps://t.corp.amazon.com/V2088197535\n\n27/jan: Comunicação com o seller\n\n2/fev: Fabiana enviou mais comprovações e anexei no chamado, aguardo retorno do time responsável.\n\n09/fev: informei que o time recusou o reembolso pelas provas fornecidas não serem o suficiente\n\n2512221A3D</t>
  </si>
  <si>
    <t>b5addd42-4169-4456-be3c-0fd2366edd52</t>
  </si>
  <si>
    <t>19/jan: Seller entrou em contato sobre o pedido de remoção de 127 units (25122219YS) que foi cancelado. Ao gerar um novo pedido de remoção, estavam apenas 122 units disponíveis.\n\nhttps://t.corp.amazon.com/V2078883739\n\n21/jan: Responderam informando que houve 5 vendas no periodo entre cancelamento do removal e a nova solicitação</t>
  </si>
  <si>
    <t>ed64af77-b4b3-40a6-b9cb-8fdb8fa8e49c</t>
  </si>
  <si>
    <t>28/jan: informou que recebeu a comunicação de mais um pedido de remoção\nhttps://t.corp.amazon.com/V2068897012/communication\n\n09/fev: questionei novamente eles, @pirevini informou que iriam rrealizar a remoção</t>
  </si>
  <si>
    <t>f3c95fa8-6090-49aa-abc0-bda6dfddf2c5</t>
  </si>
  <si>
    <t>29/jan: Vendedor gostaria de contestar 9 garantias AtoZ</t>
  </si>
  <si>
    <t>f5c3bffc-f812-463c-8aa4-4f6eb97cd010</t>
  </si>
  <si>
    <t>30/jan: ILAC Recusado\nhttps://t.corp.amazon.com/V2095713289\n\n4/fev: informaram que um do rastreio a transportadora não coletou\nhttps://t.corp.amazon.com/V2097674256\n\n09/fev: subi email pro @malvesps e @brnosil\n\n11/fev: sem resposta no email e cobrei o chamado\n\n20/fev: cobrei novamente</t>
  </si>
  <si>
    <t>93f2126f-410a-41be-abe9-fc9f3d3c7c0d</t>
  </si>
  <si>
    <t>Seller tentando listar um produto, mas aparece o erro de EAN divergente do produto. Eles possuem o certificado GS1\n04/03 - Trouxe a issue, solicitei para preencher a planilha de cadastro para tentar via RBS\n05/03 - aberto task com RBS \nhttps://na.winston.a2z.com/Seller-BR/task/11403\n09/03 - Solicitado certificado GS1 (print do site não serviu). Aguardando Seller.</t>
  </si>
  <si>
    <t xml:space="preserve">97596278102March    </t>
  </si>
  <si>
    <t>86a94832-e326-4f27-b57a-5b49527de4f8</t>
  </si>
  <si>
    <t>Seller com oferta bloqueada sem muitas informações.\n03/03 - Fui informado da issue, aberto tt com offshoring.\nhttps://na.winston.a2z.com/Seller-BR/task/11349\nAberto unblock offer\nhttps://t.corp.amazon.com/V2126989055\nSIF\nhttps://na.vici.pars.amazon.dev/mpa-escalations/#/caseDetails/1772560078415317\n04/03 - Ofertas ativas</t>
  </si>
  <si>
    <t>5b0c4d99-520a-4e45-bc61-4996469feba9</t>
  </si>
  <si>
    <t>ASIN: B0CDJHGZJX - Seller com oferta block por conta de preço.\n03/03 - Trouxe a issue\naberto tt\nhttps://issues.amazon.com/issues/V2127207909\n04/03 - Oferta ativa</t>
  </si>
  <si>
    <t>0704696e-0acb-4455-9838-7a87eab98ca3</t>
  </si>
  <si>
    <t>ASIn B0FF8HS6W8 - Seller com oferta bloqueada por questão de preço.\n03/03 - trouxe a issue.\naberto ticket \nhttps://issues.amazon.com/issues/V2127223195\n04/03 - Preço mais baixo no mercado livre.</t>
  </si>
  <si>
    <t>3abb9e2b-6658-4d6b-82ea-2a4ffcf13ff6</t>
  </si>
  <si>
    <t>Seller vai mudar de endereço e deseja realizar os ajustes em FBA Onsite.</t>
  </si>
  <si>
    <t xml:space="preserve">24928216102December </t>
  </si>
  <si>
    <t>d46f2618-744e-4e16-8681-a1ca4a877a01</t>
  </si>
  <si>
    <t>Isenção de metricas.\nhttps://t.corp.amazon.com/V2070243657/communication</t>
  </si>
  <si>
    <t xml:space="preserve">24371682602January  </t>
  </si>
  <si>
    <t>2b24ebc7-9cce-4b39-8319-d8e7e8402469</t>
  </si>
  <si>
    <t>Seller queria informações sobre a conta do EUA, mas não temos permissão de acesso.</t>
  </si>
  <si>
    <t xml:space="preserve">380157072302February </t>
  </si>
  <si>
    <t>d88ed7f3-d7a9-4f2d-8d05-08abc98b7a37</t>
  </si>
  <si>
    <t>Seller teve 116 unidades canceladas no seu pedido de removal deseja saber o motivo.\n\nhttps://t.corp.amazon.com/V2097827053</t>
  </si>
  <si>
    <t>e71808f1-da88-4cbe-9e89-2a0ac94a6b74</t>
  </si>
  <si>
    <t>Seller está com problema de permissão dos usuários.</t>
  </si>
  <si>
    <t xml:space="preserve">98385811302November </t>
  </si>
  <si>
    <t>00134f22-2422-498e-b421-a3736414f99d</t>
  </si>
  <si>
    <t>Seller teve seu ASIN inativado pro reclamação dos clientes, orientei ele de como fazer o appeal.</t>
  </si>
  <si>
    <t>a21c50ad-d293-4f14-b8a6-940858577364</t>
  </si>
  <si>
    <t>Seller se queixa de não estar recebendo seus repasses, mas ao verificar eles precisam atualizar informações de método de cobrança e Informações ficais primeiro</t>
  </si>
  <si>
    <t xml:space="preserve">21753463202October  </t>
  </si>
  <si>
    <t>29cea882-ef5f-4b26-8501-f6d4631f72eb</t>
  </si>
  <si>
    <t>Seller estrá com a conta desativada por KYC, mas irá ficar comente com uma. Porém há 2 repasses pendentes que precisam ser pagas na conta que permanecerá ativa. chamado aberto https://issues.amazon.com/issues/D326284121</t>
  </si>
  <si>
    <t>aacf8bba-c3c0-437f-b1e6-cd89f89b3148</t>
  </si>
  <si>
    <t>Seller informa que precisa da isenção da metricas dos pedidos da instabilidade da AWS, mas ao verificar os itens já foram isentos, pedi para ele a lista dos pedidos que ele ainda está visualizando.</t>
  </si>
  <si>
    <t>d57df716-a9ed-48a2-ad3a-413e0f53c038</t>
  </si>
  <si>
    <t>Seller informa que as metricas impactadas pela instabilidade da AWS continuam afetando suas métricas, pedi que me enviasse a lista dos pedidos.</t>
  </si>
  <si>
    <t>1b33768b-080f-4653-aa02-5f330390f300</t>
  </si>
  <si>
    <t>Seller nos questiona como é o processo para liberar acesso ao colaborador da Koncili e como funciona. informei que somente ele adicionar o usuário em suas permissões.</t>
  </si>
  <si>
    <t>3389961d-da45-4ef6-bee0-31078ca954c7</t>
  </si>
  <si>
    <t>Seller está com problemas de KYC, ele precisou atualizar os documentos, mas o sistema não está registrando. Chamdo aberto: https://t.corp.amazon.com/D328018430</t>
  </si>
  <si>
    <t>522443ab-c32b-4875-9ffa-d1b5a8ef2bb5</t>
  </si>
  <si>
    <t>Seller pediu para que alterasse a cor cadastrad que está refletindo no site. \nhttps://na.winston.a2z.com/Seller-BR/task/9206</t>
  </si>
  <si>
    <t>05960001-6793-4054-96f7-1a4cae9bbf9a</t>
  </si>
  <si>
    <t>702-2593142-9500267 - Seller solicita reinvidicação de garantia de A a Z</t>
  </si>
  <si>
    <t xml:space="preserve">59283260402December </t>
  </si>
  <si>
    <t>79a55917-ee85-455e-a40c-dbb7d89d331f</t>
  </si>
  <si>
    <t>701-8306071-0673864 - Seller solicita auxilio para remover impacto ODR de A to Z</t>
  </si>
  <si>
    <t>fbfa08c9-e122-42e2-bca6-f53eb2b4b656</t>
  </si>
  <si>
    <t>701-8142853-6674649 - Seller solicita reinvidicação de garantia de A a Z</t>
  </si>
  <si>
    <t>4de4f963-e4a5-4b7f-a680-903f3ebc51ea</t>
  </si>
  <si>
    <t>702-6946362-4159438 - Seller solicita auxilio para remover impacto ODR de A to Z</t>
  </si>
  <si>
    <t>1d029337-d944-49ae-b356-4c4b3005f43d</t>
  </si>
  <si>
    <t>702-0886805-0634645 - Seller solicita auxilio para remover impacto ODR de A to Z\n</t>
  </si>
  <si>
    <t>6e1a8fc0-8623-4f4a-b1ab-8d1692bf7fe4</t>
  </si>
  <si>
    <t>702-5272101-9589031 - Seller solicita auxilio para remover impacto ODR de A to Z</t>
  </si>
  <si>
    <t>c423731f-3d2e-4f29-a60f-875298c94e55</t>
  </si>
  <si>
    <t>702-2364477-1241819 - Seller solicita auxilio para remover impacto ODR de A to Z\n</t>
  </si>
  <si>
    <t>e5c9aa95-8f81-4f5b-9728-2fbc9ae2f0f7</t>
  </si>
  <si>
    <t>701-7352324-6931450 - Seller solicita auxilio para remover impacto ODR de A to Z\n</t>
  </si>
  <si>
    <t>5da5040f-e884-4824-94b2-71cf44a5152c</t>
  </si>
  <si>
    <t>702-9443715-1410606 - Seller solicita reinvidicação de garantia de A a Z</t>
  </si>
  <si>
    <t>cb82c925-de86-4cd6-9157-7aed64635e16</t>
  </si>
  <si>
    <t>702-7275911-3247463 - Seller solicita auxilio para remover impacto ODR de A to Z</t>
  </si>
  <si>
    <t>eb73c48e-a3db-4486-9792-812df18eb62c</t>
  </si>
  <si>
    <t>702-2705545-5988213 - Seller solicita reinvidicação de garantia de A a Z</t>
  </si>
  <si>
    <t>b5f7087a-dae2-404d-919d-14e21b3ba355</t>
  </si>
  <si>
    <t>702-3835467-4732200 - Seller solicita reinvidicação de garantia de A a Z</t>
  </si>
  <si>
    <t>f6ab67b6-0e1d-4e76-93b6-250aafe430d8</t>
  </si>
  <si>
    <t>701-5757632-6453066 - Seller solicita reinvidicação de garantia de A a Z</t>
  </si>
  <si>
    <t>21d8f093-57ea-4658-b7ca-cd49e5ff9c7b</t>
  </si>
  <si>
    <t>702-6403413-1611411 - Seller solicita reinvidicação de garantia de A a Z</t>
  </si>
  <si>
    <t>fe544481-880d-462a-9e64-cf20c58da751</t>
  </si>
  <si>
    <t>702-2593142-9500267 - Seller solicita reividicação de garantia</t>
  </si>
  <si>
    <t>4b4182f7-ed25-4444-84c1-a10617ea3a6d</t>
  </si>
  <si>
    <t>Alteração no campo " Marca "</t>
  </si>
  <si>
    <t xml:space="preserve">687037975702January  </t>
  </si>
  <si>
    <t>b2dc7af6-3985-4c8f-88ab-01095e5dfb76</t>
  </si>
  <si>
    <t>Alteração no campo MARCA</t>
  </si>
  <si>
    <t>d1001403-2373-4dfc-82c9-13ed6098cc55</t>
  </si>
  <si>
    <t>Problema no EAN</t>
  </si>
  <si>
    <t>576138ea-4509-434e-999e-8c08bf774611</t>
  </si>
  <si>
    <t>Dia 08/01 - seller entrou em contato relatando que precisava alterar o nome da marca do asin\nDia 12/01 - Issue solucionada.\nDia 19/01 - Seller não conseguiu criar a oferta\nDia 21/01 aberto chamado para offshoring: https://na.winston.a2z.com/Seller-BR/task/10096</t>
  </si>
  <si>
    <t>5c086e70-d002-4d44-abe8-d4df8b78f35c</t>
  </si>
  <si>
    <t>26/01 - Seller entrou em contato solicitando ajuda com o ASIN: B0DQ6ZW3KS, pois está inativo devido a aprovação da marca. Ele já possui aprovação da marca BODYACTION\n26/01 - Aberto chamado para backoffice investigar essa questão: https://t.corp.amazon.com/V2086963580</t>
  </si>
  <si>
    <t>2905e159-6df4-4159-94d1-67f2b5d22ddf</t>
  </si>
  <si>
    <t>Apoio para enviar os recursos</t>
  </si>
  <si>
    <t xml:space="preserve">61648289002January  </t>
  </si>
  <si>
    <t>7cd1e894-f881-4f62-a621-bb15292fd57e</t>
  </si>
  <si>
    <t>13/jan: Seller entrou em contato sobre vendas com Pricing Error, abri o TT pra integration para ver o histórico de alteração de preços para entender quem mudou\n\n14/jan: O impacto foi aplicado e pude seguir com a isenção de CR\nhttps://t.corp.amazon.com/V2072521251</t>
  </si>
  <si>
    <t>9c1485cc-cd0d-48b2-9dc9-f9250c8383a4</t>
  </si>
  <si>
    <t>Isenção de métricas porque a coleta não passou\n702-5282614-7466625\n702-9531540-8825832\n701-0335920-8182607\n701-6866395-7993809\n702-0736564-9129836\n702-1740114-5565822\n</t>
  </si>
  <si>
    <t>9b682964-83d1-4855-94f3-65d442a103d1</t>
  </si>
  <si>
    <t>Recall inmetro</t>
  </si>
  <si>
    <t>a9907c6a-ae38-4c76-ae81-9ad37fcf2fa7</t>
  </si>
  <si>
    <t>28/jan: Entrei no SC do vendedor e verifique esse ASIN inativo.\n\nAnalisei o Ml esse modelo é top 7 categoria.\n\nPotencial em vendas muito grande</t>
  </si>
  <si>
    <t>b667391c-4b77-4bd7-b564-32d6ba060695</t>
  </si>
  <si>
    <t>22/jan: Entrou em contato sobre o ASIN B0DZYHS789  sobre a penalidade de Uso Indevido da Marca.\n\nAo checar, o produto era Starlink e foi cadastrado como genérico. Punição pertinente.</t>
  </si>
  <si>
    <t>41ad64db-ac42-44a2-aa6b-e1e25197de3c</t>
  </si>
  <si>
    <t>Seller disse que o dias de processamento deles estavam mudando automaticamente. mas ao questionar o TI deles disseram que encontraram o erro e conseguiram corrigir</t>
  </si>
  <si>
    <t>20208037402September</t>
  </si>
  <si>
    <t>b7c6458f-0ba2-4d09-aff9-ae703f13ff49</t>
  </si>
  <si>
    <t>Seller está com ofertas MFN desativadas por métrica ODR.\n23/01 - Trouxe o problema, informado o passo a passo para preencher o quiz e montar o POA caso necessário.\nDeixei task em aberto para ir acompanhando. \n\n26/01 - Seller não respondeu mais nenhuma informação.</t>
  </si>
  <si>
    <t xml:space="preserve">685488901302January  </t>
  </si>
  <si>
    <t>3175fe20-d0f7-4e78-b044-cdaa88b81f3d</t>
  </si>
  <si>
    <t>Seller estava com duvida de como reativar a oferta.</t>
  </si>
  <si>
    <t xml:space="preserve">22445894402March    </t>
  </si>
  <si>
    <t>64e9d085-e5bf-4cca-b452-c6bb8d75735e</t>
  </si>
  <si>
    <t>Seller estava com duvidas sobre autorização de marca e listagem de produtos.</t>
  </si>
  <si>
    <t>4354bcba-d867-4aa7-8499-9f866db96dee</t>
  </si>
  <si>
    <t>Seller prediu que as trocasse as voltagens dos produtos, que a propria marca inverteu os eans. https://t.corp.amazon.com/V2031922980</t>
  </si>
  <si>
    <t xml:space="preserve">13351599302December </t>
  </si>
  <si>
    <t>c7c14cea-6738-4cb1-8564-c84206fb8399</t>
  </si>
  <si>
    <t>Seller precisa alterar as dimensões do produto. https://na.winston.a2z.com/Seller-BR/task/9591\n</t>
  </si>
  <si>
    <t>05751b66-e1b4-46af-aac3-8593b00fecc2</t>
  </si>
  <si>
    <t>Cliente informa que a garantia de AtoZ dele não foi aceita e solicita que reividicar https://issues.amazon.com/issues/V2033562662</t>
  </si>
  <si>
    <t>719067fb-c4f1-44b6-ae3d-dccdcf88089e</t>
  </si>
  <si>
    <t>Seller esta com o ASIN inativado pro reclamação de autenticidade, realizou o appeal e foi negado.  https://na.vici.pars.amazon.dev/mpa-escalations/submit#/caseDetails/1766085964232798 / https://t.corp.amazon.com/V2042546532</t>
  </si>
  <si>
    <t>552d5ab5-556b-4495-9e82-506610dc2530</t>
  </si>
  <si>
    <t>Seller solicita a remoção de avaliação negativa do pedido 702-4861601-7968233</t>
  </si>
  <si>
    <t>9490a0a4-d949-4573-8e58-4100c7690b48</t>
  </si>
  <si>
    <t>Não consegue autorização de marca Nauber\n15/01 - Trouxe a Issue\n16/01 - Aberto tt backoffice</t>
  </si>
  <si>
    <t xml:space="preserve">241002216802January  </t>
  </si>
  <si>
    <t>594ce126-0d9a-4bbe-b39c-c31c8591c404</t>
  </si>
  <si>
    <t>Não consegue autorização de marca Mana Equipamentos\n15/01 - Trouxe a Issue \n16/01 - Aberto tt backoffice\n19/01 - @bigomes anexou informação em um quip\n26/01 - Time solicitou que o seller colocasse informações do produto que está tentando cadastrar em uma planilha. aguardando o seller me enviar</t>
  </si>
  <si>
    <t>c895fd45-4809-4dc8-ab4e-168f3d6b5a0a</t>
  </si>
  <si>
    <t>Reivindicação de garantia cliente com o produto e reembolso. \nProduto avariado pelo sefaz. \nPedido: 702-3644250-9893834\n20/01 - Trouxe o problema \n21/01 - Aberto tt\n22/01 - Negado, omitiu o nome da transportadora\n\nhttps://issues.amazon.com/issues/V2081386954\n</t>
  </si>
  <si>
    <t>a9964be2-d771-48a2-971a-da3a0393a015</t>
  </si>
  <si>
    <t>Reivindicação de garantia cliente com o produto e reembolso. Produto entregue dentro do prazo.\nPedido: 702-5942934-9077824\n20/01 - Trouxe o problema\n21/01 - aberto tt\n22/01 - Aprovado, impacto ODR removido. Reembolso realizado 13/01/2026\n\nhttps://issues.amazon.com/issues/V2081352820\n</t>
  </si>
  <si>
    <t>4009c220-a7a0-47f9-a1e5-d4e4fcaf1715</t>
  </si>
  <si>
    <t>Seller teve 4 pedidos com unidades bem altas, possível fraude para perder posicionamento de buybox por não ter estoque.\n27/01 - MC trouxe a issue\n28/01 - aberto tt para verificar a possibilidade de cancelamento.\nhttps://t.corp.amazon.com/V2089531714\n03/02 - Cancelado\n</t>
  </si>
  <si>
    <t>4dd9252f-b774-4368-ab5a-139867320893</t>
  </si>
  <si>
    <t>Seller informa que tem pedidos para ASIN B0D4RL3146 saindo como DBA ao invés de MFN\n29/01 - Trouxe o problema, aberto tt https://t.corp.amazon.com/V2091149960\n04/02 - Chamei a pessoa no slack\n05/02 - Abri um ticket para catálogo para correção de medidas caso necessário.\nhttps://t.corp.amazon.com/V2098907683/overview\n06/02 - Medidas corrigidas, contudo sem sucesso ainda.\n09/02 - Questionando alguém de EX para ajuda com o time já que larmizae está de férias e ticket foi atribuído a ela. Aberto um novo.\n09/02 - Atribuido para @matheces, se não tiver uma resposta até amanhã. Thread no slack.\n10/02 - Seller com as medidas incorretas, necessário abrir um novo ticket. Porém para corrigir essa informação de uma vez só, solicitado que preenchesse uma planilha com todos os ASINs de logísitca própria e suas respectivas medidas.</t>
  </si>
  <si>
    <t>981bb7b5-602c-4e29-ac63-01b2b162d64f</t>
  </si>
  <si>
    <t>Seller com asins inativos por questões fiscais, ele realizou a alteração e agora devemos checar se os Itens serão ativos, caso não sejam, iremos reabrir</t>
  </si>
  <si>
    <t xml:space="preserve">16898656902July     </t>
  </si>
  <si>
    <t>9f88994b-0421-42e1-839c-85e334b14f45</t>
  </si>
  <si>
    <t>Os itens já tiveram as alterações necessárias, mas não mudam o status pra ativos. seller precisa envia um PoA. foi orientado de como deve fazer. \n\nObrigado.</t>
  </si>
  <si>
    <t xml:space="preserve">475112640202August   </t>
  </si>
  <si>
    <t>012870cf-642c-4d35-9175-144bcabd95ed</t>
  </si>
  <si>
    <t>Seller realizou o update no PoA, mas ainda não teve resposta da atualização. Vou precisar entender com o time de como escalar esse caso.</t>
  </si>
  <si>
    <t>a8f1b0c8-ff93-4bfd-844d-f0cd279a7ae2</t>
  </si>
  <si>
    <t>Seller queria saber mais sobre os programas de envio de amazon e como ele consegue converter de FBM para FBA</t>
  </si>
  <si>
    <t xml:space="preserve">108483856702October  </t>
  </si>
  <si>
    <t>3f44f055-10c6-430d-81ce-50dcd3a23951</t>
  </si>
  <si>
    <t>Seller queria saber qual é a taxa de cancelamento permitida segundo a politica da Amazon.</t>
  </si>
  <si>
    <t>b1e069e7-862c-4733-b2d0-089f66aba068</t>
  </si>
  <si>
    <t>Seller está com divergências no envio, solicitou investigação. Foi aberto um chamado: https://t.corp.amazon.com/V1966776904</t>
  </si>
  <si>
    <t>85eb2ce6-9361-4f23-9fdf-68cb453e190a</t>
  </si>
  <si>
    <t>Seller sofreu impactos devido a instabilidade da AWS</t>
  </si>
  <si>
    <t>65c3e966-2f5a-4aa5-ada2-e704e2d4b157</t>
  </si>
  <si>
    <t>Pedidos não recebidos pela transportadora devido instabilidade, medo de ser impactado.</t>
  </si>
  <si>
    <t>d36cbdbb-31ef-45d6-ab92-64a867b892b6</t>
  </si>
  <si>
    <t>Seller solicitou double-check no fnsku: X004JPT5K9, pois estava indo outro produto ao cliente final\n\nChamado: https://t.corp.amazon.com/V1979924903/overview</t>
  </si>
  <si>
    <t>e6bca724-f649-43ce-b7eb-5b69e5a27a07</t>
  </si>
  <si>
    <t>Seller entrou em contato com dúvida no modo de envio e o que o cliente paga através do FBM?</t>
  </si>
  <si>
    <t>4eef5674-64f9-45b4-b870-398746de9542</t>
  </si>
  <si>
    <t>B0G269D5BW - Seller deseja continuar para a classificação do ASIN.\n04/03 - Solicitado para criar uma oferta FBA ou converter a atual para FBA para que eu consiga escalar.</t>
  </si>
  <si>
    <t xml:space="preserve">230755558102March    </t>
  </si>
  <si>
    <t>61a31c53-4c4f-41e4-9aea-9f7ac230c3ee</t>
  </si>
  <si>
    <t>Seller recebeu uma devolução com produto divergente. Cliente foi reembolsado.\n11/03 - Aberto um novo TT e solicitado para o seller abrir uma reivindicação de SAFE-T\nhttps://t.corp.amazon.com/V2136267040\n13/03 - Solciitado foto da etiqueta para o seller.</t>
  </si>
  <si>
    <t>10f19119-5b3f-4635-a2b2-6659dbc64095</t>
  </si>
  <si>
    <t>Teve dúvida referente a um cliente que recebeu mensagens de tentativa de golpe</t>
  </si>
  <si>
    <t xml:space="preserve">10369153302August   </t>
  </si>
  <si>
    <t>0a873344-71d1-4f6e-8f2a-84d86f2b48a9</t>
  </si>
  <si>
    <t>O Safe-T está em análise ainda, aguardar até 5 dias úteis para concluir o caso</t>
  </si>
  <si>
    <t>b06d79e3-dc69-43fe-9923-43b2449928d1</t>
  </si>
  <si>
    <t>seller falou que recebeu email para retirar alguns itens, mas não estava batendo, fiz um dive deep e passei as informações para ele</t>
  </si>
  <si>
    <t>afbc806e-fad2-4289-995c-db33e8e669b0</t>
  </si>
  <si>
    <t>Seller questionou se as NFs não eram fornecedias no pos venda, mostrei o caminho para o cliente verificar a nota, ele monstará uma mensagem padrão para esses casos</t>
  </si>
  <si>
    <t>fea895cc-26ab-47de-8cf4-73486a10b523</t>
  </si>
  <si>
    <t>Cliente devolveu produto errado, indiquei realizar a abertura do chamado, e acompanharei para que a resolução seja aplicada corretamente - falta ele enviiar o codigo LPL pra ser reembolsado\n\n18343901891</t>
  </si>
  <si>
    <t>4fd4e03d-c393-483a-aab5-816b6aaf4e50</t>
  </si>
  <si>
    <t>conta inativada</t>
  </si>
  <si>
    <t xml:space="preserve">474741185002November </t>
  </si>
  <si>
    <t>6efd775e-362e-41ca-a0f7-6006163ae9aa</t>
  </si>
  <si>
    <t>Metricas afetadas enquanto a conta estava inativada</t>
  </si>
  <si>
    <t>b9e52094-3c80-41b6-a2b6-c682079896a6</t>
  </si>
  <si>
    <t>problema em converter ASINS de mfn para dba</t>
  </si>
  <si>
    <t>0b582330-2029-4867-b782-687b0cf37992</t>
  </si>
  <si>
    <t>03/03 - seller solicitou imagens do asin B099ZJQXMF - que está com o status de " Impossível de ser enviado " em seu painel, pois estão com a data de validade vencida.\n\naberto um bin-check para XCV9: https://t.corp.amazon.com/V2127171651\n\nApós explicação ao seller, ele optou por fazer o removals das unidades, porém, foi as unidades sumiram do status de " impossivel de ser enviado " e estamos em tratativa via thread slack com @ddesgabr @luakemi @lucasvz</t>
  </si>
  <si>
    <t xml:space="preserve">101837981602March    </t>
  </si>
  <si>
    <t>a17e9922-7eae-486c-89ff-94f336b30d04</t>
  </si>
  <si>
    <t>Unidades do ASIN B0C3SDGV2G constando como " impossivel de ser enviado " \nFoi aberto um TT para conferência das unidades e entender o motivo na qual está nesse status: https://t.corp.amazon.com/V2100246131\n\nApós entendermos o motivo, foi alinhado com @masilvw via chime ela disse que pela parte do fc poderia solicitar a consolidação das unidades erradas, montar o kit em um saco plástico do prep e colar a etiqueta. Passou um tempo, eu chamei ela novamente e ela disse que não tinha sido realizado ainda pois a gerente do turno havia saido de férias e que a @sansami iria dar continuidade no processo. Chamei a @sansami e ela disse que isso foi encaminhado ao pessoal do turno... A @masilvw diz que os itens foram coletados pelo PICK e estão no aguardo da tratativa do PREP.</t>
  </si>
  <si>
    <t>558c6d6c-0f01-4370-8878-520687941598</t>
  </si>
  <si>
    <t>seller esta com o asin inativo devido problemas fiscais\naberto offer unblock para tentar reativar a oferta: https://t.corp.amazon.com/V2133747725</t>
  </si>
  <si>
    <t>6eb1bd46-a2b5-43d3-9c6c-22360832114d</t>
  </si>
  <si>
    <t>Seller com problema no método de cobrança, cartão de crédito recusado.\n13/01 - Trouxe o caso com SPS\nInvestigando</t>
  </si>
  <si>
    <t xml:space="preserve">816067318102January  </t>
  </si>
  <si>
    <t>fbb026b5-9fc7-4f17-aa92-1c5cc53b7fc5</t>
  </si>
  <si>
    <t>Seller com units classificadas como Impossível de ser enviado. Deseja mais informações\n\n21/01 - Trouxe o problema, aberto o ticket\n\nhttps://t.corp.amazon.com/V2081134668\n</t>
  </si>
  <si>
    <t>3490075d-f320-475b-91e9-af9ef20f963b</t>
  </si>
  <si>
    <t>Seller corrigiu a imagem da oferta, safra do vinho no FC 2024. Solicitado o desbloqueio da oferta\n28/01 - Seller trouxe a issue, aberto o TT https://t.corp.amazon.com/V2089550803\n29/01 - Solicitaram para abrir outro TT\n30/01 - Aberto Bin check solicitando a alteração das units\nhttps://t.corp.amazon.com/V2092392754</t>
  </si>
  <si>
    <t>bbe6cdb8-d035-4d2e-bb9d-ce92ababf000</t>
  </si>
  <si>
    <t>Seller não está conseguindo cadastrar dois produtos aparece erro 5885 e 5886\n30/01 - Aberto task com Backoffice\nhttps://t.corp.amazon.com/V2092135549/overview</t>
  </si>
  <si>
    <t>417102df-02cc-4652-869e-8779de221f68</t>
  </si>
  <si>
    <t>isenção de métricas</t>
  </si>
  <si>
    <t xml:space="preserve">301429377802October  </t>
  </si>
  <si>
    <t>9e6e8f70-a049-43b7-bec6-531c6dacaedc</t>
  </si>
  <si>
    <t>Contestar métricas de envios tardios.</t>
  </si>
  <si>
    <t>969ebace-db0d-40e3-a5ed-ce0bf5fd2702</t>
  </si>
  <si>
    <t>11/fev: informou que a conta FBA foi suspensa, ao verificar foi questão do cadastro do faturador (endereço)\n\nhttps://t.corp.amazon.com/V2106384422</t>
  </si>
  <si>
    <t xml:space="preserve">301429377802February </t>
  </si>
  <si>
    <t>6766ca11-55f1-4636-ba9f-513c616b7a8b</t>
  </si>
  <si>
    <t>11/fev: quer saber sobre o adnamento da alteração de endereço\n\nhttps://t.corp.amazon.com/V2107815602\n\n13/fev: @vholanda confirmou a alteração pela parte de transportes, falta retorno da villarbc</t>
  </si>
  <si>
    <t>3719149f-3f41-4f29-a9c8-5d29ac2d4971</t>
  </si>
  <si>
    <t>09/fev: seller está com ofertas em Onsite nao disponiveis\nhttps://t.corp.amazon.com/V2103348462</t>
  </si>
  <si>
    <t>77129c88-d056-4f7b-9e8a-154e635b1c49</t>
  </si>
  <si>
    <t>20/fev: vendedor quer alterar o endereço de coleta</t>
  </si>
  <si>
    <t>da4f7a66-a07e-4fa3-8245-5ee5776a57f7</t>
  </si>
  <si>
    <t>seller fez atualização de variação via seller central e alguns asins sumiram, constam como tombstoned\n\nSeller realizou uma atualização de variação via planilha, porém, houve a exclusão dos ASINs.\nGostaria de recuperar tanto os ASINs quanto suas avaliações. \nEm alinhamento com Arelys, foi possível recuperar essas questões.</t>
  </si>
  <si>
    <t xml:space="preserve">45030065502March    </t>
  </si>
  <si>
    <t>24b54eea-d829-422b-a4ab-ed041436ac8a</t>
  </si>
  <si>
    <t>Seller estava com dificuldate de incluir os ASIN em uma family</t>
  </si>
  <si>
    <t xml:space="preserve">481703768002December </t>
  </si>
  <si>
    <t>83a7f047-2abf-4b43-bd35-dad8f38f7c11</t>
  </si>
  <si>
    <t>Seller teve diversos asin de FBA que estavam com status de inativo, mas tinha estoque. time de FBA estava investigando o ocorrido.</t>
  </si>
  <si>
    <t>5f242729-3c1a-4d69-baca-85296a83068c</t>
  </si>
  <si>
    <t>Seller fez as devidas alterações no faturador, mas o asin continua enforcent, abri um solicitação pro time de FBA. http://t.corp.amazon.com/V2038006117</t>
  </si>
  <si>
    <t>32e56db7-2b75-4469-a21c-1201ea7cd270</t>
  </si>
  <si>
    <t>Seller está com diversas ofertas bloqueadas por tax-regime e já realizou as alterações necessárias. pedi para que reativassem os mesmo. total são 27 asins. https://t.corp.amazon.com/V2048300588</t>
  </si>
  <si>
    <t>d6f58c23-5a09-431a-a8d5-cc37d56a9062</t>
  </si>
  <si>
    <t>Pedidos apresentando erro durante a impressão da etiqueta de embarque, na etapa de embalagem.</t>
  </si>
  <si>
    <t xml:space="preserve">29271934502December </t>
  </si>
  <si>
    <t>cf4aa816-7d83-49f7-8481-e52c251f6c1d</t>
  </si>
  <si>
    <t>Item com estoque no onsite porém não reflete no Inventário. \nhttps://t.corp.amazon.com/V2033388931</t>
  </si>
  <si>
    <t>05f6e158-624c-416f-8537-bb72cb6fa649</t>
  </si>
  <si>
    <t>Erro no inventario FBA\nhttps://t.corp.amazon.com/V2039994404</t>
  </si>
  <si>
    <t>d06295d1-75c7-4206-919f-025abc93dd8e</t>
  </si>
  <si>
    <t>Estoque do seller consta como reservado e indisponível, abri um inbaud issue. \nhttps://t.corp.amazon.com/V2055713100</t>
  </si>
  <si>
    <t>edebb2c9-e7ec-45ba-a245-56690cc3ae94</t>
  </si>
  <si>
    <t>Seller recebeu um aviso que o EAN nas unidades recebidas no FC estão com EAN de outro produto, porém as imagens anexadas se trata de um produto fora do segmento do mesmo.\n14/01 - Seller trouxe a Issue\n15/01 - Bin check ok, aberto um Problem Receive Investigation por garantia</t>
  </si>
  <si>
    <t xml:space="preserve">119969424302January  </t>
  </si>
  <si>
    <t>c18273b6-f36f-44ce-bd4a-919df501f922</t>
  </si>
  <si>
    <t>Oferta híbrida, informado o passo a passo.</t>
  </si>
  <si>
    <t>381d867d-e4fa-46cc-ab04-da42ab10c7f5</t>
  </si>
  <si>
    <t>Policy Compliance por autenticidae, tem enviado as notas fiscais, contudo sem sucesso. A interpretação da NF está incorreta.\nASIN: B0F5DTBSXT\n20/01 - Seller trouxe o problema, aberto o abuse escalation (SIF)\n20/01 - Liberado ASIN em 25 minutos</t>
  </si>
  <si>
    <t>1a6db81e-e824-48b6-be2f-5208d51eb9b0</t>
  </si>
  <si>
    <t>O seller solicitu que removesse a avaliação negativa do pedido 702-4059820-0041827// https://na.vici.pars.amazon.dev/mpa-escalations/submit#/caseDetails/1767796741873796</t>
  </si>
  <si>
    <t xml:space="preserve">827345792502January  </t>
  </si>
  <si>
    <t>39f0e322-a94a-4715-a055-23256235161c</t>
  </si>
  <si>
    <t>Seller voltou a ter problemas com a marca Selene. solicitei pro time de backoffice me ajudar. https://t.corp.amazon.com/V2066740440\n\n16/01 - OFFSHORING: https://na.winston.a2z.com/Seller-BR/task/10005</t>
  </si>
  <si>
    <t>c98ee138-b1e7-414b-bd60-b492bdd8448c</t>
  </si>
  <si>
    <t>Seller solicita remoção da avaliação do pedido 701-7038766-3178640 // https://na.vici.pars.amazon.dev/mpa-escalations#/caseDetails/1768225220274537</t>
  </si>
  <si>
    <t>68ad1c8f-4897-4815-be9c-9276552ec9ed</t>
  </si>
  <si>
    <t>Seller solicita reembolso porque os itens que foram removidos, mas a etiqueta de seguraça está violadas.</t>
  </si>
  <si>
    <t>a1286cbd-f958-4877-ae10-d417d038234c</t>
  </si>
  <si>
    <t>Seller solicita reembolso do removal id: 251201PNS porque os produtos não estão aptos a venda.\n\nTT: https://t.corp.amazon.com/V2083605931</t>
  </si>
  <si>
    <t>0b489258-5798-4930-bac8-bc0409bf87c0</t>
  </si>
  <si>
    <t>Seller solicita reembolso do removal id: 251201P18 porque foi violado. \n\nTT: https://t.corp.amazon.com/V2083599529</t>
  </si>
  <si>
    <t>d97d4603-06ff-4ca2-858f-92d85a12f53c</t>
  </si>
  <si>
    <t>Seller solicitou o remoção do  pedido 702-5462092-5702619. \n\nhttps://na.vici.pars.amazon.dev/mpa-escalations/submit#/caseDetails/1769694930487769</t>
  </si>
  <si>
    <t>1ca77af4-b744-46c8-9d46-e449e97bb1bf</t>
  </si>
  <si>
    <t>Seller solicita remoção da avaliação negativa do pedido: 701-5034925-9719454\n\nhttps://na.vici.pars.amazon.dev/mpa-escalations/submit#/caseDetails/1769799511417595\n\n02/02 - https://na.vici.pars.amazon.dev/mpa-escalations/submit#/caseDetails/1770039835961728\n\n05/02 - https://na.vici.pars.amazon.dev/mpa-escalations/submit#/caseDetails/1770301089755542\n\n06/02 - https://na.vici.pars.amazon.dev/mpa-escalations/submit#/caseDetails/1770408015703865</t>
  </si>
  <si>
    <t>c8652c83-ca26-4828-8060-176b353b6254</t>
  </si>
  <si>
    <t>Oferta inativada, pandash L0, precisa ser classificado, enviado planilha e passo a passo para subir</t>
  </si>
  <si>
    <t xml:space="preserve">1026263719202October  </t>
  </si>
  <si>
    <t>60ec68f0-aedc-4a33-83ef-d479f20f4c06</t>
  </si>
  <si>
    <t>Seller esta com o ASIN B0DJG6B92Y blacklisted\n\nhttps://t.corp.amazon.com/V2136408957</t>
  </si>
  <si>
    <t xml:space="preserve">13351599302March    </t>
  </si>
  <si>
    <t>8b818121-5ba9-4c82-bdbc-ae0bf4938f7b</t>
  </si>
  <si>
    <t>Os clientes não conseguem seguir com o cancelamento de alguns pedidos do seller. \n06/02: Issue recebido</t>
  </si>
  <si>
    <t xml:space="preserve">245677411802February </t>
  </si>
  <si>
    <t>044ff327-de4e-49ba-9376-b7618c08cff4</t>
  </si>
  <si>
    <t>Seller quer entender o que é cada imposto nas vendas dele. \n02/02: Issue recebido\n02/02: tt aberto https://t.corp.amazon.com/V2095706748</t>
  </si>
  <si>
    <t>5259c87e-f2b5-4e0a-b56e-21f63f53295f</t>
  </si>
  <si>
    <t>Cliente não está conseguindo cancelar o pedido diretamente pelo SC. \n11/02: Issue recebeido</t>
  </si>
  <si>
    <t>139304bd-4f60-4c05-98a9-b24e51f5d03b</t>
  </si>
  <si>
    <t>Orientei o seller sobre um envio.</t>
  </si>
  <si>
    <t xml:space="preserve">98835860802December </t>
  </si>
  <si>
    <t>ef401b67-d22d-4c1c-8218-82accb3e226a</t>
  </si>
  <si>
    <t>Boa tarde, Tiago! Tudo bem? \n\nHoje saiu uma venda que o pacote excedeu 30kg, portanto, a Amazon gerou uma etiqueta para postagem nos correios. \n\nA agência dos correios recusou o pedido por exceder o peso permitido. Como postar esse pedido em questão? \n\nID do pedido: 702-4602549-3194660\n\nResposta: A logistica está como logistica do vendedor, você pode usar transportadoras terceiras para realizar o envio. \n\nVocê pode colocar um limite de unidades por pedido, para evitar problemas semelhantes no futuro.\n\nInfelizmente não há nenhuma ação da minha parte para lhe auxiliar.</t>
  </si>
  <si>
    <t xml:space="preserve">97759973202December </t>
  </si>
  <si>
    <t>aa02175b-9d5f-4271-8f07-8a1f34ea0191</t>
  </si>
  <si>
    <t>Alteração das fotos</t>
  </si>
  <si>
    <t>624d95a5-005a-48be-93df-ceed15ea91e8</t>
  </si>
  <si>
    <t>Hoje o carro enviado para retirar nossos pedidos do DBA era muito pequeno e não conseguiu levar todos. \n\nFicou 111 pedidos para trás. A\n\nAmanhã teremos mais de 300 pedidos para enviar e precisamos de um caminhão para retirar os pedidos.\n\n Como proceder? \n</t>
  </si>
  <si>
    <t>f6796c82-b379-47e8-b82d-0584a643119b</t>
  </si>
  <si>
    <t>14/jan: Coelta não passou resultando em penalidade das métricas de LSR. \n\n14/jan: Abri o tt de Exemptions https://t.corp.amazon.com/V2072484338\n\n16/jan: Exemptions aprovada</t>
  </si>
  <si>
    <t xml:space="preserve">474741185002January  </t>
  </si>
  <si>
    <t>d8f4e538-52b4-4274-b4a5-be91fc72260f</t>
  </si>
  <si>
    <t>14/janeiro: Seller informou que a coleta não passa a vários dias alegando que não localiza o endereço. Entrei em contato com o @vholanda\n\n15/jan: Coleta passou</t>
  </si>
  <si>
    <t>9ee7ac3f-3532-4dd5-8a95-f65141301d90</t>
  </si>
  <si>
    <t>16/jan: Seller entrou em contato que a conta tinha risco de inativação, analisei e vi que ele enviou o recursos.\n\nO indice que estava afetando era a AtoZ e mandei o PDF de como contestar essas métricas\n\nCaso o appeal seja negado, vou prosseguir com o PoA\n\n19/jan: Seller não respondeu meus contatos, porém abri o TT para a barb\nhttps://t.corp.amazon.com/V2078811518\n\n20/jan: Enviei o POA para o seller recorrer</t>
  </si>
  <si>
    <t>e61f90fe-86ad-4415-b4b9-f3852bcefecd</t>
  </si>
  <si>
    <t>23/jan: Asins que são para serem vendidos como DBA está saindo como MFN\nhttps://t.corp.amazon.com/V2081172041/communication\n\n27/jan: Cobrei updates\n\n28/jan: repsonsável do tt entrou em contato comigo e virou Tech Issue\n\n04/fev: O dev respondeu, segui o SOP não funcionou e cobrei eles (comuniquei o seller).\n\n09/fev: informam que não é possível transportar o ASIN via DBA\n\n11/fev: seller comunicado</t>
  </si>
  <si>
    <t>cd9bbb57-9410-430c-92cc-57c9e70124e1</t>
  </si>
  <si>
    <t>29/jan: entrou em cotnato referente a erro de preço. O produto está corretamente precificado, preço just.\n\nAbri o TT\n\nhttps://na.winston.a2z.com/Seller-BR/task/10250</t>
  </si>
  <si>
    <t>d673eee2-7dde-4857-b92f-927017da3ee3</t>
  </si>
  <si>
    <t>Atualizar o preço referência.\n10/02: Issue recebido\n19/02: Seller não retornou om a planilha preenchida para realizar a atualização. \n26/02: Envei o email para o seller.</t>
  </si>
  <si>
    <t xml:space="preserve">128174680202February </t>
  </si>
  <si>
    <t>165a82a5-ed6b-4ade-83d6-447c94c1ddc0</t>
  </si>
  <si>
    <t>Liberação de medium/high hazmat para seller flex</t>
  </si>
  <si>
    <t xml:space="preserve">414165418502October  </t>
  </si>
  <si>
    <t>16ba2250-2ded-4eef-bdfc-f0b795f72421</t>
  </si>
  <si>
    <t>Questionou sobre as solicitações da marca serem recusadas, ao analisar ela não enviou nenhum documento, por isso todas foram recusadas</t>
  </si>
  <si>
    <t>3b8ab2c0-caf7-4101-95f2-e81f19586143</t>
  </si>
  <si>
    <t>marcas recusadas pelo erro 5461</t>
  </si>
  <si>
    <t>a612f615-1030-4228-867f-ea7a2f39c2f0</t>
  </si>
  <si>
    <t>atualizar informações de título e descrição, trocar de 220v para bivolt</t>
  </si>
  <si>
    <t>512fc66d-f160-41b4-aa18-508a469c0ac4</t>
  </si>
  <si>
    <t>ASINs bloqueados por recall</t>
  </si>
  <si>
    <t>003626f8-0282-4490-9b6e-bbb9d7e08cba</t>
  </si>
  <si>
    <t>Problemas com a autorização para marca Philips</t>
  </si>
  <si>
    <t>7af9928e-f24c-43b7-9d3b-ca9317ec4e83</t>
  </si>
  <si>
    <t>problemas com isenção de métricas</t>
  </si>
  <si>
    <t>8e3880e4-eff5-446f-bd3d-38bc60a16211</t>
  </si>
  <si>
    <t>Pedido de devolução retornando para o endereço errado</t>
  </si>
  <si>
    <t>818b4f4d-f867-4bf5-9ebb-e9b04e15cac0</t>
  </si>
  <si>
    <t>problema com autenticação de usuário (semelhante a positivo etc)</t>
  </si>
  <si>
    <t>6ab93a40-ab39-4279-ac70-b96bcc9517fb</t>
  </si>
  <si>
    <t>Seller reclama que sofreu impacto mesmo contestando as métricas</t>
  </si>
  <si>
    <t>c21dba7a-3cc0-4198-9109-d45e09796892</t>
  </si>
  <si>
    <t>problema de autorização da Walita</t>
  </si>
  <si>
    <t>b7f9376a-25fc-49e0-8ae9-786dd0f5f34e</t>
  </si>
  <si>
    <t>Contestação de métricas</t>
  </si>
  <si>
    <t>7a61c2ec-0fc5-4888-b8bf-8489fcf0f0b8</t>
  </si>
  <si>
    <t>Liberação da marca Walita</t>
  </si>
  <si>
    <t>5b5c7a18-d2fe-4e50-a3a4-0e183e6d5e49</t>
  </si>
  <si>
    <t>Problema ao criar envio, diz ter atingido a capacidade, mas tem espaço.</t>
  </si>
  <si>
    <t xml:space="preserve">117086860802January  </t>
  </si>
  <si>
    <t>8f26bfa6-dc74-4363-8c51-2a133c7f3e9d</t>
  </si>
  <si>
    <t>20/01 - Seller entrou em contato citando problema de ASIN\'s inativos. Ao verificar, identifiquei problema no faturador e abri um chamado para FBA no mesmo dia. https://t.corp.amazon.com/V2079971802</t>
  </si>
  <si>
    <t>b0cca8dc-0552-43a9-9e6f-e694e96cdb69</t>
  </si>
  <si>
    <t>19/01: Seller entrou em contato para rever questões de integrações, as alterações em seu integrador (Plug.to) não está sendo exibida corretamente.\n19/01: Aberto um chamado para o time de integration investigar essa questão. https://t.corp.amazon.com/V2078679284</t>
  </si>
  <si>
    <t>a2242778-9901-4865-b468-f6898186e923</t>
  </si>
  <si>
    <t>Seller queria solicitar uma apelção para alguns ASINS mas realmente não tinha como, alguns produtos da fórmula não podem ser comercialziados na amazon, fora que também continham super dosagens que saiam do enquadramento de Suplemento Alimentar</t>
  </si>
  <si>
    <t xml:space="preserve">97596278102July     </t>
  </si>
  <si>
    <t>178f339d-ee07-449c-97ea-0cd7506d5aeb</t>
  </si>
  <si>
    <t>Seller solicitou correção de atributos de variação.</t>
  </si>
  <si>
    <t>6888197a-e5c5-45cc-8791-0fc633c05363</t>
  </si>
  <si>
    <t>Reembolsos. \nhttps://t.corp.amazon.com/V2065287206/overview</t>
  </si>
  <si>
    <t xml:space="preserve">247227556102January  </t>
  </si>
  <si>
    <t>0bc70051-d50d-4c82-bbbc-bd573e940498</t>
  </si>
  <si>
    <t>Oferta estava inativa pois o certificado digital do seller estava quase expirando. \n27/01: issue recebido.</t>
  </si>
  <si>
    <t>b34711ce-708d-444f-8056-82659a85f4e4</t>
  </si>
  <si>
    <t>ASIN B0DM6BKQGD, ele consta como ativo mas não está sellable, pedi um bincheck pra ver se o produto condiz com o anuncio e solicitar ativação</t>
  </si>
  <si>
    <t>16898656902September</t>
  </si>
  <si>
    <t>1ddfd8e9-bb70-4e04-8ed1-43f409df80d1</t>
  </si>
  <si>
    <t>ASIN B0CNS6S7MS inativo, pela análise parece ser um dos casos de invoicer, abri o TT já que não conseguimos rodar a query ainda</t>
  </si>
  <si>
    <t>7a8778ee-5b0b-4925-b9d9-f14ce59875a8</t>
  </si>
  <si>
    <t>Seller queria um relatório especifico e mostrei o caminho de como gerar</t>
  </si>
  <si>
    <t>8339da2e-9519-41db-a5c4-8d6177534a00</t>
  </si>
  <si>
    <t>Verificar envios para o CD. \n09/02: Issue recebido</t>
  </si>
  <si>
    <t xml:space="preserve">29271934502February </t>
  </si>
  <si>
    <t>6f32e7a4-2616-454b-97ff-1f6040d9b8d6</t>
  </si>
  <si>
    <t>Questiona alguns recebimentos, gostaria de saber do que se trata.</t>
  </si>
  <si>
    <t xml:space="preserve">101837981602January  </t>
  </si>
  <si>
    <t>9b22c679-9a69-482b-93be-676d3fcaa161</t>
  </si>
  <si>
    <t>Seller está com o ASIN: B0C3SZDWCB - Ativo e com estoque, porém, sem o botão de compra disponível. Após investigação vimos que o item se encontra em voldemort e será necessário um POA para ativação.\n\nTT aberto: https://na.winston.a2z.com/Seller-BR/task/9962</t>
  </si>
  <si>
    <t>d94be734-3621-4f0c-acac-9010ca1f6ca3</t>
  </si>
  <si>
    <t>Seller estava com problema ao criar o ASIN B094W5WM3Z  na modalidade de FBA pois estava repetindo o mesmo SKU, solicitei colocar FBA no inicio do SKU</t>
  </si>
  <si>
    <t xml:space="preserve">117086860802March    </t>
  </si>
  <si>
    <t>ed720792-3d91-44ef-bcb2-a41cfab3d27b</t>
  </si>
  <si>
    <t>problema de invoicer sem motivo aparente no asin (problema geral de FBA)\naberto o chamado offer unblock: https://t.corp.amazon.com/V2127115152</t>
  </si>
  <si>
    <t>859daae3-68eb-438a-b8b5-1efb9dd5c42c</t>
  </si>
  <si>
    <t>Seller está com todos os ASIN de FBA bloqueado, aparentemente por motivo de Certificado Digital. mas o Certificado está OK, tem Ticket Rolando V1929632331</t>
  </si>
  <si>
    <t>72695582302September</t>
  </si>
  <si>
    <t>0582b501-50bf-402a-a732-acfefc05216d</t>
  </si>
  <si>
    <t>Seller esta tentando criar uma categoria de moveis de bebe, mas esta tendo seus docs negados, então abrimos um ticket p analise. V1939417306</t>
  </si>
  <si>
    <t>e2150e3f-290f-4c1c-a61e-7c5075f44514</t>
  </si>
  <si>
    <t>Seller estava com problemas pra criar uma nova categoria pra vender seu produtos, mas ele ainda não tinha sua marca registrada no seller central. foi orientado que ele registre primeiro.</t>
  </si>
  <si>
    <t>d9d26b34-e786-40b7-9488-b78a50a46edb</t>
  </si>
  <si>
    <t>Seller continua com diversos asins inativo em FBA. \n\nhttps://t.corp.amazon.com/V2126930553</t>
  </si>
  <si>
    <t xml:space="preserve">601998582602March    </t>
  </si>
  <si>
    <t>01b181f3-00c9-4319-bbbc-530d5a3cbe3f</t>
  </si>
  <si>
    <t>Seller atualizou seu certificado, mas as ofertas continuam inativas, solicitei reativação das offers. \n\nhttps://t.corp.amazon.com/V2125677661</t>
  </si>
  <si>
    <t>d6d6e81d-a1a6-444d-ad0a-324650ce1bec</t>
  </si>
  <si>
    <t>Seller esta com diversas offers inativas, mas eles precisam atualizar a tributação no faturador</t>
  </si>
  <si>
    <t>295d2dd1-49a8-47fb-bfd8-2a3ccf85c95c</t>
  </si>
  <si>
    <t>item em tombstoned\nTT aberto: https://na.winston.a2z.com/Seller-BR/task/9977</t>
  </si>
  <si>
    <t xml:space="preserve">1096087678002January  </t>
  </si>
  <si>
    <t>a460cea4-c954-4792-b967-109f67eb44e3</t>
  </si>
  <si>
    <t>26/01 - Problemas para inserir ASIN no envio para FBA.\n26/01 - Orientei o seller que outros vendedores estão com este problema, solicitei verificar as dimensões do produto e caso não funcionasse aguardar.</t>
  </si>
  <si>
    <t>b4a1c76a-f721-48f3-816b-f3c056228ebc</t>
  </si>
  <si>
    <t>26/01 - Solicitou ajuda com o ASIN: B0GJFT1S22 , pois consta como medicamento, porém, o ASIN não possui nenhuma restrição do tipo.\n26/01 - Aberto um chamado para o time de RISC: https://t.corp.amazon.com/V2087239791</t>
  </si>
  <si>
    <t>fbb0047f-0187-4626-b072-a0e5bd2109b1</t>
  </si>
  <si>
    <t>Não estamos conseguindo acessar a página de oferta do produto B0FKDBQLGK.\nEle direciona para a página de erro dos cachorros da Amazon.</t>
  </si>
  <si>
    <t xml:space="preserve">361885515402December </t>
  </si>
  <si>
    <t>9320aafb-396f-44fe-bb01-c0b171944dab</t>
  </si>
  <si>
    <t>Seller não consegue adicionar estoque\n\nEstou com dificuldades em adicionar estoque ao produto B0754K3Y2Z (FNSKU X003GRA65J)\nEle dá erro de FBA conforme print. Já realizei a alteração do modo de envio para Vendedor e depois retonei para FBA, inseri as infos adicionais que pediram e ainda está com problemas para adicionar estoque.</t>
  </si>
  <si>
    <t>e36f0259-74ba-4811-b78f-934e48c3aca1</t>
  </si>
  <si>
    <t>tentar corrigir os casos de hybrid offer</t>
  </si>
  <si>
    <t>0ab624cb-c800-4dce-bf24-76df065bdf7b</t>
  </si>
  <si>
    <t>2/FEV: Forneceu documentação para contestar AtoZ\n\nhttps://issues.amazon.com/issues/V2095456556\n\nhttps://issues.amazon.com/issues/V2095469135\n\n701-1080586-10117825: Não está impactando\n\nhttps://issues.amazon.com/issues/V2095474429\n\nhttps://issues.amazon.com/issues/V2095483044\n\nhttps://issues.amazon.com/issues/V2095496210\n\nhttps://issues.amazon.com/issues/V2095506073\n\nhttps://issues.amazon.com/issues/V2095521376\n\nhttps://issues.amazon.com/issues/V2095526091\n\n04/fev: Apenas 1 foi aceito, 1 não constava, 1 não enviou appeal e as demais foram recusadas</t>
  </si>
  <si>
    <t xml:space="preserve">11613361102February </t>
  </si>
  <si>
    <t>421b830f-988f-4ec2-b4a1-65498fb5a8a4</t>
  </si>
  <si>
    <t>05/fev: Informou que não teve resposta adequada no chamado 19369745031 . Realizei abertura pro time responsável:\nhttps://t.corp.amazon.com/V2099015991\n\n11/fev: aguardando\nhttps://t.corp.amazon.com/V2104243048/communication\n\n13/fev:\nComunicação seller e cobrança TT\n\n19/fev: reabri o ticket do @viktocae e cobrei\n\n20/fev: seller precisa criar um novo chamado para prosseguir com reembolso\n\n23/fev: reforcei o chamado</t>
  </si>
  <si>
    <t>cb0b38f4-f48d-4c26-9a67-ecc86d861b52</t>
  </si>
  <si>
    <t>20/fev: recurso que a Amazon deu no processo foi recusado, e o seller pediu apoio na tratativa.</t>
  </si>
  <si>
    <t>aa618e1c-38bc-4045-801c-8e042c16d5f1</t>
  </si>
  <si>
    <t>27/fev: seller está com problemas no T-REX\no OPS owner vai fazer a comunicação no grupo do ZAP-ZAP</t>
  </si>
  <si>
    <t>6976fa3a-bd85-4d45-b465-41498afd79fb</t>
  </si>
  <si>
    <t>26/fev: Não tem autorização para vender produtos novos da Apple\n\n04/março: Segui com 2 steps, primeiro a liberação com Selection Boost e 5461:\n\nhttps://na.winston.a2z.com/Seller-BR/task/11373</t>
  </si>
  <si>
    <t>72b2339c-2f76-4438-a574-b0a0b0e2dcf1</t>
  </si>
  <si>
    <t>Seller teve dificuldades de adicionar ASIN no Inbound, após verificação, faltava o preenchimento das planilhas fiscais</t>
  </si>
  <si>
    <t>10369153302September</t>
  </si>
  <si>
    <t>cd8dd809-0704-414b-bf69-d64fc6ce525b</t>
  </si>
  <si>
    <t>Oferta inativa, erro de invoicer mas foi pane da Amazon - ICS:182</t>
  </si>
  <si>
    <t>6f9e5c00-f766-46fc-91c5-2f5421c4e2fa</t>
  </si>
  <si>
    <t>Cliente reclama de entregas mal sucedidas, e questionou se era algum problema, só fiz um education</t>
  </si>
  <si>
    <t>630f1853-7ea3-4bb7-ad8e-28b9dde2b413</t>
  </si>
  <si>
    <t>Erro 866 de nota, não conseguimos resolver problema do faturador, direcionei para o suporte de SPS pois lá eles tem o caminho para esse erro</t>
  </si>
  <si>
    <t>81c22bb0-a1c0-45fb-9d87-aab853f507d9</t>
  </si>
  <si>
    <t>Seller questionou que os itens estavam classificados como Hazmat, por ser Seller Flex é necessário passar por um treinamento para liberação de Medium/HIgh Hazmat\n\nFalta ele concluir o treinamento</t>
  </si>
  <si>
    <t>14700451-84c1-46c8-b63f-4ef31a5e1aef</t>
  </si>
  <si>
    <t>Seller teve os ASINs suprimidos pela imagem principal. \nhttps://na.winston.a2z.com/Seller-BR/task/10316</t>
  </si>
  <si>
    <t xml:space="preserve">755841394202February </t>
  </si>
  <si>
    <t>e7f4a13e-406e-4bea-bca5-e89bb0048a83</t>
  </si>
  <si>
    <t>Seller estava questionando sobre o ASIN que foi enviado para FBA, mas ainda estava reservado, mas o envio ainda está em processo de recebimento.</t>
  </si>
  <si>
    <t>f7df5f15-8992-4094-811b-ed38307dad62</t>
  </si>
  <si>
    <t>O seller informou que o asin não estava refletindo no site, mas está</t>
  </si>
  <si>
    <t>e2a7b485-a85b-4ac8-827b-bcf733c9eb32</t>
  </si>
  <si>
    <t>O Seller precisa classificar os ASIN para Hazmat antes de enviar-los para FBA.\n\nhttps://t.corp.amazon.com/V2106676600\n\n19/02 - https://t.corp.amazon.com/V2114096693</t>
  </si>
  <si>
    <t>c6f99712-09cb-4151-89f5-4bb2bb60f3a4</t>
  </si>
  <si>
    <t>12/março: solicitou o cadastro de alguns ASINs, porém de 1 em especifico houve erro,\n\nOs URL das imagens não estavam válidos</t>
  </si>
  <si>
    <t xml:space="preserve">597004571302March    </t>
  </si>
  <si>
    <t>cfcb5f3d-89cd-4ba3-8aff-7db5c184ac7c</t>
  </si>
  <si>
    <t>Os pedidos abaixo tiveram desconto de comissão no repasse, contudo, não foi emitida a nota fiscal de serviço dos pedidos. \nPor gentilezae, verificar o envio de notas fiscais de comissões referente a pedidos descontados nos repasses de JUN e JUL de 2025 que totaliza R$ 29.019,24.\nSegue em anexo os pedidos detalhados com data do desconto no repasse.</t>
  </si>
  <si>
    <t xml:space="preserve">58401384302November </t>
  </si>
  <si>
    <t>a7388e2d-a554-49ba-b41f-a74fd5cbcc44</t>
  </si>
  <si>
    <t>tec issue</t>
  </si>
  <si>
    <t>2c9933a5-5d19-457e-b387-d21f66b2a0fb</t>
  </si>
  <si>
    <t>b72fc898-4d73-415c-a201-877c16667ad2</t>
  </si>
  <si>
    <t>Item em tombstoned</t>
  </si>
  <si>
    <t xml:space="preserve">434163431202December </t>
  </si>
  <si>
    <t>c70757d4-5431-493a-9e56-d110938362d0</t>
  </si>
  <si>
    <t xml:space="preserve">366327938802October  </t>
  </si>
  <si>
    <t>b592e992-0418-4eca-a3a2-d5e695b0999d</t>
  </si>
  <si>
    <t>CAU Description\n</t>
  </si>
  <si>
    <t>4d6987b2-7c25-43a7-8290-a5fa0d7b0b99</t>
  </si>
  <si>
    <t>erro 5461 com as marcas Aoteli, Esmaltec, Goodyear e Atlas</t>
  </si>
  <si>
    <t>95abbe20-7254-482b-9acf-6a7eb941241c</t>
  </si>
  <si>
    <t>Problemas ao enviar planilha pro time de offshoring</t>
  </si>
  <si>
    <t>d25ade2e-0e83-4852-beed-0254ac2f44cb</t>
  </si>
  <si>
    <t>Aguardando a Amanda enviar as fotos para solicitar alteração</t>
  </si>
  <si>
    <t xml:space="preserve">55427353102August   </t>
  </si>
  <si>
    <t>3c50d9d5-5d2f-45ec-b9ab-d1b20eca2800</t>
  </si>
  <si>
    <t>seller solicitou alteração de 2 títulos, e correção de 2 ASINS</t>
  </si>
  <si>
    <t>7fd9ee54-1034-42d5-a18d-179c2d83d1bc</t>
  </si>
  <si>
    <t>MFI - FBA18WV7YH2J \nSolicitei um check pro pessoal de inbound do GRU9 - confirmaram que os itens não estão no fc\nsolicitei comprovante de coelta da tex e os docs pro seller - transportadora entregou e o fc bipou\nseguiremos com o caso que o shpiment não fehcha\n\naguardo resposta do brunao</t>
  </si>
  <si>
    <t>e7cbc784-2c57-41ff-b9e6-ab989999d6f4</t>
  </si>
  <si>
    <t>Oferta hibrida - Mostrei o caminho para solicitar remoção do impacto de cancelamento, e ela não tinha aberto chamado, instrui a abrir (18336355581) - e eestou fazendo o acompanhamento</t>
  </si>
  <si>
    <t>658da04a-28b9-4109-a849-7fe90beab565</t>
  </si>
  <si>
    <t>Seller tinha dúvidas sobre informações do relatório e fiz a explicação pra ele</t>
  </si>
  <si>
    <t>a4d88fed-a63a-41a3-b177-e874d7d33966</t>
  </si>
  <si>
    <t>Dúvida se embalagem diferente, terá que criar novo asin</t>
  </si>
  <si>
    <t xml:space="preserve">449549597602November </t>
  </si>
  <si>
    <t>f6f7cdc8-b7e6-48d2-86a5-328f0ea37604</t>
  </si>
  <si>
    <t>Problema do sku duplicado</t>
  </si>
  <si>
    <t>91b8472f-167a-4dba-ab69-11b567aca5ee</t>
  </si>
  <si>
    <t>Erro 5995 - seller não consegue alterar marca no integrador, pedi pro time de listing realizar o MAtch</t>
  </si>
  <si>
    <t>47cdd469-f5fe-46be-a315-5ca157c69588</t>
  </si>
  <si>
    <t>bee75092-04de-4d1d-9662-18045b8df220</t>
  </si>
  <si>
    <t>problema de sku duplicado</t>
  </si>
  <si>
    <t>bacfe18c-11c9-4893-b1ef-e8d663d071b9</t>
  </si>
  <si>
    <t>Correção de título</t>
  </si>
  <si>
    <t>24fcceb2-dbd7-4c11-9497-db2b202f5a4d</t>
  </si>
  <si>
    <t>duvidas sobre branches</t>
  </si>
  <si>
    <t>be327f19-849a-43aa-9c0a-bf3977c64163</t>
  </si>
  <si>
    <t>New ASINs\n2224259\tBicicleta Elétrica Vitte Plus 800W 32km/H - Capacidade 120Kg, Branca, Bivolt\n2224261\tBicicleta Elétrica Vitte Plus 800W 32km/H - Capacidade 120Kg, Vermelha, Bivolt\n2224262\tBicicleta Elétrica Vitte Plus 800W 32km/H - Capacidade 120Kg, Preta, Bivolt\n2224265\tBicicleta Elétrica Bella 500w 32km/h Capacidade 180kg Bivolt Verde Musgo\n2224266\tBicicleta Elétrica Bella 500W 32km/h - Capacidade 180Kg, Preto, Bivolt\n2224379\tBicicleta Elétrica YIWU Maggie 500W 30km/h - Capacidade 120Kg, Marrom/Bege, Bivolt\n2224433 BICICLETA ELETRICA LIVING BEST 750W 32KM/H CAPACIDADE 150KG PRETA PUNHO PRETO\n2224434 BICICLETA ELETRICA LIVING BEST 750W 32KM/H CAPACIDADE 150KG PRETA COM PUNHO MARROM</t>
  </si>
  <si>
    <t>68380eff-a26e-44ce-a75d-22dc2b8ac030</t>
  </si>
  <si>
    <t>precisa corrigir as fotos</t>
  </si>
  <si>
    <t>80807605-3605-41e9-a4b3-e2f79b536559</t>
  </si>
  <si>
    <t>Rich Media Update</t>
  </si>
  <si>
    <t>b1846586-a93b-4d34-8a15-ea1dde179738</t>
  </si>
  <si>
    <t>Oferta não está buyable</t>
  </si>
  <si>
    <t>14cf0bfd-253b-49fe-a087-42776ba3a87f</t>
  </si>
  <si>
    <t>Liberação marca Coli</t>
  </si>
  <si>
    <t>7f110385-e223-4c33-841d-14cb680e4b1f</t>
  </si>
  <si>
    <t>offer caiu, não consta nada no buyability</t>
  </si>
  <si>
    <t>1e9ec1e3-532e-4b71-a18c-dc2931f9606b</t>
  </si>
  <si>
    <t>Realizar o MATCH correto</t>
  </si>
  <si>
    <t>a95de7d7-be76-41a0-b0a2-c15555fab3f5</t>
  </si>
  <si>
    <t>Informação de voltagem na descrição está "110" ao invés de 220v</t>
  </si>
  <si>
    <t>374a1c96-97a9-4664-9eb6-2bbb723300db</t>
  </si>
  <si>
    <t>Trocaram as fotos</t>
  </si>
  <si>
    <t>adfcd236-fff1-4751-9fc2-1e042eb22e3c</t>
  </si>
  <si>
    <t>c3d5f2d5-7527-442f-931e-c4231a8be567</t>
  </si>
  <si>
    <t>Seller solicita isenção de métricas pedidos DBA, coleta não passou no dia 29/01. \nDia 29/01 - Seller avisou sobre o problema, e foi orientado a notificar quando o pedido fosse enviado.\n05/02 - Seller disse que recebeu notificação de que a conta pode ser desativada em 72h. \nSeller não havia retornado sobre o envio para solicitar a isenção.\nAberto ticket para EX solicitando a isenção.\nhttps://t.corp.amazon.com/V2098937811 \nPediu para aguardar 48h para remover (prazo até sábado 07/02)\nAinda com indice de LSR\n09/02 (segunda) - Constestado novamente no ticket.\n13/02 - Verificado e removido\n</t>
  </si>
  <si>
    <t xml:space="preserve">774839834202February </t>
  </si>
  <si>
    <t>59ff833f-b073-4ffc-a2cb-fd28d99e39ac</t>
  </si>
  <si>
    <t>Seller solicita reembolso de um pedido que está em processo de devolução e não teve atualização desde o dia 29/10 no rastreio</t>
  </si>
  <si>
    <t xml:space="preserve">94015899402November </t>
  </si>
  <si>
    <t>cd5dba17-04fb-4621-b0ae-c957c8241193</t>
  </si>
  <si>
    <t>Seller solicita reembolso de alguns pedidos, lançado no dia 27/10 em Pagamentos no seller central</t>
  </si>
  <si>
    <t>051146a6-662f-49a9-8900-2448f0aff80a</t>
  </si>
  <si>
    <t>Seller solicita reembolso do pedido 702-3556730-4313048, cliente fora do prazo da política.</t>
  </si>
  <si>
    <t>cf526243-5c08-4a4b-bf90-ff772d97d2cf</t>
  </si>
  <si>
    <t>Seller informa que teve uma grande quantidade de unidades em um único pedido onde não consegue enviar em uma única etiqueta. Vai ter que cancelar e informado o passo a passo para limitar quantidade por pedido.</t>
  </si>
  <si>
    <t>1b08e1ca-6032-47fc-b2a8-5dadde6edd7b</t>
  </si>
  <si>
    <t>Seller teve que cancelar 3 pedidos por conta da limitação para envio item grande diversas quantidades e apenas uma etiqueta para envio.</t>
  </si>
  <si>
    <t>fb2240c5-0acb-4229-8bc4-b4565fcfc3a0</t>
  </si>
  <si>
    <t>Asin está ativo no seller center porém a oferta não reflete no site.</t>
  </si>
  <si>
    <t xml:space="preserve">24558652202November </t>
  </si>
  <si>
    <t>f52bbe53-a3da-41f8-b707-f7e5a625a652</t>
  </si>
  <si>
    <t>Isenção de métricas.</t>
  </si>
  <si>
    <t>b5554879-ffc3-47a0-9aed-72312e8cb266</t>
  </si>
  <si>
    <t>3e963755-4923-45ac-b9a1-d765256e73b9</t>
  </si>
  <si>
    <t>Pedidos não foram coletados.</t>
  </si>
  <si>
    <t>1ab5dffb-4a9b-4591-a67e-b994caf425f8</t>
  </si>
  <si>
    <t>Aguardando coleta de alguns pedidos na filial desde 19/11</t>
  </si>
  <si>
    <t>fc3de5b5-f9ac-4b2f-8ac7-9d9f7894ef5e</t>
  </si>
  <si>
    <t>ASIN estava em recal mas foi liberado, após isso as units que estavam no FC não liberaram.</t>
  </si>
  <si>
    <t>508996769902September</t>
  </si>
  <si>
    <t>cb9716eb-924c-46f1-aafd-9cc51ae2728c</t>
  </si>
  <si>
    <t>0727e6ec-cc4f-4f96-a64c-46c7157cd05a</t>
  </si>
  <si>
    <t>Seller enfrenta problemas para criação de ASIN mesmo com a autorização da marca</t>
  </si>
  <si>
    <t>7096d6d4-97d7-470a-a77a-fa1b60708597</t>
  </si>
  <si>
    <t>solicitação para vender itens da marca recusado, e não consegue criar asins da HP com condição de novo</t>
  </si>
  <si>
    <t>d558b0a8-2f29-49aa-aee2-465d16a2d6fc</t>
  </si>
  <si>
    <t>Informação de conectividade divergente, e isso está resultado em reclamações</t>
  </si>
  <si>
    <t>8c8ac08d-0e9d-414e-a82f-114b33123f65</t>
  </si>
  <si>
    <t>Product Condition Complaint</t>
  </si>
  <si>
    <t>9c7991c2-3561-4c22-805b-648b7cc19c3b</t>
  </si>
  <si>
    <t>seller não consegue cadastrar o produto devido ao erro 8541</t>
  </si>
  <si>
    <t>8f8dd8c8-6217-4a3b-81e1-847bae054564</t>
  </si>
  <si>
    <t>seller queria converter os itens para fba de maneira massiva</t>
  </si>
  <si>
    <t>91919092-b2b3-470d-b2cf-94809d760acb</t>
  </si>
  <si>
    <t>Seller questionou o ASIN inativo, ao checar no CSI ele estava ativo normal, quando realizei a consulta no Pandash está clássificado como L6, ele só deve fornecer a planilha no seller central para liberação do ASIN</t>
  </si>
  <si>
    <t>2b7e1165-de10-4ae8-989f-9e2ad676e371</t>
  </si>
  <si>
    <t>Seller questionou que o ASIN estava inativo, ao checar no CSI estava ativo normal, ao realizar consulta no Pandash estava classificado como UTC5</t>
  </si>
  <si>
    <t>3a59d4c0-c6ce-4637-8034-63dd9e90e727</t>
  </si>
  <si>
    <t>cd0c0035-cf4b-4ad7-9ce8-619821ee2f0a</t>
  </si>
  <si>
    <t>ASIN foi movido para recall, pedi os documentos para enviar apelação para ativação do ASIN</t>
  </si>
  <si>
    <t>2e67dd5a-d7ad-4ff5-9520-ef460e157872</t>
  </si>
  <si>
    <t>Seller com dúvidas sobre o faturador.\nICMS e retorno simbólico.\n(resposta muito grande para colocar aqui).\n02/03 - trouxe a issue\n02/03 - Explicado no case</t>
  </si>
  <si>
    <t xml:space="preserve">283888426602March    </t>
  </si>
  <si>
    <t>77bd6389-7e36-4cac-8ee1-5ead58286071</t>
  </si>
  <si>
    <t>B0DCKBMVH9 - Seller com oferta bloqueada, erro do faturador.\n03/03 - Trouxe a issue, aberto TT\nhttps://t.corp.amazon.com/V2127438708\n04/03 - Oferta ativa.</t>
  </si>
  <si>
    <t>1cbf89fd-56ed-4531-855d-5c8a29ddf714</t>
  </si>
  <si>
    <t>Seller com inbound não iniciado. Entregue dia 28/02.\n09/03 - Trouxe a issue. Aberto Inbound Issues.\nhttps://t.corp.amazon.com/V2133623203\n12/03 - Processo de inbound começou no dia 10 e previsto para terminar hoje 12/03. Encerrando task</t>
  </si>
  <si>
    <t>baad6666-3d59-45cf-b40d-22806a4d1ee1</t>
  </si>
  <si>
    <t>Caso de Inativação por Políticas da Amazon, foi feito o bincheck e o mesmo enviou a apelação para reativação do ASIN</t>
  </si>
  <si>
    <t xml:space="preserve">1041281178802August   </t>
  </si>
  <si>
    <t>189e5fc2-6160-4399-8610-f9d81c07df11</t>
  </si>
  <si>
    <t>Tenho um Asin que foi recebido pelo FBA, foi contado, e agora esta com status de reservado. Pode validar e pedir a liberação pra venda por favor.\nASIN B0DP3JT2SL\nCódigo SKU 32182</t>
  </si>
  <si>
    <t>3ad445e7-b2bc-4b2b-8648-82c0a5a4f690</t>
  </si>
  <si>
    <t>Seller teve problema com a ODR e solicito que removesse o impacto. https://issues.amazon.com/issues/V2065705723</t>
  </si>
  <si>
    <t xml:space="preserve">13351599302January  </t>
  </si>
  <si>
    <t>3784e850-fbd8-493c-86cd-c7e8b5503e18</t>
  </si>
  <si>
    <t>Seller solicitou a remoção da avaliação negativa do pedido 701-9105146-6453830// https://na.vici.pars.amazon.dev/mpa-escalations/submit#/caseDetails/1768228624319453</t>
  </si>
  <si>
    <t>3278107c-0245-4368-8cac-fab7566c4442</t>
  </si>
  <si>
    <t>Seller solicita a reividicação de A a Z do pedido 701-8107940-0163450 \n\nhttps://issues.amazon.com/issues/V2081326187</t>
  </si>
  <si>
    <t>83d36772-5aef-4dc0-8e6e-ad6683e67c02</t>
  </si>
  <si>
    <t>Seller solicitou a remoção da avaliação negativa do pedido 702-6418321-1304229\n\nTicket: https://na.vici.pars.amazon.dev/mpa-escalations/submit#/caseDetails/1769455750953210</t>
  </si>
  <si>
    <t>d96aa9a7-40d0-480e-ae67-af009dd3204a</t>
  </si>
  <si>
    <t>Reividicação de A a Z do pedido 701-5643296-6423459\n\nTicket: https://issues.amazon.com/issues/V2088546686</t>
  </si>
  <si>
    <t>f9bbbd20-23bf-45e0-b47d-4394a8e13e5e</t>
  </si>
  <si>
    <t>Seller quer atualizar a conta bancaria dele porém só aparece opção dos EUA e não Brasil.</t>
  </si>
  <si>
    <t xml:space="preserve">16137818802October  </t>
  </si>
  <si>
    <t>efa58db5-3bc9-4171-9564-b882aeeae396</t>
  </si>
  <si>
    <t>Seller teve o asin B089B6FQXC enforced por suspeita de falsificação, solicitei prioridade com o time pra conseguir liberar pro MOP https://t.corp.amazon.com/V1959104567</t>
  </si>
  <si>
    <t xml:space="preserve">93900917902October  </t>
  </si>
  <si>
    <t>7f62f3bf-412c-46da-b730-92343b7969a0</t>
  </si>
  <si>
    <t>Seller não está conseguindo transformar variação de um asin em FBA. Verificando com maluiz</t>
  </si>
  <si>
    <t>80c0f42a-0b2a-4b76-a91b-2b33b81ced9a</t>
  </si>
  <si>
    <t>Seller solicita desbloqueio de oferta, já ajustou os dados fiscais.</t>
  </si>
  <si>
    <t>00fdcd6d-308a-4037-9975-cbd247679e9a</t>
  </si>
  <si>
    <t>Seller teve alguns pedidos de price error em outubro em agora em dezembro alguns pedidos voltaram a está ativos. https://t.corp.amazon.com/P347080818</t>
  </si>
  <si>
    <t xml:space="preserve">244366726002December </t>
  </si>
  <si>
    <t>17424962-f5b4-4b81-a35d-fe6ac95b139e</t>
  </si>
  <si>
    <t>Seller estava com duvida de como ia funcionar o envios durante o feriado</t>
  </si>
  <si>
    <t>c6227f10-ddf5-4cc9-9a4e-4debcfed8c55</t>
  </si>
  <si>
    <t>problemas com devolução</t>
  </si>
  <si>
    <t xml:space="preserve">11613361102October  </t>
  </si>
  <si>
    <t>7111788d-7cd6-4403-af52-8e6a6bdff600</t>
  </si>
  <si>
    <t>Problemas para processar devoluções no T-Rex - estou aguardando o seller enviar o video para prosseguir com a correção</t>
  </si>
  <si>
    <t>341ff5b0-7b55-41fc-9fd2-0f31d83c35ae</t>
  </si>
  <si>
    <t>Questionou sobre os pedidos de retirada 251006181L e 2509241CL4.</t>
  </si>
  <si>
    <t>4fbc88d7-8f72-4bd7-b1f0-d581d835ea5f</t>
  </si>
  <si>
    <t>recorrer garantia a to z</t>
  </si>
  <si>
    <t>e426976f-1e9e-4557-bfbe-da309297a1a8</t>
  </si>
  <si>
    <t>asin reservado</t>
  </si>
  <si>
    <t>bc42af1b-9bff-4a4f-aaa7-7537d98c98f9</t>
  </si>
  <si>
    <t>seller questionou porque o pedido de remoção dele estava pendente, na verdade não estava pendente havia sido cancelado, ele solicitou remoção de 2 unidades, porém 1 foi danificada pela Amazon e ele seria reembolsado, então ele deveria solicitar a remoção apenas de 1</t>
  </si>
  <si>
    <t>223cdffc-97c7-4acc-a122-3a0fe4eff698</t>
  </si>
  <si>
    <t>seller queria que entrasse em contato para comunicar o cliente que devolveu um celular bloqueado</t>
  </si>
  <si>
    <t>d304065b-0039-4470-8406-fec8008ae01a</t>
  </si>
  <si>
    <t>Seller esta com o ASIN em Blacklist, mandei o PoA para poder reativar.</t>
  </si>
  <si>
    <t xml:space="preserve">639370275302December </t>
  </si>
  <si>
    <t>6506e9ae-983b-4123-b365-90ccb3f22d33</t>
  </si>
  <si>
    <t>Seller informa que não terá operacional nos dias 26/12 e 02/01, o time de feriados de ES informou que já estão setados pra isso.</t>
  </si>
  <si>
    <t>0f048693-ad72-4e82-801f-b335ce1705ed</t>
  </si>
  <si>
    <t>seller questionou porque estava sem o Selo Prime, e expliquei o motivo, que não possui selo prime por questão de CEP</t>
  </si>
  <si>
    <t xml:space="preserve">16116314302August   </t>
  </si>
  <si>
    <t>ecb80857-19d6-4b6d-9a9f-99f8ded1bd8c</t>
  </si>
  <si>
    <t>seller queria saber quais pedidos ele estava sofrendo impacto e passei o caso para a OPS OWNER e também informei os pedidos em questão que a ops owner me passou\n\na ops owner informou que passou o processo pra eles</t>
  </si>
  <si>
    <t>fd390d42-d1eb-4cf3-a204-bcc44ae0e2b0</t>
  </si>
  <si>
    <t>Seller com problema de emissão de etiqueta de um pedido OnSite</t>
  </si>
  <si>
    <t xml:space="preserve">230755558102December </t>
  </si>
  <si>
    <t>a1a557d0-c892-440e-b18d-ae549bf0e00e</t>
  </si>
  <si>
    <t>B0G26K5MDY - Liberação de Hazmat\n</t>
  </si>
  <si>
    <t>3109e290-6d8c-498f-9f2c-3cb3cd519c4e</t>
  </si>
  <si>
    <t>B0G2669CRC - Liberação de hazmat</t>
  </si>
  <si>
    <t>7d7f3e12-a3e2-4843-88b8-761582665227</t>
  </si>
  <si>
    <t>B0G26FL3NG - Classificação de Hazmat</t>
  </si>
  <si>
    <t>35108a22-c6bd-48fa-9ebe-be744b268605</t>
  </si>
  <si>
    <t>Asins com Gating \n19/12: Issue recebido \n20/01: Aguardando informações do seller. \n28/01: Seller encaminhou informações que faltava, tt aberto https://t.corp.amazon.com/V2089873804\n29/01: novo tt aberto pelo time https://t.corp.amazon.com/V2091002371\n24/02: Os asins não estão dando Math com os certificados enviados. A Bruna Paoleschi está verificando com o responsável pelo caso.</t>
  </si>
  <si>
    <t xml:space="preserve">128174680202January  </t>
  </si>
  <si>
    <t>85bfebed-d2b3-4ea5-a3c1-19bd6e318020</t>
  </si>
  <si>
    <t>seller está com o asin bloqueado por invoicer issue. criei um tt pra o time https://t.corp.amazon.com/V2002474772</t>
  </si>
  <si>
    <t xml:space="preserve">639370275302November </t>
  </si>
  <si>
    <t>0d915e58-8e20-455b-855e-61dc92623b62</t>
  </si>
  <si>
    <t>Seller teve sua conta de FBA inativada por motivo de certificado, solicitei pro time desbloquear. https://t.corp.amazon.com/V2003823395</t>
  </si>
  <si>
    <t>f5c1be27-5bda-45ad-90e2-2f37d670cc07</t>
  </si>
  <si>
    <t>Seller estava com dúvida de como excluir um email das permissões de usuário.</t>
  </si>
  <si>
    <t>1030040901202September</t>
  </si>
  <si>
    <t>0df74fc1-5413-4249-971e-ed5332c45256</t>
  </si>
  <si>
    <t>Seller solicitou um comprovante de cadastro ativo, indiquei visualizar via seller central nas informações da conta e sua caixa de entrada no e-mail ao criar a conta na Amazon.</t>
  </si>
  <si>
    <t xml:space="preserve">734743947702November </t>
  </si>
  <si>
    <t>9c7978ac-b5ab-4fa4-a859-3be83c21300d</t>
  </si>
  <si>
    <t>seller gostaria de solicitar isenção de métricas, aguardando o victor mandar o CTI para prosseguirmos</t>
  </si>
  <si>
    <t>449549597602September</t>
  </si>
  <si>
    <t>e3a6d69b-e6a3-4992-a7b5-7e7a99e61805</t>
  </si>
  <si>
    <t>seller com problemas em cadastrar o telefone</t>
  </si>
  <si>
    <t>24734e6e-ff0f-4074-a8c2-8c7757e985c5</t>
  </si>
  <si>
    <t>Seller pediu ajuda com um processo jurídico. Foi repassado um e-mail para Carlene. Blurb enviado ao seller.</t>
  </si>
  <si>
    <t xml:space="preserve">125288528002November </t>
  </si>
  <si>
    <t>6bf0f709-7566-4717-a038-036b4fd7d941</t>
  </si>
  <si>
    <t>Questiona a demora do transporte das un para o FC. XCV9 (provavelmente super lotação)</t>
  </si>
  <si>
    <t>364d376a-792b-411a-b304-5ec7b1609db7</t>
  </si>
  <si>
    <t>Seller está com dúvidas sobre envios próprio e envio pela Amazon.</t>
  </si>
  <si>
    <t>f8010866-773d-4256-9e0d-baff288900d5</t>
  </si>
  <si>
    <t>Dúvida sobre envio próprio, recebeu produtos com etiqueta PAC</t>
  </si>
  <si>
    <t>f27099a0-d2b5-4450-9643-21bc512a52e1</t>
  </si>
  <si>
    <t>Não possui autorização para venda, vendia o asin antes normalmente B0FFTMN54M</t>
  </si>
  <si>
    <t>9ce4039f-5963-4ad1-8bdb-e1120f348de8</t>
  </si>
  <si>
    <t>3/fev: vendedor tentou inboundar, porém estava dando erro de aprovação.\n\nao analisar pelo CSI indetifiquei os gatings\n\nTentei o Selection Boost\nhttps://t.corp.amazon.com/V2096440980\n\nSubi ticket pro time de Gating\nhttps://t.corp.amazon.com/V2099112350\n\n09/fev: informei o jeito de recorrer as decisões\n\n10/fev: Cobrei o vendedor novamente e comuniquei o AM.</t>
  </si>
  <si>
    <t xml:space="preserve">25248213105February </t>
  </si>
  <si>
    <t>794274a1-cdfb-48a1-863e-765a25bf5399</t>
  </si>
  <si>
    <t>5/fev: Task proativa, o produto tinha hot asin gating</t>
  </si>
  <si>
    <t>9780d19b-6a6e-4b9d-acfb-668bed8be45e</t>
  </si>
  <si>
    <t>19/fev: entrou em contato sobre ASINs inativos, e todos foram Wrong Product\n\n• Para o ASIN B093565DDN use o chamado "V2072735463"\n• Para o ASIN B0FTTGWC2V use o chamado "V2088607602"\n• Para o ASIN B0935GQB2B use o chamado "D382522929"\n\n23/fev: Já cobrei 2x pelo case id, e agora passei para a AM, acompanharei até quarta</t>
  </si>
  <si>
    <t>5dc5b2ca-9b12-442f-80f4-72fc61ade600</t>
  </si>
  <si>
    <t>18/fev: seller está querendo listar um produto, mas está com mismatch.\n\nhttps://t.corp.amazon.com/V2113820391</t>
  </si>
  <si>
    <t>82e1ce26-d5d3-43a9-81dd-0ff6cb71bfcd</t>
  </si>
  <si>
    <t>26/fev: asin desativo por questões de segurança. Verifiquei que o model_number não está condizente com o doc.\n\nhttps://na.winston.a2z.com/Seller-BR/task/10942</t>
  </si>
  <si>
    <t>20e83677-d9cd-45cf-838a-4eea88fe1d5c</t>
  </si>
  <si>
    <t>23/fev: seller deseja contestar discrepâncias. Ele não possui canhoto, primeiro tenho que solicitar as comprovações com a transprotadora e depois Problem Receive Investigation para confirmar os recebimentos\n\nhttps://t.corp.amazon.com/V2117945290\nhttps://t.corp.amazon.com/V2117945749</t>
  </si>
  <si>
    <t>72b340eb-d0b8-4302-b417-6dee1a07c300</t>
  </si>
  <si>
    <t>26/fev: enviou a planilha de cadastro de produtos, não consegue vincular o produto a variação\nhttps://na.winston.a2z.com/Seller-BR/task/10943</t>
  </si>
  <si>
    <t>2629eb5b-3631-4158-aae7-439e1bbba3ff</t>
  </si>
  <si>
    <t>13/março: quesitonou porque os pedidos não estão aparecendo no relatório</t>
  </si>
  <si>
    <t xml:space="preserve">492005792302March    </t>
  </si>
  <si>
    <t>150a8dd7-33bc-4544-b94c-31708948dfdb</t>
  </si>
  <si>
    <t>Asins estavam bloqueados por motivo de Tax_Regime, mas nada verdade foi identifcado um erro interno e resolvido através da theard no slack (vini incluso) \n\nB088MVFZSJ\nB07YF6CJXL\nB091B9C17P</t>
  </si>
  <si>
    <t xml:space="preserve">509224899302July     </t>
  </si>
  <si>
    <t>612e9f9e-5c89-4dcf-a24e-f22ff64b5869</t>
  </si>
  <si>
    <t>ASIN B0F29YZ3MF, esta reservado por ser hazmat e o CD não suportar, estavamos aguardando a transferência porém está muito demorado</t>
  </si>
  <si>
    <t>92771955402September</t>
  </si>
  <si>
    <t>17470659-b138-4d64-b515-5db8af6c5c14</t>
  </si>
  <si>
    <t>casos MFI Imagem escalado por email</t>
  </si>
  <si>
    <t>6c90a44b-227e-4fac-a708-59d3109649f2</t>
  </si>
  <si>
    <t>Isenção de Métricas por erro de integração</t>
  </si>
  <si>
    <t xml:space="preserve">97759973202November </t>
  </si>
  <si>
    <t>f9e706c1-30cc-4252-b437-4c477a3acf4a</t>
  </si>
  <si>
    <t>queria alterar o sku, falei que não era possível e qual processo ele deveria fazer</t>
  </si>
  <si>
    <t>a6b4e425-2ffd-41d1-a675-6c341968d8ea</t>
  </si>
  <si>
    <t>Boa tarde, Tiago! \n\nTenho um ASIN para alterar as fotos, pois o design do produto mudou. Fiz a alteração através do "gerenciar imagens", mas as fotos não atualizam. \n\nHá como alterar pelo seu lado? \n\nB0C956YGY5</t>
  </si>
  <si>
    <t>f74876b7-11a1-491a-8540-5939b09fb8c3</t>
  </si>
  <si>
    <t>Teve problema na integração, ele não abriu o chamado no integrador para abrimos o ticket.\nAgora ele precisa da isenção de métricas pq os anuncios pausaram</t>
  </si>
  <si>
    <t>c88f8f39-c876-499f-a8c2-243d3cad3acb</t>
  </si>
  <si>
    <t>Alteração de fotos</t>
  </si>
  <si>
    <t>f6b3cbf8-b53e-41ce-82d9-eadc4dd7f226</t>
  </si>
  <si>
    <t>mais espaço no fba</t>
  </si>
  <si>
    <t>176026c7-be99-4654-b724-658bdd55027b</t>
  </si>
  <si>
    <t>seller trouxe um pedido que contém uma avaliação (comentário) negativo\naberto o cif:</t>
  </si>
  <si>
    <t xml:space="preserve">19297108502March    </t>
  </si>
  <si>
    <t>b241a3c7-4ec3-40ef-b8c2-7e3003320974</t>
  </si>
  <si>
    <t>Pedidos cancelados pela amazon, seller quer saber o motivo. \n20/02: Issue recebido \n20/02: TT aberto https://t.corp.amazon.com/V2115018236</t>
  </si>
  <si>
    <t xml:space="preserve">658814193902February </t>
  </si>
  <si>
    <t>b690df76-46d1-4830-9f57-f2d71f89f63e</t>
  </si>
  <si>
    <t>Seller informa que os ASIN estão bloqueados, e verificando o seller precisa fazer o envio das documentações pra o asin volte a ficar ativo. passei toda a orientação pra ele.</t>
  </si>
  <si>
    <t xml:space="preserve">755841394202November </t>
  </si>
  <si>
    <t>2b174af8-80e4-4c9b-8d8e-bd13fa65b93a</t>
  </si>
  <si>
    <t>Seller mandou o documento pra validação e agora irá fazer o appeal no seller central.</t>
  </si>
  <si>
    <t>517ae7fa-97dc-4613-93b1-23616a1e6efc</t>
  </si>
  <si>
    <t>Seller precisa fazer um appeal de produtos para bebês e estava com dúvidas.</t>
  </si>
  <si>
    <t>e3b4971d-23fc-48ea-999a-bc82ba3638a6</t>
  </si>
  <si>
    <t>Seller teve suas offer bloqueadas por invoncer, diz que ja realizou as alterações, mas continuam inativos, abri o chamado https://t.corp.amazon.com/V1960158889</t>
  </si>
  <si>
    <t xml:space="preserve">653060435802October  </t>
  </si>
  <si>
    <t>e108e5d8-8483-4b71-8b1f-fb9fce12081a</t>
  </si>
  <si>
    <t>Seller informou que o tamanho cadastrado do produto está errado, solicitei pro time de offshoring alterar: https://na.winston.a2z.com/Seller-BR/task/9056</t>
  </si>
  <si>
    <t>49951085-d356-4793-ae5d-c89ec3c0e0a3</t>
  </si>
  <si>
    <t>Seller informa que está com asin em um parent diferente. solicita a alteração: https://na.winston.a2z.com/Seller-BR/task/9105</t>
  </si>
  <si>
    <t>7a8532a6-40a7-450e-a76d-155040d16a37</t>
  </si>
  <si>
    <t>20/01 - Seller entrou em contato sinalizando que o ASIN B0BB4C6HDB está inativo devido reclamação de cliente. \n20/01 - Foi aberto um CIF no mesmo dia para tentar a ativação, já que todas as documentações eram válidas e o chamado aberto no Seller Central não conteve uma resposta coerente.</t>
  </si>
  <si>
    <t xml:space="preserve">364311616102January  </t>
  </si>
  <si>
    <t>a093a363-b264-40ec-bde6-75aaa6b70c3f</t>
  </si>
  <si>
    <t>Seller quer retirar as avaliações (comentários) negativos</t>
  </si>
  <si>
    <t xml:space="preserve">175133439302December </t>
  </si>
  <si>
    <t>068daff7-cafc-46c4-9ef3-0cfb6a477956</t>
  </si>
  <si>
    <t>Problema de Policy Compliance: B0BGMKVRKN, B0CXDZCYDG,  B0DTLM2NHZ\n\nSolicitei fazer o caminho via seller central</t>
  </si>
  <si>
    <t xml:space="preserve">560201489502November </t>
  </si>
  <si>
    <t>962e458e-4671-4a0e-a532-c2b26a79d201</t>
  </si>
  <si>
    <t>Produto inativo devido dados fiscais: B0C3S54SPY ,  B0BGMKVRKN\n\nSolicitei atualizar a planilha fiscal.</t>
  </si>
  <si>
    <t>d691ad05-1d57-445a-b7ff-b3d1653fb96c</t>
  </si>
  <si>
    <t>Seller estava com duvida sobre o relatórios de custo de armazenagem do FBA e sobre a sobretaxa.</t>
  </si>
  <si>
    <t xml:space="preserve">755841394202August   </t>
  </si>
  <si>
    <t>331d6ed2-9ebe-43a1-b0ec-405d873df097</t>
  </si>
  <si>
    <t>Seller queria saber mais sobre os repasses e  tarifas e taxas que temos na Amazon</t>
  </si>
  <si>
    <t>87afb8c7-bf76-4e37-a022-d8abbbd177b0</t>
  </si>
  <si>
    <t>Asin inativo devido a tombstoned, abri um chamado para tentar reativar o asin; https://t.corp.amazon.com/V1994485161</t>
  </si>
  <si>
    <t xml:space="preserve">434163431202November </t>
  </si>
  <si>
    <t>9c30fed1-9b75-4fa6-adf8-ba6fe86bf29e</t>
  </si>
  <si>
    <t>Seller esta com os asins inativo em fba, sem motivo aparente\n\nhttps://t.corp.amazon.com/V2127110516</t>
  </si>
  <si>
    <t xml:space="preserve">655945459902March    </t>
  </si>
  <si>
    <t>c277ea6e-42f1-408b-ad11-d03eeffde025</t>
  </si>
  <si>
    <t>Seller esta teve o asin suprido e mesmo depois do recurso continua com o asin suprimido. \n\nhttps://na.vici.pars.amazon.dev/mpa-escalations/submit#/caseDetails/1773153298726981</t>
  </si>
  <si>
    <t>e26210f6-4f5c-45df-9d67-112b55f4f2ba</t>
  </si>
  <si>
    <t>Aprovação da marca Al Wataniah - Contém asin no estado da conta, irei abrir um cif para fazer a retirada e depois seguir o processo de aprovação.\nabuse escalation: https://na.vici.pars.amazon.dev/mpa-escalations/index.html#/caseDetails/1772644530610506</t>
  </si>
  <si>
    <t xml:space="preserve">779493596402March    </t>
  </si>
  <si>
    <t>32ee86e4-c257-48ef-b520-77e12577dd31</t>
  </si>
  <si>
    <t>Seller informa que possui ASINs com estoque mas marcando como indisponível. \n09/02 - Trouxe o problema, mas não informou os ASINs, questionado.\nMas verificado e se trata de algo com o faturador, @diasigor me avisou que eles não tinham feito o upload do certificado digital. Reforçado via suporte premium para a correção.\nSeller disse que só consegue subir o certificado no dia 12/02.\n12/02 - Seller atualizou, solicitado o Offer unblock\nhttps://t.corp.amazon.com/V2106798490\nChamei @aspreto para rodar o backfill, disse que precisa esperar.\n13/02 - Ofertas retornando, se não voltar só forçar atualização mudando um centavo.</t>
  </si>
  <si>
    <t xml:space="preserve">530870446802February </t>
  </si>
  <si>
    <t>eb463067-5167-4035-b765-388fda5b0631</t>
  </si>
  <si>
    <t>Seller 100% MFN com pedidos saindo como DBA.\n11/02 - MC trouxe a issue, chamei @matheces no slack\n12/02 - Corrigido já</t>
  </si>
  <si>
    <t>a6f5d056-2c8d-401e-92f3-8d0324651e12</t>
  </si>
  <si>
    <t>Seller informa que a sua garatia de AtoZ foi concedida mas até hoje o reembolso não foi creditado em sua conta. https://issues.amazon.com/issues/V1962475126</t>
  </si>
  <si>
    <t xml:space="preserve">24558652202October  </t>
  </si>
  <si>
    <t>98bb6af3-c1d5-4648-b833-6d53ddbb90ac</t>
  </si>
  <si>
    <t>Frigelarnão conseguem visualizar  dois reembolsos que foram feitos e estão solicitando o comprovante.</t>
  </si>
  <si>
    <t>7955cc9e-99fa-4ba1-902d-56f886f61976</t>
  </si>
  <si>
    <t>Reembolso foi recusado por ter sido feito após 300 dias da compra. (702-0221363-5423445)</t>
  </si>
  <si>
    <t>a3da1e2a-47e5-4823-8efd-ecce6e13ec32</t>
  </si>
  <si>
    <t>Seller questionou se houve alguma liberação de reembolso para o pedido 702-8121022-6465040. Verfiquei que houve duas solicitações, ambas negadas pois passaram do prazo permitido.</t>
  </si>
  <si>
    <t>354292c0-1435-4e4b-b30b-67bfaa12b54d</t>
  </si>
  <si>
    <t>Asins inativados.</t>
  </si>
  <si>
    <t>7052457b-e464-4682-b917-8ea34979c8a4</t>
  </si>
  <si>
    <t>Solicitou um comprovante de reembolso.</t>
  </si>
  <si>
    <t>fd207941-42c8-41a9-8314-9fd873896d72</t>
  </si>
  <si>
    <t>Seller está com problema para liberar acesso aos usuarios.</t>
  </si>
  <si>
    <t>6e1695dc-0acb-443b-9a0b-6164f03dc171</t>
  </si>
  <si>
    <t>Seller pediu para priorizar o chamado sobre isenção de metricas. Vini escalou o caso.  \n</t>
  </si>
  <si>
    <t>c800bf12-3082-4540-a16c-2fbca23c3b41</t>
  </si>
  <si>
    <t>O comprador alega não recebimento, porém anexamos comprovante de entrega assinado pelo próprio cliente e mesmo assim ele foi reembolsado.</t>
  </si>
  <si>
    <t>a0356d68-7d41-4eb7-a35e-ad7f10109276</t>
  </si>
  <si>
    <t>Recebeu notificação que o título estava errado, porém ele gostaria de contestar, pois está correto</t>
  </si>
  <si>
    <t xml:space="preserve">361885515402October  </t>
  </si>
  <si>
    <t>2bbbcab3-06a6-48c6-8457-4a098a57ba6f</t>
  </si>
  <si>
    <t>Pessoal da coleta bipou os pedidos mas deu erro</t>
  </si>
  <si>
    <t>a7db2fca-9877-461c-9175-59d9dd177e3f</t>
  </si>
  <si>
    <t>342c9837-5d43-4a11-b20d-fcc1866d940b</t>
  </si>
  <si>
    <t>Opção da variação está como Xbox mas na verdade é Nintendo</t>
  </si>
  <si>
    <t>1b9c7706-af1e-46a5-bb9a-9927611dcb63</t>
  </si>
  <si>
    <t>Informei o caminho para isenção de métricas e o caminho para corrigir o estoque fantasma</t>
  </si>
  <si>
    <t>ddebaa6a-f0a9-4c7d-a9be-da0fa03efb7a</t>
  </si>
  <si>
    <t>Seller estava com dificuldade para dar acesso a role de faturador, para baixar nota fiscal. \n\nOrientei preencher as info de identidade.</t>
  </si>
  <si>
    <t xml:space="preserve">101837981602November </t>
  </si>
  <si>
    <t>9082da05-748e-48b9-b792-38177f80006c</t>
  </si>
  <si>
    <t>Problema de Policy Compliance: B0B69JYK33</t>
  </si>
  <si>
    <t>fc7b0864-48a8-4ae1-ac7e-c4b028d133ae</t>
  </si>
  <si>
    <t>Divergência no processo de inbound</t>
  </si>
  <si>
    <t>36605fb5-ad93-42f8-a458-c4bbde9dd03f</t>
  </si>
  <si>
    <t>Seller não estava conseguindo criar um envio para FBA para 2 asin, verificamos que ele deve solicitar aprovação primeiro atraves do catálogo. direcionamos o seller.</t>
  </si>
  <si>
    <t>551856008602September</t>
  </si>
  <si>
    <t>192add2e-0bac-4ff5-aa26-e97317211845</t>
  </si>
  <si>
    <t>Seller teve seu Shippiment FBA18ZQTG0LR cancelado mas o itens já estão em transporte para o FC XCV9</t>
  </si>
  <si>
    <t xml:space="preserve">509224899302August   </t>
  </si>
  <si>
    <t>4da3ed51-1302-4b01-816a-9f751c45bc4c</t>
  </si>
  <si>
    <t>05/fev: Vendedor perguntou:\n\nNa conexão API que a Amazon disponibiliza conseguiríamos enviar os dados de Nota Fiscal dos pedidos FBA Onsite / Coleta Amazon diretamente para o canal? sem intervenção do Integrador? Te pergunto pois estamos verificando meios de garantir que os pedidos sejam expedidos em tempo hábil nas situações em que ocorrer alguma instabilidade no integrador ( Plugg.to). \n\n- Obrigatório usar um integrador</t>
  </si>
  <si>
    <t xml:space="preserve">103928980802February </t>
  </si>
  <si>
    <t>bf08a62c-bebd-4d70-9e32-5581a0c49b6e</t>
  </si>
  <si>
    <t>04/fev: Informou sobre o processo, compilei todas infos e enviei o email para Carlene\n\n13/fev: heloisa respondeu o email com o blurv\n\n17/fev: enviado o blurb para o vendedor</t>
  </si>
  <si>
    <t>3fa3cda6-c413-4f33-8337-10f3eb7788aa</t>
  </si>
  <si>
    <t>seller gostaria de incluir mais ASINS no serviço de PREP FBA</t>
  </si>
  <si>
    <t>438747217402September</t>
  </si>
  <si>
    <t>d9f64384-471d-4cba-8c87-5a38a519372d</t>
  </si>
  <si>
    <t>Seller questionou porque não conseguia enviar o ASIN B0F36VLFCK, após checar vi que não tinha as informações de hazmat, passei o caminho para correção e forneci a planilha</t>
  </si>
  <si>
    <t>8012d0c7-bfb7-445d-b019-49a6b1fc30f7</t>
  </si>
  <si>
    <t>Ele tinha dificuldades para subir uma planilha, expliquei que estava sendo recusada por conta de numero decimal, tinha que trocar o . por ,</t>
  </si>
  <si>
    <t>ce730d1f-2e50-48a7-a8e0-74b4986ae990</t>
  </si>
  <si>
    <t>não conseguiu filtrar os asins que possuia itens não aptos para venda, passei toda relação do GRU8 para realizar o removal</t>
  </si>
  <si>
    <t>9ccddc1b-fe03-4af8-976e-2058cb58c5fd</t>
  </si>
  <si>
    <t>Problema de removal - Seller branche</t>
  </si>
  <si>
    <t>fd100941-daa7-48a8-bced-669a84e4a2a9</t>
  </si>
  <si>
    <t>Seller estava com duvida sobre pedidos de Garantia de AaZ</t>
  </si>
  <si>
    <t xml:space="preserve">24674493302February </t>
  </si>
  <si>
    <t>ebb62893-8e69-4ba3-a7e4-7a0f3358e1a0</t>
  </si>
  <si>
    <t>Seller queria informações sobre alteração de CNPJ de uma conta antiga.</t>
  </si>
  <si>
    <t>45087221-0635-4d9b-bc99-65cb15af3ce3</t>
  </si>
  <si>
    <t>Seller não conseguia faturar notas para RN e o Ops Owner entrou em contato para pausar operação\n</t>
  </si>
  <si>
    <t xml:space="preserve">358205651902August   </t>
  </si>
  <si>
    <t>376edb7a-3b83-40be-8860-b0a1f4842dda</t>
  </si>
  <si>
    <t>Seller gostaria de contestar um reembolso, instrui ela a abrir o chamado, e faço o acompanhamento\n18301713991</t>
  </si>
  <si>
    <t>b28c9620-139e-46f2-bcdc-56f04a43c583</t>
  </si>
  <si>
    <t>Seller estava cobrando posicionamento por uma questão de pós venda, informei que ela tem que instruir o comprador a chamar o chat de pós venda da amazon, por se tratar de um pedido FBA</t>
  </si>
  <si>
    <t>f5237334-2962-408b-9e81-b1bb0eb7aae0</t>
  </si>
  <si>
    <t>Seller com dúvida sobre repasse, infroma que tem tido um giro menor de valores disponíveis. Verifiquei e não está caso de Hold Disbursement. Valores deferidos por política de entrega.</t>
  </si>
  <si>
    <t xml:space="preserve">774839834202January  </t>
  </si>
  <si>
    <t>e41e7243-d89a-4a2c-a2b8-c3be2c2ceeab</t>
  </si>
  <si>
    <t>O Seller está com tres pedidos, que foram vendidos, mas não tem mais ponto de coleta, ele quer enviar por correios.</t>
  </si>
  <si>
    <t xml:space="preserve">653955892602February </t>
  </si>
  <si>
    <t>28122110-bfb7-4191-adb6-0f8f7555510c</t>
  </si>
  <si>
    <t>Seller está com duvida de onde consultar o ponto de coleta mais proximo.</t>
  </si>
  <si>
    <t>4661ea87-ad23-47e2-8191-c5143deeba95</t>
  </si>
  <si>
    <t>21/jan: Liberou as funções de Invoicer no usuário, porém mesmo assim o colaborador não consegue acessar\nhttps://t.corp.amazon.com/V2081423277\n\n23/jan: Cobrei no TT e comuniquei ao vendedor. / Seller encerrou o chamado\n\n26/jan: Preciso confirmar o link que ele precisa de permissão. O vendedor fechou o chamado\n\n28/jan: Tentei contato com a AM no Chime e ela não estava no escritório. Preciso do Link das notas para concluir a task</t>
  </si>
  <si>
    <t xml:space="preserve">801134136002January  </t>
  </si>
  <si>
    <t>02d82f02-71da-4e20-ac06-8cba39056eb1</t>
  </si>
  <si>
    <t>Unificar variações</t>
  </si>
  <si>
    <t xml:space="preserve">366327938802November </t>
  </si>
  <si>
    <t>6fdf8d16-1c7b-4694-ae25-031df39d508e</t>
  </si>
  <si>
    <t>Tentou atualizar fotos pelo SC porém não conseguiu</t>
  </si>
  <si>
    <t>41224cb7-f2ea-431a-8b5b-4e45bd98c316</t>
  </si>
  <si>
    <t>Peço que solicite que verifiquem o motivo de estarem desmembrando, pois isso irá gerar muitos problema.\n\n\nGostaria de solicitar um auxilio com esse chamado: 18787433791  Recusaram a autorização. Pode me confirmar se a fundamento nessa recusa?</t>
  </si>
  <si>
    <t>6b2136c0-ab61-4158-aa35-d6b0a0651127</t>
  </si>
  <si>
    <t>brand role permission e aprovação DAKO</t>
  </si>
  <si>
    <t>26a68e2f-3800-4b11-af47-e287893434ff</t>
  </si>
  <si>
    <t>coleta não passou fazem 2 dias</t>
  </si>
  <si>
    <t>07f277cb-d5a1-4c85-a013-84cfd35cc91a</t>
  </si>
  <si>
    <t>Erro 8572 - Mismatch</t>
  </si>
  <si>
    <t>5a5635b9-ce09-4441-bb41-b656f996f736</t>
  </si>
  <si>
    <t>Correção de imagens</t>
  </si>
  <si>
    <t>c2134afa-805c-4593-bbe7-1601158ddbc1</t>
  </si>
  <si>
    <t>Teve problemas ao enviar a planilha pro time de offshoring</t>
  </si>
  <si>
    <t>72073646-272e-4236-8783-de7d98e35d42</t>
  </si>
  <si>
    <t>Seller queria mais informações sobre um reembolso. \n04/02: Issue recebeido</t>
  </si>
  <si>
    <t xml:space="preserve">19297108502February </t>
  </si>
  <si>
    <t>13c6990f-3c18-4bde-b33e-b974fbc182c4</t>
  </si>
  <si>
    <t>Seller não localiza os ASINs no Onsite</t>
  </si>
  <si>
    <t xml:space="preserve">24386750602October  </t>
  </si>
  <si>
    <t>e92e2084-f83d-47b4-a594-16c3d0343ac6</t>
  </si>
  <si>
    <t>Investigação sobre o alto volume de pedidos de reembolso por insucesso na entrga.</t>
  </si>
  <si>
    <t>faa32283-32e9-48b2-8d6b-a6d1199ab748</t>
  </si>
  <si>
    <t>problemas para adicionar estoque no Onsite</t>
  </si>
  <si>
    <t>203c698d-5146-450c-b190-ad9534c38da1</t>
  </si>
  <si>
    <t>problema ao listar asin tombstoned</t>
  </si>
  <si>
    <t>8c5ed3a3-c715-492a-86e3-4933a6fa1087</t>
  </si>
  <si>
    <t>Problema ao listar NEW ASINS</t>
  </si>
  <si>
    <t>89b9abf5-f521-4e80-a3a4-e46f08d483da</t>
  </si>
  <si>
    <t>Erro ao adicionar estoque</t>
  </si>
  <si>
    <t>5f2c713d-a4d7-4efc-bd9d-c35a3ac31bc1</t>
  </si>
  <si>
    <t>Seller deseja inserir um SKU em uma família de variações</t>
  </si>
  <si>
    <t xml:space="preserve">55427353102December </t>
  </si>
  <si>
    <t>2572fa0c-efbf-4e3d-ae8a-858418a00718</t>
  </si>
  <si>
    <t>Seller com 2 ASIN em policy compliance, enviou appeal negado. Aberto SIF</t>
  </si>
  <si>
    <t>8c79f8ca-a06c-4b26-a8cb-2c4cedfea543</t>
  </si>
  <si>
    <t>ASIN B0BHXN9LSQ - Estoque reservado, solicitado informações para o FC</t>
  </si>
  <si>
    <t>ab4b654b-5ebd-460d-9f6f-430118c56c22</t>
  </si>
  <si>
    <t>Seller fez alteração de descrição mas não refletiu. 1P - aberto TT</t>
  </si>
  <si>
    <t>803d0ba3-78fd-4c49-904e-34a33938392e</t>
  </si>
  <si>
    <t>Seller solicita correção de nome da família de variações</t>
  </si>
  <si>
    <t>76364647-7f0e-48ab-8465-14a493d7729c</t>
  </si>
  <si>
    <t>B0BXMCSK8J - Seller com asin com estoque reservado</t>
  </si>
  <si>
    <t>6b87ab4f-b948-4dfc-a93f-8b13cf32d57d</t>
  </si>
  <si>
    <t>B0G3SG67LW - UTC3 - Enviado fotos para desbloqueio</t>
  </si>
  <si>
    <t>35412ef6-a1b5-4cc9-a98e-aa07817cac84</t>
  </si>
  <si>
    <t>B0G45JCSHV - UTC3 - Enviado fotos para desbloqueio</t>
  </si>
  <si>
    <t>76d96992-1f1b-44ad-9797-b5555c841583</t>
  </si>
  <si>
    <t>Liberação de envio Hazmat. Seller já fez o treinamento.</t>
  </si>
  <si>
    <t>98d81e04-3a08-444e-873b-84b3ff316116</t>
  </si>
  <si>
    <t>B0G45K73XT - UTC3 - Enviado fotos para desbloqueio</t>
  </si>
  <si>
    <t>a8afd3b4-ca3c-4022-8145-e3b402d2c6e6</t>
  </si>
  <si>
    <t>B0G4CBTKT3 - UTC3 - Enviado fotos para desbloqueio</t>
  </si>
  <si>
    <t>f5f4f47d-7a72-40f0-969d-0f0b5222e0af</t>
  </si>
  <si>
    <t>Seller com oferta inativa por autenticidade</t>
  </si>
  <si>
    <t>33de9401-d372-42a4-8630-ba3a3bd3b3e0</t>
  </si>
  <si>
    <t>Seller com oferta inativa por product wrong</t>
  </si>
  <si>
    <t>e19dffb5-fcc9-4e29-aded-a47c9a154eea</t>
  </si>
  <si>
    <t>Seller solicita andamento de uma solicitação com serviços premium (NIS). Verificando</t>
  </si>
  <si>
    <t>484c3431-25e2-47fc-a34d-98e344d75c14</t>
  </si>
  <si>
    <t>Seller recebeu um email de alerta sobre a suas métricas e estava com dúvida de está correndo o risco</t>
  </si>
  <si>
    <t xml:space="preserve">24674493302December </t>
  </si>
  <si>
    <t>4251c347-6828-4f66-9367-a27d4b2501cd</t>
  </si>
  <si>
    <t>Seller cadastrou um SKU com informação de outro sku. ( O produto foi integrado incorretamente da VTEX para a Amazon: O SKU 2001808 (220V) foi cadastrado, mas está usando as informações do SKU 2001807 (127V) )</t>
  </si>
  <si>
    <t xml:space="preserve">26774818902October  </t>
  </si>
  <si>
    <t>820137c3-04ab-4927-812c-c7458489e23a</t>
  </si>
  <si>
    <t>duvida sobre PREP automatico</t>
  </si>
  <si>
    <t xml:space="preserve">438747217402November </t>
  </si>
  <si>
    <t>f5c3ec7d-dc24-40a0-b3c0-2f5f76ee4603</t>
  </si>
  <si>
    <t>ASINs em processamento no FC por mt tempo</t>
  </si>
  <si>
    <t>8e2ef1e9-084e-431e-861b-bfcea7c52a32</t>
  </si>
  <si>
    <t>Seller entrou em contato solicitando um help em questão do chamado: 18482278911 (descarte) já estão em tratativas só aguardando a confirmação do ISA, repassei para ele o andar do processo.</t>
  </si>
  <si>
    <t xml:space="preserve">117086860802October  </t>
  </si>
  <si>
    <t>cc8727f0-5c1d-4049-b2f2-5eead2a132ff</t>
  </si>
  <si>
    <t>Seller com problema ao gerar NF, faturador já verificado.</t>
  </si>
  <si>
    <t>d0782b16-a1d8-455e-a94c-5927b2b553a7</t>
  </si>
  <si>
    <t>03/março: entrou em contato sobre 3 ASINs inativado.\n\n1. Para criar nova ofeta (B0GQJJKZPN)\n3. B0DX7LJHJ3 -&gt; NF RECUSADA\nhttps://t.corp.amazon.com/V2126973912</t>
  </si>
  <si>
    <t xml:space="preserve">763850718402March    </t>
  </si>
  <si>
    <t>7c7a535c-7f92-402e-a8ee-0ff7632691dd</t>
  </si>
  <si>
    <t>03/março: seller questiona das unidades que constam em "processamento"\nhttps://t.corp.amazon.com/V2127169221\n\n09/março: pedi um bin check\nhttps://t.corp.amazon.com/V2133579646\n\nItem not po\nhttps://t.corp.amazon.com/V2098301992/communication\n\nEle tem que responder o chamado 19505620831</t>
  </si>
  <si>
    <t>30245b2b-7631-4156-afec-791123d798c9</t>
  </si>
  <si>
    <t>09/março: seller sofreu com bloqueio de ofertas com erro deo SEFAZ\nhttps://t.corp.amazon.com/V2127240162</t>
  </si>
  <si>
    <t>cb2c16f8-0619-4a29-ba5b-e17e200db53c</t>
  </si>
  <si>
    <t>item não classificado, seller enviou certinho mas não classificou corretamente</t>
  </si>
  <si>
    <t xml:space="preserve">438747217402October  </t>
  </si>
  <si>
    <t>948a1435-8259-4d68-82ad-cfb609223dff</t>
  </si>
  <si>
    <t>Questionou uma maneira de acessar as notas canceladas e baixar o XML massivamente</t>
  </si>
  <si>
    <t>75b72d70-0a59-49b5-9c3f-fc4de538c469</t>
  </si>
  <si>
    <t>Queria saber se poderia solicitar descarte de unidades do FBA e se teria alguma NF</t>
  </si>
  <si>
    <t>c3086182-4e33-4248-8e04-2476301816ff</t>
  </si>
  <si>
    <t>Lista com todos ASINs com estoque para remoção</t>
  </si>
  <si>
    <t>50e3b8a5-ac78-4cf2-9429-125d12941e66</t>
  </si>
  <si>
    <t>duvidas sobre configurações fiscais.</t>
  </si>
  <si>
    <t>f65584fc-5d44-41da-9978-1e1e4855138b</t>
  </si>
  <si>
    <t>ASIN bloqueado</t>
  </si>
  <si>
    <t>8bf3b45c-208c-463f-aa8e-5949166dea55</t>
  </si>
  <si>
    <t>Todos os anúncios de FBA do seller cairam devido a certificado digital.\naberto offer unblock para ativação das ofertas: https://t.corp.amazon.com/V2133860386</t>
  </si>
  <si>
    <t xml:space="preserve">125288528002March    </t>
  </si>
  <si>
    <t>fb8dd4fa-3b2a-4318-aec9-e1a1216f0552</t>
  </si>
  <si>
    <t>Seller apresentou problemas com pedidos que cai após o horário de corte. A configuração de envio deveria lançar os pedidos após as 11h para serem enviados no outro dia.\naberto um other issues para easyship: https://t.corp.amazon.com/V2135027000</t>
  </si>
  <si>
    <t>4f3dad98-7ab6-438f-bd10-f468f7bdc4a5</t>
  </si>
  <si>
    <t>seller está com as métricas afetada devido problema na coleta. \naberto um ticket para isenção dessas métricas: https://t.corp.amazon.com/V2130638054</t>
  </si>
  <si>
    <t>f8677b4c-64b1-45d2-998c-baae4fc1c1aa</t>
  </si>
  <si>
    <t>702-9221004-0442669 - Reinvidicação de garantia de A a Z</t>
  </si>
  <si>
    <t xml:space="preserve">530870446802December </t>
  </si>
  <si>
    <t>8da53080-de0b-493d-86cf-c1e92e55072d</t>
  </si>
  <si>
    <t>4/março: seller enviou as ocmprovações para contestar ODR\nhttps://issues.amazon.com/issues/V2128206487\n\n05/março: Abri o ticket errado, abri novamente o correto apenas com Refund:\nhttps://issues.amazon.com/issues/V2129364604\n\n13/março Novo Tt contestando o reembolso\n\n: https://t.corp.amazon.com/V2136340450</t>
  </si>
  <si>
    <t xml:space="preserve">449549597602March    </t>
  </si>
  <si>
    <t>d49c5c4f-b5e7-47fb-b0fd-079362b7c3d0</t>
  </si>
  <si>
    <t>B0G2MSFQ4Q - Seller está com ASIN com erro de preço alto.\n05/03 - Trouxe a issue\nAberto tt\nhttps://issues.amazon.com/issues/V2129622988\n09/03 - Aberto um novo\nhttps://issues.amazon.com/issues/V2133796870\n11/03 - ASIN ativado.</t>
  </si>
  <si>
    <t xml:space="preserve">245677411802March    </t>
  </si>
  <si>
    <t>dc10b9c7-7f06-4c3b-98b3-d13144653905</t>
  </si>
  <si>
    <t>03/março: ASIN com risco de inativação e appeal recusado no account health</t>
  </si>
  <si>
    <t xml:space="preserve">316851710302March    </t>
  </si>
  <si>
    <t>b7e385c2-5140-41cb-9055-14f459d3a992</t>
  </si>
  <si>
    <t>03/março seller enviou os documentos para recorrer a discrepância no envio FBA19356SN5L\nhttps://t.corp.amazon.com/V2126859389\nhttps://t.corp.amazon.com/V2126860832\n\n04/março: time de transportes confirmou que caso não tivesses movimentação o seller iria enviar recurso para solicitar reembolso\n\n10/março: Abri o chamado pro time de FBa\nhttps://t.corp.amazon.com/V2134749197\n\n11/março: Informaram que precisam da confirmação da transportadora. Prazo de 2 semanas</t>
  </si>
  <si>
    <t>cf73bd1f-7e0e-4bf9-aee4-6f551bb0e4cf</t>
  </si>
  <si>
    <t>09/março: seller deseja contestar reembolsos do drive\n\nhttps://t.corp.amazon.com/V2134861807\nhttps://t.corp.amazon.com/V2134865393\nhttps://t.corp.amazon.com/V2134869103\nhttps://t.corp.amazon.com/V2134874393\nhttps://t.corp.amazon.com/V2134877039\nhttps://t.corp.amazon.com/V2134879314\nhttps://t.corp.amazon.com/V2134889816\nhttps://t.corp.amazon.com/V2134896976\nhttps://t.corp.amazon.com/V2134899754\nhttps://t.corp.amazon.com/V2134903094\nhttps://t.corp.amazon.com/V2134906509\nhttps://t.corp.amazon.com/V2134909645\nhttps://t.corp.amazon.com/V2134913192\n\nCaso escalado pela @anayjnoh\n\n</t>
  </si>
  <si>
    <t>eec1b653-f3d8-46c0-af29-81322920e07e</t>
  </si>
  <si>
    <t>Seller com NF com status cancelado, não teve nenhum alteração fiscal. Solicitado ao Vini para rodar a query</t>
  </si>
  <si>
    <t xml:space="preserve">685488901302December </t>
  </si>
  <si>
    <t>12f5e0df-7a2c-4342-867d-ed700aeb82f5</t>
  </si>
  <si>
    <t>2/março: quer entender o motivo das units estarem com defeito\nhttps://t.corp.amazon.com/V2125686873</t>
  </si>
  <si>
    <t xml:space="preserve">508996769902March    </t>
  </si>
  <si>
    <t>612db4bd-26c4-4431-a4ea-154d54db4873</t>
  </si>
  <si>
    <t>3/março: seller teve NF rejeitada causando inativação da oferta\nhttps://t.corp.amazon.com/V2126913436</t>
  </si>
  <si>
    <t>ee3af0a8-1ea1-47de-973c-452e48c3764b</t>
  </si>
  <si>
    <t>05/março: informou que estava com problema para cadastrar os ASINs</t>
  </si>
  <si>
    <t>f7b78260-9204-4447-935b-e75e5697f2e0</t>
  </si>
  <si>
    <t>03/março: está tentando cadastrar um ASIN, porém está dando o erro de marca "genérico"\nhttps://t.corp.amazon.com/V2125673092</t>
  </si>
  <si>
    <t>7344f852-098e-49e6-8421-6348013b2e33</t>
  </si>
  <si>
    <t>10/março: Enviou a planilha para cadastro do produto e tratativas do gating\nhttps://na.winston.a2z.com/Seller-BR/task/11525</t>
  </si>
  <si>
    <t>1c18beb8-49bb-4f5f-a8c0-c4247bf49268</t>
  </si>
  <si>
    <t>12/março: seller não conseguei nbboundar os itens\nhttps://t.corp.amazon.com/V2137597878</t>
  </si>
  <si>
    <t>565c68d4-7156-4d3d-8fc9-77e03987bb99</t>
  </si>
  <si>
    <t>Seller não está conseguindo mudar as imagens dos seus asins.\n17/02: Issue recebeido \n20/02: Enviei a planilha de Rich media Update para o seller</t>
  </si>
  <si>
    <t xml:space="preserve">671124237502February </t>
  </si>
  <si>
    <t>eb14d87a-e54c-4cf6-9984-20ffd35fd3e9</t>
  </si>
  <si>
    <t>Temos um agendamento para retirada de ins itens, para  04/12/2025 às 10H, agendamento: 145659013984.  Quero informar que nosso motorista teve um contratempo e vai chegar por volta das 11:00 hrs.\n\nBusquei pelo código ISA no T.Corp e com isso consegui locar o agendamento, com isso informei sobre o atraso\nAqui vou comunicar dentro do chamado desse removal e garantir que tudo ocorra de maneira correta\n</t>
  </si>
  <si>
    <t xml:space="preserve">11613361102December </t>
  </si>
  <si>
    <t>659aabcf-d913-4d32-8a03-b0d57e2796b3</t>
  </si>
  <si>
    <t>Tiago, no dia 26/12 teremos feriado municipal em Serra (Dia do Serrano), que se soma ao feriado de Natal. Não teremos expediente nessa data.\n\nGostaríamos de manter as vendas ativas, sem a necessidade de acionar o modo férias, já que precisamos continuar operando normalmente na plataforma.\n\nSolicito, por favor, a confirmação de que não haverá penalização na métrica de Índice de Envios Tardios, considerando que as expedições serão retomadas no próximo dia útil.\n\nChamado: 19093575961.\n\nlink dos feriados locais em serra para isenção das metricas https://feriados.com.br/ES/Serra</t>
  </si>
  <si>
    <t>7d842ab5-8f78-48f0-94ce-a5a4b40305ee</t>
  </si>
  <si>
    <t>Insucesso na entrega do pedido de remoção e não realizará o removal off, e tbm nao aceita o descarte</t>
  </si>
  <si>
    <t>ae628597-6226-40cf-8a37-6c89f9dac933</t>
  </si>
  <si>
    <t>Seller não despachou os pedidos de DBA devido ao feriado regional, apoiei para envio da contestação.\n\nSeguiremos com isenção de métricas?</t>
  </si>
  <si>
    <t>c24844de-32ff-4909-8a5c-88427c4743c1</t>
  </si>
  <si>
    <t>não consegue remover o ASIN devido ao recall</t>
  </si>
  <si>
    <t>ac236d7e-e72a-476b-8a1f-27143ff20924</t>
  </si>
  <si>
    <t>B0DWXZPNKZ/B0DWXYCKMB - Seller com ASIN em PSC por utilizar desenho da Apple.\n05/03 - Aberto SIF com POA montado pelo seller mostrando a diferença do produto.\nhttps://na.vici.pars.amazon.dev/mpa-escalations/#/caseDetails/1772733367111318</t>
  </si>
  <si>
    <t xml:space="preserve">1004366724902March    </t>
  </si>
  <si>
    <t>0d73c95a-5d80-4090-832f-427ddd00953f</t>
  </si>
  <si>
    <t>13/março: seller deseja contestar a decisão de uso de desenho indevido.\nhttps://na.vici.pars.amazon.dev/mpa-escalations#/caseDetails/1773424236101505?tab=1</t>
  </si>
  <si>
    <t>dfb47dd3-db9a-4398-ad4f-5c299a1700ef</t>
  </si>
  <si>
    <t>Seller teve ASIN classificado como L2 Hazmat, necessário agora apenas colocar como sellable as units em FBA.\n12/03 - ASIN Classificado (outra task), aberto o bin check\nhttps://t.corp.amazon.com/V2137517052\n13/03 - Estão sellable agora.</t>
  </si>
  <si>
    <t>b5125b95-c093-40d5-ad15-80bc3f0bf37a</t>
  </si>
  <si>
    <t>Seller com problemas de oferta híbrida</t>
  </si>
  <si>
    <t xml:space="preserve">241002216802December </t>
  </si>
  <si>
    <t>13a445d1-0769-48d7-8f1d-c85bb350fbb3</t>
  </si>
  <si>
    <t>Seller com problema na emissão da etiqueta pedido FBA Onsite.</t>
  </si>
  <si>
    <t>4c458fe8-6da8-4068-9cfd-ce8be48ee591</t>
  </si>
  <si>
    <t>Seller teve outro NODE atribuido a sua loja. Verificando com time de SF.</t>
  </si>
  <si>
    <t>68fe4696-ec8f-4d8d-9711-be84ec45d47c</t>
  </si>
  <si>
    <t>Seller está com problemas no contrato social, mas ele não mandou o registro de caso pra a gente conseguir visualizar melhor o caso.</t>
  </si>
  <si>
    <t>137029362402September</t>
  </si>
  <si>
    <t>08fed3e9-a248-47dd-aa69-f0a4df4d8a2a</t>
  </si>
  <si>
    <t>Seller não cosegue criar um pedido de envia FBA para o ASIN B0DFMHVP32</t>
  </si>
  <si>
    <t>e0dded71-453d-48e0-8e08-90bf08fd0027</t>
  </si>
  <si>
    <t>B0BTZWYPQ8 - iniciamos um novo appeal para unblock do ASIN - V1923874726 - bin check V1943292100 - SIF 1758822433939029.</t>
  </si>
  <si>
    <t>2d01a2df-f228-49cf-9174-91a45393259a</t>
  </si>
  <si>
    <t>03/março: ASINs inativados por NF recusada\nhttps://t.corp.amazon.com/V2126960838</t>
  </si>
  <si>
    <t xml:space="preserve">10369153302March    </t>
  </si>
  <si>
    <t>2bf64683-1202-4c64-87ba-09463032fd21</t>
  </si>
  <si>
    <t>09/março: ofertas inativadas por NF rejeeitada\nhttps://t.corp.amazon.com/V2133607115</t>
  </si>
  <si>
    <t>0cf0c058-2006-430a-b5a7-1ff3ae0dd2c3</t>
  </si>
  <si>
    <t>21/jan: Entrou em contato referente ao repasse que foi postergado. Pedi para realizar a abertura de um chamado para ganhar tempo.\n\nEle abriu o chamado 19321429941\n\n23/jan: Abri o TT\nhttps://t.corp.amazon.com/V2083516604\n\nPoliticas da amazon de 7 dias.</t>
  </si>
  <si>
    <t xml:space="preserve">763850718402January  </t>
  </si>
  <si>
    <t>1d2382bf-8186-4b66-9ab2-5e14a9e68293</t>
  </si>
  <si>
    <t>21/jan: seller pediu apoio para recorrer a inativação do ASIN. Ele enviou o appeal e agora é aguardar.\n\n22/jan: foi negado e pediu documentação extra, instrui o seller a realizar o envio.\n\n22/jan: Aprovado</t>
  </si>
  <si>
    <t>a6797ac5-9550-40da-b5ef-326c96b2b7ed</t>
  </si>
  <si>
    <t>27/jan: Verifique o painel da conta e verifiquei que tinha reclamação, informei o caminho para contestar</t>
  </si>
  <si>
    <t>13ac9c9f-fc3d-4ae3-b82e-3f7fd5c5fc56</t>
  </si>
  <si>
    <t>Seller informa que submeteu a documentação pendente de KYC e solicita prioridade. enviei email para o time.</t>
  </si>
  <si>
    <t xml:space="preserve">130065728702November </t>
  </si>
  <si>
    <t>0d733725-0a9c-45ab-b693-72dccd4c790c</t>
  </si>
  <si>
    <t>Seller está em KYC, mas o diretor está se negando a enviar a documentação. estamos em contato com o time via Slack para resolver sem que precise dessa documentação.</t>
  </si>
  <si>
    <t>788431ff-c110-43cb-9bdd-4be2fb7c53fc</t>
  </si>
  <si>
    <t>Seller está com a variação bagunçada, pedi pra offshore ajustar http://na.winston.a2z.com/Seller-BR/task/9427</t>
  </si>
  <si>
    <t>92c7b26f-a45c-40b2-ae5b-d9df1ecbddf5</t>
  </si>
  <si>
    <t>Seller com ASIN B084T6KQ3S em PSC de autenticidade (offer não está bloqueada ainda). \n06/02 - Seller trouxe a issue, solicitado a NF.\n09/02 - Cobrado o seller novamente\n10/02 - Questionou sobre a quantidade nas NF, informado que precisa ser referente as vendas dos últimos 365 dias.</t>
  </si>
  <si>
    <t xml:space="preserve">472181389102February </t>
  </si>
  <si>
    <t>267a7f64-049b-4a07-9da2-eb9e02a897a8</t>
  </si>
  <si>
    <t>Dúvidas sobre a demora referente a liberação de alguns pedidos.\n\nFoi devido a aprovação com cartão de crédito.</t>
  </si>
  <si>
    <t xml:space="preserve">103928980802November </t>
  </si>
  <si>
    <t>784a8d2a-8889-467e-aa9e-4c2be8d3e192</t>
  </si>
  <si>
    <t>Quis reclamar que não estava ganhando a BB mesmo com melhor preço e frete mais rápido</t>
  </si>
  <si>
    <t>6b99701f-57cf-44df-a45e-a2e0e2e328ba</t>
  </si>
  <si>
    <t>cap hit AMZL - não libera etiqueta</t>
  </si>
  <si>
    <t>ead80e5e-f3ef-438a-a915-f69865d12f3a</t>
  </si>
  <si>
    <t>ASIN ativo mas oferta não está searchble</t>
  </si>
  <si>
    <t>a74a481e-baf3-4c64-af23-f330ec02876f</t>
  </si>
  <si>
    <t>02/02 - Seller entrou em contato trazendo os ASIN\'s: B0DPJL4PYQ / B0DPGLV3DZ que estão inativos devido a documentação de conformidade que foi enviada corretamente, mas obteve recusa.\n03/03 - Aberto um chamado para RISC fazer a verificação novamente, pois foi o time que aprovou os ASIN\'s anteriores: https://t.corp.amazon.com/V2096668259</t>
  </si>
  <si>
    <t xml:space="preserve">985914499902February </t>
  </si>
  <si>
    <t>f9641064-4d31-47ed-96d0-0213151b499c</t>
  </si>
  <si>
    <t>Seller gostaria de alterar a categoria para pagar uma comissão menor.</t>
  </si>
  <si>
    <t>35c6823c-5604-4462-9fdf-611f79446294</t>
  </si>
  <si>
    <t>23/02 - Seller solicitou ajuda com variações que estavam unificadas. Não conseguiu solicitar para o serviços premium. \n25/02 - Aberto para offshoring realizar o ajuste: https://na.winston.a2z.com/Seller-BR/task/10895</t>
  </si>
  <si>
    <t>695ada26-6827-43d9-a08a-262cb5ac406d</t>
  </si>
  <si>
    <t>Alteração no título dos ASINs (seller tentou solicitar via offshoring mas não conseguiu fazer a solicitação.\naberto o ticket: https://na.winston.a2z.com/Seller-BR/task/10855</t>
  </si>
  <si>
    <t>24416b28-b06e-484d-aee6-ae9ca5978d8a</t>
  </si>
  <si>
    <t>Seller questiona sobre os ASIN que estão com status de reservados no SC. \nGRU8: https://t.corp.amazon.com/V1996244738\nGRU9: https://t.corp.amazon.com/V1996247635</t>
  </si>
  <si>
    <t xml:space="preserve">653060435802November </t>
  </si>
  <si>
    <t>3bdd348c-8988-480e-893f-aa09a5455b99</t>
  </si>
  <si>
    <t>ASIN houve alteração no nome, pois houve confusao nos clientes (EAN)</t>
  </si>
  <si>
    <t xml:space="preserve">108483856702January  </t>
  </si>
  <si>
    <t>99bfd3af-da37-4eb8-9a39-e7da57d76279</t>
  </si>
  <si>
    <t>df89d996-6eb6-4bb3-aea4-16622f5350c8</t>
  </si>
  <si>
    <t>Itens constam como cancelado no pedido de remoção.\n\nTT aberto:https://t.corp.amazon.com/V2072715342</t>
  </si>
  <si>
    <t>0d0dcd9b-94b4-4658-99bd-fb2ec0f7da09</t>
  </si>
  <si>
    <t>Itens constam como cancelado no pedido de remoção.\n\nTT aberto: https://t.corp.amazon.com/V2072722969</t>
  </si>
  <si>
    <t>85b400f3-6710-4e37-8527-60f44a8a1270</t>
  </si>
  <si>
    <t>Itens constam como cancelado no pedido de remoção\nTT aberto: https://t.corp.amazon.com/V2072696690</t>
  </si>
  <si>
    <t>92ee44d8-61bc-4bf5-b5c1-17ff03d76152</t>
  </si>
  <si>
    <t>Itens constam como cancelado no pedido de remoção.\nTT aberto: https://t.corp.amazon.com/V2072685318</t>
  </si>
  <si>
    <t>70f4c47e-7eae-4fcc-8572-642f435baf8f</t>
  </si>
  <si>
    <t>Itens constam como cancelado no pedido de remoção.\nTT: https://t.corp.amazon.com/V2072706951</t>
  </si>
  <si>
    <t>905f03c7-3f60-4e3d-ad83-7388cd8f9ae3</t>
  </si>
  <si>
    <t>20/01- seller entrou em contato sinalizando asin em recalll\n20-01 - aberto chamado :https://t.corp.amazon.com/V2080108394</t>
  </si>
  <si>
    <t>2f7c5278-49c1-4f75-bef8-925701d2063a</t>
  </si>
  <si>
    <t>20/01 - Seller entrou em contato sinalizando problemas com ASIN inativo devido uso indevido da marca " TRUE SOURCE "  B0CV198SRM / B0DJ3HLYSX\n20/01 - Aberto um chamado para backoffice investigar: https://t.corp.amazon.com/V2080094196</t>
  </si>
  <si>
    <t>60277f2e-71e3-4215-956c-f11bb779b3ab</t>
  </si>
  <si>
    <t>Seller refuta a informação do time de payments e eu retorno pedindo comprovação das cobranças realizadas pela Amazon para enviar ao seller. \n\nticket: https://t.corp.amazon.com/V2075199622</t>
  </si>
  <si>
    <t xml:space="preserve">98385811302January  </t>
  </si>
  <si>
    <t>76a3e347-4463-4dee-bab6-8bf7e27d30a9</t>
  </si>
  <si>
    <t>Seller solicita o envio da NF de serviços Amazon de 2021 - 2023. \nE-mail enviado para o @vfmach</t>
  </si>
  <si>
    <t>06ec48ca-d98c-4ab5-a2a6-3f34ee7ff853</t>
  </si>
  <si>
    <t>Cliente solicitou estorno e continua com o item. \n\n13/01: Issue recebido\n13/01: tt aberto: https://t.corp.amazon.com/V2073800267\n20/02: Cobrei no tt ao math atualizações sobre o reembolso.</t>
  </si>
  <si>
    <t xml:space="preserve">658814193902January  </t>
  </si>
  <si>
    <t>1b9ccd5f-7bf2-4b45-8e55-13bd8fb12cd7</t>
  </si>
  <si>
    <t>Analisei alguns pedidos de garantia de AZ porém muitos o seller ainda podia recorrer no SC e outros ainda estavam em análise. Orientei o seller.</t>
  </si>
  <si>
    <t>5618cf50-acab-467d-bec1-7fd7438ce1c7</t>
  </si>
  <si>
    <t>seller questionou o motivo do ASIN B0DK8NSRRC estar bloqueado, e era porque ele não tinha liberação da marca</t>
  </si>
  <si>
    <t>11103651302September</t>
  </si>
  <si>
    <t>4459b312-e01a-4411-b6d4-4a0d668c4a3f</t>
  </si>
  <si>
    <t>Pedido que vendeu como envio próprio</t>
  </si>
  <si>
    <t>6c3be8ec-62c4-49f6-9c51-cadd7d6ab311</t>
  </si>
  <si>
    <t>Botão de compra não está disponível</t>
  </si>
  <si>
    <t xml:space="preserve">642643854302January  </t>
  </si>
  <si>
    <t>601b80dc-3e5f-47d3-a4ba-4f1b427ed2ea</t>
  </si>
  <si>
    <t>Reativação de ASINs desativados por Healthcare</t>
  </si>
  <si>
    <t>97596278102September</t>
  </si>
  <si>
    <t>206d7e25-0347-4e18-b012-7214fc072d1e</t>
  </si>
  <si>
    <t>atualizar nome de sabor</t>
  </si>
  <si>
    <t>4a8931af-b5fb-42c9-83e0-21f1db72050d</t>
  </si>
  <si>
    <t>Estoque está no full mas saiu como logística do vendedor.</t>
  </si>
  <si>
    <t xml:space="preserve">125288528002January  </t>
  </si>
  <si>
    <t>a577c74c-6717-4890-9db2-d0a4647a29ac</t>
  </si>
  <si>
    <t>Seller teve impacto devido a transportadora não coletar todas as un.</t>
  </si>
  <si>
    <t>e8f8f261-1e83-4dc6-bd9b-00daa5ac7a33</t>
  </si>
  <si>
    <t>22/01 - Seller entrou em contato sinalizando que o cliente entrou com Garantia A a Z recebeu reembolso e produto, porém queria pagar.\n22/01 - Direcionei o seller como prosseguir neste caso.</t>
  </si>
  <si>
    <t>a2aac6bd-3340-442f-885e-d30fb6eda242</t>
  </si>
  <si>
    <t>Seller está com oroblema com envio DBA, o pedido ainda não chegou ao cliente.\nAberto o chamado: https://t.corp.amazon.com/V2087251960</t>
  </si>
  <si>
    <t>4199f35a-976b-428c-895b-04500c058e4d</t>
  </si>
  <si>
    <t>Seller esta com NF de serviços diferente do relatório, @vfmach pediu pro time de sychro investigar, mas precisa de mais detalhes que só ele consegue resolver. provavelmente vai retomar na segunda. \n\nhttps://t.corp.amazon.com/V2082495724/communication</t>
  </si>
  <si>
    <t xml:space="preserve">28945506502December </t>
  </si>
  <si>
    <t>8fa1e949-5902-41ed-a9a7-4939ea0c5617</t>
  </si>
  <si>
    <t>Seller solicitou que removessemos avaliações negativas, mas não mandou o numero do case id</t>
  </si>
  <si>
    <t xml:space="preserve">475342556402December </t>
  </si>
  <si>
    <t>b3eb0683-2bb7-49b2-923c-6e207552fc66</t>
  </si>
  <si>
    <t>Seller quer que remova avaliações negativas, pedi o numero do chamado</t>
  </si>
  <si>
    <t>92d6e0c1-3b50-4ce5-8aaf-11cb2c671b8d</t>
  </si>
  <si>
    <t>Seller pediu pra remover a avaliação  negativa. https://na.vici.pars.amazon.dev/mpa-escalations/submit#/caseDetails/1765292067752125</t>
  </si>
  <si>
    <t>13d2980b-9803-49a8-95e4-34875c059699</t>
  </si>
  <si>
    <t>11/março: ASIN foi cadastrado com o TIPO errado, é uma impressora 3D porém o tipo está como Sapato\nhttps://t.corp.amazon.com/V2136439354/communication</t>
  </si>
  <si>
    <t xml:space="preserve">61648289002March    </t>
  </si>
  <si>
    <t>1679c9a2-cd41-4ba5-ab4a-9c0a83424de5</t>
  </si>
  <si>
    <t>10/março: Estava analisando a conta do seller e tinha ASIN inativo com potencial de vendas\nhttps://na.winston.a2z.com/Seller-BR/task/11524\nhttps://na.vici.pars.amazon.dev/mpa-escalations#/caseDetails/1773242814810721\nhttps://issues.amazon.com/issues/RISC-CET-82105</t>
  </si>
  <si>
    <t>cac178c1-a77c-4451-ba11-afcadd7e0bcb</t>
  </si>
  <si>
    <t>12/jan: Seller entrou em contato solicitando isenção de métricas\n\n13/jan: Abri o ticket de isenção de métricas e aguardo retorno\n\n14/jan: Isenção aprovada, comunicado ao seller e fechamento da atividade</t>
  </si>
  <si>
    <t xml:space="preserve">97759973202January  </t>
  </si>
  <si>
    <t>258c3b3f-59fe-4486-89c9-fb9ecd1374f5</t>
  </si>
  <si>
    <t>14/jan: Seller informa que a coleta não passou\n\n15/jan: Comunicação com o vholanda@</t>
  </si>
  <si>
    <t>8caa423c-df38-4ca4-9fed-2f174c288741</t>
  </si>
  <si>
    <t>18/jan: Seller entrou em contato informando que a coleta não passou no dia 16\n\nComuniquei o vholanda@</t>
  </si>
  <si>
    <t>8686f9ff-d5e3-4d64-af97-268737f4689b</t>
  </si>
  <si>
    <t>Item avariado, seller solicitou reembolso. \n05/02: Issue recebido\n05/02: tt aberto https://t.corp.amazon.com/V2099036029</t>
  </si>
  <si>
    <t xml:space="preserve">24928216102February </t>
  </si>
  <si>
    <t>63e11c4c-8273-4890-8b8d-74b99ff7002c</t>
  </si>
  <si>
    <t>Seller quer criar outros SKUs para um ASIN. \n20/02: Issue recebido\n</t>
  </si>
  <si>
    <t>f6d2f1be-4774-49c2-9554-27ee469fb8dd</t>
  </si>
  <si>
    <t>Seller deseja listar um novo asin porém o asin já existe na Amazon BR\n18/02: Issue recebido\n19/02: Orientei o seller a adicionar oferta ao ASIN que já existe.</t>
  </si>
  <si>
    <t>f65742be-6569-44cd-8b6a-b9355a7dfe7f</t>
  </si>
  <si>
    <t>Seller não está conseguindo criar envio para o FC \n25/02: Issue recebido \n</t>
  </si>
  <si>
    <t>44aee027-476a-4eba-932f-ee6c27054d54</t>
  </si>
  <si>
    <t>3 Asins estão com erro, “Produto descontinuado” e/ou  “Falha ao republicar automaticamente”\n25/02: Issue recebido \n</t>
  </si>
  <si>
    <t>2d1db0ed-4e70-498f-af24-ab59f2534564</t>
  </si>
  <si>
    <t>Dia 21/01 - Seller entrou em contato sinalizando que o ASIN estava com problemas, envio da planilha de produtos perigosos (Hazmat) dando problemas.\n22/01 - Aberto um chamado com as comprovações https://t.corp.amazon.com/V2082503387</t>
  </si>
  <si>
    <t xml:space="preserve">434163431202January  </t>
  </si>
  <si>
    <t>cc3a8e9e-5169-4a54-a8be-a933a3887018</t>
  </si>
  <si>
    <t>Seller informa que o asin estava inativo, mas quando verifiquei ele ja estava ativo!</t>
  </si>
  <si>
    <t xml:space="preserve">365155485602March    </t>
  </si>
  <si>
    <t>374e5cf5-2bd7-486c-9961-4c2c02b42993</t>
  </si>
  <si>
    <t>7bff18a4-c415-42f8-91d2-7ded36a47729</t>
  </si>
  <si>
    <t>Seller diz que os pedidos com pagamento aprovado estão demorando para aparecer na sua integradora AnyMarket, abri um chamado https://t.corp.amazon.com/V1960046646</t>
  </si>
  <si>
    <t xml:space="preserve">60238888002October  </t>
  </si>
  <si>
    <t>328afff7-1d7d-4708-beb0-073791a00210</t>
  </si>
  <si>
    <t>Seller está com dúvida sobra a atualização do KYC, informei que o time ainda está dentro do prazo e sua carência foi extendida pra 14/11</t>
  </si>
  <si>
    <t>7b8ebca3-8da6-4adf-bc30-9f14d0325d61</t>
  </si>
  <si>
    <t>Seller está com problemas em KYC, mandei um email solicitando prioridade no caso e o seller precisa validar os dados antes</t>
  </si>
  <si>
    <t>fe2c20e0-f2fc-43af-8c55-4d9bd32fc319</t>
  </si>
  <si>
    <t>Seller informa que seu asin caiu, informei que onde ele pode fazer o appeal.</t>
  </si>
  <si>
    <t>9e1f76ac-946c-4b2c-92aa-7002c4aaac2e</t>
  </si>
  <si>
    <t>Seller solicitou atualização do nome da Marca. \n\nhttps://na.winston.a2z.com/Seller-BR/task/11361</t>
  </si>
  <si>
    <t xml:space="preserve">314278248802March    </t>
  </si>
  <si>
    <t>7f4b808b-0966-48f1-ad71-71a6c432e26d</t>
  </si>
  <si>
    <t>Seller teve um a metrica de cancelamento afetada,</t>
  </si>
  <si>
    <t>cce4e42a-6c92-4c9d-8f14-408717c8ce82</t>
  </si>
  <si>
    <t>Seller quer NF de vendas de 2023, 2024, 2025</t>
  </si>
  <si>
    <t xml:space="preserve">137029362402December </t>
  </si>
  <si>
    <t>4d30cac0-4fe1-4a5d-a7bb-a1cf25d55b70</t>
  </si>
  <si>
    <t>Problemas com EAN</t>
  </si>
  <si>
    <t>f7796093-c158-477f-a0c5-800dca429753</t>
  </si>
  <si>
    <t>02/fev: Pediu apoio para reativar ASIN por questões de vencimento\n\nJá tinha um bincheck e informei para envia-lo.</t>
  </si>
  <si>
    <t xml:space="preserve">617231255902February </t>
  </si>
  <si>
    <t>3b883de9-918c-4e32-821b-b23627b69784</t>
  </si>
  <si>
    <t>9/fev: entrou em contato para desbloquear os ASINs com os relatórios de laboratório. Informei para enviar dentro do case, e caso seja recusado farrei o escalation\n\n13/fev: chamado pra Angela\nhttps://na.winston.a2z.com/Seller-BR/task/10639\n\n14/fev: teve retorno negativo, e passar instruções ao seller e analisar os docs\n\n19/fev: solicitei as informações solicitadas para o vendedor.\nNovo Appeal:\nhttps://na.winston.a2z.com/Seller-BR/task/10736\n\n25/fev: Abuse escalation:\nhttps://na.vici.pars.amazon.dev/mpa-escalations#/caseDetails/1772027631853491</t>
  </si>
  <si>
    <t>55032d89-50b6-4250-852d-e985db17baf1</t>
  </si>
  <si>
    <t>09/fev: quer ajuda para entender o motivo do ASIN estar inativo ("Bloqueio motivo da análise").\n\nErro 481 SEFAZ\n\nhttps://t.corp.amazon.com/V2103375607\n\n10/fev: ofertas ativas.</t>
  </si>
  <si>
    <t>035b672f-0379-454d-af86-fbbb16ba0bb3</t>
  </si>
  <si>
    <t>18275143311 - perdeu o selo prime, acompanhar chamado</t>
  </si>
  <si>
    <t xml:space="preserve">103928980802August   </t>
  </si>
  <si>
    <t>afa07744-2261-4123-821c-c04453c907bf</t>
  </si>
  <si>
    <t>Cliente pediu reembolso e não devolveu o produto, o seller não foi reembolsado. Passei o caso para o Viktor, aguardar resposta</t>
  </si>
  <si>
    <t>25326aa3-6f09-41dd-93d6-f05cc13dc93b</t>
  </si>
  <si>
    <t>18385386661 - acompanhamento e passei o caso para a ops owner - o time responsável respondeu e informou que será mantido o impacto</t>
  </si>
  <si>
    <t>25399177-c217-4c09-bb8b-37672c458cca</t>
  </si>
  <si>
    <t>Ele queria cadastar um novo produto ASUS mas não seria possivel - ticket 18378677581</t>
  </si>
  <si>
    <t>ab7dab6a-2272-42f5-8c3b-cf243123b333</t>
  </si>
  <si>
    <t>Pedido sem atualização de envio, chamado de SPS em andamento, acompanhando TT</t>
  </si>
  <si>
    <t xml:space="preserve">241002216802October  </t>
  </si>
  <si>
    <t>752109f4-16e5-49ef-a4c6-18186616f1ae</t>
  </si>
  <si>
    <t>Seller estava com dúvida sobre os pagamentos feitos a amazon, deduzidos em seus repasses.</t>
  </si>
  <si>
    <t xml:space="preserve">430279805602October  </t>
  </si>
  <si>
    <t>ea7f85b5-dfa9-40b3-92bd-9720cf650212</t>
  </si>
  <si>
    <t>Problema de invoicer sem motivo aparente no asin (problema geral de FBA) \naberto o chamado offer unblock: https://t.corp.amazon.com/V2127120463</t>
  </si>
  <si>
    <t xml:space="preserve">137029362402March    </t>
  </si>
  <si>
    <t>031c596c-1577-4f2e-b908-5bf601e45e49</t>
  </si>
  <si>
    <t>Seller solicita informação sobre imposto na NF de consultoria. Serviços de consultoria tem impostos retidos, e na NF não tem. (CSRF) 4,65% (IRRF) 1,5%.\n12/02 - Seller trouxe o problema\n13/02 - Questionado com vfmach\n04/03 - Nenhuma ação pendente do seller, não aparece por conta da reforma tributária.</t>
  </si>
  <si>
    <t xml:space="preserve">20068852602February </t>
  </si>
  <si>
    <t>2c16d444-84c6-4f0d-a77a-7133956aa62c</t>
  </si>
  <si>
    <t>Seller deseja corrigir a nomeclatura da buybox.\nQuestionado se deseja corrigir o nome deles que aparece na Buy Box ou o nome da oferta.\n23/02 - Seller trouxe o problema.\n24/02 - Nome do produto, informado solicitar a correção com serviços premium.</t>
  </si>
  <si>
    <t>c0c3f836-57ec-4b89-be7a-5be23095d1cd</t>
  </si>
  <si>
    <t>Seller tem uma variação criada, mas não está refletindo no site. \n\nhttps://na.winston.a2z.com/Seller-BR/task/11416</t>
  </si>
  <si>
    <t xml:space="preserve">481703768002March    </t>
  </si>
  <si>
    <t>0d921c78-0c80-4fd8-8388-84573d13d3de</t>
  </si>
  <si>
    <t>Seller esta pro problemas fiscais nos asins, pedi pro time de FBA ativar novamente.</t>
  </si>
  <si>
    <t>5475f6f0-095c-4301-ac63-1cfccc5b7068</t>
  </si>
  <si>
    <t>Seller esta com offers inativas no FBA, mas precisa atualizar as planilhas de FBA</t>
  </si>
  <si>
    <t>bc2b352b-f74e-4ac0-98b6-8432d1cb2a17</t>
  </si>
  <si>
    <t>Seller não recebeu a devolução e queria recorrer porque consta como entregue</t>
  </si>
  <si>
    <t>24383333802September</t>
  </si>
  <si>
    <t>736c97b5-242e-486d-85b6-67316837a805</t>
  </si>
  <si>
    <t>Reclamação por politicas da amazon  B0CKTWSZKR - para contestar preciso do bin check - o asin ainda não foi inativo. Agora o selelr devia enviar o recurso.</t>
  </si>
  <si>
    <t>750e1d68-9558-4eb6-8f3a-fd870f017039</t>
  </si>
  <si>
    <t>Seller queria enviar um recurso para reclamação que teve, passei o melhor caminho para que não sofra impactos</t>
  </si>
  <si>
    <t>6568d141-ca47-47d3-96b3-f02d744b60d6</t>
  </si>
  <si>
    <t>Ele recebeu uma reclamação no ASIN, e mostrei o caminho para enviar o recurso.</t>
  </si>
  <si>
    <t>06f376bb-e016-4976-88f4-7c42c73518c6</t>
  </si>
  <si>
    <t>779afb15-22fd-4f96-975d-08ed544a2b91</t>
  </si>
  <si>
    <t>Product Policy Compliance\n</t>
  </si>
  <si>
    <t>93ee2495-313a-4a3b-9fc6-1ce121df0856</t>
  </si>
  <si>
    <t>Product Policy Compliance - Cliente não que o produto não é original.</t>
  </si>
  <si>
    <t>c14bf03e-925c-416d-b772-9faebdf39c32</t>
  </si>
  <si>
    <t>Seller questionou porque a oferta dele caiu</t>
  </si>
  <si>
    <t>08fdda59-bf46-43db-baf9-8c73a2181c4e</t>
  </si>
  <si>
    <t>Seller teve o asin suprimido por falta de autorização da marca, pedi pra ele solicitasse essa autorização dentro do seller central. aguardando resposta. V1961405852</t>
  </si>
  <si>
    <t xml:space="preserve">475112640202October  </t>
  </si>
  <si>
    <t>8d70eb3e-8d4f-46a9-9613-6c6f44d3eede</t>
  </si>
  <si>
    <t>Seller solicita liberação do repasse "transações adiadas"\n10/03 - Trouxe a issue.\nValor retido por conta da política de entrega.\nNecessário aguardar.</t>
  </si>
  <si>
    <t xml:space="preserve">685488901302March    </t>
  </si>
  <si>
    <t>931d0a68-27d8-49b2-ab84-6e835bc93823</t>
  </si>
  <si>
    <t>06/fev: entrou em contato sobre mismatch no EAN, solicitei as informações corretas.\n\n09/fev: abri o TT de mismatch\nhttps://t.corp.amazon.com/V2103318580</t>
  </si>
  <si>
    <t xml:space="preserve">45146550802February </t>
  </si>
  <si>
    <t>5019725c-9704-42e7-a2f1-2161a7370e33</t>
  </si>
  <si>
    <t>2/fev: +300 pedidos com pricing error\nhttps://t.corp.amazon.com/V2095392822\n\n2/fev: Isenção com Castelog\nhttps://issues.amazon.com/issues/OP-4639</t>
  </si>
  <si>
    <t>f7865095-ba33-4c84-8c0c-d8065c3a292b</t>
  </si>
  <si>
    <t>13/fev: Informações do catálogo errada, e tem brand elevation. Um está certo o vínculo, o outro:\nhttps://t.corp.amazon.com/V2112050365</t>
  </si>
  <si>
    <t>ff011e6f-de77-4e42-a73e-d8d5a833c016</t>
  </si>
  <si>
    <t>12/fev: enviou as infos de recall e foram recusada. Ao analisar o código anatel não estava preenchido corretamente. Pedi para me confirmarem algumas infos\nhttps://na.winston.a2z.com/Seller-BR/task/10634\n\n26/fev:\nNovas alterçaões\nhttps://na.winston.a2z.com/Seller-BR/task/10944\n\n3/março: Abri abuse escalation:\nhttps://na.vici.pars.amazon.dev/mpa-escalations#/caseDetails/1772476266678953\n\nnovo CAU: https://na.winston.a2z.com/Seller-BR/task/11311\n\ntombstoned: https://t.corp.amazon.com/V2125982688</t>
  </si>
  <si>
    <t>57ffb48b-9a27-480c-82ed-73d5649b5ba0</t>
  </si>
  <si>
    <t>11/fev: selleri nformou que asin estava suprimido e precisa corrrigir\nhttps://na.winston.a2z.com/Seller-BR/task/10570</t>
  </si>
  <si>
    <t>c8a35e84-0a72-437b-9b32-dc306d705edd</t>
  </si>
  <si>
    <t>30/01 - Problema ao criar envio, diz ter atingido a capacidade, mas tem espaço\n30/01 - Em conversa com @jueno e @teigdebo o limite de capacidade sera atualizado de acordo com a progressão de vendas do seller.</t>
  </si>
  <si>
    <t xml:space="preserve">434163431202February </t>
  </si>
  <si>
    <t>72c1143d-2b1c-4921-89d9-0438a70c7a95</t>
  </si>
  <si>
    <t>Seller queria associar variações ; Solicitei tentar offshoring</t>
  </si>
  <si>
    <t>34aeb031-0cab-49dd-9ce0-9f4ce4debcdf</t>
  </si>
  <si>
    <t>dúvidas sobre relatórios</t>
  </si>
  <si>
    <t>23eb5db2-c348-472d-8cea-55f438144d6a</t>
  </si>
  <si>
    <t>Seller esta com problemas de brand. \n\nOffshoring: https://na.winston.a2z.com/Seller-BR/task/10401\nBackoffice: https://t.corp.amazon.com/V2098102338</t>
  </si>
  <si>
    <t xml:space="preserve">20208037402February </t>
  </si>
  <si>
    <t>cd9ed404-59a1-40d8-9ec6-b1adfa610d81</t>
  </si>
  <si>
    <t>seller esta com asin bloqueado com abuse review. \n\nhttps://na.winston.a2z.com/Seller-BR/task/10530</t>
  </si>
  <si>
    <t>2b29ddc7-c8de-4088-851e-fd5eaa1d17d9</t>
  </si>
  <si>
    <t>Seller teve diversos asin desativados pro falta de documentação. orientei como se deve incluir as documentações pra realizar o appeal.</t>
  </si>
  <si>
    <t xml:space="preserve">22445894402December </t>
  </si>
  <si>
    <t>45b700b1-4378-45af-a831-6422d966be75</t>
  </si>
  <si>
    <t>15/jan: Seller quer vender o ASIN, ele está ativo no US porém desativado no BR. Abri o ticket para o time de catalogo\nhttps://t.corp.amazon.com/V2074185142\n\n16/jan: O vendedor me enviou o codigo ean e verifiquei que na verdade é erro de produto que possue brand e foi cadastrado como genérico, enviei a planilha para preenchimento e correção do ASIN.\n\n19/jan: Seller enviou a planilha para correção e abri o TT pro time de catalogo\nhttps://t.corp.amazon.com/V2078818112\n\n20/jan: pedi a confirmação das fotos cinza/azul ou preto/bramco e vou seguir pelo Pixel Pusher e alteração da marca:\n\nMarca: https://t.corp.amazon.com/V2079912352\nPixel Pusher: https://t.corp.amazon.com/V2079917505\n\n21/jan: Ticket de GCOR Stamping\nhttps://t.corp.amazon.com/V2081275523\n\n26/jan: Ticket para Gating\nhttps://t.corp.amazon.com/V2086921688\n\n27/jan: Comunicado ao vendedor\n\n02/fev: mandei os comprovantes para o time de gating\n\ntambém abri um Stamping Correction: https://t.corp.amazon.com/V2095369382\n\n3/fev: surpimimos o EAN global dele para realizarmos a nova listagem\nhttps://na.winston.a2z.com/Seller-BR/task/10392\n\n05/fev: Na verdade o seller estava tentando realizar o match com EAN mas era código UPC</t>
  </si>
  <si>
    <t xml:space="preserve">127737463602January  </t>
  </si>
  <si>
    <t>92c61093-1112-4e94-be6f-a619970192b1</t>
  </si>
  <si>
    <t>3/março: seller informou que não ocnsegue gerar a SPOO, falei com o Ops Owner e informou que o mesmo estava com problema no certificado digital\nhttps://t.corp.amazon.com/V2127146663</t>
  </si>
  <si>
    <t xml:space="preserve">155525090602March    </t>
  </si>
  <si>
    <t>6bc47aa6-51d4-4ef0-9e0b-30a7c081e747</t>
  </si>
  <si>
    <t>4/março: seller questiona o motivo das vendas sairem como Logistca do Vendedor ao invés de DBA\nhttps://t.corp.amazon.com/V2128177136</t>
  </si>
  <si>
    <t>a8056378-247e-4932-af0d-c2fb62c77da4</t>
  </si>
  <si>
    <t>dúvida sobre cancelamento de pedido, gostaria de saber se cancelar o pedido iria gerar uma garantia a to z</t>
  </si>
  <si>
    <t xml:space="preserve">1078200608102March    </t>
  </si>
  <si>
    <t>1a342323-5514-4e77-92ad-701d50517c70</t>
  </si>
  <si>
    <t>05/março: informou que tentou cadastro do produto porém não apareceu no seller central</t>
  </si>
  <si>
    <t xml:space="preserve">25248213105March    </t>
  </si>
  <si>
    <t>6f7cb4d3-4e1c-4840-8ddd-d14c48dbb271</t>
  </si>
  <si>
    <t>3/marõ: selleri nforma que o ASIN foi bloqueado repentinamente, ao analisar tinham NFs rejeitadas.\nhttps://t.corp.amazon.com/V2126843282</t>
  </si>
  <si>
    <t>d2c7d6d8-63d7-4ddf-acd1-95ffbebfc619</t>
  </si>
  <si>
    <t>03/março: com duvidas de preenchimento de planilha fiscal\nhttps://t.corp.amazon.com/V2127237558</t>
  </si>
  <si>
    <t>e201dc87-88b2-4ca5-94bc-0d86d4762696</t>
  </si>
  <si>
    <t>09/março: Todos ASINs inativos por NF rejeitada\nhttps://t.corp.amazon.com/V2133572248</t>
  </si>
  <si>
    <t>f5f6a208-0188-4c83-8afc-50e59337d764</t>
  </si>
  <si>
    <t>11/fev: Quer mais informações sobre a discrepância do envio FBA196M5NL4M\nhttps://t.corp.amazon.com/V2105294483</t>
  </si>
  <si>
    <t xml:space="preserve">92771955402February </t>
  </si>
  <si>
    <t>243fdeb1-65a9-4d2c-9012-222d1b38e48e</t>
  </si>
  <si>
    <t>20/fev: vendedor entrou em contato sobre o pedido de remoção de 299 celulares, que foram recebidos por uma pessoa que não trabalha no galpão deles.\n\nhttps://t.corp.amazon.com/V2114935419\n\n23/fev: Amanda escalou pro time de transportes:\nhttps://t.corp.amazon.com/V2115167459/communication\n\n24/fev: adicionei as gravações das cameras no chamado.</t>
  </si>
  <si>
    <t>073a3651-8e9c-43bc-be05-0edbe8d9d182</t>
  </si>
  <si>
    <t>23/fev: enviou a planilha de hazmat mas não classificou, ao analisar estava em UTC3\nhttps://t.corp.amazon.com/V2118307907\n\n24/fevv: enviei a documentação extra\n\n25/fev: documentação recusada, e solicitei ao vendedor</t>
  </si>
  <si>
    <t>46caf1f2-51eb-4ff6-8a71-7628b5e0d284</t>
  </si>
  <si>
    <t>26/fev: seller questionou o porque do ASIN estar com defeito.\nhttps://t.corp.amazon.com/V2122671729</t>
  </si>
  <si>
    <t>ae2e7d69-850d-449f-9e20-0b9ca480563e</t>
  </si>
  <si>
    <t>Seller informa que está sem acesso ao tracks do envio MFN, solicitei a lista dos pedidos.</t>
  </si>
  <si>
    <t xml:space="preserve">1147177827502October  </t>
  </si>
  <si>
    <t>318ccb61-1679-4278-a8c5-a073a0651f04</t>
  </si>
  <si>
    <t>Seller está com dificuldade de criar um envio pra FBA. estou aguardando mais informações sobre.</t>
  </si>
  <si>
    <t>bd54fc41-2bfa-42c3-9d33-9262b226e554</t>
  </si>
  <si>
    <t>O título de uma air fryer está marcando como 35L no catálogo, porém ela é 3,5 litros. Solicitei correção\n\nASIN: B08LNWCJHH\nID: 18975750191</t>
  </si>
  <si>
    <t xml:space="preserve">414165418502December </t>
  </si>
  <si>
    <t>ddffec03-e893-4ab1-89ee-bcdc7598956d</t>
  </si>
  <si>
    <t>Tiago Bom dia tudo bem ? \n\nTiago precisava da sua ajuda para entender o que sao esses Chargeback Refund que vem no repasse,  ServiceFee e MiscAdjustment\n\ntodo mes vem e nos do financeiro nao entendemos o porque vem esses valor debitando. \n\nMiscAdjustment eu acredito que seja DIFAL mais nao tenho certeza\n\nsegue o print de como vem o repasse\n\nResposta: \n\nChargeback Refund: São valores relacionados a contestações de compra feitas pelos clientes junto ao cartão de crédito. Quando ocorre um chargeback, a Amazon precisa devolver o valor ao cliente, incluindo as comissões cobradas anteriormente.\n\nServiceFee: São taxas de serviço cobradas pela Amazon, que podem incluir:\n• Taxas de armazenamento\n• Taxas de fulfillment\n• Outras taxas de serviço operacional\n\nMiscAdjustment: São ajustes diversos que podem incluir:\n• Ajustes fiscais (como DIFAL)\n• Correções de valores\n• Outros ajustes administrativos</t>
  </si>
  <si>
    <t>d422a333-118d-4e6e-8fd1-c9ce91480ae2</t>
  </si>
  <si>
    <t>demora no transporte</t>
  </si>
  <si>
    <t>4b87a047-3827-465a-a558-57eabf4b9cc6</t>
  </si>
  <si>
    <t>pedidos pendentes</t>
  </si>
  <si>
    <t>5f475459-a361-46ec-b030-483257fd3af5</t>
  </si>
  <si>
    <t>nome da marca é mondial e ta cadastrado como Ultra</t>
  </si>
  <si>
    <t>b2df2b13-b151-4e32-afc4-9f148131fa9a</t>
  </si>
  <si>
    <t>Gostaria de saber como vai funcionar a logistica de coleta da Amazon apara as vesperas e pós feriado do Natal e Ano Novo.\n\n- Na teoria não teremos coleta nos dias 24 e 25, 31 e 01, os demais dias serão normais, a menos que o vendor configure o feriado.</t>
  </si>
  <si>
    <t>14e700e8-a930-4787-af60-3aa05519c24c</t>
  </si>
  <si>
    <t>Tiago, bom dia! Tudo bem?\n\nPoderia nos informar se existe algum limite de valor para saque? Atualmente temos mais de R$ 1 milhão disponível e gostaríamos de confirmar se é possível realizar o saque integral em uma única operação.\n\nAproveito para perguntar se o prazo de crédito em conta permanece o mesmo ou se há alguma alteração para valores acima de determinado montante.\n\nFico no aguardo, obrigado.\n\nResposta: Olá bom dia! Tudo sim e com você?\n\nNão possui limite para saque, creio que o prazo de crédito permanece o mesmo. Vou enviar a página sobre Pagamentos na Amazon, caso precise de mais informações recomendo usar o Chat de suporte tradicional que eles terão mais informações.\n\nAjuda &gt; Onbter ajuda e recursos : Meu problema não está listado\n\nCom isso você será transferido para equipe responsável e poderá sanar todas suas dúvidas.\n\nhttps://sellercentral.amazon.com.br/help/hub/reference/external/G69122\n</t>
  </si>
  <si>
    <t>d065e4da-453b-48b7-9ebc-86498a4ec643</t>
  </si>
  <si>
    <t>Preciso de ajuda com 3 pedidos do Amazon Full. Os clientes adquiriram o produto ASIN B0FBBTBWRH e receberam o produto ASIN B0DSJXBMTC. Nós temos os 2 modelos disponíveis no Full e acreditamos que possa ser um erro na separação, visto que, nossos anúncios estão corretos. \n\nGostaríamos que verificassem antes que aconteça em larga escala. \nAbaixo segue também anexado as reclamações e imagens recebidas de clientes. \n\nPedidos: \n\n701-3153211-3049044\n701-8546947-7809843\n701-8277445-8788232</t>
  </si>
  <si>
    <t>141aba6e-8df9-436e-b966-8cce5e36c8e0</t>
  </si>
  <si>
    <t>9f8a0cec-9291-456b-95e0-9186bc502e62</t>
  </si>
  <si>
    <t>Olá, estou com esse pedido, faltando informações:\n\nID de envio\n\nPHjFfKZGR\n\nID do pedido\n\n702-1333053-7395419\n\nSegundo a nossa integradora, diz que o pedido está faltando informações e possivel cancelamento do mesmo. Poderia verifica esa informação.\nJá tivemos problemas com esse produto uma vez, e o mesmo gerou impacto em nossa conta.\n\nAtt Rep Store\n\nResposta:\n\nOlá boa tarde! Espero que esteja bem.\n\nQuando as informações não chegam completas, normalmente é que o pedido não foi aprovado. Essa trava é para justamente não conseguirem faturar e não enviarem o item por engano.\n\nO pedido 702-1333053-7395419 ainda não foi aprovado.\n\nCaso sofra penalidade, basta recorrer conforme o PDF que irei anexar aqui, caso mesmo recorrendo sofra impacto basta me informar o número do chamado para escalar internamente.\n\n\nPara ver o arquivo em anexo \'Como_Realizar_Uma_Contestacao.pdf\' incluído nesta correspondência, use o link do caso do Seller Central abaixo da assinatura.</t>
  </si>
  <si>
    <t>33811edd-85e6-48cf-9646-baa3e188c4c0</t>
  </si>
  <si>
    <t>Tiago Boa tarde ! \n\na respeito da carga que solicitamos consta que enviamos 803 itens porem nao recebemos nada ate o momento. \n\ntem algum rastreio que possamos acompanhar ?\n\nResposta: Olá boa tarde! Nessa página mesmo que me mandou o print você consegue rastrear.\n\nSegue esse caminho:\n\n1. Menu &gt; Relatórios &gt; Logistica &gt; Detalhes do pedido de remoçã\n2. Acesse o pedido de remoção desejado\n3. Marque a opção "Ver todas as unidades enviadas"\n4. E basta clicar em "Ver detalhes de rastreamento"</t>
  </si>
  <si>
    <t>d738cfba-e398-4f65-83e6-3f79e5cb16b4</t>
  </si>
  <si>
    <t>Tiago, bom dia! Tudo bem?\n\nPreciso da sua ajuda para entender uma divergência que identificamos na conciliação de inventário do FBA.\n\nSKU: 6952302\n\nAtualmente, temos registradas 476 entradas desse produto no Full (FBA). No relatório de saídas, constam 73 saídas, o que indicaria um estoque esperado de 403 unidades.\n\nNo entanto, ao cruzarmos essas informações com o nosso sistema interno, identificamos apenas 71 vendas vinculadas a esse SKU, o que aponta uma diferença de 2 saídas adicionais impactando o inventário.\n\nAlém disso, no relatório de saídas não consta a identificação da venda ou pedido relacionado a cada movimentação, o que dificulta a rastreabilidade dessas saídas excedentes.\n\nGostaria de verificar se essa diferença pode estar relacionada a produtos danificados, extraviados, em processo de devolução ou algum tipo de ajuste operacional. Caso exista, você poderia nos orientar se há algum relatório ou local específico onde possamos consultar esse tipo de movimentação para esse SKU?\n\nResposta:\n\nTem um que acho que será mais acertivo que mostrará mais detalhes: Menu &gt; Relaótios &gt; Logística &gt; Busca por "Registro de Inventário"\n\nNesse relatório você conseguirá ver se houve itens danificados, ou outras movimentações. E caso você fizer a consciliação e mesmo assim não estiver batendo, você deverá abrir esse seguinte chamado:\n\nAjuda &gt; Obter ajuda e recursos &gt; Inventário perdido no armazém do programa Enviado pela Amazon\n\nNesse caminho o chamado irá para o time responsável para analisarem as motivações do ASIN em especifico.</t>
  </si>
  <si>
    <t>7300e077-dcb1-4691-9bf0-87e2c05b0acf</t>
  </si>
  <si>
    <t>Seller com uma cobrança de R$ 1.419,00 mas não tá conseguindo efetuar o pagamento.\nAberto um chamado para o time de payments: https://t.corp.amazon.com/V2127360367</t>
  </si>
  <si>
    <t xml:space="preserve">408932491102March    </t>
  </si>
  <si>
    <t>6293bf01-b1e0-4509-8be2-7dd7119c728e</t>
  </si>
  <si>
    <t>Estamos ainda com o problema de devoluçao do FBA POA1,\ninfelizmente nao tivemos nenhum retorno de nenhum pacote.\n\n16/jan: responderam o TT e comuniquei o Seller\n\n16/jan: seller gerou o envio e eu passei pro time no ticket\n\n20/jan: cobrei o TT\n\n26/jan: Cobrei no TT, no email e acrescentei no ASANA\n\n27/jan: informei todos pedidos de remoção e rastreios com insucesso no ticket e aguardo a tratativa por lá\n\n30/jan: bug corrigido vendedor informado</t>
  </si>
  <si>
    <t xml:space="preserve">92771955402January  </t>
  </si>
  <si>
    <t>8dbcba9d-7463-45e5-945e-ff7e05dca22b</t>
  </si>
  <si>
    <t>19/jan: seller entrou em contato discordando da decisão dos itens estarem como "danificados". Como o shipment não foi fechado, abri o Problem Receive Investigation:\nhttps://t.corp.amazon.com/V2078599761\n\nNo caso do ASIN B09WHTLDCP foi enviado um produto que o ean não bate com o cadastro, por isso foi movido para defeituoso.\n19/jan: Seller entrou em contato acrescentando um outro ASIN com o mesmo problema, como esse ele não enviou o número do envio, segui com o Bin Check\nhttps://t.corp.amazon.com/V2078617895\n\n19/jan: Fecharam meu TT de Problem Receive Investigation, e abri o de Bincheck\nhttps://t.corp.amazon.com/V2079680916\n\n20/jan: Vendedor criou o new ASIN B0GHRXHGJJ e abri o chamado para o time do FBA para realizarmos o Inbound:\nFBA196HT0NYV\nhttps://t.corp.amazon.com/V2079843757\n\n20/jan: ASIN B0F29YZ3MF:\n\n"Após consulta em nosso estoque foi identificado que os itens foram recebidos como danificado porque os mesmos vieram com a etiqueta colada por cima das informações do IMEI do aparelho, as quais são necessárias para rastreamento do mesmo."\n\n21/jan: Os itens serão devolvidos.</t>
  </si>
  <si>
    <t>b174659e-5f2d-433f-85f2-0d2dd670ea35</t>
  </si>
  <si>
    <t>29/jan: vendedor contesta as discrepâncias (MFI)\n\nChamado pro time de transportes: https://t.corp.amazon.com/V2090934814\n\n3/fev: Sem uma resposta, abri um chamado para FBA\nhttps://t.corp.amazon.com/V2096420857\n\n04/fev: cobrei o time de transportes e comuniquei o vendedor.\n\n09/fev: sem atualizações, comentei com o vendedor.\n\n23/fev: cobrei a transportadora</t>
  </si>
  <si>
    <t>174840cc-1eae-49eb-bd3b-0e205fcfa566</t>
  </si>
  <si>
    <t>O item foi devolvido pelo cliente, porém não chegou no endereço do seller. \nhttps://t.corp.amazon.com/V2034937254/communication</t>
  </si>
  <si>
    <t xml:space="preserve">245677411802December </t>
  </si>
  <si>
    <t>7d9333bd-aec4-4709-a91b-71f4c8b078de</t>
  </si>
  <si>
    <t>Seller solicitou as insenções de métricas. \n\nticket: https://t.corp.amazon.com/V2074017985</t>
  </si>
  <si>
    <t xml:space="preserve">130065728702January  </t>
  </si>
  <si>
    <t>9f0ecfde-ffd4-47f0-990f-34155ed1b54e</t>
  </si>
  <si>
    <t>Taxa de comissão afetada devido categorização de produtos.</t>
  </si>
  <si>
    <t xml:space="preserve">642643854302October  </t>
  </si>
  <si>
    <t>ceb3ab25-41d7-47f7-b18e-a8bd6d089f4f</t>
  </si>
  <si>
    <t>Seller entrou em contato solicitando ajuda, pois possui liberação para usar a marca Hamilton Beach, mas não consegue listar os produtos. Chamado aberto: \n\nhttps://t.corp.amazon.com/V1981064722/overview</t>
  </si>
  <si>
    <t>16afef53-fe31-483c-b327-ec0c8e24bb47</t>
  </si>
  <si>
    <t>O Seller veio informar que o ASIN B09DZ26NRW está classificado como hazmat, mas investigando vi que o appeal que ele mandou foi com a documentação (planilha errada) refizemos  o appeal (atraves do Pandash), mas ainda assim pedi pra ele nos mandar o FISPQ do produto para reforço.</t>
  </si>
  <si>
    <t>117086860802September</t>
  </si>
  <si>
    <t>f5dd8472-c34d-45ea-a734-208efcae2c4a</t>
  </si>
  <si>
    <t>O Seller informa que o ASIN B0DY87B2DT está reservado ainda e questiona o porque, solicitei um bin check pra entender https://t.corp.amazon.com/V1951419843</t>
  </si>
  <si>
    <t>571c8745-f43f-444f-9fbf-ee9c292db594</t>
  </si>
  <si>
    <t>O ASIN saiu de recall, mas os itens de FBA continuam com o status de defective, solicitei ao FC que movessem os itens pra sellable. V1951392047</t>
  </si>
  <si>
    <t>7348d869-45bc-4430-8957-f7fd0b3ebc52</t>
  </si>
  <si>
    <t>A amazon está rejeitando as NF do seller. \nhttps://t.corp.amazon.com/V2064022368</t>
  </si>
  <si>
    <t xml:space="preserve">45030065502January  </t>
  </si>
  <si>
    <t>9b06bfe5-87a7-40a7-a0ee-14825bc4676a</t>
  </si>
  <si>
    <t>Motorista não conseguiu bipar etiquetas do seller pois eram modelos novos. \nhttps://t.corp.amazon.com/V2065418348</t>
  </si>
  <si>
    <t>90be70e0-2f0e-498e-9560-019902e463ba</t>
  </si>
  <si>
    <t>Pedidos cancelados apos a coleta. \n22/01: Issue recebido \n22/01: tt aberto https://t.corp.amazon.com/V2082620286/communication</t>
  </si>
  <si>
    <t>b4a46a8a-c383-41a8-8266-5e009b3fa7d0</t>
  </si>
  <si>
    <t>Problemas para criar o envio para o ASIN B0FZDFT54N.\n\nEle possuia dois SKU\'s diferentes para o mesmo ASIN, ele estava tentando enviar o errado, e precisava fazer o preenchimento na planilha fiscal</t>
  </si>
  <si>
    <t xml:space="preserve">11103651302November </t>
  </si>
  <si>
    <t>05191f63-6cf9-4b87-8238-9ea1f62064b9</t>
  </si>
  <si>
    <t>queria inboundar um item, porém ele teve relclamações, ele deve recorrer pra liberar.\nmostrei o caminho pra ele</t>
  </si>
  <si>
    <t>faa3ad2b-c27b-4ba1-8326-dd8ac9d78424</t>
  </si>
  <si>
    <t>O produto que ele quer cadastrar não condiz com o de matching, pedi foto do produto msotrando o EAN para corrigirmos</t>
  </si>
  <si>
    <t>e7124be7-cd1f-457f-8099-85ee6624ed6a</t>
  </si>
  <si>
    <t>questionou da demora no recebimento de um envio, expliquei a situação</t>
  </si>
  <si>
    <t>62ebae2c-4ca2-4bd5-9de5-4ce0d725f609</t>
  </si>
  <si>
    <t>Seller inboundou 420 de um ASIN que foi yanked, por cagada dele e expliquei para ele</t>
  </si>
  <si>
    <t>b69853ef-42c1-4b18-acf7-696eb17b067d</t>
  </si>
  <si>
    <t>infos totalmente erradas</t>
  </si>
  <si>
    <t>2836edef-f41a-4f68-a98f-ca1700f0e57c</t>
  </si>
  <si>
    <t>removeu 101 recebeu 92</t>
  </si>
  <si>
    <t>1fa9a3d9-69d2-497a-97b5-cf78fc45172a</t>
  </si>
  <si>
    <t>Headphone HAVIT H630BT Bluetooth , Até 55 horas de reprodução, Preto\nSKU 6939119073077\nestamos com problemas cadastrais</t>
  </si>
  <si>
    <t>ae87674c-ba1f-47e1-8ef4-77b56fe9bac6</t>
  </si>
  <si>
    <t>questionou como solicita liberação da marca</t>
  </si>
  <si>
    <t>29141246-e3b1-4568-b827-53ec6ee077d1</t>
  </si>
  <si>
    <t>Como faço o match para que o reative?</t>
  </si>
  <si>
    <t>4b3783a6-e919-4890-a428-80a3bc291c26</t>
  </si>
  <si>
    <t>ASIN com estoque em FBA mas oferta inativa - 18873703521</t>
  </si>
  <si>
    <t>10289b84-1f0f-4c7e-9903-faa714d67874</t>
  </si>
  <si>
    <t>Demora para inboundar XCV9</t>
  </si>
  <si>
    <t>db2e5fb0-62d1-43a2-99f3-d7ef609f50de</t>
  </si>
  <si>
    <t>Bom dia! Gostaríamos de saber sobre um pedido de remoção 25071616X9 novamente, as boombox ean : 7899882316513 diz que foram entregues 101 unidades foram entregues somente 92, gostariamos de saber onde está o restante, fora os que foram cancelados.</t>
  </si>
  <si>
    <t>ff64dd96-6071-4b92-b737-7560a359672a</t>
  </si>
  <si>
    <t>alteração sobrei nformações de conectividade</t>
  </si>
  <si>
    <t>3a50eb95-2a7c-42d1-909b-8ecb6e6ecc99</t>
  </si>
  <si>
    <t>816067318102September</t>
  </si>
  <si>
    <t>a36bdf90-e2fc-4276-8a49-adadc121e1d3</t>
  </si>
  <si>
    <t>Seller tenta dar match ao ASIN porém pede autorização de Suplementos e Vitaminas mesmo corrigindo a categoria. Pedi um dive deep ao time de catálogo</t>
  </si>
  <si>
    <t>87e841db-2074-4df5-aa1b-97cf02393f41</t>
  </si>
  <si>
    <t>Seller está tentando cadastrar alguns ASINs porém aparece erro de 8541, erro de marca genérica, erro de sku, e fabricante.\n12/02 - Seller trouxe o problema.\nSolicitado para o seller preencher planilha de cadastro. Pois pediu para o seller abrir um chamado com SPS, vou tentar via offshoring (tentei uma vez e deu certo).\n19/02 - Cobrado novamente.\n20/02 - pedi ajuda para o @thalent\n24/02 - Enviado e-mail.\n26/02 - Sem retorno, fechado.</t>
  </si>
  <si>
    <t xml:space="preserve">816067318102February </t>
  </si>
  <si>
    <t>d53eb1d8-7028-4139-834d-52e6936674f3</t>
  </si>
  <si>
    <t>Seller está tentando enviar alguns ASINs para o FBA, porém aparece erro de limite de quantidade.\nASINs: B07Y5PY2QS,B07Y5P9XNB,B003SNTSNG\n25/02 - Seller trouxe a issue\naberto tt para FBA ASIN  Capacity Limits\nhttps://t.corp.amazon.com/V2120454012/\n26/02 - ASIN limitado.</t>
  </si>
  <si>
    <t>faf277d3-5065-45db-978d-1e062af1fba8</t>
  </si>
  <si>
    <t>Classificação de Hazmat\n</t>
  </si>
  <si>
    <t xml:space="preserve">230755558102January  </t>
  </si>
  <si>
    <t>4b4353cb-c6ab-464b-a1e8-cb8a155217ca</t>
  </si>
  <si>
    <t>Seller solicita auxilio, pois não consegue gerar etiqueta de um determinado pedido</t>
  </si>
  <si>
    <t>a498e1fb-992d-4c9d-9f53-3335ff687626</t>
  </si>
  <si>
    <t>Classificação de hazmat\nASINs: B0G269D5BW / B0G266D8D7\nSeller havia enviado a planilha no dia 12/01\nPandash ainda marcava em análise.\n20/01 - aberto tt\nhttps://t.corp.amazon.com/V2080327147\n26/01 - Aberto um novo tt, pois robô ficou encerrando visto que no pandash marcava em análise. Informação não tem saído do pandash.\nhttps://t.corp.amazon.com/V2086966039\n28/01 - Aberto SIF https://na.vici.pars.amazon.dev/mpa-escalations/#/caseDetails/1769620253743432\n30/01 - SIF não consegue intervir, aberto um TT DG Process Query\nhttps://t.corp.amazon.com/V2092407134/overview\n04/02 - Chamei o assignee no slack\n09/02 - Enviei um invite para um call com @jolarisk 10/02\n10/02 - Solicitado para o seller alterar a oferta para FBA para que o sistema de forma automática siga o fluxo de classificação.\n11/02 - Cobrado novamente\n13/02 - Sem retorno do seller, encerrado.</t>
  </si>
  <si>
    <t>0094ba6a-cf98-41ff-bfd1-42048de12f09</t>
  </si>
  <si>
    <t>02/fev: Deseja contestar a revisão 276\nhttps://t.corp.amazon.com/6c4b3362-d556-491a-ad47-87f68dcbcf7c\n\n04/fev: seller adicionou um novo case e inclui no ticket</t>
  </si>
  <si>
    <t xml:space="preserve">127737463602February </t>
  </si>
  <si>
    <t>fe2e7bc5-0248-457a-a9aa-2fc14e38d66c</t>
  </si>
  <si>
    <t>22//fev: appeal de contestação de métricas foi negada\n\nhttps://t.corp.amazon.com/V2106525413</t>
  </si>
  <si>
    <t>c76faad3-bdd9-4b75-8080-532a25b81097</t>
  </si>
  <si>
    <t>19/fev: não está conseguindo subir a planilha de informações fiscais. Pedi para ele corrigir as "Regras Fiscais" e tentar subir denovo para ver se o erro é corrigido.\nhttps://t.corp.amazon.com/V2114014698</t>
  </si>
  <si>
    <t>7757319e-af29-4ffc-9976-7b3a907fe4f1</t>
  </si>
  <si>
    <t>20/fev: seller deseja contestar o impacto nas métricas\n\nhttps://t.corp.amazon.com/V2115049933</t>
  </si>
  <si>
    <t>d734ad0c-713e-41bd-8f47-2206f0ef5c1b</t>
  </si>
  <si>
    <t>Pedido com atraso de um mês.</t>
  </si>
  <si>
    <t xml:space="preserve">320035971002December </t>
  </si>
  <si>
    <t>3d031edb-e399-41ec-85bb-9d48db84905c</t>
  </si>
  <si>
    <t>Pedidos retornaram sem motivo aparente e alguns danificados. Abrir um tt solicitando o reembolso. \n\nhttps://t.corp.amazon.com/V2074182323/communication</t>
  </si>
  <si>
    <t>97b52545-0c52-44f6-83a2-8689a3217edd</t>
  </si>
  <si>
    <t>Seller esta com problema para criar um envio pela transportadora da Amazon.</t>
  </si>
  <si>
    <t xml:space="preserve">627010921602February </t>
  </si>
  <si>
    <t>2e18d743-3e91-4296-8263-7ff71d4d708e</t>
  </si>
  <si>
    <t>Seller solicita o cancelamento de dois removals: 26012026xx e 2601261A6G\n\nhttps://t.corp.amazon.com/V2103018873</t>
  </si>
  <si>
    <t>45b1d37e-5d06-4f79-a4e0-efb88afc55f3</t>
  </si>
  <si>
    <t>Seller esta com problema pra remover conteúdo A+ na sua detail page\n\nhttps://na.winston.a2z.com/Seller-BR/task/10607</t>
  </si>
  <si>
    <t>8a55a95c-74b2-46c3-920d-30c2e70dbc7b</t>
  </si>
  <si>
    <t>Seller está com conteúdo A+ ainda refletindo no site, solicitei revisão. \n\nhttps://na.winston.a2z.com/Seller-BR/task/10764</t>
  </si>
  <si>
    <t>71ae9ed4-e6f3-4529-9dcd-c0d8efdbcf30</t>
  </si>
  <si>
    <t>opfertas inativas</t>
  </si>
  <si>
    <t xml:space="preserve">25248213105December </t>
  </si>
  <si>
    <t>9aa23505-ef6e-4006-803a-0299191ab171</t>
  </si>
  <si>
    <t>GRU8 está sendo descontinuado, precisamos desbloquear os ASINs bloqueados para conseguirmos transferir</t>
  </si>
  <si>
    <t>53742464-5160-4d97-880b-9c0869ae55d9</t>
  </si>
  <si>
    <t>B0849PHXW1 - Temos estoque no full mas consta indisponivel no canal\nB0CQRSDWGZ - produto ativo porém não reflete no front\nB0BZQKVC7J\t- produto ativo porém não reflete no front\n\nResposta: Não aparece em transferência pro GRU8, porém estava pendente para dar entrada no novo FC</t>
  </si>
  <si>
    <t>4608b727-d046-44cb-a3b5-d818f57b32c0</t>
  </si>
  <si>
    <t>Eles tem Estoque no Full, mas não refletem na página de vendas. \n\nB0F2B1D586\tIndisponível mas com estoque Full\nB0FPJ52LSR\tIndisponível mas com estoque Full\nB0D3M79J7K\tIndisponível mas com estoque Full\nB0FF6FZF9Y\tIndisponível mas com estoque Full\nB0D79T79TF\tIndisponível mas com estoque Full\nB0DHFZ4RK6\tIndisponível mas com estoque Full\nB076BBQRRQ Indisponível mas com estoque Full\nB0DQ2C4M8C Indisponível mas com estoque Full\n\nConsegue me ajudar nesse caso também, por favor?</t>
  </si>
  <si>
    <t>c11d9c1e-ebe7-4f18-8571-803988b60107</t>
  </si>
  <si>
    <t>ics:815</t>
  </si>
  <si>
    <t>b3cf617f-7279-4d6a-a292-48adcf105ad3</t>
  </si>
  <si>
    <t>B0849PHXW1 - Temos estoque no full mas consta indisponivel no canal</t>
  </si>
  <si>
    <t>8bc06949-3aa3-47b0-93d1-fc0cb951469f</t>
  </si>
  <si>
    <t>Está com a imagem errado e solicitei pro time de offshoring trocar- https://na.winston.a2z.com/Seller-BR/task/8882\n\nTicket aberto em: https://issues.amazon.com/issues/BR-CATALOG-8298</t>
  </si>
  <si>
    <t xml:space="preserve">1030040901202October  </t>
  </si>
  <si>
    <t>9ba6c942-0956-4295-90d9-4f204c3782a4</t>
  </si>
  <si>
    <t>Seller queria saber mais informações sobre o envio id FBA191R6Y7YJ, mas ele ainda está em processo de recebimento e só podemos iniciar um investigação depois de finalizado.</t>
  </si>
  <si>
    <t>127abc71-edd0-49be-b38b-e4c92c1bd1a3</t>
  </si>
  <si>
    <t>Seller se queixa de pedidos que foram cancelados, mas não tem uma justificativa detalhada, mas aparentemente ele mandou de diversas contas. questionei.</t>
  </si>
  <si>
    <t>b2ab3428-3edb-4fa3-a66d-6b3e9092c749</t>
  </si>
  <si>
    <t>Seller está enfrentado problemas aparentemente de ofertas hibridas, que estão saindo tanto de DBA quanto em FBA, perguntei o asin continua cadastrado na sua integradora.</t>
  </si>
  <si>
    <t>4b855acd-1bb4-4d5a-8940-077d5413b169</t>
  </si>
  <si>
    <t>Seller solicitou ajuda para entender como está o processo de recebimento do envio: FBA191R6Y7YJ\n\nAberto um chamado com o pessoal do CD para entender como está a situação: https://t.corp.amazon.com/V1969204775/overview</t>
  </si>
  <si>
    <t>80f5b472-e0ea-43c4-9003-bbfa1980606f</t>
  </si>
  <si>
    <t>Seller solicitou alteração no campo Fabricante dos seguintes ASIN: \nB0DNGDLX1R\nB0DNGJQLCW\nB0DNGFB757\n\nChamado aberto para equipe de Catálogo: https://t.corp.amazon.com/V1971435381</t>
  </si>
  <si>
    <t>fb36ebfc-72d9-4a7f-a65d-71de0ce57a9a</t>
  </si>
  <si>
    <t>Seller está com estoque entrando em mfn por não conter estoque em fba</t>
  </si>
  <si>
    <t>d50aae39-1c72-4b7c-baa7-6cd7ae384df2</t>
  </si>
  <si>
    <t>Seller solicitou a troca de imagens dos ASIN\'s: B0B196MSKD / B0B19F62DB</t>
  </si>
  <si>
    <t>e9e489b3-97cc-450b-9b88-81cff0f32ad9</t>
  </si>
  <si>
    <t>Seller solicitou a troca de imagens dos ASIN\'s: B0B196MSKD / B0B19F62DB\n\nChamado aberto: https://t.corp.amazon.com/V1979155264</t>
  </si>
  <si>
    <t>87d7e261-5f86-44fa-a4e6-b00aa6865c9c</t>
  </si>
  <si>
    <t>ASIN constando unidades como impossível de ser enviada/reservado em UTC5\nAberto um bin-check solicitando imagem das unidades: https://t.corp.amazon.com/V2121695427\nApós o bin-check foi aberto o chamado de utc5: https://t.corp.amazon.com/V2125650103</t>
  </si>
  <si>
    <t xml:space="preserve">364311616102February </t>
  </si>
  <si>
    <t>b4f705ce-8481-40aa-ab26-46d36592ab55</t>
  </si>
  <si>
    <t>Seller solicita auxilio com uma devolução de um cliente. Orientado a primeiro verificar com SPS.</t>
  </si>
  <si>
    <t xml:space="preserve">45030065502December </t>
  </si>
  <si>
    <t>e6b10a3a-98e1-402c-a2b1-9d11f076263e</t>
  </si>
  <si>
    <t>Isenção de métricas. https://issues.amazon.com/issues/OP-4446</t>
  </si>
  <si>
    <t>63c8f54b-3a50-455d-b05c-b0c4c04e083d</t>
  </si>
  <si>
    <t>todas ofertas cairam</t>
  </si>
  <si>
    <t xml:space="preserve">97759973202October  </t>
  </si>
  <si>
    <t>8004b69a-855a-4280-bff4-42055fcb2782</t>
  </si>
  <si>
    <t>ad3357b2-0876-4cb8-9b34-47e9acda7ad7</t>
  </si>
  <si>
    <t>Conta desativada</t>
  </si>
  <si>
    <t>5a1e37e7-ca73-4f80-af5d-48743e43ff67</t>
  </si>
  <si>
    <t>problema na integração de notas</t>
  </si>
  <si>
    <t>5559c9e3-7412-42d8-b5c7-c1a955fe29c4</t>
  </si>
  <si>
    <t>Seller solicita analise sobre remoçoes antigas que n houveram entrega.</t>
  </si>
  <si>
    <t xml:space="preserve">627010921602March    </t>
  </si>
  <si>
    <t>46a339f8-540d-40d0-b63e-9c1b3004ea4f</t>
  </si>
  <si>
    <t>Seller deseja saber o motivo de 85 pedidos terem sido cancelados, informado que provavelmente foi a forma de pagamento.\n25/02 - Chamei o Ops Owner\n26/02 - Coletado</t>
  </si>
  <si>
    <t xml:space="preserve">685488901302February </t>
  </si>
  <si>
    <t>e00059ac-88ab-4445-9b0b-546002c246f8</t>
  </si>
  <si>
    <t>Seller foi aprovado para comercializar a marca Selene, mas está enfrentando o erro 5461 impedindo de listar os asin. TT: http://t.corp.amazon.com/V1987808727 - Solicitamos a NFe pra subir um escalation</t>
  </si>
  <si>
    <t xml:space="preserve">827345792502November </t>
  </si>
  <si>
    <t>f6655e30-4885-4493-8fee-9dccd1def35a</t>
  </si>
  <si>
    <t>ASIN: B0BZQKVC7J Está ativo, mas não aparece o produto para a venda, ao realizar a análise foi devido a reclamações e ele não realizou o procedimento corretamente, deverá seguir com a remoção e realizar um novo envio</t>
  </si>
  <si>
    <t>25248213105September</t>
  </si>
  <si>
    <t>fcff7f48-192a-4e9f-acff-b6972e0626c3</t>
  </si>
  <si>
    <t>seller reclama que não teve repasse, mas era necessário atualizar as informações do cartão, e agora o mesmo aguarda a liberação</t>
  </si>
  <si>
    <t>9a253c45-f76e-46ab-b1de-7fd9b37a2830</t>
  </si>
  <si>
    <t>Selelr não conseguiu fazer o inbound porque não forneceu a planilha de hazmat, mostrei o caminho para preenchimento</t>
  </si>
  <si>
    <t>81e6f789-9b9c-4c3a-8e80-e90a71709e85</t>
  </si>
  <si>
    <t>seller teve problema para realizar um inbound, e mostrei o caminho para corrigir os erros.</t>
  </si>
  <si>
    <t>b90db4c8-36b4-4baf-8eb8-4d30ee9fcef8</t>
  </si>
  <si>
    <t>bc2d876e-1fd2-4c9e-bdcb-a4cdbace0f89</t>
  </si>
  <si>
    <t>Asin bloqueado, informei que o seller deve entrar em contato com o representate da marca para liberação da venda</t>
  </si>
  <si>
    <t>78289076-7a83-491e-ae7b-15c5858d2d45</t>
  </si>
  <si>
    <t>seller teve problemas ao converter o produto para FBA, o erro era porque ele tinha que alterar o SKU para quando realiza a troca do modo de envio</t>
  </si>
  <si>
    <t>91b64c57-d235-4f72-b55c-c13b215be68f</t>
  </si>
  <si>
    <t>Problema com a NF, apareceu mensagem de erro, instrui a abertura do chamado e acompanhamento da resolução - 18506086061 \n</t>
  </si>
  <si>
    <t>8f4140f8-a34f-43bb-bc07-e8b99b5852f2</t>
  </si>
  <si>
    <t>Problema com inboud, ao verificar era quetão de planilha fiscal</t>
  </si>
  <si>
    <t>6d91f41e-e166-4766-997d-2599f1c2391c</t>
  </si>
  <si>
    <t>Problema com inbound, ele tinha que recadastrar o produto porque o ASIN alterou</t>
  </si>
  <si>
    <t>1120691e-08d5-473d-82e7-bfc327b59bd2</t>
  </si>
  <si>
    <t>Vendas nos dias 18/19 não emitiram nota no FBA, os compradores estão abrindo reclamações devido a isso</t>
  </si>
  <si>
    <t>46ee0ed8-7eb3-4d7a-ab1b-1ec8cafd9b60</t>
  </si>
  <si>
    <t>seller não conseguiu enviar o ASIN para o FBA, baixei a planilha fiscal e as informações não estavam cadastradas\n</t>
  </si>
  <si>
    <t>3a9c1146-cbce-4aac-8bad-45ca5b1d428e</t>
  </si>
  <si>
    <t>seller nao consegue aprovação da marca</t>
  </si>
  <si>
    <t xml:space="preserve">175133439302October  </t>
  </si>
  <si>
    <t>5be2a196-f120-4c5f-994b-581d8abd21fa</t>
  </si>
  <si>
    <t>Seller vendia a marca normalmente, solicitaram novamente a nota para aprovar a marca.</t>
  </si>
  <si>
    <t>6a0138c2-7a8c-475d-8e24-ad8883019e06</t>
  </si>
  <si>
    <t>Seller solicita remoção de avaliação negativa, cliente comprou uma barra de proteína e avaliou uma creatina.\n04/02 - Trouxe a issue, aberto SIF \nhttps://na.vici.pars.amazon.dev/mpa-escalations/#/caseDetails/1770223512263285\n05/02 - Avaliação negativa removida</t>
  </si>
  <si>
    <t xml:space="preserve">119969424302February </t>
  </si>
  <si>
    <t>18bb7a43-f936-4f16-a1ef-225bb6a73fb2</t>
  </si>
  <si>
    <t>701-6512651-4165861, o cliente foi reembolsado e continuou com o produto, deseja fazer o repagamento do produto. \n\nhttps://t.corp.amazon.com/V2127002852</t>
  </si>
  <si>
    <t xml:space="preserve">21753463202March    </t>
  </si>
  <si>
    <t>90fe790b-fc84-4b4d-ac82-dc9358539688</t>
  </si>
  <si>
    <t>Seller alegou o que o asin não estava disponível no site, mas só estava perdendo buybox</t>
  </si>
  <si>
    <t xml:space="preserve">702794226702February </t>
  </si>
  <si>
    <t>af291166-fe88-48f0-8aaf-4215c34eef3e</t>
  </si>
  <si>
    <t>Seller citou o ASIN UN em processamento no centro de distribuição\naberto um bin-check para entender o motivo e ver se esta tudo ok com as unidades: https://t.corp.amazon.com/V2104484605</t>
  </si>
  <si>
    <t>f6406d9c-957e-4f64-a6f2-4a2a96abe2d0</t>
  </si>
  <si>
    <t>problema no T-REX, não conseguia inserir o ID do armazém</t>
  </si>
  <si>
    <t>d9eea1d7-b825-4c11-b56b-036a940e2955</t>
  </si>
  <si>
    <t>Seller solicita informação de qual usuário realizou alteração nas configurações de devolução.</t>
  </si>
  <si>
    <t xml:space="preserve">20068852602January  </t>
  </si>
  <si>
    <t>f9409a8e-cc74-46ce-8600-2e61a9532aab</t>
  </si>
  <si>
    <t>Seller informa que não está conseguindo adicionar um usuário. \n26/01 - Seller trouxe o problema. Questionado se já existiu anteriormente esse usuário.\n27/01 - Relatou que esse usuário já existiu anteriormente com esse e-mail, informado que vai precisar de um e-mail alternativo, não tem como excluir totalmente dos sistemas um e-mail usado anteriormente.</t>
  </si>
  <si>
    <t>2068d600-0ed6-486d-9ac9-8c0874a17566</t>
  </si>
  <si>
    <t>Produto retornando para um endereço da Amazon e não do seller. (não opera em FBA)\nPedido 701-6759386-5583425\n22/01 - Aberto tt https://t.corp.amazon.com/V2082669544\n30/01 - Solicitaram a abertura de outro TT, solicitei prioridade\nhttps://t.corp.amazon.com/V2092397136\n04/02 - Solicitaram para abrir outro CTI, chamei o assignee devido a quantidade de direcionamentos\nhttps://t.corp.amazon.com/V2097973327/communication\n10/02 - @rochaaes disse que foi entregue a devolução, aguardando a transportadora fornecer o comprovante de entrega.\n11/02 - Disse para abrir um tt para C-RET e criarmos uma thread no slack.\n12/02 - Aberto CTI, mas o assignee é o POC e está com conta desativada no slack e não localizo no phonetool.\nhttps://t.corp.amazon.com/V2106332686/overview\n20/02 - Falei com @amaslv para auxiliar no reembolso e ela disse para abrir o tt https://t.corp.amazon.com/V2115258115\nFalaram que é com MFN\n23/02 - Aberto ticket de reimbursement com Self Ship\nhttps://t.corp.amazon.com/V2117969234\n27/02 - Reembolso aprovado, prazo 45 dias.</t>
  </si>
  <si>
    <t>80f58351-dfec-4b83-8c3e-50f812b526b8</t>
  </si>
  <si>
    <t>Duvidas sobre dois envios.\n\nFBA STA (10/28/2025 15:53)-GRU9\nFBA1930MCYS5, 1Y3GBYXI\n\nFBA STA (10/28/2025 10:45)-XCV9\nFBA1930FHWHX, 145329PS</t>
  </si>
  <si>
    <t xml:space="preserve">92771955402November </t>
  </si>
  <si>
    <t>9bed1a71-e419-4ee6-ae3c-a6968a94c5de</t>
  </si>
  <si>
    <t>problema com os pedidos de remoção em POA1</t>
  </si>
  <si>
    <t>82c8b7d9-8f45-452e-a4f7-5c7a17a0f63b</t>
  </si>
  <si>
    <t>Tiago bom dia! é o Leonardo, tudo bem?\n\nEstou com uma dúvida na parte de envio da Amazon se poder me auxiliar eu agradeço. Eu até tenho os documentos de apoio para criação de envios porém tentei alguns métodos e não consigo chegar na parte do envio especifica para envios "paletizados".\nAinda não trabalhamos na Amazon com esse tipo de envios, mas em breve será necessário.\nConsegue me auxiliar como chegar nesse passo? tem algo em específico que autorizaria a carga ser destinada a esse passo a passo?</t>
  </si>
  <si>
    <t xml:space="preserve">24383333802January  </t>
  </si>
  <si>
    <t>0dfac8d6-5795-42ea-9e9a-8c343a393911</t>
  </si>
  <si>
    <t>Não consegue solicitar ILAC</t>
  </si>
  <si>
    <t>17fbb0d0-62f1-404e-b5f9-79b901653268</t>
  </si>
  <si>
    <t>Voldemort\nchamado 19229256021</t>
  </si>
  <si>
    <t>ab412134-69cb-4746-bcfa-09a564bf35fa</t>
  </si>
  <si>
    <t>iagooo, viu deixa eu ver se você consegue me ajudar com isso rsrs.\n\nEssa tela é nova né? Eu preciso entender como funciona, onde eu verifico os pontos que preciso melhorar para aumentar meu desempenho de inventário?\n\n</t>
  </si>
  <si>
    <t>0f0a0d8b-f790-4f4c-89e7-be9dc6776228</t>
  </si>
  <si>
    <t>Aprovação marca SYMPHONY</t>
  </si>
  <si>
    <t>89b8b1be-24d8-4b54-b0bb-e6a2b738a0da</t>
  </si>
  <si>
    <t>Bom dia Tiago, tudo bem? Samuel aqui. O envio FBA194CN7KYR ainda não finalizou o processamento, e a data da agenda dele é 05/12/25. Poderia averiguar, por gentileza?\n\nResposta: Ao checar as units estavam em PREP, por isso do Inbound demorado</t>
  </si>
  <si>
    <t>c28138cb-7b33-4b1b-8c12-214ea2d2f1a1</t>
  </si>
  <si>
    <t>Mostyrei o camingho para reativar as ofertas com o vinculo de estoque do FBA correto</t>
  </si>
  <si>
    <t>011e5ff7-021c-489d-ad1f-d341219dbcd3</t>
  </si>
  <si>
    <t>19/jan: Seller entrou em contato solicitando o bincheck para recorrer a reclamação de Wrong Product.\nhttps://t.corp.amazon.com/V2078712532\n\n19/jan: responderam o bin check em 20min, encerrando atividade</t>
  </si>
  <si>
    <t>03eb9b8a-c72b-4445-b4e9-4c7ac0735e4b</t>
  </si>
  <si>
    <t>21/jan: Seller entrou em contato apra contestar "Wrong Product"\nhttps://t.corp.amazon.com/P371955204\n\n22/jan: Forneci o TT e foi removido as reclamações</t>
  </si>
  <si>
    <t>5dcc57cc-64db-4262-91df-a5241cd309e0</t>
  </si>
  <si>
    <t>16/jan: Entrou em contato pedindo recontagem do envio FBA193QDDJ8X, ele não consegue solicitar ILAC.\n\n19/jan: Entrou em contato sobre o envio FBA193NZ0SFP estar demorado\n\nAbri o chamado de Problem Receive Investigation - GRU9 para ambos\n\nhttps://t.corp.amazon.com/V2078484519\nhttps://t.corp.amazon.com/V2078486612\n\n21/jan: Comuniquei o seller e abri o chamado de Inbound Issues\nhttps://t.corp.amazon.com/V2081222703\n\n22/jan: Comuniquei o seller o que ele precisa fazer\n\n27/jan: Seller forneceu a PO e informei no chamado\nhttps://t.corp.amazon.com/V2078484519/overview\n\n29/jan: Comuniquei ao vendedor e pedi apoio para o time de FBA cobrar o time do GRU9/XCV9</t>
  </si>
  <si>
    <t>d158b20f-9f73-44a2-971d-e24078151602</t>
  </si>
  <si>
    <t>15/jan: Problema ao gerar envio, identifiquei que as infos estavam desatualizadas vinculado a um outro FNSku</t>
  </si>
  <si>
    <t>ddd62f99-7f53-4518-94c9-7a3eeca45d61</t>
  </si>
  <si>
    <t>15/jan: Seller informou que não consegue solcitar a remoção dos itens que estão indisponivels para venda. Abri TT pro time de FBA nos auxiliar.\n\nhttps://t.corp.amazon.com/V2074152833\n\n20/jan: Cobre no TT\n\n21/jan: Responderam o TT\n\n22/jan: Informei ao seller que as 21 unidades estão disponiveis para remoção e as outras 3 serão reembolsadas conforme resposta no ticket. E que o outro ASIN não consta em nossos CDs, era unidade de onsite</t>
  </si>
  <si>
    <t>87f8608a-260b-4968-8dfb-d3a46c7f8e7e</t>
  </si>
  <si>
    <t>15/jan: Entrei em contato com o seller informando que o ASIN estava sem oferta ativa, pedi para ele abrir o chamado 19290642641 para reativarmos.\n\nRealizei o bin check para montar o POA\nhttps://t.corp.amazon.com/V2074161340\n\n16/jan: O time respondeu o chamado 19290642641 informando que está em investigação\n\n20/jan: Pedi para cobrarem resposta no chamado 19290642641 \n\n21/jan: ASIN ativo</t>
  </si>
  <si>
    <t>7503156d-26ce-4832-b4db-1e09b2d27559</t>
  </si>
  <si>
    <t>ASIN  B0CDNN9KKL - Seller não está conseguindo agendar o envio de algumas vendas.\n05/03 - Trouxe a issue\nASIN está classificado como L5, deveria entrar o pedido como Self Ship\nhttps://t.corp.amazon.com/V2130566024\n09/03 - Oferta como Self Ship. Alguns pedidos consegue enviar, outros não. Necessário cancelar os demais, orientado cancelar para solicitar a análise de isenção.</t>
  </si>
  <si>
    <t xml:space="preserve">60769061802March    </t>
  </si>
  <si>
    <t>3c467d29-ebba-4c10-8252-4d33acec4465</t>
  </si>
  <si>
    <t>Seller solicitou alteração no campo TAMANHO\n\nChamado aberto para catálogo: https://t.corp.amazon.com/V1998470841/overview</t>
  </si>
  <si>
    <t xml:space="preserve">1030040901202November </t>
  </si>
  <si>
    <t>7579cc61-d6b5-4430-a7a5-ebb0e535ec21</t>
  </si>
  <si>
    <t>Seller pediu prioridade no envio: FBA191917670\n\nSolicitei a ele o comprovante de coleta.</t>
  </si>
  <si>
    <t>45dc02f7-1478-4394-bfaa-8a6cf3e3bc26</t>
  </si>
  <si>
    <t>Seller quer excluir a variação criada no ASIN: B0G159VHQ4</t>
  </si>
  <si>
    <t>f319b5ed-21ad-4faf-aa11-478b4b89cd19</t>
  </si>
  <si>
    <t>Seller quer incluir essas variações: B09SJQT577 e B081J8FJFW no ASIN: B0FQF9QS85</t>
  </si>
  <si>
    <t>65537e01-92d3-48f5-aa4a-41ccd9a2b220</t>
  </si>
  <si>
    <t>Pediu ajuda com um envio para o FBA no dia seguinte, alinhado com MC.</t>
  </si>
  <si>
    <t>b3154a34-8e63-48a2-b2a1-bf0b44e4058d</t>
  </si>
  <si>
    <t>Pediu ajuda para entender por que não houve alteração na imagem.</t>
  </si>
  <si>
    <t>35b4da5c-b824-4897-a6ae-e526abec1908</t>
  </si>
  <si>
    <t>Diversos pedidos marcando como pendente</t>
  </si>
  <si>
    <t>f396c8d4-8d9e-48a5-825d-584c0039397c</t>
  </si>
  <si>
    <t>Itens não estão disponíveis para venda</t>
  </si>
  <si>
    <t>c82b2f00-1257-444b-ae44-0c1673a25e26</t>
  </si>
  <si>
    <t>Problema de policy compliance no asin: B0DH64LKFK</t>
  </si>
  <si>
    <t>18e70028-5a16-4fc1-872b-3f97e952bb79</t>
  </si>
  <si>
    <t>26/jan: informou que a consciliação de NF de dezembro também não está batendo.\n\n29/jan: Victor comunicou a correção e informei ao vendedor</t>
  </si>
  <si>
    <t xml:space="preserve">40274588502January  </t>
  </si>
  <si>
    <t>96c0bc61-85cf-490b-80f5-adfe31fa6684</t>
  </si>
  <si>
    <t>222/jan: Problemas de cashback com o pedido 702-3325577-4446643\n\n23/jan: Passei a resposta orientada, para entrar em contato com o suporte da amazon e não suprote ao vendedor. E caso solicitar A to Z, eu irei recorrer.</t>
  </si>
  <si>
    <t>5369b389-15bb-4d48-b972-2af285b384ce</t>
  </si>
  <si>
    <t>Pedido está com a mazon e o clinete quer entender se será devolvido. Pedido 701-2930911-1719456\n30/01: Issue recebido\n02/02: tt aberto https://t.corp.amazon.com/V2095297839\n26/02: novo tt aberto https://t.corp.amazon.com/V2121623362/communication</t>
  </si>
  <si>
    <t xml:space="preserve">24558652202February </t>
  </si>
  <si>
    <t>321626c2-6f9e-47a2-b077-f1734d79e193</t>
  </si>
  <si>
    <t>Problema no relatório de preços da amazon - causando impacto em preços ocultos. \n10/02: Issue recebeido</t>
  </si>
  <si>
    <t>f034f565-7e82-45c1-bee1-e22fe3371878</t>
  </si>
  <si>
    <t>Comprovante de reembolso.\n13/02: Issue recebido\n13/02: tt aberto https://t.corp.amazon.com/V2107868892/ https://t.corp.amazon.com/V2107869608</t>
  </si>
  <si>
    <t>71ffdd1c-82a1-457b-8dbb-1e0a779cb37f</t>
  </si>
  <si>
    <t>Comprovante de reembolso. 701-1003407-2266666\n13/02: Issue recebido\n19/02: tt aberto https://t.corp.amazon.com/V2113896109/communication</t>
  </si>
  <si>
    <t>5d4059ec-c537-417b-815b-a8ddb0681c90</t>
  </si>
  <si>
    <t>seller teve o SAFE-T foi negado porém nã concorda com a decisão. \n24/02: Issue recebido\n24/02: tt aberto https://t.corp.amazon.com/V2120533335\n</t>
  </si>
  <si>
    <t>80e7e3f9-e782-47f0-8fd8-6286020b96e1</t>
  </si>
  <si>
    <t>Caso de Conformidade com as Políticas, recurso negado.\n24/02: Issue recebido\n</t>
  </si>
  <si>
    <t>196c87e1-7a55-4a4f-8063-0314eb5c50c8</t>
  </si>
  <si>
    <t>Seller precisa do comprovante de entregar de um pedido de 2024, o mesmo foi processado\n24/02: Issue recebdio \n25/02: tt aberto https://t.corp.amazon.com/V2120452527</t>
  </si>
  <si>
    <t>12549f91-26f3-47f2-8c90-e6439409d1b6</t>
  </si>
  <si>
    <t>Solicitação de remoção de Avaliação Negativa\n05/02: Issue recebido \n05/02: tt aberto https://na.vici.pars.amazon.dev/mpa-escalations/submit#/caseDetails/1770298619371664</t>
  </si>
  <si>
    <t xml:space="preserve">549848560202February </t>
  </si>
  <si>
    <t>9f9aaf77-f860-4f1e-b16e-881753f0b38a</t>
  </si>
  <si>
    <t>Remover avaliação negativa. \n02/02: Issue recebido \n02/02: tt aberto  https://na.vici.pars.amazon.dev/mpa-escalations/submit#/caseDetails/1770298160177094</t>
  </si>
  <si>
    <t>eddc0b0c-ba4e-47bc-9dc0-2c2c9f551deb</t>
  </si>
  <si>
    <t>Solicitação de remoção de avaliação negativa. \n02/02: Issue recebido\n02/02: tt aberto https://na.vici.pars.amazon.dev/mpa-escalations/submit#/caseDetails/1770052305528142</t>
  </si>
  <si>
    <t>692fa388-a26c-4bc6-97ae-66f921d35686</t>
  </si>
  <si>
    <t>ASIN: B0BRNL8H51\nRemessa: FBA18X7QNV36.\nProduto está classificado como UTC5, e para abrir o ticket pro time é necessário de um bin check pra prroseguir</t>
  </si>
  <si>
    <t xml:space="preserve">24383333802August   </t>
  </si>
  <si>
    <t>6a34ef65-d33f-488e-87b3-8b3fd23b9ef2</t>
  </si>
  <si>
    <t>Tenho um produto que foi cadastrado no catálogo errado, e está no FBA - ele gostaria de alterar o ASIN - não é possível e ele terá que seguir com a remoção</t>
  </si>
  <si>
    <t>e9f457ab-27d4-4074-8d03-f78e915ddc31</t>
  </si>
  <si>
    <t>problema com usuário, pedi pra ele abrir o chamado internamente e farei o acompanhamento\n\n18371760251</t>
  </si>
  <si>
    <t>e3a7027e-e2e7-4dfc-9435-3e9a29136077</t>
  </si>
  <si>
    <t>Seller está tentando cadastrar um produto contudo o EAN no catálogo Amazon está igual o GS1, orientado a verificar com a marca ou tentar cadastrar sem o EAN</t>
  </si>
  <si>
    <t xml:space="preserve">153775969402November </t>
  </si>
  <si>
    <t>bae5fbe4-ac0b-42b1-80d6-8806d7861174</t>
  </si>
  <si>
    <t>Seller solicita alteração de EAN</t>
  </si>
  <si>
    <t>04c5c4e0-740c-4849-9a78-2b6ceb9ddb37</t>
  </si>
  <si>
    <t>Seller deseja enviar um item para FBA, contudo XCV9. Mensagem de erro, sem espaço</t>
  </si>
  <si>
    <t>ec793a9c-93ac-4773-abf9-98260f383570</t>
  </si>
  <si>
    <t>Seller com verificação de identidade vencido.\n03/02 - Seller trouxe o problema, pedrodps disse as informações qure precisava corrigir.\n04/02 - Seller disse que ia ajustar\n06/02 - Conta do seller desativada, falando com a barbcf (enforcement) disse que é caso de KYC. Já tinha chamado pedrodps. Aberto VIP KYC\nhttps://t.corp.amazon.com/V2100428949\n09/02 - Conta reativada, porém em KYC ainda. Seller precisa validar as informações e clicar "Enviar para a verificação".\n13/02 - Sem informação pendente de verificação no seller central.</t>
  </si>
  <si>
    <t xml:space="preserve">161292743602February </t>
  </si>
  <si>
    <t>d3b358af-be0d-47b5-8e00-b2e227d237eb</t>
  </si>
  <si>
    <t>Seller com ofertas inativas por conta de preço.\n13/02 - Trouxe o problema.\n13/02 - Informado como ajustar, deixei em aberto para validar.\n</t>
  </si>
  <si>
    <t>f5f64564-9f65-4b7b-9053-649cac0a7c55</t>
  </si>
  <si>
    <t>Seller solicita bin check para desbloquear ASIN</t>
  </si>
  <si>
    <t xml:space="preserve">971539676602December </t>
  </si>
  <si>
    <t>cfe8072d-67cd-452e-818e-90601238c18c</t>
  </si>
  <si>
    <t>Seller estava travado na Análise de KYC</t>
  </si>
  <si>
    <t xml:space="preserve">22445894402November </t>
  </si>
  <si>
    <t>2f35b257-2fd3-4fce-b188-e3930ddf79d8</t>
  </si>
  <si>
    <t>Seller queria incluir uma integração via API para o Contact Center deles. porem essa ação atualmente não é permitida.</t>
  </si>
  <si>
    <t>a14db7fc-0a1c-4e63-97ad-420f6b43a04f</t>
  </si>
  <si>
    <t>Seller conseguiu incluir os novos usuários, mas precisa concluir a verificação dos usuários pra conseguir liberar com as autorizações.</t>
  </si>
  <si>
    <t>cedda345-8d44-4166-a4b8-35d88689aff6</t>
  </si>
  <si>
    <t>25/fev: informou que nao recebeu o produto do removal, abri um chado para o time de FBA que abriu outro para POA1. O seller não teve comunicação de RSR\nhttps://t.corp.amazon.com/V2120278555/overview</t>
  </si>
  <si>
    <t xml:space="preserve">24386750602February </t>
  </si>
  <si>
    <t>6a9e438c-16f8-4a69-acf9-734a99105b28</t>
  </si>
  <si>
    <t>Seller teve o ASIN foi bloqueado por Product Condition Complaint - Expired\n\nChamado aberto para verificação das validades: https://t.corp.amazon.com/V1986520240</t>
  </si>
  <si>
    <t xml:space="preserve">358205651902November </t>
  </si>
  <si>
    <t>8f4ba2d9-2fa2-420e-b6de-1ef502c7def6</t>
  </si>
  <si>
    <t>Seller informa que possui uma oferta inativa, verificando com enforcement</t>
  </si>
  <si>
    <t>dfd3a600-9402-46c3-942f-3921837d4fa7</t>
  </si>
  <si>
    <t>Seller com oferta inativa desde dezembro/2024, SPS informou que a oferta estava ativa. Não foi enviado o POA para o time liberar.</t>
  </si>
  <si>
    <t>d99519ef-178d-43b6-aa4d-fa53379de291</t>
  </si>
  <si>
    <t>Seller com ASIN bloqueado (Voldemort), PSC autenticidade, recebeu uma avaliação informando que estava perto do vencimento (Março/26)\n02/02 - MC trouxe a issue (POC não consegue enviar no suporte premium).\n Ticket onde encontrei a info: https://t.corp.amazon.com/V2076525408/communication\nSolicitado o desbloqueio https://t.corp.amazon.com/V2095287602/overview\n03/02 - Orientado o seller a realizar o envio de NF\n(seller não retornou)\n09/02 - Seller enviou a documentação, precisa corrigir o preço.</t>
  </si>
  <si>
    <t xml:space="preserve">60769061802February </t>
  </si>
  <si>
    <t>c81490bc-e373-410c-b4aa-0b389add85d1</t>
  </si>
  <si>
    <t>Seller solicita isenção de métrica, coleta ocorreu de forma parcial.\n13/02 - Aberto tt\nhttps://t.corp.amazon.com/V2107468347\n19/02 - Coloquei um any updates\n24/02 - Chamei o ops owner\n04/03 - Removido</t>
  </si>
  <si>
    <t>87326b3b-9df1-4184-8ade-765d2e3ffc57</t>
  </si>
  <si>
    <t>Seller deseja qual permissão precisa habilitar para que usuário tem acesso ao link: https://sellercentral.amazon.com.br/gc/fba/experimente-fba\n\n10/02 - Seller trouxe o problema, questionado o caminho que utilizou para acessar.\n13/02 - Não consegui localizar.\n19/02 - Perguntei aqui para um time de ISM\n20/02 - Não souberam responder. Perguntei para \n</t>
  </si>
  <si>
    <t>0fec626e-1893-4e85-adef-d5bce097736a</t>
  </si>
  <si>
    <t>Um item do seller chegou no CD com uma etiqueta diferente da padrão amazon.</t>
  </si>
  <si>
    <t xml:space="preserve">29271934502January  </t>
  </si>
  <si>
    <t>fe2b1359-337c-439d-ba1c-f7164349cf00</t>
  </si>
  <si>
    <t>Conta desativada.</t>
  </si>
  <si>
    <t>26e56feb-0a6e-4bcc-8d8b-d41aacb9de59</t>
  </si>
  <si>
    <t>Asin inativo. \n20/01: Issue recebido.\n20/01: Apenas reativei a oferta no SC, pois já tinha tratado esse asin antes.</t>
  </si>
  <si>
    <t>404bd8ee-2ffc-4558-8e11-79f710caec3b</t>
  </si>
  <si>
    <t>Asin inativo\n23/01: Issue recebido\n23/01: tt aberto p/ time de FBA https://t.corp.amazon.com/V2083903640/communication\n</t>
  </si>
  <si>
    <t>a9cfef1f-deeb-4de5-a4aa-ce5e18866d6e</t>
  </si>
  <si>
    <t>Problema com liberação das etiquetas</t>
  </si>
  <si>
    <t xml:space="preserve">16116314302November </t>
  </si>
  <si>
    <t>70e5d8bc-a32a-4e0a-b07a-55ba0a2ed089</t>
  </si>
  <si>
    <t>Não consegue dar entrada no estoque</t>
  </si>
  <si>
    <t>3e80629c-5332-4de5-819c-528fbef23241</t>
  </si>
  <si>
    <t>Education de trocar tabela de frete, e verificar um possível mismatch, mas era erro de integrador por parte deles</t>
  </si>
  <si>
    <t xml:space="preserve">449549597602October  </t>
  </si>
  <si>
    <t>9931f775-b9a1-4b31-b226-6934320b0751</t>
  </si>
  <si>
    <t>erro ao match erro 5995</t>
  </si>
  <si>
    <t>f04f8219-e781-46f5-b39e-d1c1e55773bc</t>
  </si>
  <si>
    <t>Problema ao listar NEW Asins</t>
  </si>
  <si>
    <t>5da90351-b66e-42e4-a3dd-cb2b72ad12e7</t>
  </si>
  <si>
    <t>Erro ao dar match no ASIN</t>
  </si>
  <si>
    <t>fad48077-372a-4ecb-bda2-531832ac878c</t>
  </si>
  <si>
    <t>problema na integração de tabela de preços, marcar OH com o time de integração</t>
  </si>
  <si>
    <t>c9e4d50c-33d0-46b3-b1fb-3490bcfe55af</t>
  </si>
  <si>
    <t>education reforçando os canal de offshoring</t>
  </si>
  <si>
    <t>90f685d9-195a-4c13-bf04-5b1e174a58ce</t>
  </si>
  <si>
    <t>alterar voltagem de 120 (errado) para 220 devido a reclamações</t>
  </si>
  <si>
    <t>3693734a-3f47-4512-9f16-8de0f550bab2</t>
  </si>
  <si>
    <t>Erro ao dar match (sku duplicado) mesmo sem ter o SKU no seller central</t>
  </si>
  <si>
    <t>f14012b7-c028-4cd4-9d04-2c9cc33e9fbf</t>
  </si>
  <si>
    <t>correção de imagens</t>
  </si>
  <si>
    <t>e4f220af-58ab-426d-91ab-4fc8116c4694</t>
  </si>
  <si>
    <t>reclamou de shortage no envio do FBA porém estava tudo certo, só apresentei pra ela as infos</t>
  </si>
  <si>
    <t>09930686-fcc6-4696-82ae-4e3e5dedc972</t>
  </si>
  <si>
    <t>queria que checasse um pedido que ela enviou errado, ao checar nos sistemas da amazon estava correto e o erro vinha por parte do integrador deles</t>
  </si>
  <si>
    <t>2e2fc46e-ad0b-433d-8ff1-97d34da5bab5</t>
  </si>
  <si>
    <t>São nesses pontoa, preciso saber eu tenho que fazer para relsolver esses problemas\n\nVocê tem violações repetidas relacionadas à Política de produtos restritos\nViolações repetidas da mesma política de vendas podem resultar na desativação da conta. Resolva esses problemas para evitar interrupções desnecessárias na sua conta de vendas.</t>
  </si>
  <si>
    <t>bf1c2c54-c89a-4efd-8a10-c9fc2b38548f</t>
  </si>
  <si>
    <t>Segundo ela informou os documentos corretos para verificação de conta, porém todos foram recusados</t>
  </si>
  <si>
    <t>f71b5245-fcca-4416-89d7-88c325139faa</t>
  </si>
  <si>
    <t>Remover uma imagem, devido a reeclamações</t>
  </si>
  <si>
    <t>2010293b-5f4a-4073-9073-4e7a67cc3456</t>
  </si>
  <si>
    <t>atualizar as fotos, na amazon estava com tampa azul e o produto tem tampa preta</t>
  </si>
  <si>
    <t>d31bce20-944c-4072-a01d-f5eaed95f4ac</t>
  </si>
  <si>
    <t>questão de voltagem está errada e é o time de 1P\ncorreção de título de new ASIN</t>
  </si>
  <si>
    <t>adcbf943-3ebd-44f0-8322-c7e99079c887</t>
  </si>
  <si>
    <t>Alteração de imagem.\nhttps://na.winston.a2z.com/Seller-BR/task/9609</t>
  </si>
  <si>
    <t xml:space="preserve">20025747402December </t>
  </si>
  <si>
    <t>2347443f-c732-4fc5-9b5d-02e620388cfe</t>
  </si>
  <si>
    <t>Atualização de frete. \nhttps://na.winston.a2z.com/Seller-BR/task/9644</t>
  </si>
  <si>
    <t>e76e0733-3f88-4abb-b621-bed533aa7233</t>
  </si>
  <si>
    <t>Seller Brand Owner como asins em policy compliance.\n05/02 - MC trouxe o problema, informado para os seller pelo suporte premium como corrigir.\nAguardando\n06/02 - MC informou que ele que irá subir a documentação.\n09/02 - Verificado com a ajuda do thiago que possui informação de outra marca no CSI, aberto ticket de Stamping Correction (https://t.corp.amazon.com/V2103155595)\n13/02 - Aberto task com offshoring\nhttps://na.winston.a2z.com/Seller-BR/task/10656\n24/02 - ASINs corrigidos e saíram de PSC</t>
  </si>
  <si>
    <t xml:space="preserve">538911850502February </t>
  </si>
  <si>
    <t>eece14d3-e7fa-434f-b2e6-08d42d51465e</t>
  </si>
  <si>
    <t>2/fev: está sendo impactado por um pedido cancelado, porém Onsite da nem pra cancelar pedido\n\nhttps://t.corp.amazon.com/V2095603440</t>
  </si>
  <si>
    <t xml:space="preserve">361885515402February </t>
  </si>
  <si>
    <t>14bb8f01-0f32-4272-a93a-b21b6d1b0ef5</t>
  </si>
  <si>
    <t>06/fev: vendedor não consegue dar entrada no estoque de onsite\nhttps://t.corp.amazon.com/V2100422221\n\n10/fev: comuniquei o seller</t>
  </si>
  <si>
    <t>037d51fa-9523-4dd4-bcf7-3eb107e7e611</t>
  </si>
  <si>
    <t>03/fev: vendedor pediu apoio para reativação dos asins\n\n04/fev: subi o SIF porque alguns não tem Patch no Sc\nhttps://na.vici.pars.amazon.dev/mpa-escalations#/caseDetails/1770234602618062</t>
  </si>
  <si>
    <t>04a0e550-ffc4-4f12-b86d-0ea6bbc317bc</t>
  </si>
  <si>
    <t>11/fev: Vendedor quer habilitar feriado na segunda feira\nhttps://t.corp.amazon.com/V2104577380/communication\n\nPedidos serão antecipados e o feriado foi corrigido</t>
  </si>
  <si>
    <t>04478429-72d9-4f29-b5eb-481b36cd10b6</t>
  </si>
  <si>
    <t>16/fev: vendedor questionou sobre um reembolso que ele recebeu de um produto que veio trocado, a resposta ficou meia confusa e pedi mais detalhes para o viktoae, através do chamado\nhttps://t.corp.amazon.com/V2088600537/communication</t>
  </si>
  <si>
    <t>644313c1-5328-4fd0-beb7-cf938a674a5f</t>
  </si>
  <si>
    <t>23/fev: pediu apoio para a permissão de parcelamento. Ao verificar ele tinha a permissão mas não verificou a conta.</t>
  </si>
  <si>
    <t>209af213-cc25-4def-b289-9fec9170df97</t>
  </si>
  <si>
    <t>23/fev: relatou problema de oferta hibrida no SKU 045496594282</t>
  </si>
  <si>
    <t>0f075587-00c2-4694-80aa-c53af06cd964</t>
  </si>
  <si>
    <t>18403190511\n18446407131\n18528584401\n18275475781\n18589205551\n18590284901\n18610407311\n18626649271\n18701621801\n18735985211\n18839815951\n18749894051\n18827361411\n18838518631</t>
  </si>
  <si>
    <t xml:space="preserve">24386750602December </t>
  </si>
  <si>
    <t>28c9802c-4dab-4975-9f1c-b61282d7ec50</t>
  </si>
  <si>
    <t>Seller solicitou a troca de imagens do ASIN: B07QF99NVF, B0816JZDWS</t>
  </si>
  <si>
    <t xml:space="preserve">625725137302November </t>
  </si>
  <si>
    <t>96bd2948-7584-433e-b03c-f12ee261d9bc</t>
  </si>
  <si>
    <t>Seller está com o produto ativo e com estoque mas não está sendo exibido corretamente no site.</t>
  </si>
  <si>
    <t>d0594d6f-101d-4c0b-8576-1dfdb1689d3c</t>
  </si>
  <si>
    <t>Seller está com problema de dimensão ao fazer o envio do produto, abrir um chamado pra inbound issue.</t>
  </si>
  <si>
    <t>5710d408-298e-4212-9f09-2434445b0b56</t>
  </si>
  <si>
    <t>Seller não foi reembolsado, aberto chamado de inbound issues: https://t.corp.amazon.com/V1994573266</t>
  </si>
  <si>
    <t>156b3ba3-c00d-4f85-a9a6-779e1cb4b0fa</t>
  </si>
  <si>
    <t>Problema de Policy Compliance que gerou as inativações dos asins, permissão para vender negada, sendo que o seller possui permissao</t>
  </si>
  <si>
    <t>314fdde4-4d77-4b30-8540-c4e90df0d2e9</t>
  </si>
  <si>
    <t>Queria saber o jeito certo de recorrer uma devolução no Onsite</t>
  </si>
  <si>
    <t xml:space="preserve">10369153302November </t>
  </si>
  <si>
    <t>757c62ee-4fb9-41c4-8461-83c6ec6b8847</t>
  </si>
  <si>
    <t>Reclama que recebeu uma remoção do fba com defeito e falou que o item estava 100%</t>
  </si>
  <si>
    <t>c5ae4fc8-ee80-454a-a513-4424c06f8ba9</t>
  </si>
  <si>
    <t>b0473671-e1bc-4d98-99c6-5a474aab0a70</t>
  </si>
  <si>
    <t>Bom dia Tiago. Tudo bom?\n\nSou Victor. Estou com problemas em criar anuncio de produto novo de uma marca que nos revendemos ha muito tempo.\n\nNosso gerente Alexandre do SAS me disse que voce no ajudaria com essa liberacao de marca. \n\nSegue anexo NF de compra do produto.\n\n_____________________\n\nEnsinei pro seller como solicitar aprovação da marca para conseguirmos fazer appeal caso seja negada</t>
  </si>
  <si>
    <t>3c26e97c-7cd8-4ded-ade9-f43b180bae42</t>
  </si>
  <si>
    <t>garantir reembolso, cliente comprou uma palca de video e devolveu um pacote de fubá\n18827798401\n</t>
  </si>
  <si>
    <t>d199e42b-3255-4305-ae64-f3793b7385e3</t>
  </si>
  <si>
    <t>Demora para inboundar</t>
  </si>
  <si>
    <t>68f59b7d-61a8-4479-9efe-7f3f0ee15248</t>
  </si>
  <si>
    <t>21 unidades constando como "Em recebimento" a muito tempo, podem checar o motivo dessas unidades não estarem sellable?</t>
  </si>
  <si>
    <t>5bcf5780-f891-4c3e-a4eb-03d0d4323ba6</t>
  </si>
  <si>
    <t>fizeram os itnes no PREP errado.</t>
  </si>
  <si>
    <t>65a84ace-5a35-4b4c-99bf-6e0a98d15b9c</t>
  </si>
  <si>
    <t>Problema com liberação de etiqueta</t>
  </si>
  <si>
    <t>4a79ab00-175c-40c2-9e6c-ba19d3da2b8e</t>
  </si>
  <si>
    <t>liberação da marca</t>
  </si>
  <si>
    <t>a9735d3e-cc2c-4c1b-85e3-b3973d187521</t>
  </si>
  <si>
    <t>Duvida sobre pedidos\n702-3354280-5069843\n702-5160374-7525847\n702-3488003-4931461\n701-0976870-9394666\n702-5025225-3302652\n702-7528349-6113800\n701-9863614-6369852\n701-5374361-9986650\n702-1603592-2646622\n702-3094133-7994618\n701-1916833-5900212\n702-0144802-4648233\n701-5623426-7569808\n701-8942192-2905817\n\nEstamos com duas listas em aberto, P1763468880315 essa em especifico consta um pedido ao qual esta cancelado conforma anexo, seguiremos com o cancelamento dentro do onsite.\nEstou informando para evitarmos punição.</t>
  </si>
  <si>
    <t>0b99dd03-129d-4dfa-9396-124b7d806b52</t>
  </si>
  <si>
    <t>Pedidos pendentes e os clientes cobrando</t>
  </si>
  <si>
    <t>4d94d9aa-3a89-4dce-85ce-d417389b99e6</t>
  </si>
  <si>
    <t>foi impactado nas métricas</t>
  </si>
  <si>
    <t>73416ba0-dff6-4c9d-91b5-940643279182</t>
  </si>
  <si>
    <t>Seller questionou porque o ASIN  estava inativado, e era questão de Brand Registry, ele me informou o chamado 18329326221  poré,m, a marca não está aceitando marcas novas, farei o acompanhamento do ticket</t>
  </si>
  <si>
    <t xml:space="preserve">175133439302August   </t>
  </si>
  <si>
    <t>20761419-42c1-40c2-bb89-0723422882ce</t>
  </si>
  <si>
    <t>Seller questionou porque o ASIN B0DBRPPHZP estava desatiavado - Informei que a marca não estava aceitando novos vendedores, caso quisesse contestar abrisse um chamado no caminho indicado, ele abriu e teve a mesma resposta \n18329326221</t>
  </si>
  <si>
    <t>48f8b155-c0e3-4624-b791-a3637184f6ee</t>
  </si>
  <si>
    <t>Seller entrou em contato sinalizando que o ASIN possui unidades constando como reservadas. Abri um chamado para o FC e foi informado que as unidades contém divergência de ean no produto físico, com o sistêmico. Aberto um novo chamado para catálogo tentar ajustar este EAN, caso não der certo, será necessário prosseguir com a remoção das unidades.\n\nTT ao FC: https://t.corp.amazon.com/V2070387006\nTT a catálogo: https://t.corp.amazon.com/V2097777690</t>
  </si>
  <si>
    <t xml:space="preserve">24679550702January  </t>
  </si>
  <si>
    <t>94b47d1c-928e-41d1-b95d-b9e7d6694c42</t>
  </si>
  <si>
    <t>Produto diferente do anunciado chegando ao cliente.\nChamado aberto para conferir as un: https://t.corp.amazon.com/V2071283064</t>
  </si>
  <si>
    <t>77e8837b-2cb9-4ede-a09b-2380b19e32e1</t>
  </si>
  <si>
    <t>ASIN B07L5WZK1B - constando como reservado no painel do seller\nao abrir um bin-check e realizar os procedimentos padrão foi identificado que o item se encontra em UTC-5\nTT\'s abertos: https://t.corp.amazon.com/V2070387006 e https://t.corp.amazon.com/V2083870716\nNovo ticket aberto: https://na.winston.a2z.com/Seller-BR/task/10582</t>
  </si>
  <si>
    <t>10d0f48a-c486-43d3-9995-157c6aab5c32</t>
  </si>
  <si>
    <t>Asins estão com status de impossivel de ser enviado, e no FC está com status de defective, e o seller deseja saber mais detalhes desses itens. abri um bin check pra entender.</t>
  </si>
  <si>
    <t xml:space="preserve">1030040901202August   </t>
  </si>
  <si>
    <t>27f2e54a-3dca-4335-8fcc-f2aa21146a0c</t>
  </si>
  <si>
    <t>Aparentemente o pedido foi extraviado, e o cliente pediu o reembolso; O seller questiona quem vai arcar com reembolso. precisei pedir o numero do pedido pra seguir com investigação. O pedido esta retornando ao seller.</t>
  </si>
  <si>
    <t>c05a47be-c0c5-44f0-904f-36dc4aa6519a</t>
  </si>
  <si>
    <t>Seller possui 30 ASINs com oferta inativa</t>
  </si>
  <si>
    <t xml:space="preserve">508996769902December </t>
  </si>
  <si>
    <t>d46a1d81-d5f8-4bff-8d83-ba1496754bf6</t>
  </si>
  <si>
    <t>Seller solicita auxilio para desbloqueio de ASINs com Inacurate pricing information</t>
  </si>
  <si>
    <t>d74c8a03-82b5-4162-a0e3-bd4606a9bafc</t>
  </si>
  <si>
    <t>Seller solicita cadastro de um produto, não está conseguindo via seller central</t>
  </si>
  <si>
    <t>118be445-b158-4b5e-858b-8edae83ff25b</t>
  </si>
  <si>
    <t>Seller enfrentando o erro 5461 Sony - Não possui autorização, orientado a solicitar</t>
  </si>
  <si>
    <t>715e9e47-dbff-4a8d-9ae1-4409331e13dc</t>
  </si>
  <si>
    <t>aprovação para "novo" da marca HP</t>
  </si>
  <si>
    <t>768bc8bf-26a0-43a9-b899-e50909b8cc2b</t>
  </si>
  <si>
    <t>Precisamos enviar um item e está dando erro dizendo que  cd nao pode receber, o item está dentro das medidas, consegue conferir? ASIN B0DW9G3VDW</t>
  </si>
  <si>
    <t>7e76ce8f-b249-4bdc-8f86-8d37e2b82133</t>
  </si>
  <si>
    <t>Temos um outro caso precisando de ajuda, varias ofertas foram bloqueadas ontem, e nao está aparecendo o motivo, aparece só que a oferta foi removida pela amazon, consegue nos ajudar a verificar o que é?\n\nRespota: NFs recusadas erro 815 SEFAZ (icms errado)</t>
  </si>
  <si>
    <t>a30dca71-84e3-4b4e-a901-4405e8b17279</t>
  </si>
  <si>
    <t>04/março: seller informou que saiu uma venda DBA de maneira erronea.. Ao verificar vi que as dimensões estavam erradas.\nhttps://t.corp.amazon.com/V2128138893\n\n09/marõ: abri o chamado pro time de EF\nhttps://t.corp.amazon.com/V2134013470</t>
  </si>
  <si>
    <t xml:space="preserve">669516273102March    </t>
  </si>
  <si>
    <t>3b76d2f8-e675-4c80-9d52-ad55051cf3be</t>
  </si>
  <si>
    <t>04/março: seller vendeu um produto e o DBA não coleta, o cadastro estava errado pela parte da Amazon, solicitei a isenção\nhttps://t.corp.amazon.com/V2128146615\n\n09/março: Ele cancelou novos pedidos \nhttps://t.corp.amazon.com/V2133633449\n\nLSR:\nhttps://t.corp.amazon.com/V2133636875</t>
  </si>
  <si>
    <t>1f87478c-5ae7-4af1-84f9-663fdf8ddfe9</t>
  </si>
  <si>
    <t>10/março: seller teve mais vendas que o DBA não coletou devido as dimensões e eles enviaram por logística própria. Solicitei Isenção\nhttps://t.corp.amazon.com/V2134763151\nhttps://t.corp.amazon.com/V2133633449</t>
  </si>
  <si>
    <t>bf6d92f5-db83-4553-9562-b70d30ba19d3</t>
  </si>
  <si>
    <t>Asins em Recall \n09/02: Issue recebdido \n09/02: tt aberto https://t.corp.amazon.com/V2103305849\n10/02: Aguardando o seller enviar a planilha de segurança do produto. \n12/02: tt aberto https://t.corp.amazon.com/V2106636550\n13/01: tt aberto Buyability - https://na.winston.a2z.com/Seller-BR/task/10648\n25/02: TT aberto p/ o time de Risc https://t.corp.amazon.com/V2120396805\n26/02: tt aberto para offshoring https://na.winston.a2z.com/Seller-BR/task/10955</t>
  </si>
  <si>
    <t xml:space="preserve">183456830502February </t>
  </si>
  <si>
    <t>e4efc053-615e-49a9-8abf-b880710d8b7a</t>
  </si>
  <si>
    <t>Reembolsos em andamento. \n25/02: Ticket abertos \n702-8512981-6457852\n702-5663207-1148225\n\n</t>
  </si>
  <si>
    <t>2fe921d5-9f79-4ab4-ae7b-0ee91f7b3c51</t>
  </si>
  <si>
    <t>Seller realiza alguns quesitonamentos sobre a NF de consultoria que possui impostos retidos na fonte\nCSRF (PIS, COFINS e CSLL): 4,65%\nIRRF: 1,5%\n13/03 - Continuei thread por e-mail.</t>
  </si>
  <si>
    <t xml:space="preserve">20068852602March    </t>
  </si>
  <si>
    <t>775b445b-7f60-4be5-a698-f376ee884e70</t>
  </si>
  <si>
    <t>Seller não recebe o código OTP para verificação da conta.</t>
  </si>
  <si>
    <t xml:space="preserve">133844711902October  </t>
  </si>
  <si>
    <t>3b0cc466-c5cf-4951-a861-b72e8c4f119d</t>
  </si>
  <si>
    <t>06/fev: quis saber o motivo de estar em reservado.\n\nReclamações: https://t.corp.amazon.com/V2095443552/communication\n\n09fev/: Solicitei correção do catálogo\nhttps://t.corp.amazon.com/V2103040126\n\nPorém o estoque era dessa conta, e tinham que confirmar as informações para reativar a oferta.\nhttps://t.corp.amazon.com/V2103048884\n\n09/fev: Quando terminarem de olhar todas units, o item estará a venda novamente</t>
  </si>
  <si>
    <t xml:space="preserve">589580604602February </t>
  </si>
  <si>
    <t>db584f53-a32f-4d2b-b4d1-842f85cc6a16</t>
  </si>
  <si>
    <t>Problema no repasse</t>
  </si>
  <si>
    <t xml:space="preserve">414165418502November </t>
  </si>
  <si>
    <t>ae54fd06-cf30-43c8-a4f1-5188a1fe88cc</t>
  </si>
  <si>
    <t>problemas com alteração da marca, porém foram aprovados pela Harman e não será necessário alterar o brand name</t>
  </si>
  <si>
    <t>86e3cadc-f2d0-4566-817b-2130d07f415a</t>
  </si>
  <si>
    <t>Corrigir de Encore para Encore 2</t>
  </si>
  <si>
    <t>6932f462-ee85-4766-8746-c97b830edf9c</t>
  </si>
  <si>
    <t>Temos pedidos vendidos na modalidade FBA, que não estão sendo entregues aos clientes por diferentes motivos relatados como, não pode ser entregue, endereço não encontrado, devolvendo ao vendedor, não entregue e outros. \n\nEntretanto esses pedidos estão demorando bastante para retornarem ao nosso CD e estamos sem um relatório dos pedidos com este problema. Tem acontecido também no Full. Conseguimos informações sobre esses pedidos? Sabe nos dizer o que está acontecendo na logistica? \n\nResposta: Já está rolando uma investigação sobre os insucessos na entrega.\nNo caso da demora dos pedidos, pedi alguns exemplos</t>
  </si>
  <si>
    <t>e38783ee-c0ef-4e2d-ae71-8665f889c15e</t>
  </si>
  <si>
    <t>vendeu no poreço errado</t>
  </si>
  <si>
    <t>44ebddf5-bf60-45a8-904f-dc975c55e4b4</t>
  </si>
  <si>
    <t>Solicito que seja feita uma análise de cada caso e, se possível, o ajuste dos saldos ou a compensação dos itens faltantes.\nTenho comprovantes de envio e notas fiscais disponíveis, caso sejam necessários para verificação.\n\n_____&gt; Passei o caminho para ele solicitar ILAC</t>
  </si>
  <si>
    <t>b45459f5-cba0-4898-9b4b-ce3b9d84b510</t>
  </si>
  <si>
    <t>Pedido FBA não integram no Hub</t>
  </si>
  <si>
    <t>8cd17e99-4864-4fcb-959e-e8bec799e95e</t>
  </si>
  <si>
    <t>Aproveitando a oportunidade, há algum lugar em especifico que conseguimos acompanhar tudo que esta sendo enviado no fulfillment? Algum local onde podemos ter uma visao geral da situação dos pedidos?\nIria nos ajudar a ter um melhor controle da operação\n\nMenu &gt; Relatórios &gt; Logítisca &gt; Vai na aba de "Vendas" e clique em "Vendas com envios ao cliente"</t>
  </si>
  <si>
    <t>e94d39de-40ea-41a3-8419-7dbf9a1d4328</t>
  </si>
  <si>
    <t>Problemas com asins com saldo no estoque, porém não tinham ofertas ativas</t>
  </si>
  <si>
    <t>50574a5c-6a1a-4b1f-ba53-a77d2088327b</t>
  </si>
  <si>
    <t>subiram promoção errada, com isso resultou na venda de todo estoque de FBA, conseguimos cancelar os pedidos e vou adicionar isso no ONENOTE KK</t>
  </si>
  <si>
    <t>3cd7fb15-062c-4410-9ed2-a97fe03537d6</t>
  </si>
  <si>
    <t>Cancelar pedidos de Onsite</t>
  </si>
  <si>
    <t>0063c5e7-ea8b-4486-afe0-6c8cea9ea1ce</t>
  </si>
  <si>
    <t>problema para adicionar estoque</t>
  </si>
  <si>
    <t>3c210dbf-02a4-4cb5-8368-5e5de57cf807</t>
  </si>
  <si>
    <t>Seller questionou as tarifas do frete, informei as dimensões dos ASINs e passei a formula do calculo.</t>
  </si>
  <si>
    <t>087b2cf1-749a-443d-9e91-f17fa07ac2f9</t>
  </si>
  <si>
    <t>Ontem tivemos um problema com a coleta dos pedidos do FBA Onsite. Quando o motorista chegou para realizar a coleta, o aplicativo passou a mostrar nosso endereço como se estivesse em Curitiba, acredito que por algum bug no GPS do aparelho.\n\nO endereço cadastrado no app estava correto, porém, ao iniciar a bipagem, a localização apontava para Curitiba. Dessa forma, o aplicativo não permitia que seguíssemos com a bipagem, pois informava que o motorista não estava no local correto.\n\nPor esse motivo, os pedidos tiveram que seguir sem bipagem, e nossa única segurança foi a assinatura do motorista ao final do romaneio. Essa ação foi tomada conforme orientação da Ana, da equipe do FBA Onsite.</t>
  </si>
  <si>
    <t>07007d26-9a38-4f47-bf78-eb34ccf9307d</t>
  </si>
  <si>
    <t>correção do titulo (1P)</t>
  </si>
  <si>
    <t>809dde85-c485-49d5-8409-029274cce8c9</t>
  </si>
  <si>
    <t>time do POA1 me contatou falando que enviaram o produto errado, e vou dar apoio para corrigirem  (FBA19405VBLL)</t>
  </si>
  <si>
    <t>071cff8e-c459-4f49-9492-05d66c0834f7</t>
  </si>
  <si>
    <t>Envio shortage e ILAC recusado</t>
  </si>
  <si>
    <t>6ee7ca38-3d35-470e-8ba0-881e6a66330e</t>
  </si>
  <si>
    <t>Seller pediu ajuda para encontrar o relatório referente a Tarifa de FBA.</t>
  </si>
  <si>
    <t xml:space="preserve">277711423902November </t>
  </si>
  <si>
    <t>02a70c2d-5061-4779-b0c5-6c359395199b</t>
  </si>
  <si>
    <t>Seller está com problemas na emissão de alguns pedidos, mas ainda tem chamado aberto em SPS, informei que ele concluisse primeiro por lá e caso seja inconclusivo retornasse o cotato.</t>
  </si>
  <si>
    <t>108483856702September</t>
  </si>
  <si>
    <t>04563ea9-92db-4539-8031-e52d1ee289ac</t>
  </si>
  <si>
    <t>Seller estava com duvida sobre alguns appeals que ele realizou e veio negado, passei para ele o ponto que ele precisa alterar pra que seja efetivo o appeal.</t>
  </si>
  <si>
    <t>b47ae685-ec18-4de5-8df6-4fe93eb49b09</t>
  </si>
  <si>
    <t>Seller não está conseguindo enviar a remessa para FBA, recebe um erro de "Seu produto precisa de aprovação pra vender" e vai precisar enviar um appeal pelo Account Health, passei o passo a passo pra ele</t>
  </si>
  <si>
    <t>42b5205b-ab1f-4254-b227-7b65165a614b</t>
  </si>
  <si>
    <t>Seller está com vários asins inativos no Seller Central, mas no FC estão sellable e no quick tb, precisei abrir um ticket V1920190620</t>
  </si>
  <si>
    <t>010d212e-0a1f-404a-8a56-29e4ec53c388</t>
  </si>
  <si>
    <t>Seller realizou o appeal do asin B0BVRLX95G através de account health, teve retorno positivo, mas a offer não foi desbloqueado. abrimos um ticket novamente pedindo para que revisem. \nV1931843568 - abri um novo ticket V1935362579 - abri um SIF escaltion - D310797994 - V1954826960/  V1959007509</t>
  </si>
  <si>
    <t>7df2e595-b7f0-400b-b111-55a0645c2431</t>
  </si>
  <si>
    <t>Seller estava com os asin bloqueados, mas eles estavam bloqueados por que ele não estão na planilha de atributos fiscais.</t>
  </si>
  <si>
    <t>947a2c6b-1b7c-4dcb-bc09-7cec3e2a3cb9</t>
  </si>
  <si>
    <t>Seller estava com dúvida sobre a mensagem que ele recebeu dos itens que estiver em GRU8 inativos serão descartados.</t>
  </si>
  <si>
    <t>b2a3c034-7f1b-4560-a5b7-055691440517</t>
  </si>
  <si>
    <t>Seller teve seu asin tombstoned sem algum motivo aparente. - https://issues.amazon.com/issues/BR-CATALOG-8084 / https://na.winston.a2z.com/Seller-BR/task/8831</t>
  </si>
  <si>
    <t>78e3989d-f893-46e7-bb78-c16bf8a25c27</t>
  </si>
  <si>
    <t>Seller tentou o apeal via account health, mas sem sucesso, subimos via SIF - 1758907975053924</t>
  </si>
  <si>
    <t>604524c4-fed6-4644-8ca0-99fe54d5c2d7</t>
  </si>
  <si>
    <t>Seller recebeu uma mensagem informando que ele não tem autorização pra venda ensential nutricional, perguntei se ele possui essa autorização.</t>
  </si>
  <si>
    <t>a1a9bdc7-ac3c-40fd-9bbd-ed9d8b294772</t>
  </si>
  <si>
    <t>Seller estava com dificuldade de adicionar estoque no fba onsite, orientamos a tentar utilizando o fnsku, funcionou</t>
  </si>
  <si>
    <t>bd8920fc-ceee-4a7b-81b2-07aacc29edc3</t>
  </si>
  <si>
    <t>Seller solicita auxilio, pois produto não chegou para o cliente e foi descontado o valor de sua conta, pedido logísitca DBA. Amazon é responsável pela entrega.\n03/02 - Trouxe o problema, aberto ticket\nhttps://t.corp.amazon.com/V2096830325\n04/02 - Time respondeu solicitando para o seller abrir uma reivindicação de SAFE-T</t>
  </si>
  <si>
    <t xml:space="preserve">1026263719202February </t>
  </si>
  <si>
    <t>dd56486f-98e8-44ce-bde3-5da757717396</t>
  </si>
  <si>
    <t>Seller deseja reembolso de alguns pedidos onde a Amazon realizou o reembolso ao cliente prejudicou o seller.\n12/02 - Trouxe a issue após tentar via SAFE-T\nAberto tt\nhttps://t.corp.amazon.com/V2106414922\n13/02 - Aberto tt de SAFE-T https://t.corp.amazon.com/V2107685772\nnegado, mais de 7 dias após a notificação de reembolso.</t>
  </si>
  <si>
    <t>4f49efba-bff6-4547-b259-154399389784</t>
  </si>
  <si>
    <t>ASIN\'s inativos devido problema no faturador</t>
  </si>
  <si>
    <t xml:space="preserve">7763660815January  </t>
  </si>
  <si>
    <t>7b6e8651-f4a3-4a6a-966e-b73d99b71176</t>
  </si>
  <si>
    <t>Seller estava com problemas na planilha do faturador</t>
  </si>
  <si>
    <t xml:space="preserve">1147177827502February </t>
  </si>
  <si>
    <t>7d5f148f-4197-4d43-aa31-db1d741ce492</t>
  </si>
  <si>
    <t>Seller pede pra realizar as melhorias nos asins deles, informa que fez pelo SC e não atualizou, abri um tt pra winston: https://na.winston.a2z.com/Seller-BR/task/9385</t>
  </si>
  <si>
    <t xml:space="preserve">380157072302November </t>
  </si>
  <si>
    <t>3d9f1a3d-8b51-4e27-af52-6ec15ac6b5a1</t>
  </si>
  <si>
    <t>Seller pediu pra incluir os asin na familia do asin pai. https://na.winston.a2z.com/Seller-BR/task/9427</t>
  </si>
  <si>
    <t>cd09f046-13ce-4624-845a-94774cba9e4a</t>
  </si>
  <si>
    <t>Aumento da capacidade.</t>
  </si>
  <si>
    <t xml:space="preserve">98998632802December </t>
  </si>
  <si>
    <t>038cb181-a59f-4f8b-bac0-dc0d021efd77</t>
  </si>
  <si>
    <t>O vendedor tenta conectar seu sistema próprio à Amazon, mas sem sucesso direto, usa o Bling como intermediário, causando problemas. Seu pedido para ser desenvolvedor foi negado pela Amazon.</t>
  </si>
  <si>
    <t>941ea285-369d-4dfb-9a3f-b0407fc3dc96</t>
  </si>
  <si>
    <t>Contestação de métricas//education para o seller.</t>
  </si>
  <si>
    <t>f0a78dbe-33b6-41c4-b86a-e8438644ed76</t>
  </si>
  <si>
    <t>Seller teve 2 asins bloqueados sem nenhum motivo aparente abri um ticket pro time verificar. V1938109832</t>
  </si>
  <si>
    <t>653060435802September</t>
  </si>
  <si>
    <t>bc0dec74-d32e-4579-ae87-27a6e6218d58</t>
  </si>
  <si>
    <t>Seller informa que o ASIN está ativo no Seller Central, mas no front não está aparecendo. \n\nOffshoring: https://na.winston.a2z.com/Seller-BR/task/9943\nTT: https://t.corp.amazon.com/V2072995889</t>
  </si>
  <si>
    <t xml:space="preserve">755841394202January  </t>
  </si>
  <si>
    <t>a75cba1a-7565-4b3c-b313-006c5b207035</t>
  </si>
  <si>
    <t>Seller está com dois asin suprimidos \n\nB0BTTHFDL2 - por motivo de \'nome da marca\' mas não consegue alterar \nB0DS2MLRXR - está falando que já possui um ASIN com aquele SKU\n\nOffshoring: https://na.winston.a2z.com/Seller-BR/task/10075</t>
  </si>
  <si>
    <t>e70ed96f-beb3-44f6-852a-69883f1c2ee9</t>
  </si>
  <si>
    <t>Seller esta com 2 asins bloqueados por reclamação de cliente, precisei solicitar um bin check para incluir as imagens. \n\nTT: https://t.corp.amazon.com/V2075344390</t>
  </si>
  <si>
    <t>4e60f021-4b3a-4bbf-9446-5e4203488799</t>
  </si>
  <si>
    <t>Seller está com problema pra reativar asins na categoria BB. \n\nBackoffice: https://t.corp.amazon.com/V2073839141</t>
  </si>
  <si>
    <t>0e3cd6c8-3d05-46da-a517-846cc254093d</t>
  </si>
  <si>
    <t>teve dúvidas sobre solicitação de marca e duvidas sobre reclamação de um ASIN</t>
  </si>
  <si>
    <t xml:space="preserve">46733383915November </t>
  </si>
  <si>
    <t>986e3caa-3cb4-4396-91ba-e85ca3953dd9</t>
  </si>
  <si>
    <t>New Asins</t>
  </si>
  <si>
    <t>92a293bf-e662-49b3-b1c7-76153d2d1db8</t>
  </si>
  <si>
    <t>O ASIN parent não pode usar o programa FBA - Logística da Amazon (mensagem que aparece ao tentar solicitar o envio) - Segue print do erro, pode vericar por favor essa liberação\n</t>
  </si>
  <si>
    <t>c6498eb2-8abc-41a6-9426-5d823096bca0</t>
  </si>
  <si>
    <t>produtos em recall</t>
  </si>
  <si>
    <t>ff1905ed-d18c-462a-bf0d-c864847a3c1c</t>
  </si>
  <si>
    <t>shortage</t>
  </si>
  <si>
    <t>28a068a5-8890-474f-8804-c50554bd7ec7</t>
  </si>
  <si>
    <t>Seller teve reclamações de autenticidade</t>
  </si>
  <si>
    <t>5126b335-25d4-4080-bd0a-6d42fd578c19</t>
  </si>
  <si>
    <t>FBA1942KSF92</t>
  </si>
  <si>
    <t>2d324424-9846-4204-b18c-9c566590f326</t>
  </si>
  <si>
    <t>26/01 - Houve problemas com o pedido 701-7219189-5681851, que gerou uma garantia de A a Z, na devolução do cliente o seller recebeu um suporte para TV (seller não comercializa esse produto)\n26/01 - Aberto garantia de A a Z : https://issues.amazon.com/issues/V2087093274\n27/01 - Tivemos a garantia de A a Z negada, devido a entrega tardia do seller.\n27/01 - Foi aberto um SelfShip Issues: https://t.corp.amazon.com/V2088307875\nLocalizado na persona: BR-EF-Tickets-Escalations-Requests</t>
  </si>
  <si>
    <t xml:space="preserve">175133439302January  </t>
  </si>
  <si>
    <t>b6b2ff33-4e82-4228-a80d-99a48c54e5db</t>
  </si>
  <si>
    <t>Seller solicitou a remoção de comentários negativos de suas vendas.\n\nAberto CIF para tentar remover essas questões.\nhttps://na.vici.pars.amazon.dev/mpa-escalations/index.html#/caseDetails/1769541655808130 e https://na.vici.pars.amazon.dev/mpa-escalations/index.html#/caseDetails/1769542387689548</t>
  </si>
  <si>
    <t>b38505d9-6049-49b9-8c4c-e36901365363</t>
  </si>
  <si>
    <t>Dúvidas sobre o processo de A to Z</t>
  </si>
  <si>
    <t>322a7ee1-d7b6-4d22-86b0-77587d677c25</t>
  </si>
  <si>
    <t>Seller queria revindicar garantias e impactos após 90 dias</t>
  </si>
  <si>
    <t xml:space="preserve">1078200608102January  </t>
  </si>
  <si>
    <t>a3cfbd37-c776-453f-a117-07a9556227e7</t>
  </si>
  <si>
    <t>735f0779-4f68-47ee-9b0f-5ac1571fd216</t>
  </si>
  <si>
    <t>13312487-3527-4887-93b1-e24b90a4c55a</t>
  </si>
  <si>
    <t>63c7dd09-0f3e-447d-9d2a-73186f470bbb</t>
  </si>
  <si>
    <t>04/02 - Seller sinalizou que alguns asins havia sumido de seu inventário.\n04/02 - em alinhamento com mc vimos que ao criar novamente não perderia o relatório de vendas e seller disse ter excluídos alguns.</t>
  </si>
  <si>
    <t xml:space="preserve">726856152402February </t>
  </si>
  <si>
    <t>a2591acb-f1d3-424b-bce9-0f4f87267e84</t>
  </si>
  <si>
    <t>Dúvidas sobre valor de cada peça removida do FBA</t>
  </si>
  <si>
    <t>f3f71ed0-2f1e-48b8-b5fb-aa23b7c66de8</t>
  </si>
  <si>
    <t>ASIN em policy compliance, porém foi excluído do inventário\nMostrei ao seller o caminho para recorrer e retirar, porém, não será impactado, sumirá dentro de 180 dias.</t>
  </si>
  <si>
    <t>d71cc6d5-e554-477f-9eab-573a4b07c4a7</t>
  </si>
  <si>
    <t>Seller com ASIN B0G2SWBCCW bloqueado em PSC por questão de produto infantil.\n18/02 - Trouxe a issue\n19/02 - Informado o passo a passo.\n23/02 - Fechado</t>
  </si>
  <si>
    <t xml:space="preserve">72695582302February </t>
  </si>
  <si>
    <t>f399968c-791d-4b29-af9f-c7a722f19c30</t>
  </si>
  <si>
    <t>ASIN B0G6FQFLXT - Precisa de aprovação para vender.\n18/02 - Trouxe a issue\n19/02 - Informado o passo a passo para colocar certificado inmetro na oferta e também informado o link para adicionar marca.\nDeixado em aberto para acompanhar.\n23/02 - Questionei o seller novamente\n03/03 - Retornou. Aberto ticket de gating\nhttps://t.corp.amazon.com/V2127415788\n04/03 - Informado o caminho para solicitar aprovação.\nGating da categoria e não de marca.</t>
  </si>
  <si>
    <t>a3060516-9f5f-4833-913c-09a04bd3888f</t>
  </si>
  <si>
    <t>igorvd</t>
  </si>
  <si>
    <t>Seller informa que tem uma oferta inativa. Erro de preço, informado o passo a passo para ajustar.</t>
  </si>
  <si>
    <t xml:space="preserve">19309418302November </t>
  </si>
  <si>
    <t>0b233dc5-c3d3-4be8-ae4d-2d7ac074e97f</t>
  </si>
  <si>
    <t>Seller deseja um relatório de vendas em excel. Informado que quando fizer o download no arquivo txt. copia todo o conteúdo e cola no excel.</t>
  </si>
  <si>
    <t>92833645-14c4-4da1-839e-1a4179f6b8e1</t>
  </si>
  <si>
    <t>CAU - Categoria</t>
  </si>
  <si>
    <t xml:space="preserve">159666680002October  </t>
  </si>
  <si>
    <t>d61b9281-5f4f-41fa-8d98-c50ea4d498a4</t>
  </si>
  <si>
    <t>Problema de inbound shortage FBA190M297ZG</t>
  </si>
  <si>
    <t>db39dff2-2d9e-48a9-9e40-b368d663c633</t>
  </si>
  <si>
    <t>quer contestar as dimensões para enviar no FBA</t>
  </si>
  <si>
    <t>1c1a196f-ec06-4738-9545-551e2f6714c4</t>
  </si>
  <si>
    <t>Seller com produtos em Policy Compliance pois precisa de teste de ensaio e liberação INMETRO</t>
  </si>
  <si>
    <t xml:space="preserve">128174680202December </t>
  </si>
  <si>
    <t>f9af349d-55f5-4b91-bc04-4d1bacf950bd</t>
  </si>
  <si>
    <t>Seller com problemas de integração de pedidos FBA para a Anymarket</t>
  </si>
  <si>
    <t>76e48eed-aa98-41b3-a585-11b8cc75d59d</t>
  </si>
  <si>
    <t>Seller não estava conseguindo alterar os atributos no asin, solicitei alteração para RBS\n\nhttps://na.winston.a2z.com/Seller-BR/task/10936</t>
  </si>
  <si>
    <t xml:space="preserve">653060435802February </t>
  </si>
  <si>
    <t>42a24077-c1c1-4b65-8d10-a2839cf1fed0</t>
  </si>
  <si>
    <t>Seller queria saber como alterar o endereço</t>
  </si>
  <si>
    <t>6e85d92f-c060-4ebb-b867-6ed97d6ee500</t>
  </si>
  <si>
    <t>Seller com problema de Oferta Híbrida</t>
  </si>
  <si>
    <t xml:space="preserve">72695582302October  </t>
  </si>
  <si>
    <t>ca2a5c26-6b17-418d-92b7-adb20a05c9c4</t>
  </si>
  <si>
    <t>Seller está tentando enviar um produto para FBA, necessário preencher planilha para classificação de hazmat</t>
  </si>
  <si>
    <t>cb49fe02-c85b-42e8-a091-c7b0d322fb4f</t>
  </si>
  <si>
    <t>Seller solicita insenção de métricas para pedidos FBA OnSite. Problemas na impressão de etiquetas</t>
  </si>
  <si>
    <t xml:space="preserve">230755558102November </t>
  </si>
  <si>
    <t>cef4347d-7e49-4dab-956c-50b6a716a303</t>
  </si>
  <si>
    <t>Seller está tentando cadastrar alguns SKUs e marca como se não tivesse permissão para marca (possui autorização).</t>
  </si>
  <si>
    <t>4d4225d2-5107-41e6-9028-95b313f4938f</t>
  </si>
  <si>
    <t>UTC3 B0G26FL3NG - Seller solicita liberação</t>
  </si>
  <si>
    <t>271a903d-6e74-4909-b9e8-0b1b35d64e12</t>
  </si>
  <si>
    <t>UTC3 B0G26K5MDY - Seller solicita liberação</t>
  </si>
  <si>
    <t>b8a2fc9f-5d78-4c85-b6b1-c5808ca849b6</t>
  </si>
  <si>
    <t>UTC3 B0G2669CRC - Seller solicita liberação.</t>
  </si>
  <si>
    <t>0e4878f1-0f5e-45c6-af05-7d598ec18b0d</t>
  </si>
  <si>
    <t>Seller informa que não está conseguindo criar o envio pra FBA, mas checando o erro ja foi resolvido</t>
  </si>
  <si>
    <t xml:space="preserve">509224899302November </t>
  </si>
  <si>
    <t>83817af1-ccd0-42d9-827a-a8d1db2e7552</t>
  </si>
  <si>
    <t>Seller informa que os clientes não recebem etiqueta para devolução. E está reembolsando o seller pelo frete nos correios. (Está Configurado na conta que não é pago pela amazon)</t>
  </si>
  <si>
    <t xml:space="preserve">133844711902November </t>
  </si>
  <si>
    <t>8b898b2b-b728-41e3-8ab5-47f7f5d91cbb</t>
  </si>
  <si>
    <t>Seller entrou em contato sinalizando os asins que estão em policy compliance, aconselhei fazer o envio do recurso com as nfs apropriadas e também abrir um chamado no seller central para cada asin, irei escalar com SIF para ter um adianto dessa questão.\nSIF não foi aberto por que as NFS não estavam de acordo com os requisitos solicitados.</t>
  </si>
  <si>
    <t xml:space="preserve">687037975702March    </t>
  </si>
  <si>
    <t>efa0b9d7-e151-4eac-84df-d4f07a264fbb</t>
  </si>
  <si>
    <t>Solicitado Bin Check ASIN B0DT29JZ87</t>
  </si>
  <si>
    <t xml:space="preserve">124090551902December </t>
  </si>
  <si>
    <t>8845c0f7-ef0e-4567-8649-0ef2a9d37c52</t>
  </si>
  <si>
    <t>Solicitado bin check B0FG843F7H</t>
  </si>
  <si>
    <t>a8750d90-7c93-4405-90a1-32d111c0f780</t>
  </si>
  <si>
    <t>Solicitado Bin Check ASIN B0C7BD4CDP</t>
  </si>
  <si>
    <t>b0b463df-215c-49c5-913c-ee6916e2f262</t>
  </si>
  <si>
    <t>Seller com solicita auxilio, pois está com ofertas inativas de FBA (diversos sellers com esse problema)</t>
  </si>
  <si>
    <t>4988dbea-bcd7-4a25-b44b-db8ee15577db</t>
  </si>
  <si>
    <t>Seller com problemas em um repasse</t>
  </si>
  <si>
    <t>90b396a9-c1fc-4fda-a0fa-9571108f37ee</t>
  </si>
  <si>
    <t>Seller solicita isenção de métricas LSR de envio ao sábado (06/12) onde não estava configurado que trabalharia nesse dia</t>
  </si>
  <si>
    <t>0bd339dd-68b1-4674-ace9-f6796cbb8810</t>
  </si>
  <si>
    <t>3/março: Informou que recebeu uma cobrança de R$ 149 mas nã osabe o motivo.\n\nNão aparece mais detalhes em Pagamentos, pedi para realizar a abertura do chamado e me informar o case ID</t>
  </si>
  <si>
    <t xml:space="preserve">247227556102March    </t>
  </si>
  <si>
    <t>b2ab3ab2-7cd7-4eb5-97da-a0a49a26c212</t>
  </si>
  <si>
    <t>Seller informa que já realizou diversos appeal e o asin não reativou, realizei um SIF // https://na.vici.pars.amazon.dev/mpa-escalations/submit#/caseDetails/1767732479493317</t>
  </si>
  <si>
    <t xml:space="preserve">690138852002January  </t>
  </si>
  <si>
    <t>3ff35eac-c801-426a-9890-31d4c711744e</t>
  </si>
  <si>
    <t>Seller esta com problema de KYC, abri um ticketr pra agilizar. https://t.corp.amazon.com/V2066781901</t>
  </si>
  <si>
    <t>c7b56c05-41d7-43f2-a27a-b4afb8c9300a</t>
  </si>
  <si>
    <t>Seller esta com as ofertas desativados em FBA porque o certificado está proximo da data de vencimento, orientei ele a atualizar o certificado.</t>
  </si>
  <si>
    <t>db546f08-91e9-4828-99d5-fdd1adb7816b</t>
  </si>
  <si>
    <t>Isenção de métrica\n02/02: issue recebido\n02/02: tt aberto https://t.corp.amazon.com/V2095535703</t>
  </si>
  <si>
    <t xml:space="preserve">13639293002February </t>
  </si>
  <si>
    <t>7384c8c5-caa3-47ee-b378-e0bae53ff632</t>
  </si>
  <si>
    <t>Suposto pagamento duplicado.\n03/02: Issue recebido. \n03/02: tt aberto p/ o time de pagamentos. https://t.corp.amazon.com/V2096608099</t>
  </si>
  <si>
    <t>6e515b7c-c683-40b9-8930-c9aaca702cb4</t>
  </si>
  <si>
    <t>Erro 5886(produto genérico)\n13/02: Issue recebido \n19/02: Orienteo o seller a  Criar um Novo Produto e caso não funcione entra em contato novamente para tentarmos outros meios de resolver.</t>
  </si>
  <si>
    <t>bffa4222-fd90-4c1f-ae64-60e9b4050b0a</t>
  </si>
  <si>
    <t>Seller esta com um repasse travado por motivo de eventuais pendencias financeiras no prazo de 30 dias, mas esse prazo já foi atingido e o seller não recebeu, estou em contato com o time de payments para entender.</t>
  </si>
  <si>
    <t xml:space="preserve">21753463202November </t>
  </si>
  <si>
    <t>540f9f96-9144-4f7b-a35c-8c758f826534</t>
  </si>
  <si>
    <t>Seller está com LSR em order ainda reflexo da instabilidade da AWS, solicitei remoção desses pedidos.  https://issues.amazon.com/issues/OP-4398</t>
  </si>
  <si>
    <t>30212418-6a14-4f59-b7ea-d0cfddd2cb52</t>
  </si>
  <si>
    <t>Seller está com pedidos LSR que ainda são reflexos da instabilidade da AWS, solicitei a remoção deles ISSUE: https://issues.amazon.com/issues/OP-4397</t>
  </si>
  <si>
    <t>916faaf7-268d-4939-abbd-dbd0537a165c</t>
  </si>
  <si>
    <t>Seller informa que o repasse que estava bloqueado por 30 dias não foram creditados em sua conta e ele solicita respostas. Reabri o ticket pro pessoal de payments https://issues.amazon.com/issues/D326284121</t>
  </si>
  <si>
    <t>253ca28f-2403-4416-8b58-148f53919da4</t>
  </si>
  <si>
    <t>Seller teve os asin desativados por uso indevido da marca Nespresso. Solitei que o time retirasse qualquer menção a marca e reativasse a offer https://na.winston.a2z.com/Seller-BR/task/9371</t>
  </si>
  <si>
    <t>43c9bbc8-a2ac-4e28-9274-860458ad1b6e</t>
  </si>
  <si>
    <t>Seller estava com dificuldade de criar os ASIN, pedi pra offshore fazer. https://na.winston.a2z.com/Seller-BR/task/9466</t>
  </si>
  <si>
    <t>5ffcf116-c4a1-4c00-823f-0b7de8bdba40</t>
  </si>
  <si>
    <t>Seller com ASIN B0F5G16NZY precisando ser classificado. \n10/02 - Seller trouxe o problema, solicitado fotos e teste de bateria.\n12/02 - Seller enviou as fotos aberto tt.\nhttps://t.corp.amazon.com/V2106444575\n13/02 - Ainda em andamento\n17/02 - Solicitaram o teste de bateria e pediram para enviar através do link de classificação no seller central. Informado para o seller.</t>
  </si>
  <si>
    <t xml:space="preserve">851188356602February </t>
  </si>
  <si>
    <t>4a0a0d14-799e-4124-99e7-8b4f0ce80da0</t>
  </si>
  <si>
    <t>Seller estava com problemas pra usar a imagem da marca que ele trabalha (itatiaia) e foi orientado a enviar o appeal, com a autorização de uso de imagem.</t>
  </si>
  <si>
    <t xml:space="preserve">22445894402August   </t>
  </si>
  <si>
    <t>c72908b4-3d0d-40b1-8683-8c106f922d25</t>
  </si>
  <si>
    <t>O seller não está conseguindo criar um novo usuário pra o SC, passei algumas orientações pra ele e to aguardando surtir efeito se não funcionar vamos ter que pedir ajuda</t>
  </si>
  <si>
    <t>fa50f035-f9e4-4bee-81de-007ee9940d92</t>
  </si>
  <si>
    <t>ele tambem reclama da sua métricas de envio tardio, passei pra ele o caminho pra ele solicitar o appeal, caso ele não consiga vamos tentar fazer do nosso lado.</t>
  </si>
  <si>
    <t>061800db-a53a-4829-8df0-2b9a41299409</t>
  </si>
  <si>
    <t>Pedido consta como " enviado " porém já foi entregue.</t>
  </si>
  <si>
    <t xml:space="preserve">1078200608102November </t>
  </si>
  <si>
    <t>a79487ab-ec07-43d2-a015-8e74923efb87</t>
  </si>
  <si>
    <t>ASIN inativo devido certificado da ANVISA</t>
  </si>
  <si>
    <t>8e6103be-658c-46b2-87f7-43a4802fcbfb</t>
  </si>
  <si>
    <t>Itens inativos devido certificado da Anvisa (DR.JONES/EUDORA)</t>
  </si>
  <si>
    <t>95d947ae-c2fa-4ea1-8ddb-05bda9a52b59</t>
  </si>
  <si>
    <t>Seller queria tranferir o RSR de FC, informei que não é possivel</t>
  </si>
  <si>
    <t xml:space="preserve">827345792502March    </t>
  </si>
  <si>
    <t>adafb51c-bd66-4dd5-a5f7-780494a1a220</t>
  </si>
  <si>
    <t>O seller solicitou a permissão para marcas. solicitei pra RBS \n\nhttps://na.winston.a2z.com/Seller-BR/task/11312</t>
  </si>
  <si>
    <t>a8227e4a-b10a-4cbd-ab07-5bfb35e67438</t>
  </si>
  <si>
    <t>Seller precisa alterar o email da conta proprietario dela. \n\nhttps://issues.amazon.com/issues/V2137586371</t>
  </si>
  <si>
    <t>bb726eb1-faa5-4355-be2a-4cf380d6bad2</t>
  </si>
  <si>
    <t>problemas com reclamação perfume arabe</t>
  </si>
  <si>
    <t xml:space="preserve">589580604602October  </t>
  </si>
  <si>
    <t>6a53a768-8edc-4310-9bb1-e00744f4d468</t>
  </si>
  <si>
    <t>Não consegue denunciar outros vendedores da sua marca</t>
  </si>
  <si>
    <t>8cbeb1ea-132c-490a-8eb0-785a188d8308</t>
  </si>
  <si>
    <t>problemas de hazmat</t>
  </si>
  <si>
    <t>66828f04-a9e4-4cdf-8e37-1685c51de682</t>
  </si>
  <si>
    <t>conta bloqueada por muitas reclamações</t>
  </si>
  <si>
    <t>77e63b31-5e1d-4204-946b-1d7330ef8779</t>
  </si>
  <si>
    <t>Seller informou que coleta não passou, passei no grupo e caso sofresse impacto ele seguiria o padrão que mantemos, e que está funcionando</t>
  </si>
  <si>
    <t>361885515402September</t>
  </si>
  <si>
    <t>c41c7681-6e60-450e-ae11-3791c33f6965</t>
  </si>
  <si>
    <t>Pediu o caminho para alterar a imagem do produto, mostrei o cmainho para solicitar para o time de offshoring - 18439379471</t>
  </si>
  <si>
    <t>bc37e6b8-91b7-4619-9901-3cd3c9655be8</t>
  </si>
  <si>
    <t>seller pede isenção de metricas, está sofrendo impacto por pedido cancelado (ele não consegue cancelar pedidos) e por entrega tardia (coleta que não passou)</t>
  </si>
  <si>
    <t>882c499a-f878-44f2-9ba5-1becfd800f2a</t>
  </si>
  <si>
    <t>Seller não consegue despachar o pedido devido a data de lançamento do jogo</t>
  </si>
  <si>
    <t>704ed6fc-a061-4280-9c03-c7a5e921f2d7</t>
  </si>
  <si>
    <t>Corrigir data de lançamento</t>
  </si>
  <si>
    <t>f4bd3d7f-d529-457e-8c1c-332637540da0</t>
  </si>
  <si>
    <t>Coleta não passou</t>
  </si>
  <si>
    <t>40220806-e60f-40bf-8295-9944a1f4035f</t>
  </si>
  <si>
    <t>Erro ao adicionar estoque no Onsite</t>
  </si>
  <si>
    <t>078c3636-1756-4295-a014-71c4553b9a0a</t>
  </si>
  <si>
    <t>Problema ao listar produtos, por questões de Brand, ele errou o nome da marca e no outro asin (EA) ele não tinha autorização da marca</t>
  </si>
  <si>
    <t>4461001f-d1fa-423f-9c2a-e0dd94768703</t>
  </si>
  <si>
    <t>Correção de medidas de envio. Pedido saindo como DBA ao invés de MFN.\nASIN: B0D4STCVZC\n06/02 - Seller trouxe a issue., aberto para Catálogo de 1P\nhttps://t.corp.amazon.com/V2100321070\n10/02 - Medidas corrigidas.</t>
  </si>
  <si>
    <t xml:space="preserve">241002216802February </t>
  </si>
  <si>
    <t>168f491f-2e37-42f0-851a-98d02dcc796f</t>
  </si>
  <si>
    <t>Seller possui 3 pedidos pendentes de pagamento desde novembro. \n02/02 - Seller trouxe o problema\n03/02 - Aberto ticket com EX para cancelamento.\nhttps://t.corp.amazon.com/V2096472771\n04/02 - kelsonmc disse que abriu outro \nhttps://t.corp.amazon.com/V2098083407/communication\n09/02 - Chamei o @viktocae no slack\n10/02 - https://t.corp.amazon.com/V2104315329/overview\n20/02 - https://t.corp.amazon.com/V2114945982\n26/02 - Pediu para o seller cancelar pela integradora. Verificando com o seller.\nDisse que é possível.</t>
  </si>
  <si>
    <t>91182335-1631-483e-ad58-0c4b02475cad</t>
  </si>
  <si>
    <t>Seller solicita isenção de métrica CR de pedidos que precisaram ser cancelados por motivos de que eram para ser MFN e foram feitos como DBA e a transportadora não leva por conta das dimensões\n03/02 - Seller trouxe o problema, aberto tt com EX de Exemptions.\nhttps://t.corp.amazon.com/V2096480018\n06/02 - Removido, faltou um pedido na relação. Aberto um novo tt\nhttps://t.corp.amazon.com/V2100025720\n09/02 - Removido.</t>
  </si>
  <si>
    <t>7211b7a6-412b-4d36-950c-17be2bbd3d7b</t>
  </si>
  <si>
    <t>Ajuste de catálogo de ASINs catálogo 1P e cubiscan.\n12/02 - Aberto task catálogo 1P\nhttps://t.corp.amazon.com/V2106437516\nInserido ASINs também no tt de Cubiscan.\nhttps://t.corp.amazon.com/V2104350631\n20/02 - Chamei no slack\n20/02 - Abri novamente um SelfShip issues\nhttps://t.corp.amazon.com/V2114963788\n23/02 - Verificando com Leno outros caminhos.\n24/02 - larmizae me passou o contato do @erjurado chamei no slack\n26/02 - Aberto tt com 1P\nhttps://t.corp.amazon.com/V2121546121</t>
  </si>
  <si>
    <t>1509ee73-2609-4fda-870f-83cd27c06300</t>
  </si>
  <si>
    <t>Seller com pedidos saindo como DBA ao invés de MFN (produto grande, não possível enviar por DBA).\n09/02 - Trouxe o problema, solicitado isenção de métrica\nhttps://t.corp.amazon.com/V2103014912\n11/02 - Cobrei o @kelsonmc\n19/02 - Sem resposta, porém verifiquei que já foi removido.</t>
  </si>
  <si>
    <t>87dd194d-b325-4134-85cb-9a8b74956068</t>
  </si>
  <si>
    <t>Seller solicita o cancelamento do pedido 701-9118727-8465069 - Sem estoque.\n12/02 - Seller trouxe a issue.\nAberto tt\nhttps://t.corp.amazon.com/V2106676673\n20/02 - Seller informou que conseguiu enviar.</t>
  </si>
  <si>
    <t>b3d089ac-65b0-45aa-9483-5bd4983b7a9e</t>
  </si>
  <si>
    <t>Seller com erro 5665, não possui registro de marca.\n19/02 - Informado o passo a passo.\nDeixando em aberto para acompanhar.\n20/02 - Seller conseguiu a aprovação de marca</t>
  </si>
  <si>
    <t>0b79001c-e45a-49ea-b3fd-6f2dbcfecd56</t>
  </si>
  <si>
    <t>Seller deseja arrumar modelos de envio, não possui mais integração com a intelipost.\n19/02 - Informado o link para correção dos modelos. Deixando em aberto para acompanhar.</t>
  </si>
  <si>
    <t>e69f796b-d75e-4447-b1f5-0674ea22cdb7</t>
  </si>
  <si>
    <t>Seller solicita isenção de métricas para pedidos que saíram como DBA sendo que deveria ter saído como MFN\n19/02 - Aberto tt\nhttps://t.corp.amazon.com/V2113983320\n20/02 - Acrescentei mais um pedido. \nAutorizado, pediram para aguardar 48h.\n23/02 - Validado, removido.</t>
  </si>
  <si>
    <t>e7b563eb-f5a8-4d62-9ecc-1161762dbcc2</t>
  </si>
  <si>
    <t>Cancelamento de pedidos onsite sem estoque.\n25/02 - Seller trouxe a issue\nAberto tt\nhttps://t.corp.amazon.com/V2120363023\n02/03 - Deve cancelar pela integradora.</t>
  </si>
  <si>
    <t>341c07b5-379b-40a4-9250-2a18487f227e</t>
  </si>
  <si>
    <t>Seller está com alguns ASINs indo para DBA ao invés de MFN, solicitou a correção da dimensão de alguns.\n24/02 - Trouxe a issue\naberto task com offshoring \n(não direcionei o seller para serviços premium por conta do problema de DBA vs MFN que está em andamento em outro ticket)\nhttps://na.winston.a2z.com/Seller-BR/task/10870\n26/02 - Aberto com 1P\nhttps://t.corp.amazon.com/V2121546121\nAtividade duplicada</t>
  </si>
  <si>
    <t>6fd0bebb-dd96-4ecf-a4ae-a1a07f61c38e</t>
  </si>
  <si>
    <t>Seller com problema de oferta híbrida no ASIN B0C2VWGPQB.\n26/02 - Trouxe o problema. \nInformado o SOP</t>
  </si>
  <si>
    <t>ca41edc9-0333-4915-8ccc-f42193b8f19e</t>
  </si>
  <si>
    <t>Seller estave com todas as offers inativas em FBA, foi identificados que as planilhas ficais não estavam anexadas.</t>
  </si>
  <si>
    <t xml:space="preserve">137029362402August   </t>
  </si>
  <si>
    <t>2f972ad2-7661-4a21-a5b2-2900dcf7f3c0</t>
  </si>
  <si>
    <t>Seller estava com produtos em quarentena por motivos de validade proxima do vencimentos, realizou o bin pra validadar, mas n saiu de quarantine. abri um tkt pra resolver</t>
  </si>
  <si>
    <t>a44bd49d-2d54-45df-a489-8f4920197bc2</t>
  </si>
  <si>
    <t>Vamos precisar submeter um novo appeal no Health account pro asin B0BTZWYPQ8 estou esperando ele me mandar os docs pra eu conseguir compilar</t>
  </si>
  <si>
    <t>c51a5b9f-c65e-44d3-8809-0de1ec68215d</t>
  </si>
  <si>
    <t>B0DFMHVP32  - está como defective no FC solicitei um bin check para entender qual foi o defeito // V1904961690 // precisei abrir outro ticket pra entender qual é a investigação que o item está passando. V1914458727 - V1914497237</t>
  </si>
  <si>
    <t>998bf804-518e-46dc-ad85-f9d346d0af79</t>
  </si>
  <si>
    <t>está sellable em todos os checks que eu fiz mas no SC continua inativo, joguei no denali e não resolveu, abri um ticket V1906196169 - a oferta estava excluida</t>
  </si>
  <si>
    <t>9932eb1c-5628-4938-9600-db77e323e152</t>
  </si>
  <si>
    <t>Tem dois protocolos que a própria Amazon criou de remoção mal sucedida 18350814051 e 18344429961, e preciso saber o que houve que estes itens não foram entregues, foi problema no endereço? Confirme pra mim, qual endereço que foram realizar a entrega?\n\nNão ter um custo de frete pra retirar os itens e os mesmos não podem ser descartados, consegue por favor uma forma deles retornarem ao CDs Amazon? Que assim que faço a remoção deles numa próxima vez\n\nmostrei que ele tinha que responder no chamado para prosseguir como ele quisesse</t>
  </si>
  <si>
    <t>1041281178802September</t>
  </si>
  <si>
    <t>5c9d4869-e574-43cd-89d7-8e2bba7f7d19</t>
  </si>
  <si>
    <t>Seller teve NFs de venda recusada com o Erro 866, abri o ticket interno para o time de Invoicer para ser corrigido - o erro era com mais vendedores, e era um bug da amazon onde foi corrigido por um main ticket</t>
  </si>
  <si>
    <t>746b00dc-681f-41e5-9837-a2b5e7b488a9</t>
  </si>
  <si>
    <t>Rolou mais um education sobre o removal offiline, sobre RSR</t>
  </si>
  <si>
    <t>66ab591f-ad8a-424c-ba77-663e245ff29c</t>
  </si>
  <si>
    <t>Seller questionou sobre as politicas de reembolso, e qual o melhor caminho para contestar as devoluções</t>
  </si>
  <si>
    <t>1e5b33c4-41c1-45a4-8a45-77407bc8aaf0</t>
  </si>
  <si>
    <t>20 dias e somente 50% do enviado, disponível para venda.\n</t>
  </si>
  <si>
    <t xml:space="preserve">193343155102November </t>
  </si>
  <si>
    <t>e0c69094-e056-499c-8984-2f5f7b2e0e67</t>
  </si>
  <si>
    <t>Realizei um PoA. \n\nhttps://na.vici.pars.amazon.dev/mpa-escalations#/caseDetails/1767978482109391</t>
  </si>
  <si>
    <t>13389d1b-2604-4b9e-94d7-cb6178bce302</t>
  </si>
  <si>
    <t>Seller necessita que pedidos pendentes de DBA hoje sejam convertidos para Droppoff.\n</t>
  </si>
  <si>
    <t>d3a9dca4-62f6-484d-881d-e02157f3e139</t>
  </si>
  <si>
    <t>Seller informa que está atribuindo permissões de usuário, contudo não está refletindo.</t>
  </si>
  <si>
    <t xml:space="preserve">20068852602December </t>
  </si>
  <si>
    <t>907bd736-5441-4916-8d3e-3a04758e4d21</t>
  </si>
  <si>
    <t>Seller não esta conseguindo adicionar novos usuários.</t>
  </si>
  <si>
    <t>170004727002September</t>
  </si>
  <si>
    <t>5928fba1-57f5-4e35-a071-3a0de054d361</t>
  </si>
  <si>
    <t>Seller teve dois pedidos cancelados, mas foram entregues. \n\nhttps://t.corp.amazon.com/V2097784094</t>
  </si>
  <si>
    <t xml:space="preserve">21753463202February </t>
  </si>
  <si>
    <t>cdb0c4f3-a14b-40b8-9cc5-63f85c640cc6</t>
  </si>
  <si>
    <t>Seller continua questionando sobre uma cobrança de 10,00. \n\nretornei no mesmo ticket: https://t.corp.amazon.com/V2090968103/communication</t>
  </si>
  <si>
    <t>8e48fe04-fac9-480c-ae9e-0dbc366177fe</t>
  </si>
  <si>
    <t>Seller informa que seus produtos estão saindo com DBA, mas ao verificar vi que continuam saindo via MFN e o DBA ainda está desativado.</t>
  </si>
  <si>
    <t>3e517c07-5ca6-4c87-ae51-45d0740d7f6b</t>
  </si>
  <si>
    <t>Seller informa que seus pedidos estavam saindo via DBA, mas vi que esta em MFN.</t>
  </si>
  <si>
    <t>fdabcc6a-c665-483a-9bf7-7f618df61411</t>
  </si>
  <si>
    <t>Seller solicitou a criação de novos asin. \n\nhttps://na.winston.a2z.com/Seller-BR/task/10829</t>
  </si>
  <si>
    <t>79dde45c-371b-4f92-b563-d9a916559368</t>
  </si>
  <si>
    <t>Isenção de metricas- erro VTEX\n\nhttps://t.corp.amazon.com/V2120556168/communication</t>
  </si>
  <si>
    <t>06a31522-bb65-45ff-ae9b-b1d38d175f35</t>
  </si>
  <si>
    <t>Seller pediu pra voltar com o buybox em sua conta. \n\nhttps://t.corp.amazon.com/V2120786816</t>
  </si>
  <si>
    <t>c5087f51-1864-4b7e-b00e-5b8c8edf2575</t>
  </si>
  <si>
    <t>Isenção de métricas dos pedidos do erro da Vtex \n\nhttps://t.corp.amazon.com/V2120554655</t>
  </si>
  <si>
    <t>6fef8c75-7232-4c4c-8f0c-ca4bf93d14cd</t>
  </si>
  <si>
    <t>FBA18Z5C9115 - Loss Prevention - Investigação de possível fraude - https://t.corp.amazon.com/V1866859812/overview</t>
  </si>
  <si>
    <t xml:space="preserve">92771955402August   </t>
  </si>
  <si>
    <t>ba150a36-e9c4-4125-945d-ddde333aaf28</t>
  </si>
  <si>
    <t>envio FBA18V699ZY3 está com shpiment aberto fazem 3 meses, e o seller não consegue solicitar ILAC</t>
  </si>
  <si>
    <t>f3a905c5-8bda-43cf-acc5-71133f0f9adb</t>
  </si>
  <si>
    <t>FBA18Z5BPYHD - comprovado a perca pelo FC, deve se aguardar o shpiment fechar e aguardar para solicitar ILAC</t>
  </si>
  <si>
    <t>90da75d2-d876-4840-ba9a-a6a19f80d8f6</t>
  </si>
  <si>
    <t>envio FBA18XG14CSB está com shpiment em aberto fazem 3 meses e o seller não consegue solicitar ILAC</t>
  </si>
  <si>
    <t>e74bb03e-b764-4a99-b17b-a6d860796e8e</t>
  </si>
  <si>
    <t>FBA18Z5BQWTF -  Deve aguardar o shpiment fechar para solicitar ILAC\nhttps://t.corp.amazon.com/V1886372408 - https://t.corp.amazon.com/V1887319665</t>
  </si>
  <si>
    <t>a1078219-08f1-467b-ae14-9328475d97cf</t>
  </si>
  <si>
    <t>FBA18XG0BDNX estava com ILAC travado</t>
  </si>
  <si>
    <t>a504f233-4230-4915-86ea-948eab9164e7</t>
  </si>
  <si>
    <t>Cara estamos com alguns ASINS que estão em fba que estao com esse ERRO DE OFERTA e fica inativo o anuncio e as unidades no fba\nsera algum erro? consegue nos auxliar ?\ncoloquei em anexo o print \nsao os asins : \nB07RB25BZ8\nB0DXDFBBY9\nB0DXDFGT3R\nB0BDTT7SG9\nB0DW9LT7XN\nB0DG64ZQG1</t>
  </si>
  <si>
    <t xml:space="preserve">589580604602December </t>
  </si>
  <si>
    <t>fe0fe609-3012-4d54-96e6-7deabd761f09</t>
  </si>
  <si>
    <t>Seller possui um cliente entrando em contato informando que o pedido está em atraso, cliente tentou contato com a Amazon e foi informado que deve entrar em contato com o vendedor, porém se trata de um pedido FBA. Orientei a abrir um case com SPS</t>
  </si>
  <si>
    <t xml:space="preserve">358205651902January  </t>
  </si>
  <si>
    <t>cad3ef07-b1ab-485a-b0bb-33777271e59b</t>
  </si>
  <si>
    <t>Task proativa: ASIN bloqueado com units em FBA. ASIN em PSC por informação de perda de peso e também em Recall (possível que quando editar a descrição, saia o recall).\nASINs: \nB0CP4HJQVQ - 1000 units (bloqueado)\nB0CP4HWP2D - ativo mas com informação na descrição\nB0CP4G8V3K - ativo mas com informação na descrição\nB0CP4Q9LPB - Parent ASIN\n26/01 - Aberto task com offshoring para corrigir a descrição.\nhttps://na.winston.a2z.com/Seller-BR/task/10150\nInformação no conteúdo A+, somente o seller pode corrigir\n28/01 - Enviado e-mail para o seller realizar a correção\n09/02 - Criado thread com @vinicuri e @thalent\n12/02 - Sem retorno do seller, encerrado como PSA.</t>
  </si>
  <si>
    <t>929b26a8-5f92-4660-bac9-157467e698c9</t>
  </si>
  <si>
    <t>Task proativa: ASIN bloqueado com units em FBA. ASIN em PSC por informação de perda de peso e também em Recall (possível que quando editar a descrição, saia o recall). \nASINs: \nB0CP49MQN9 - 1000 units (bloqueado) B0CP48JDKK - ativo mas com informação na descrição \nB0CP48SZS8 - 999 units (bloqueado)\nB0CP4CW3KB - Parent ASIN \n26/01 - Aberto task com offshoring para corrigir a descrição. \nhttps://na.winston.a2z.com/Seller-BR/task/10152\nInformação no conteúdo A+, somente o seller pode corrigir\n28/01 - Enviado e-mail para o seller realizar a correção\n09/02 - Criado thread com @vinicuri e @thalent\n12/02 - Sem retorno do seller, encerrado como PSA.</t>
  </si>
  <si>
    <t>8e3d8109-ca6d-4720-a355-71efcb663ab8</t>
  </si>
  <si>
    <t>Task proativa: ASINs bloqueados com units em FBA. ASIN em PSC por informação de perda de peso e também em Recall (possível que quando editar a descrição, saia o recall).\nASINs: \nB0CNJ45VV8 - 1946 units\nB0CNJ7L4GY - 1977 units\nB0CNJ7399M, não está em recall ou bloqueado. Porém solicitado a retirada de palavras. 1944 units\n23/01 - Aberto task com offshoring para corrigir a descrição.\nhttps://na.winston.a2z.com/Seller-BR/task/10143\nInformação no conteúdo A+, somente o seller pode corrigir\n28/01 - Enviado e-mail para o seller realizar a correção\n09/02 - Criado thread com @vinicuri e @thalent\n12/02 - Sem retorno do seller, encerrado como PSA.</t>
  </si>
  <si>
    <t>6cf79453-bbd5-4f41-b0d3-c47ab48c0732</t>
  </si>
  <si>
    <t>ASINs reservados no Onsite</t>
  </si>
  <si>
    <t xml:space="preserve">358205651902October  </t>
  </si>
  <si>
    <t>cf0a996d-1df3-4d7a-98d2-e179df71dc19</t>
  </si>
  <si>
    <t>Seller gostaria de reativar ASINS</t>
  </si>
  <si>
    <t>179f92a2-b2cc-48ec-a68f-90b7fffa3811</t>
  </si>
  <si>
    <t>526970,46733383915,46091,ics:815</t>
  </si>
  <si>
    <t xml:space="preserve">46733383915December </t>
  </si>
  <si>
    <t>3c672e8d-9066-4ab4-85b7-1769b74cd866</t>
  </si>
  <si>
    <t>erro 8572 realme\nowner diferente do brand name</t>
  </si>
  <si>
    <t>dfe2571b-07e8-4d07-897f-608de6d837ed</t>
  </si>
  <si>
    <t>Os produtos que ficam para descarte, onde posso acompanhar?\n\nRecebemos um comunicado, mais não consegui encontrar o local para visualizar estes itens.\n\nResposta:\n\nOlá! Vou te passar o caminho para visualizar seus itens inaptos para venda. normalmente esses itens são peças com defeitos, ou itens devolvidos com avaria.\n\n1. Acesse Menu &gt; Relatórios &gt; Logística\n2. Na barra lateral dentro da parte de "Inventário" clique na opção "Inventário do programa FBA - Logística da Amazon" ou de um CTRL+F e localize.\n3. Selecione se deseja em .txt (bloco de notas) ou .csv (excel)\n4. Você pode identificar pelo filtro "UNSELLABLE"</t>
  </si>
  <si>
    <t>38e26467-9e62-4b9b-81fa-8dadddcae37d</t>
  </si>
  <si>
    <t>enviei email prara electronics-safety@amazon.com.br</t>
  </si>
  <si>
    <t>b4d38cc5-f708-4d47-8195-c47ad5148799</t>
  </si>
  <si>
    <t>essa issue está ligada com o erro 8572, só podemos prosseguir quando temos a imagem/mensagem de erro</t>
  </si>
  <si>
    <t>9f9a8cac-6b67-4c4c-8569-8dcf88637d3e</t>
  </si>
  <si>
    <t>Pode me ajudar com os bloqueios das ofertas abaixo</t>
  </si>
  <si>
    <t>6080d725-16be-4b74-92b8-df364a96af9d</t>
  </si>
  <si>
    <t>Segue os codigos da Anatel dos itens solicitados\n\n• B0BFXCGKZP \t15602-21-07600\n• B09QWY22QG\t05801-21-00953\n• B0C679F8HF\t00662-23-00953\n• B09FRD4CYW\t07017-21-00330\n• B0B9QCRB81\t00424-21-00953\n• B0BYFP9ZH1\t08695-21-00953\n• B09WD38PZL\t01369-21-00330\n• B0B48CPW3X\t09133-21-08134\n• B0C67S63K9\t00662-23-00953\n• B0CCQFQXQZ\t07734-23-01739\n• B0BWSCHZTH\t04608-22-13411</t>
  </si>
  <si>
    <t>66d24d78-d1fc-4df8-9409-541d95e2d740</t>
  </si>
  <si>
    <t>Seller está com dificuldade de fazer listagem mesmo tendo aprovação.</t>
  </si>
  <si>
    <t xml:space="preserve">716769647502January  </t>
  </si>
  <si>
    <t>79992789-d77c-4ea4-a764-855a2b8fbb3c</t>
  </si>
  <si>
    <t>Seller teve sua offer desativada por indicie de cancelamento, orientei como ele pode fazer pra ele reativar a offer.</t>
  </si>
  <si>
    <t xml:space="preserve">22445894402October  </t>
  </si>
  <si>
    <t>2a9aa81f-11ec-424f-8e53-0168ca833edf</t>
  </si>
  <si>
    <t>Seller com erro ao salvar as informações da conta na etapa de verificação. Teve escalation, orientado o seller abrir case com SPS</t>
  </si>
  <si>
    <t xml:space="preserve">538911850502October  </t>
  </si>
  <si>
    <t>ef397d8f-3a2d-47ec-933f-5703beeb5380</t>
  </si>
  <si>
    <t>Seller informa que teve asin\'s que estão em FBA, mas sairam em FBM e por isso saiu com evio tardio afetando suas métricas, pedi para ele o numero dos pedidos que foram divergentes para análise // Foi identificado que a divergencia existe porque o mesmo sku está na integradora e saiu como se chama em Oferta Hibrida.</t>
  </si>
  <si>
    <t xml:space="preserve">108483856702July     </t>
  </si>
  <si>
    <t>e6406d05-a3aa-4bd5-8213-78397323a7a1</t>
  </si>
  <si>
    <t>Seller enfrentou um problema de quarantine no ASIN, mas foi resolvido porém seus itens continuam reservados no FC (GRU8), solicitei para ele as documentações que ele enviou para appeal para assim conseguir escalar via tkt. V1877703833 tiket foi aberto para o time de FC liberar esses itens pra venda. prazo de 3 dias / 30/07 foi preciso abrir outro ticket pra analise V1879733385</t>
  </si>
  <si>
    <t>Quarantine</t>
  </si>
  <si>
    <t>6b33453f-e76b-45a8-9681-c91733d42b47</t>
  </si>
  <si>
    <t>Seller questina sobre os erros que vem dando nos seus pedidos de remoções, estamos em contato com o time pra entender o que vem acontecendo; Já há um tiket aberto pelo NAM responsável da conta, estamos usando ele como base pra atendimento.  ID: V1870091865</t>
  </si>
  <si>
    <t>aa8e9a45-398e-4919-a2ec-f307056b1a3e</t>
  </si>
  <si>
    <t xml:space="preserve">355214089002December </t>
  </si>
  <si>
    <t>33e66d72-d242-48a4-b487-b35bb8e71783</t>
  </si>
  <si>
    <t>MFI FBA191LKSN2M</t>
  </si>
  <si>
    <t xml:space="preserve">7763660815October  </t>
  </si>
  <si>
    <t>ca989634-0bec-4bfe-b1f3-d26bf6956969</t>
  </si>
  <si>
    <t>Seller solicitou ajuda com aprovação da marca  WELLA para envios para FBA\n\nEstá em análise o chamado.</t>
  </si>
  <si>
    <t>40b34d18-6dd0-4f7d-a155-0adbdb1daa4e</t>
  </si>
  <si>
    <t>Seller com garantia de A a Z impactando suas métricas 702-7247712-4073805.\n06/02 - Solicitado link de rastreio e comprovante de entrega.\n09/02 - Cobrei o seller novamente\n12/02 - Seller enviou os dados necessários, aberto tt\nhttps://issues.amazon.com/issues/V2106379433\n16/02 - Negado, pois a entrega foi realizada após a abertura de garantia de A a Z.\n19/02 - Aberto um novo ticket.\nhttps://issues.amazon.com/issues/V2113753680\n20/02 - negado, aberto um novo\nhttps://issues.amazon.com/issues/V2114913761\n23/02 - Aprovado.</t>
  </si>
  <si>
    <t xml:space="preserve">500513845602February </t>
  </si>
  <si>
    <t>f3f8cbeb-ab52-475c-a3dd-556865eff2aa</t>
  </si>
  <si>
    <t>Seller com pedidos sendo informados na integração que é DBA, porém no seller central está MFN.\n13/02 - Trouxe o problema, não impacta envios. Mas aberto tt que enviaram no canal de Easyship BR no caso da samsung.\nhttps://t.corp.amazon.com/V2107506682\n14/02 - Disseram que foi removido.\nDeixar em aberto para o seller ir acompanhando.\n19/02 - Seller disse que o problema persiste, orientado a verificar com a integradora e depois retornar com o protocolo para abrir com integration.</t>
  </si>
  <si>
    <t>af55770c-f1fe-43fe-bac6-94d9ab093da9</t>
  </si>
  <si>
    <t>Seller informa que os cliente estão comprando pré treino e recebendo creatina no lugar. abri um bin check pra time poder investigar https://t.corp.amazon.com/V1962253282</t>
  </si>
  <si>
    <t xml:space="preserve">551856008602October  </t>
  </si>
  <si>
    <t>6d805023-edbb-42d9-aad8-3aa3383d811f</t>
  </si>
  <si>
    <t>Seller estava com SKUS inativos, mas após subir planilha fiscal foi restabelecido</t>
  </si>
  <si>
    <t>531a93d0-bf9a-4c6f-a291-34cebc419ac1</t>
  </si>
  <si>
    <t>Oferta inativa.</t>
  </si>
  <si>
    <t xml:space="preserve">601998582602December </t>
  </si>
  <si>
    <t>34a26fc7-9d3c-4ac4-a726-183223001486</t>
  </si>
  <si>
    <t>35 ASINS com oferta bloqueada.</t>
  </si>
  <si>
    <t>c925dc20-c3cd-4264-9ebf-346f862926fd</t>
  </si>
  <si>
    <t>Seller solicita uma coleta extra, ficou alguns pedidos para trás.\n02/03 - Trouxe a issue.\nFalando com o @vholanda\nResolvido</t>
  </si>
  <si>
    <t xml:space="preserve">97759973202March    </t>
  </si>
  <si>
    <t>bc4c7df7-274a-4feb-bd4e-19c73950e0fa</t>
  </si>
  <si>
    <t>Seller com oferta inativa, por conta de métrica LSR\n10/03 - Trouxe a issue. Aberto tt de isenção com o Ops Owner\nhttps://t.corp.amazon.com/V2134789051</t>
  </si>
  <si>
    <t>999a42bf-bfd3-4923-bd06-2bcbaf8a4b77</t>
  </si>
  <si>
    <t>ASIN B01ALW3FNA aparece erro de planilha fiscal ao tentar enviar.\n03/03 - Seller trouxe a issue\naberto tt\nhttps://t.corp.amazon.com/V2127463714/\n11/03 - Aberto\nhttps://t.corp.amazon.com/V2136374776\n13/03 - Seller precisa reenviar planilha no template correto, pois cabeçalho estava incorreto.</t>
  </si>
  <si>
    <t xml:space="preserve">13639293002March    </t>
  </si>
  <si>
    <t>285a252e-00e5-4ec6-ac1c-be8d3ada7770</t>
  </si>
  <si>
    <t>Seller com ASIN B01ALW3FNA saindo como MFN ao invés de DBA. Medidas OK\n02/03 - Trouxe a issue, aberto tt para EX\nhttps://t.corp.amazon.com/V2125860058</t>
  </si>
  <si>
    <t>8e98ae8f-9bcd-4047-9df9-9d01a7b17e03</t>
  </si>
  <si>
    <t>Seller não teve coleta DBA ontem (09/03)\n10/03 - Trouxe a issue\nEnviei no canal de Easy, aberto ticket https://t.corp.amazon.com/V2135078881\n11/03 - Seller terá isenção dos pedidos e as coletas devem estabilizar.</t>
  </si>
  <si>
    <t>9fb64c05-9b60-4272-92a5-2ed8fe7e0c0b</t>
  </si>
  <si>
    <t>Seller estava com problemas nos asins, porém um dos que foram enviados, estavam ativo, fiz a conferência do correto para o restante e fabricante e marca estavam errado. direcionamento dado ao seller</t>
  </si>
  <si>
    <t xml:space="preserve">108483856702March    </t>
  </si>
  <si>
    <t>05f2c0fb-8179-40cb-a8fb-5ea3b850268a</t>
  </si>
  <si>
    <t>ASIN está inativo devido reclamações de originalidade do produto.\nFoi aberto um sif para tentar reverter essa questão: https://na.vici.pars.amazon.dev/mpa-escalations/index.html#/caseDetails/1773072098440653</t>
  </si>
  <si>
    <t>43d8c393-365a-40e9-b439-e5cea22154ca</t>
  </si>
  <si>
    <t>Seller sinalizou 59un constando como reservadas em seu painel do asin B0CMR63RGF \nsolicitei um bin-check das unidades para investigarmos o motivo da trava e como deixarmos disponíveis para venda. https://t.corp.amazon.com/V2135102952</t>
  </si>
  <si>
    <t>562b1412-3fe6-488d-8c62-d89e398a04b7</t>
  </si>
  <si>
    <t>4/fev: informação da ficha técnica está errada resultando em reclamações. O ASIN possui brand elevation\nhttps://t.corp.amazon.com/V2097906541</t>
  </si>
  <si>
    <t xml:space="preserve">366327938802February </t>
  </si>
  <si>
    <t>ae62c76f-eb66-4e84-a8d1-13d85b7ce84d</t>
  </si>
  <si>
    <t xml:space="preserve">355214089002November </t>
  </si>
  <si>
    <t>bc9b1e7b-4bd8-4908-b972-65d4c2fe9199</t>
  </si>
  <si>
    <t>Apareceu aqui 1 pedido como "Envio Próprio", porém, só trabalhamos com o envio pelo DBA, não fazemos envio próprio.</t>
  </si>
  <si>
    <t>7b4986a7-83d3-4d56-9473-54fb739770a5</t>
  </si>
  <si>
    <t>Instabilidade na plataforma.</t>
  </si>
  <si>
    <t>e163e8f1-7982-4ac4-873a-03736c8e5a05</t>
  </si>
  <si>
    <t>Transportadora TEX não passa para coletra os itens do seller.</t>
  </si>
  <si>
    <t xml:space="preserve">24371682602December </t>
  </si>
  <si>
    <t>12239471-c4b1-4a4b-a07f-f42d98fec8fc</t>
  </si>
  <si>
    <t>Contestação de métricas.</t>
  </si>
  <si>
    <t>7b6cabf9-91da-4eaf-8728-c28aa84c9dd0</t>
  </si>
  <si>
    <t>Seller com pedido DBA entregue, cliente não reconhece a entrega, Amazon reembolsou. Seller não é responsável pela entrega, deseja o reembolso.\n26/01 - Aberto tt \n28/01 - Reembolso negado. O pedido está no fluxo de retorno para o vendedor, se os itens não forem devolvidos até 13/02/2026 , solicite ao vendedor que encaminhe novamente uma solicitação de reembolso.\nhttps://t.corp.amazon.com/V2086981860</t>
  </si>
  <si>
    <t xml:space="preserve">94015899402January  </t>
  </si>
  <si>
    <t>0b6abdbc-b355-4dec-a0fe-017beff79807</t>
  </si>
  <si>
    <t>Seller informa que possui um pedido DBA (701-1855186-5602602) com entrega em atraso. Prazo de entrega 21/11/2025.\n13/01 - Informou sobre o problema. Questionado caso com SPS.\n23/01 - Retornou sobre problema em abrir caso e questionado o número do pedido.\n26/01 - Passou o número do pedido, aberto tt\nhttps://t.corp.amazon.com/V2086912481\n02/02 - Cobrei um retorno\n04/02 - Informou que é outro CTI mas não sabe informar qual CTI. @larmizae está de férias\n05/02 - @rochaaes disse que não sabe mesmo qual o outro CTI\n09/02 - Localizei o CTI em um ticket antigo. \nhttps://t.corp.amazon.com/V2103497534\n11/02 - Solicitado auxilio para o Vini escalar.\n19/02 - @emahtuk disse que iria descobrir o POC sobre esse assunto e avisava.\n13/03 - Seller abriu um SAFE-T 58947-80137-4211256</t>
  </si>
  <si>
    <t>a3e450e1-6b7b-4418-b03d-4839cfa3fce3</t>
  </si>
  <si>
    <t>Preciso remover alguns itens "Não Aptos para venda" do CD GRU8, porem ao entrar no relatorio "Remover inventário não apto para venda" nao tem a opção de filtrar o que esta em Gru8. \n\npassei a relação pra ele</t>
  </si>
  <si>
    <t>55427353102September</t>
  </si>
  <si>
    <t>0adb6616-5e48-4549-bbab-cce611282a58</t>
  </si>
  <si>
    <t>ASINs em Recall, pedi pro seller enviar contestação, mas foi recusada, irei fazer o escalamento.</t>
  </si>
  <si>
    <t>2aa47ade-1d5b-46ff-82de-bbf2d0db66b1</t>
  </si>
  <si>
    <t>A principio foi solicitação para ativar ASIN, após isso vimos que o estoque estava em SF e não FBA</t>
  </si>
  <si>
    <t>a47fc760-9000-4a8f-9f31-df8b8ef1d880</t>
  </si>
  <si>
    <t>Asin com estoque em FBA e vendeu como DBA, mostrei o melhor caminho para pedir correção através do Seller Central</t>
  </si>
  <si>
    <t>ef529a35-cbbc-482d-ba67-28e8a2b32e07</t>
  </si>
  <si>
    <t xml:space="preserve">601998582602November </t>
  </si>
  <si>
    <t>de71e04a-aab0-441a-a98e-d5bc8999a241</t>
  </si>
  <si>
    <t>Isenção de Metricas.</t>
  </si>
  <si>
    <t>f5bb5137-bca3-4c9b-b2fd-e2de5b939617</t>
  </si>
  <si>
    <t>Oferta Híbrida.</t>
  </si>
  <si>
    <t>59cecfa5-2502-47d2-b55a-175d89da8dca</t>
  </si>
  <si>
    <t>Ao cadastrar um produto e inserir o EAN volta outro produto totalmente diferente</t>
  </si>
  <si>
    <t xml:space="preserve">687037975702December </t>
  </si>
  <si>
    <t>174d99f4-ac9b-4844-9003-490ce2b83d74</t>
  </si>
  <si>
    <t>b3a4d99f-8238-435e-a26a-da423b129a14</t>
  </si>
  <si>
    <t>09/março seller tem problemas com cartão cadastrado</t>
  </si>
  <si>
    <t xml:space="preserve">160165983902March    </t>
  </si>
  <si>
    <t>149d30cc-45f1-40b9-8bc0-bc707455b8e4</t>
  </si>
  <si>
    <t>Seller estava enfrentando problemas com autenticidade dos produtos, foi aberto um chamado para enforcement: https://t.corp.amazon.com/V1986407832</t>
  </si>
  <si>
    <t xml:space="preserve">844422866302November </t>
  </si>
  <si>
    <t>76032d96-9b59-4c4b-915c-a7a28c15dcc5</t>
  </si>
  <si>
    <t>O Asin ficou inativo no site.  https://t.corp.amazon.com/V2029366820</t>
  </si>
  <si>
    <t xml:space="preserve">655945459902December </t>
  </si>
  <si>
    <t>9cde7901-f63a-43a5-ab81-f69bfb5fd1df</t>
  </si>
  <si>
    <t>Dúvida sobre POA.</t>
  </si>
  <si>
    <t>82b08db1-830c-41db-b425-688accaf7d0b</t>
  </si>
  <si>
    <t>Bin check para GRU9/XCV9</t>
  </si>
  <si>
    <t>1e965765-0e0d-46b5-803c-272f842dac9a</t>
  </si>
  <si>
    <t>Seller teve os asin inativados e o indicado era atualizar os preços, mas os asin continuam inativos. abri um buyability https://na.winston.a2z.com/Seller-BR/task/9889</t>
  </si>
  <si>
    <t xml:space="preserve">22445894402January  </t>
  </si>
  <si>
    <t>5a5ae38e-19a2-4c59-9d5a-79fb68335148</t>
  </si>
  <si>
    <t>Seller solicitou insensão de metricas LSR</t>
  </si>
  <si>
    <t>a5b17260-cbb0-4221-be08-923509e0361f</t>
  </si>
  <si>
    <t>Garantia de A to Z do pedido 702-1401078-4161053</t>
  </si>
  <si>
    <t xml:space="preserve">117086860802December </t>
  </si>
  <si>
    <t>83b842a6-fda7-41b3-a5f8-c1566ab219ba</t>
  </si>
  <si>
    <t>Seller esta com 68 pedidos que não estão aparecendo na sua integradora Vtex. abri um chamado. https://t.corp.amazon.com/P347119750</t>
  </si>
  <si>
    <t xml:space="preserve">21753463202December </t>
  </si>
  <si>
    <t>b90c6c91-6ec5-4b9a-a259-3e82b64a0282</t>
  </si>
  <si>
    <t>Seller estava enfrentando problemas pra criar o ASIN, solicitei pro time de winston https://na.winston.a2z.com/Seller-BR/task/9590</t>
  </si>
  <si>
    <t>de86e55b-5181-4bd4-a8d6-c172c7007f91</t>
  </si>
  <si>
    <t>Seller entrou em contato querendo atualização de marca em planilha. Encaminhei o link de Offshoring.</t>
  </si>
  <si>
    <t xml:space="preserve">736960318302October  </t>
  </si>
  <si>
    <t>808922a6-f7f1-466f-9a00-429c35bda22a</t>
  </si>
  <si>
    <t>Seller está com sua conta DBA inativa. \n\nhttps://t.corp.amazon.com/V2095552039\n\n09/02 - pedi ajuda do vini/ avisei o seller\n\n19/02- solicitei um status pro seller</t>
  </si>
  <si>
    <t xml:space="preserve">193343155102February </t>
  </si>
  <si>
    <t>450dda3b-8d71-477f-a155-ef7bbdf90a43</t>
  </si>
  <si>
    <t>Seller solicita a remoção do comentario negativo do pedido: Pedido: 702-5388231-5054609\nhttps://na.vici.pars.amazon.dev/mpa-escalations/submit#/caseDetails/1770409994025083</t>
  </si>
  <si>
    <t xml:space="preserve">13351599302February </t>
  </si>
  <si>
    <t>ac7762c7-25ca-4dd3-86ad-55575b4f4f28</t>
  </si>
  <si>
    <t>Seller pede remoção do comentário negativo do pedido 701-2076308-4977068\n\nhttps://na.vici.pars.amazon.dev/mpa-escalations/submit#/caseDetails/1770129049783128\n\n06/02 - https://na.vici.pars.amazon.dev/mpa-escalations/submit#/caseDetails/1770408564087422</t>
  </si>
  <si>
    <t>a98b1156-8e77-495a-9452-f409b7d00734</t>
  </si>
  <si>
    <t>13/março: queria saber algumas informações para liberação de usuário</t>
  </si>
  <si>
    <t xml:space="preserve">361885515402March    </t>
  </si>
  <si>
    <t>68bae423-4264-4b86-9ff4-198408ad67aa</t>
  </si>
  <si>
    <t>02/02 - Seller teve a recusa da solicitação da categoria de suplementos\n02/02 - O seller possuia os documentos corretos, devido isso, abri para backoffice verificar a recusa: https://t.corp.amazon.com/V2095258612</t>
  </si>
  <si>
    <t xml:space="preserve">137029362402February </t>
  </si>
  <si>
    <t>2a45552a-cb81-48c6-95a7-cc95398d4ce6</t>
  </si>
  <si>
    <t>Seller foi notificado em processo judicial e precisa apresentar a carta de comprovante de reembolso de 4 pedidos\naberto o chamado: https://t.corp.amazon.com/V2104156628\nO primeiro chamado não foi solucionado, portanto foi aberto um novo: https://t.corp.amazon.com/V2118241639</t>
  </si>
  <si>
    <t>1e6c0340-24f8-402c-baa0-39d31b8d6930</t>
  </si>
  <si>
    <t>Mesmo o produto estando ativo em seu painel, o botão de compra não está disponível no site, seller solicitou investigação.\nAberto um chamado para offshoring: https://na.winston.a2z.com/Seller-BR/task/10507</t>
  </si>
  <si>
    <t>986ea3bd-ad71-467d-8831-c2bb91f98489</t>
  </si>
  <si>
    <t>19/02 - ASINs não estavam sendo exibidos corretamente\n19/02 - Mostrei o caminho pro seller do que deveria ser feito.</t>
  </si>
  <si>
    <t>30dc00a8-e14c-4b4e-b3a8-d06283fe8c44</t>
  </si>
  <si>
    <t>ASIN está inativo devido a diferença de preço nos mktp</t>
  </si>
  <si>
    <t>a1242735-70e2-4017-9df8-038a563b39fd</t>
  </si>
  <si>
    <t>Envio com descrepância nas unidades recebidas, consta como finalizado\n\nhttps://t.corp.amazon.com/V1978961095/overview</t>
  </si>
  <si>
    <t xml:space="preserve">734743947702October  </t>
  </si>
  <si>
    <t>ef4907c9-6ec6-4147-8232-b5211daa8c2b</t>
  </si>
  <si>
    <t>06/março: problemas com emissão das etiquetas.\n\nEfetuei contato com o Ops Owner hiquesh@\n\nE enviei o processo de SPOO</t>
  </si>
  <si>
    <t xml:space="preserve">414165418502March    </t>
  </si>
  <si>
    <t>ff7be1fc-c288-4a29-a02b-4cab2499704a</t>
  </si>
  <si>
    <t>2/março: Seller reclama da demorada do envio FBA1970SFVZC, abri um chamado para o time de transportes:\nhttps://t.corp.amazon.com/V2125656003</t>
  </si>
  <si>
    <t>e07792d3-48b9-46a2-9d06-9382193998e6</t>
  </si>
  <si>
    <t>05/março: enviou os docs de hazmat errado e pediu apoio para liberação</t>
  </si>
  <si>
    <t>29cd2b7e-9c61-4953-ab75-521cbb656e9f</t>
  </si>
  <si>
    <t>12/março: seller nao possui o FNSku para reinboundar pra o novo removal\nhttps://t.corp.amazon.com/V2137510549</t>
  </si>
  <si>
    <t>cc96ec54-53c5-438b-93b9-330f1d757f54</t>
  </si>
  <si>
    <t>09/fev: questionou o motivo das units ainda não estarem sellables, ao analisar pelo FC Research verifiquei que as units estavam em PREP - FBA1970S88B4</t>
  </si>
  <si>
    <t>ca142592-1a06-491d-8c9c-7e2b94a9e2ed</t>
  </si>
  <si>
    <t>09/março: Ele contesta que não realizou um envio e tem units sendo recebidas.\nhttps://t.corp.amazon.com/V2133641300</t>
  </si>
  <si>
    <t>959137cf-12eb-43ce-8f9e-8cf6df557a04</t>
  </si>
  <si>
    <t>11/março: seller questionou a demora para encerrar o envio.\n\nAs units estavam em PREP</t>
  </si>
  <si>
    <t>5a117950-b72e-43d4-b4ba-95818d6eb8cd</t>
  </si>
  <si>
    <t>Seller solicita remoção de avaliação negativa.</t>
  </si>
  <si>
    <t xml:space="preserve">241002216802November </t>
  </si>
  <si>
    <t>87f8d0f1-4834-415c-9581-01651f2e7aca</t>
  </si>
  <si>
    <t>Seller deseja solicitar remoção de avaliação negativa, informado o passo a passo.</t>
  </si>
  <si>
    <t>2d78043e-99a2-4bb3-a4c2-c37902b7c427</t>
  </si>
  <si>
    <t>Seller está Order saindo com MFN, mas deveria sair como DBA e além disso não está conseguindo gerar a etiqueta de envio após anexar NFe TT: https://t.corp.amazon.com/V1997049780</t>
  </si>
  <si>
    <t xml:space="preserve">627010921602November </t>
  </si>
  <si>
    <t>c8086b07-af16-48af-a647-afd1a91e5ae9</t>
  </si>
  <si>
    <t>Seller desejava incluir promoçoes de black friday no conteúdo A+, mas esse ação não é permitida, foi informado pro seller.</t>
  </si>
  <si>
    <t>62befb39-537e-4ea9-ab78-b8121f714628</t>
  </si>
  <si>
    <t>O seller está com 8 unidades paradas no FC e ele precisa enviar a nota pra receber ou remover o produtos. passei as informações para ele poder escolher .</t>
  </si>
  <si>
    <t>498dbb40-316c-441a-9592-8ec482e31484</t>
  </si>
  <si>
    <t>Seller estava com duvida sobre Garantia de A a Z</t>
  </si>
  <si>
    <t xml:space="preserve">22445894402February </t>
  </si>
  <si>
    <t>0d57d417-f001-44a8-892b-76d1db1b2187</t>
  </si>
  <si>
    <t>03/março: selleri nformou que os pedidos estão caindo sem tempo de preparação\nhttps://t.corp.amazon.com/V2125909708</t>
  </si>
  <si>
    <t xml:space="preserve">355214089002March    </t>
  </si>
  <si>
    <t>9d617326-d2d9-4971-b702-4fb8ac0b979b</t>
  </si>
  <si>
    <t>Seller teve seus reembolso aprovados, mas não conseguimos localizar atraves das transação criada pelo time, abri um tickcet para investigarem : V1961291312</t>
  </si>
  <si>
    <t xml:space="preserve">183456830502October  </t>
  </si>
  <si>
    <t>5dd67f74-b702-47b6-85c0-a7468421610e</t>
  </si>
  <si>
    <t>Seller argunta que o retono foi negativo mesmo com o comprovante de despacho, e que os produtos foram entregues e não retornaram para o estoque dele. Depois de uma analise verifiquei que os pedidos foram cancelados.</t>
  </si>
  <si>
    <t>f94671ea-4f29-4ca0-bdaa-b08ac8031f76</t>
  </si>
  <si>
    <t>Seller relatou que o produto não voltou para o estoque dele e que o reembolso foi feito para o cliente.</t>
  </si>
  <si>
    <t>9d9ff610-1a60-499a-9d80-d93577083498</t>
  </si>
  <si>
    <t>Alguns pedidos de reembolsos do seller fora negados (cancelados e declinados). O seller questionou pois foram criadas ID de transação, encaminhe os pedidos para o Viktor Santos cinferir e estou aguardando um retorno dele. \n\n24/02: tt aberto para o pedido 701-2721511-9545867 - https://t.corp.amazon.com/V2119271310/overview;\n\n702-8027549-0837831 - tt aberto https://t.corp.amazon.com/V2119278499\n\n25/02: 702-5663207-1148225. Reembolso criado ID da transação: 21154127981 \n\n701-1826728-3635409\n\n702-6393931-3273868\n\n24/02: tt criado para o pedido 702-6474743-1072223 https://t.corp.amazon.com/V2119249787\n\n</t>
  </si>
  <si>
    <t>9d239bd1-1d9c-400d-8e99-d47603df1e74</t>
  </si>
  <si>
    <t>Seller teve reembolsos negados por atraso, alegando que o atraso ocorreu devido a uma orientação incorreta recebida sobre o processo de abertura do chamado.</t>
  </si>
  <si>
    <t>0928d0c6-1e7c-43e8-9cac-fd25ad90894e</t>
  </si>
  <si>
    <t>No pedido 702-5013678-9254657, o cliente pediu 5 teclados no mesmo pedido. \nO coletor tentou bipar, mas não conseguiu. A etiqueta dos Correios foi gerada, porém são 5 teclados e o tamanho ultrapassa o limite permitido.</t>
  </si>
  <si>
    <t xml:space="preserve">301429377802December </t>
  </si>
  <si>
    <t>da0149d9-cf3f-4258-b74e-5b317d13479a</t>
  </si>
  <si>
    <t>Aproveitando, gostaria de verificar uma outra situação que tem ocorrido com frequência. Estamos enfrentando problemas com pedidos em status "Pendente" na Amazon. Os clientes entram em contato dizendo que a compra foi concluída e que o valor já aparece como debitado no cartão deles. No entanto, para nós, o pedido continua como pendente, com a mensagem de que a Amazon ainda está aguardando a comunicação com a operadora do cartão. (Coloquei em anexo um exemplo que estou lidando agora)\n\nIsso acaba gerando confusão, porque para o cliente parece que o atraso é por nossa parte, já que não conseguimos enviar, emitir nota fiscal ou fazer qualquer movimentação enquanto o pedido não é liberado pela própria Amazon.</t>
  </si>
  <si>
    <t>274a6f36-ebd8-4477-8dd9-12d2fb0875e4</t>
  </si>
  <si>
    <t>Você poderia nos ajudar a entender melhor o critério de cálculo de frete para regiões mais afastadas de São Paulo? Tivemos recentemente dois casos, um para o Pará e outro para Roraima, em que o frete cobrado pela Amazon ficou em torno de R$ 100 a R$ 120, porém, ao realizarmos as cotações diretamente com as transportadoras, os valores ficaram entre R$ 300 e R$ 500.\n\nCom esses custos, infelizmente o envio para essas regiões acaba não sendo viável para nós.\n\nPoderia, por gentileza, nos orientar se existe algum ajuste ou alternativa possível nesses casos?\n\nResposta:\n\nÉ com base na tabela de fretes padrão da Amazon, para visualizar os detalhes você pode ir em Configurações &gt; Configurações de envio &gt; Modelos de envio.\n\nCaso não estiver batendo, basta incluir a tabela de fretes da transportadora que vocês usam, como é Envio Próprio e suas mercadorias são grandes, seria interessante adaptar para vocês.\n\nO que posso te recomendar é fazer essa alteração nas regras.</t>
  </si>
  <si>
    <t>2151477e-c360-4314-9c80-0b35dea85047</t>
  </si>
  <si>
    <t>Seller pediu apoio para enviar as informações corretas para verificarmos a conta</t>
  </si>
  <si>
    <t xml:space="preserve">58401384302December </t>
  </si>
  <si>
    <t>dcfc70f4-cb5e-4128-8525-400a3b936b9e</t>
  </si>
  <si>
    <t>Seller está tendo as imagens deles recusadas. pedi que me enviasse pra análise de offshoring.</t>
  </si>
  <si>
    <t xml:space="preserve">20208037402January  </t>
  </si>
  <si>
    <t>d829ca59-c0b9-4905-b1f3-2c7c1ffd01f0</t>
  </si>
  <si>
    <t>Isenção de métricas\n19/02: Issue Recebido\n20/02: tt aberto https://t.corp.amazon.com/V2115079191/overview</t>
  </si>
  <si>
    <t xml:space="preserve">69746651February </t>
  </si>
  <si>
    <t>5cab1710-f8a5-4cc0-ad41-4f0f9c28e92e</t>
  </si>
  <si>
    <t>está com duvida sobre o valor que foi reembolsado para ele. pedi algumas informações a mais. / Mandei pro seller o valor dos itens deduzido  e a explicação de como funciona o calculo de reembolso</t>
  </si>
  <si>
    <t xml:space="preserve">551856008602August   </t>
  </si>
  <si>
    <t>b1bb8300-e7c9-4d4e-bd20-62dac5d90e0c</t>
  </si>
  <si>
    <t>09/02 - O pedido 702-0632854-9889830 havia sido devolvido mas o seller não sabia onde estava.\n09/02 - Enviando para ele o print do endereço de devolução.</t>
  </si>
  <si>
    <t xml:space="preserve">125288528002February </t>
  </si>
  <si>
    <t>1ae9c7e9-f506-4b18-ac69-24449712b3b6</t>
  </si>
  <si>
    <t>11/02 - Seller sinalizou que o pedido: 702-1613797-4269061 - Veio com etiqueta inválida do correios, além de não sair como logística própria. \n11/02 - Solicitei que o seller alterasse o modelo de envio com a quantidade de peso.\n20/02 - Account manager avisou que não deu certo o processo.\n23/02 - Aberto um chamado para integration: https://t.corp.amazon.com/V2117985338</t>
  </si>
  <si>
    <t>806f9523-22cb-4a1e-9ba3-063e2690e044</t>
  </si>
  <si>
    <t>problemas no asin devido a logo de marcas</t>
  </si>
  <si>
    <t xml:space="preserve">159666680002November </t>
  </si>
  <si>
    <t>47c39f31-0600-438d-9b2f-9adcee80bdf9</t>
  </si>
  <si>
    <t>conta desativada</t>
  </si>
  <si>
    <t>100880ed-d85e-4a06-b761-e97282e6f61e</t>
  </si>
  <si>
    <t>Habilitamos o DBA em nossa loja, so que temos que levar no ponto de coleta, em nosso endereço ja existe duas coletas de outras lojas, sera que não consegue mudar o nosso para coleta ao inves de ponto de coleta?\n\n</t>
  </si>
  <si>
    <t>29d10aff-8dbb-4a9c-b726-831a28331257</t>
  </si>
  <si>
    <t>liberar mais espaço pra itens pequenos\n</t>
  </si>
  <si>
    <t>a2fecdbf-5b16-48cf-a991-83863aa7c641</t>
  </si>
  <si>
    <t>oferta caiu por Uso indevido de direitos autorzais</t>
  </si>
  <si>
    <t>73a80831-2c1c-47aa-96a4-571c75ef9be9</t>
  </si>
  <si>
    <t>Solicitou pedido de remoção e a conta foi inativada. Os Removals foram cancelados e as units ficaram foram de venda</t>
  </si>
  <si>
    <t>fa92b8c0-0a1f-422f-8e65-859ca1a8ae3b</t>
  </si>
  <si>
    <t>problema de match, devido ao ASIN estar como Genérico</t>
  </si>
  <si>
    <t xml:space="preserve">816067318102October  </t>
  </si>
  <si>
    <t>b6287b88-9002-416e-be34-86e1a55ed440</t>
  </si>
  <si>
    <t>Seller teve o ASIN foi bloqueado por Product Condition Complaint - Expired\n\nChamado aberto para verificação das validades: https://t.corp.amazon.com/V1981257637</t>
  </si>
  <si>
    <t>323d57e3-cd88-4868-b662-1a7d1810f91d</t>
  </si>
  <si>
    <t>problema na liberação das etiquetas</t>
  </si>
  <si>
    <t xml:space="preserve">127737463602November </t>
  </si>
  <si>
    <t>61e256c2-55bf-46ce-bb0e-9759142da344</t>
  </si>
  <si>
    <t>Pedido foi entregue corretamente, porém o cliente solicitou reembolso alegando que não foi entregue</t>
  </si>
  <si>
    <t>76d9701e-3459-40a7-8cce-7fea9e734908</t>
  </si>
  <si>
    <t>Cliente abriu uma reclamação no reclame aqui, informando que não houve reembolso do pedido dele, segue nº 701-1741485-6491457 , no rastreamento não ha atualização desde do dia 22/09 e possivelmente foi extraviado</t>
  </si>
  <si>
    <t>713f28de-38b7-42ed-bd4e-24f4fafd4490</t>
  </si>
  <si>
    <t>atualizar nome da marca</t>
  </si>
  <si>
    <t>9b70b53d-9c1c-44d3-acd0-16bf70cf811c</t>
  </si>
  <si>
    <t>switchroo</t>
  </si>
  <si>
    <t>fc276c5f-fd98-4e44-9a3d-8d2ff53e4e6f</t>
  </si>
  <si>
    <t>uso de logo indevido</t>
  </si>
  <si>
    <t>c25bd7eb-c3b9-43e0-8af8-eae0e1d59353</t>
  </si>
  <si>
    <t>Seller com alguns pedidos sem conseguir manifestar ou com etiquetas erradas.\n06/03 - Informou as Orders IDs\n09/03 - seller reenviou as NF\nEnviado o passo a passo para o seller.\n10/03 - Deu certo.</t>
  </si>
  <si>
    <t xml:space="preserve">542325043802March    </t>
  </si>
  <si>
    <t>d170f35f-90f1-4e07-adc7-4366ab8ab067</t>
  </si>
  <si>
    <t>Seller com produto sem atualização de envio.\n27/02 - Seller trouxe a issue\n02/03 - Pedido foi atualizado como enviado em atraso, mas falando com vholanda não deve impactar o seller, caso isso ocorra solicitado para ele informar.</t>
  </si>
  <si>
    <t>a76f79c7-1820-44be-8b96-e278283ea148</t>
  </si>
  <si>
    <t>Seller com 3 pedidos com etiqueta com erro de bipagem (dropoff).\n09/03 - Trouxe a issue\nAberto tt para first mile\nhttps://t.corp.amazon.com/V2133865860\n13/03 - Erro de digitação do cliente no momento da compra colocou o "-" (hífen).\nPedidos serão cancelados em impactar a métrica.</t>
  </si>
  <si>
    <t>9ce8c0da-fef0-4d3a-9d16-3de37be6920c</t>
  </si>
  <si>
    <t>Seller reclama da classificação do produto B0DHHXQMXY que está classificado como L6, mas estava faltando informação sobre a bateria para poder liberar ele pra venda. atualizei a planilha e mandei via pandash, aguandando retorno. // 28/07 chamado de appeal aberto V1876352515</t>
  </si>
  <si>
    <t xml:space="preserve">755841394202July     </t>
  </si>
  <si>
    <t>e08031b9-845b-4bff-9554-7d1e4ecd3914</t>
  </si>
  <si>
    <t>Seller está com duvida sobre cobrança que eles tiveram em seu cartão de credito. https://t.corp.amazon.com/V2042379874</t>
  </si>
  <si>
    <t xml:space="preserve">98385811302December </t>
  </si>
  <si>
    <t>d1defbcc-6db4-4bfb-885a-4d0daea9977b</t>
  </si>
  <si>
    <t>Selelr questiona porque não consegue listar os ASINS, erro code 5461</t>
  </si>
  <si>
    <t xml:space="preserve">10369153302October  </t>
  </si>
  <si>
    <t>f4faefa6-09da-4758-99d8-1a7f50a9b268</t>
  </si>
  <si>
    <t>Problemas para gerar SPOO</t>
  </si>
  <si>
    <t>df43f932-c952-4878-b3b3-8378909fbd68</t>
  </si>
  <si>
    <t>produto em fba vendeu como MFN</t>
  </si>
  <si>
    <t>e053dcaa-49b9-4a31-8442-afab6d7b2e20</t>
  </si>
  <si>
    <t>queria que checasse a questão de tentativas de entrega sobre um pedido em especifico, mostrei o melhor caminho para resolver o problema dela, com a equipe correta</t>
  </si>
  <si>
    <t>35c28184-3ea6-4ec3-924f-9b2327aa7bcc</t>
  </si>
  <si>
    <t>erro 5461</t>
  </si>
  <si>
    <t>c6f051cc-19f2-4dec-9f79-ec5fef55aa33</t>
  </si>
  <si>
    <t>Seller reclamou que recebeu um pedido de remoção com o produto defeituoso, abriu chamado no local errado, indiquei o SAFE-T\n</t>
  </si>
  <si>
    <t>5d2143c1-340c-4316-b403-c6e9e5465f89</t>
  </si>
  <si>
    <t>Seller solicitou que criasse um novo asin para seu catálogo. \n\nhttps://na.winston.a2z.com/Seller-BR/task/10194</t>
  </si>
  <si>
    <t xml:space="preserve">597004571302January  </t>
  </si>
  <si>
    <t>3f9e1786-8196-44fe-8ec5-fb679102faa5</t>
  </si>
  <si>
    <t>Seller está enfrentando problemas para criar novos asins. \nMandei a planilha pra ele preencher e depois pedir pra offshoring criar.</t>
  </si>
  <si>
    <t>d86e8df6-d6f1-4af8-abd3-f7b877d887e8</t>
  </si>
  <si>
    <t>3/março: oferta bloqueada sem motivo, ao analisar tinha nF rejeitada\nhttps://t.corp.amazon.com/V2126847618</t>
  </si>
  <si>
    <t xml:space="preserve">1148686680402March    </t>
  </si>
  <si>
    <t>0ae8f33d-220b-4241-be82-df259493ff1e</t>
  </si>
  <si>
    <t xml:space="preserve">25248213105October  </t>
  </si>
  <si>
    <t>3b436098-b930-4d51-baf4-5dbd59892395</t>
  </si>
  <si>
    <t>seller uqestionou o motivo dos asins estarem reservados, e para ativar era necessário aprovação da marca e por reclamações também</t>
  </si>
  <si>
    <t>55236f12-14a7-40eb-8c6d-5ffd3ab4498c</t>
  </si>
  <si>
    <t>ofertas inativas</t>
  </si>
  <si>
    <t>9ce1e23e-f7cb-4dd8-94e8-2ed49ba83e3e</t>
  </si>
  <si>
    <t>item em recall</t>
  </si>
  <si>
    <t>9225067b-0514-450f-9f40-e652357e4d5a</t>
  </si>
  <si>
    <t>Problema ao inviar produto hazmat para o FC\n\n\n\n\n\n</t>
  </si>
  <si>
    <t>ab3a7185-44bf-4774-82f5-ebdea5460aa8</t>
  </si>
  <si>
    <t>Problema para inboundar, mas eles não tinham aberto para SPS ainda, e é um problema que eles conseguem resolver</t>
  </si>
  <si>
    <t>98990c71-412e-4e13-87a7-ebb7e6a6bc8d</t>
  </si>
  <si>
    <t>problemas para anexar documentos de usuario</t>
  </si>
  <si>
    <t>700d36b3-d74e-45da-89e2-93b404d53c6c</t>
  </si>
  <si>
    <t>ASIN inativado por reclamações</t>
  </si>
  <si>
    <t>37f4c8ff-83e7-469c-a50a-4e5c2f80fd33</t>
  </si>
  <si>
    <t>Corrigir a informação de 4G para 5G</t>
  </si>
  <si>
    <t>4d97c032-043f-41ab-95ab-48d21d2b084a</t>
  </si>
  <si>
    <t>Problema que as NFs não estão sendo emitidas</t>
  </si>
  <si>
    <t>18d451a3-57c5-4542-bca5-578728e779f5</t>
  </si>
  <si>
    <t>Seller estava com duvida de como funcionava a garantia de A2Z</t>
  </si>
  <si>
    <t xml:space="preserve">28945506502March    </t>
  </si>
  <si>
    <t>e873303f-941c-4af1-8514-84955235f217</t>
  </si>
  <si>
    <t>Seller com duvida de como fazer a melhorias em seu catálogo</t>
  </si>
  <si>
    <t>e2a735b1-a92f-4eef-a8c4-ccdc5ae68a9a</t>
  </si>
  <si>
    <t>Seller esta com validação de KYC parado, solicitei ajuda ao time. \n\nhttps://t.corp.amazon.com/V2134053054</t>
  </si>
  <si>
    <t>e3bac593-8293-4ca1-9289-d57b8676f16e</t>
  </si>
  <si>
    <t>"não está deixando fazer a validação para realizarmos as permissões"</t>
  </si>
  <si>
    <t xml:space="preserve">24371682602November </t>
  </si>
  <si>
    <t>b79b0328-3dcd-4a4a-b0bf-29e45b896b0a</t>
  </si>
  <si>
    <t>04/02 - AM pediu apoio para reativação do ASIN, subi o SIF\nhttps://na.vici.pars.amazon.dev/mpa-escalations#/caseDetails/1770230135881471\n\n05/fev: SIF abriu esse chamado:\nhttps://issues.amazon.com/issues/D388145783\n\n09/fev: ASIN ativo</t>
  </si>
  <si>
    <t xml:space="preserve">801134136002February </t>
  </si>
  <si>
    <t>e7fa003c-b9d3-4df0-95a1-346e0e749bc2</t>
  </si>
  <si>
    <t>24/fev: seller não conseguiu cadastrar devido a erro de "ps_radiofrequency" informei que estava ligando ao código da Anatel</t>
  </si>
  <si>
    <t>ffcadeb9-1915-4f57-bfa0-dbb579d1ea95</t>
  </si>
  <si>
    <t>Seller solicita liberação de envio HAZMAT. Já fez o treinamento\nColeta vai começar no dia 23/02</t>
  </si>
  <si>
    <t xml:space="preserve">55427353102January  </t>
  </si>
  <si>
    <t>a24664c8-0548-4489-9d5f-f3c5f83df545</t>
  </si>
  <si>
    <t>Seller com ASIN em policy compliance "Product Condition Complaint - Wrong Product"\n14/01 - Seller trouxe a Issue, aberto bin check\n15/01 - bin check  deu EAN divergente da embalagem com o sistema.\n16/01 - time de FBA ausente, identifiquei que é a mesma embalagem para diversos modelos e o seller "oculta" o EAN incorreto e coloca a etiqueta do FBA em cima do correto. Pelas imagens do Bin check foi possível identificar que talvez a etiqueta utilizada para ocultar o(s) EAN(s) incorreto(s) saiu. \n19/01 - Pedi auxilio para o @brnosil\n21/01 - sem retorno, então pedi auxilio para @amaslv. Aguardando</t>
  </si>
  <si>
    <t>8b0df48b-0a4a-4635-831b-07fa66eccd97</t>
  </si>
  <si>
    <t>ASIN bloquado PSC Sono Infantil \nB0CGMKY1YZ\n22/01 - Seller trouxe o problema, aberto SIF\nhttps://na.vici.pars.amazon.dev/mpa-escalations/#/caseDetails/1769103070544017\n02/02 - Cobrado um retorno.\n04/02 - Aberto tcorp para RISC\nhttps://t.corp.amazon.com/V2098122156\n05/02 - Liberado</t>
  </si>
  <si>
    <t>fc1edc96-8aaa-4887-ad69-1c017485997e</t>
  </si>
  <si>
    <t>ASIN bloqueado PSC Sono infantil\nB0CGML1FCG \n22/01 - seller trouxe a issue\nhttps://na.vici.pars.amazon.dev/mpa-escalations/#/caseDetails/1769103450112180\n02/02 - Cobrei um retorno\n04/02 - Aberto tcorp para risc\nhttps://t.corp.amazon.com/V2098130065\n09/02 - Cobrei um retorno.\n11/02 - Escalado por e-mail\n23/02 - Verifiquei o ASIN e está ativo mas o ticket está em andamento.</t>
  </si>
  <si>
    <t>d431d2b8-799e-4d9c-96b4-70ecbc7be636</t>
  </si>
  <si>
    <t>ASIN bloqueado PSC Sono Infantil\nB09VH4SJHT\nIsento de certificação inmetro conforme portaria 53\n22/01 - Seller trouxe o problema.\nAberto SIF\nhttps://na.vici.pars.amazon.dev/mpa-escalations/#/caseDetails/1769104251478809\n02/02 - Cobrei um retorno\n04/02 - Aberto tcorp para RISC https://t.corp.amazon.com/V2098126986\n05/02 - Liberado</t>
  </si>
  <si>
    <t>cf85670b-3e5d-4b89-a1b6-0c133c9a5ec6</t>
  </si>
  <si>
    <t>Seller com ASINs em PSC B0DLLLY4VJ / B0DLLJRBGV por certificação inmetro, contudo seller informa que são isento.\n30/01 - Seller trouxe a issue, aberto tt \nhttps://t.corp.amazon.com/V2092374149\n02/02 - ASIN reativado</t>
  </si>
  <si>
    <t>bf0a2c68-fbdd-4191-a34f-4923dd0e91b7</t>
  </si>
  <si>
    <t>Reinvidicação de Garantia AZ\n27/01: issue recebido \n27/01: tt aberto para reavaliação do time https://issues.amazon.com/issues/V2088404481</t>
  </si>
  <si>
    <t xml:space="preserve">19297108502January  </t>
  </si>
  <si>
    <t>bcf2547d-ecb4-419d-a82f-79562206713e</t>
  </si>
  <si>
    <t>Orientei o seller sobre como ele pode reduzir  significativamente a incidência de Garantias de A-Z. \n29/01: Issue recebido.</t>
  </si>
  <si>
    <t>bd75f745-979f-41f3-b28c-418d8204f4e7</t>
  </si>
  <si>
    <t>14/jan: Seller teve uma venda com Oferta Hibrida e a coleta não passou, afetando a LSR\n\n14/jan: Abri o tt de exemptions https://t.corp.amazon.com/V2072490725\n\n16/jan: Exemptions aprovados\n\n19/jan: seller informa que métricas ainda estão sendo afetadas, abri o SIF e também pedi apoio para Malu\nhttps://na.vici.pars.amazon.dev/mpa-escalations#/caseDetails/1768834360695249\n\n19/jan: @fernanmte informou que o impacto seria removido amanhã</t>
  </si>
  <si>
    <t xml:space="preserve">1069577391202January  </t>
  </si>
  <si>
    <t>b7afc565-f06f-4512-835e-56bc85246385</t>
  </si>
  <si>
    <t>13/jan: Seller entrou em contato verificando a possibilidade de mandar um pedido de desculpas com desconto de 10% devido a venda cancelada de oferta hibrida</t>
  </si>
  <si>
    <t>17947ec7-7302-4a16-8299-fccf7940fb84</t>
  </si>
  <si>
    <t>We recently noticed that an order for our product under ASIN B0CPFBBHP4 (Order ID: 702-4983350-1964203) was suddenly identified as a DBA order, even though we did not enable this mode. We would appreciate your help in clarifying a few questions related to this situation:\n\nThe order was suddenly identified as DBA mode, but we did not set this mode. Why did this happen, and what is the reason?\n\nWill the DBA mode issue recur if other customers purchase this product later?</t>
  </si>
  <si>
    <t>109069fc-fac1-4ed2-97bc-0cd98c8865c2</t>
  </si>
  <si>
    <t>Dear amazon team,\n\nThank you so much for adding B0G6Z6PTJG and B0CPFBBHP4 to the eufy security store!\n\nNow we would like to ask you to add  B0CKMRCZ1Q to the Soundcore  store. \n\nThe store link is as follows: \n\nhttps://www.amazon.com.br/stores/Soundcore/page/04B6D160-C48A-415D-9985-88D46063C3CC?lp_asin=B0DB1753RZ&amp;ref_=ast_bln</t>
  </si>
  <si>
    <t>22df16fc-37b3-41ba-b043-9096a3d4068b</t>
  </si>
  <si>
    <t>Contestação de avaliações negativas</t>
  </si>
  <si>
    <t>9a0ed5a6-b2ee-4f50-b04b-4c570155491a</t>
  </si>
  <si>
    <t>atualizar o nome da marca apenas no brasil</t>
  </si>
  <si>
    <t>b496284f-8dbb-4b14-b586-09419683a678</t>
  </si>
  <si>
    <t>Dear amazon team,\n\nAt this moment, A8060H21(asin: B0DBV748ZD )can not make an appointment please check. THe case staff told us that ASIN: B0DBV748ZD is having this restriction and will be able to create shipment for this ASIN: B0DBV748ZD after 31st January.  We need to solve this as soon as possible because it is out of stock right now.</t>
  </si>
  <si>
    <t>9c7d6f45-f05a-45da-a5fd-3f871fb2dab7</t>
  </si>
  <si>
    <t>Our colleagues mentioned that for D2425212 (NCM 85286910), the ICMS tax rate should be 12%. However, the Amazon tax table does not allow us to enter 12% and restricts it to 4% only. We need to look into how to handle this discrepancy?</t>
  </si>
  <si>
    <t>d39bf593-c25b-432b-9b3e-fcd9fc3bb8bf</t>
  </si>
  <si>
    <t>A conta só atua em FBA e saiu venda em MFN</t>
  </si>
  <si>
    <t>58eeaf16-2d28-40cb-9aa6-d1c1204acdf9</t>
  </si>
  <si>
    <t>Coleta não passou no dia 05/01</t>
  </si>
  <si>
    <t>947e35fa-a4a9-4096-8095-35d7b9a60778</t>
  </si>
  <si>
    <t>Ele gostaria de contestar a discrepância e informei o caminho correto, e também os documentos mandatórios</t>
  </si>
  <si>
    <t>da16c324-7c92-49fb-a11e-f86decb9e620</t>
  </si>
  <si>
    <t>Dúvidas sobre regras fiscais</t>
  </si>
  <si>
    <t>de85de2d-c09c-4d72-be49-8a1d7dca5ec4</t>
  </si>
  <si>
    <t>16/jan: Entrou em contato informando que não conseguiu vincular a variação. Solictei o tema da variação\n\n16/jan: E também solicitou o desmembramento dessa outra variação B0B4BZH58H and ASIN: B0B87SM8SK. \nhttps://na.winston.a2z.com/Seller-BR/task/10001\n\n19/jan: AS variações foram separadas B0B4BZH58H / B0B87SM8SK\n\n19/jan: O vini vai checar com o time da China para unificar os ASINs B0BQLLB61B e B0DKT8BB4M  para um New ASIN</t>
  </si>
  <si>
    <t>16356786-7518-4a3f-a733-cd67a09b4006</t>
  </si>
  <si>
    <t>14/jan: Seller entrou em contato informando que as imagens cadastradas no seller central não condiziam com a detail page\n\n15/jan: seller enviou as imagens e abri o TT para correção\nhttps://t.corp.amazon.com/V2073833821\n\n16/jan: seller solicitou a correção de outro ASIN sobre o mesmo assunto\nhttps://t.corp.amazon.com/V2075248004\n\n16j/jan: Comuniquei que o ASIN B0CKMRCZ1Q  seria corrigido em até 48h - resposta tt\n\n20/jan: imagens não alteraram, pedi pro time de Offshoring:\nhttps://na.winston.a2z.com/Seller-BR/task/10052\n\n21/jan: responderam os chamados e em até 48h irá refletir\n\n22/jan: Não refletiu\n\n26/jan: O vendedor perde pra ele mesmo, verificar o local adequado que a Malu informou na resposta quando pedimos prioridade no grupo do Winston.</t>
  </si>
  <si>
    <t>b7e61af3-ca24-40cf-8137-34744d168cc4</t>
  </si>
  <si>
    <t>21/jan: Entrou em contato referente a uns pedidos de remoção que foram solicitados para o endereço errado. Informei que é puxado a informação do faturador e abri o TT para o time de FBA para checar se é possível alterar o endereço dos pedidos de remoção que foram para o endereço errado\n\n22/jan: Mandei o email para todos envolvidos para corrigirmos as 3 questões de removal\n\nhttps://t.corp.amazon.com/V2080988855\n\n22/jan: Informei o prazo padrão pro pedido de remoção que é 14 dias úteis mas comunicarei o time de ISM. E não vai ser possível alterar a informação do endereço automaticamente.\n\n26/jan: Responderam ao vendedor e questionei para a responsável de ISM que fala em mandarim para comunicar ao vendedor\n\n23/fev: aguardando resposta</t>
  </si>
  <si>
    <t>2387a4f5-d71e-463d-ad33-843f69188608</t>
  </si>
  <si>
    <t>20/jan: Deals não refletiu nda DP, entrei em contato com o AM e é um Ticket que eles abrem. Precisamos checar se a tarefa será feita por nós por se tratar de problema operacional.\n\nhttps://issues.amazon.com/issues/V2079746958</t>
  </si>
  <si>
    <t>6e636492-ab94-4d93-b59c-650d26d1d600</t>
  </si>
  <si>
    <t>19/jan: Entrou em contato informando que cadastrou a versão correta (220V) porém na DP aparece 110V\nhttps://t.corp.amazon.com/V2078553006</t>
  </si>
  <si>
    <t>713b290c-5361-4b29-bbc0-b1a548c2ece5</t>
  </si>
  <si>
    <t>20/jan: Solicitou a correção da Marca: Nebula para Visite a loja soundcore\n\n1. Seguir com a correção do Brand name: \nhttps://t.corp.amazon.com/V2079760895\n\n21/jan: Solicitei alteração do GCOR ID\nhttps://t.corp.amazon.com/V2079439600\n\n22/jan: Abri um novo TT\nhttps://t.corp.amazon.com/V2082478740\n\n26/jan: Aguardo resolução do TT</t>
  </si>
  <si>
    <t>22cd58aa-4874-4df4-93aa-5569aa76e8f8</t>
  </si>
  <si>
    <t>23/jan: Quer fazer o ASIN B0CQ53RVTW ficar em Featured Offer and Competitive Price\n\n Overlapping deal ASIN B0CPFBBHP4\n\n26/jan: Confirmei com o account manager e ele confirmou as questões</t>
  </si>
  <si>
    <t>85ae252c-2c23-4778-8a83-ac78975a3b7e</t>
  </si>
  <si>
    <t>23/jan: Querendo saber sobre o andamento das reativações do ASIN\n\n23/jan: SOliciteo o código da anatel\n\n26/jan: Não enviou e questionou sobre outros ASINs que estavam em conformidade.</t>
  </si>
  <si>
    <t>93ad2751-166d-46ba-bbd1-eab92af3d476</t>
  </si>
  <si>
    <t>27/jan: Problema para inboundar dois ASINs.\n\nO ASIN B0DSZF8HNJ ele devia enviar o do outro SKU que estava dando mismatch\n\nB0DBTV5QF5: Abri o chamado \nhttps://t.corp.amazon.com/V2088289671\n\n28/jan: Era limitação do CD e consegui simular o envio sem problemas</t>
  </si>
  <si>
    <t>95c93b06-7e38-4c4e-b4a4-fcffc7c26932</t>
  </si>
  <si>
    <t>27/jan: A solicitação da reavatição está sendo negada. O código ANTATEL não está dentro do produto. Pedi pra offshoring adicionar\nhttps://na.winston.a2z.com/Seller-BR/task/10186\n\n28/jan: Enviei o email para eletronics-safety\n\n4/fev: Meu email não foi aceito, segui com offshoring:\nhttps://na.winston.a2z.com/Seller-BR/task/10367\n\n09/fev: ASINs ativos</t>
  </si>
  <si>
    <t>901efc1a-20bd-4396-b994-97b14fa49f6e</t>
  </si>
  <si>
    <t>27/jan: Solicitou a correção da GCor\nhttps://t.corp.amazon.com/V2088241826</t>
  </si>
  <si>
    <t>c2154df2-9568-4028-b8cf-e94e96b343ed</t>
  </si>
  <si>
    <t>Aprovação da marca Al Wataniah - ASIN: B0D8JY97Z5 / B0B7SH7VT1 no estado da conta fazendo com que todos os ASINs da marca fique inativos. Aberto um abuse escalation</t>
  </si>
  <si>
    <t xml:space="preserve">662733088802March    </t>
  </si>
  <si>
    <t>2f6cc832-5c8a-4282-ab65-2f537b51a58d</t>
  </si>
  <si>
    <t>Seller não está com buybox devido a metricas, solicite reativação. \n\nhttps://t.corp.amazon.com/V2106504064</t>
  </si>
  <si>
    <t xml:space="preserve">130065728702February </t>
  </si>
  <si>
    <t>bf4a7fae-5627-4de7-b8d1-ddd7ae41045d</t>
  </si>
  <si>
    <t>seller questionou que alguns itens não estavam dentro da campanha, recomendei a abrir o chamado ou contatar diretamente o responsável pela performance - mesmo não abriu chamado e nem o contato</t>
  </si>
  <si>
    <t xml:space="preserve">25248213105August   </t>
  </si>
  <si>
    <t>231186f9-5e37-42e3-9ad4-61521b3c5fa0</t>
  </si>
  <si>
    <t>701-4279179-1628248 - Reinvidicação de garantia de A a Z\n15/01 - Negado não respondeu a Amazon 08/12/2025</t>
  </si>
  <si>
    <t xml:space="preserve">59283260402January  </t>
  </si>
  <si>
    <t>6f5c49ea-3941-4569-99e0-bc2e7d953438</t>
  </si>
  <si>
    <t>702-7451850-1769063 - Reivindicação de garantia de A a Z\n15/01 - Negado não respondeu a Amazon 08/12/2025</t>
  </si>
  <si>
    <t>b7a32306-7366-4a5c-ad0d-99d238921c86</t>
  </si>
  <si>
    <t>Remoção de avaliação negativa</t>
  </si>
  <si>
    <t>51360181-4e1a-47b9-9243-5e49dec1c4ad</t>
  </si>
  <si>
    <t>702-2766017-3706610 - Reivindicação de garantia de A a Z \n14/01 - Seller trouxe a Issue, ticket aberto.\n15/01 - Aprovado</t>
  </si>
  <si>
    <t>c9f68955-5d1c-4ed2-8c3b-931685d467be</t>
  </si>
  <si>
    <t>701-4389796-3697066 - Reivindicação de garantia de A a Z \n14/01 - Seller trouxe a Issue, ticket aberto.\n15/01 - Negado, não respondeu a Amazon 19/12/2025</t>
  </si>
  <si>
    <t>51ac3fe9-3503-4c18-bf0b-e05509deb6f6</t>
  </si>
  <si>
    <t>701-4389796-3697066 - Reivindicação de garantia de A a Z\n15/01 - Negado, não respondeu a Amazon 19/12/2025</t>
  </si>
  <si>
    <t>e361c389-3ed2-4276-8a45-b55bdb92e33d</t>
  </si>
  <si>
    <t>702-7238288-8767415 - Reivindicação de garantia de A a Z\n14/01 - Seller trouxe a Issue, ticket aberto.\n15/01 - Negado, não respondeu a Amazon em 25/12/2025</t>
  </si>
  <si>
    <t>1ff24dde-3388-47d6-91e8-8c78219a294d</t>
  </si>
  <si>
    <t>Seller solicita liberaçaõ de ASINs bloqueados por inmetro (sono infantil), D18\n15/01 - Trouxe a Issue</t>
  </si>
  <si>
    <t>9b6707fc-be1d-4bde-a249-968cbf4ce78a</t>
  </si>
  <si>
    <t>Reivindicação de garantia\nPedido: 701-1608927-8427400\n19/01 - Trouxe a issue\n19/01 - Direcionado para análise\n</t>
  </si>
  <si>
    <t>02b8d2d4-78d5-4155-b436-df13b765373b</t>
  </si>
  <si>
    <t>Remoção de avaliação negativa.\n702-4299275-1138643\n702-1443917-3561010\n19/01 - Trouxe a Issue, direcionado para análise</t>
  </si>
  <si>
    <t>693171ed-c04c-438a-bcea-75cd569e993a</t>
  </si>
  <si>
    <t>Reivindicação de garantia\nPedido: 702-1815710-0662610\n16/01 - Trouxe a issue\n19/01 - Direcionado para análise\n</t>
  </si>
  <si>
    <t>018003af-70b4-4889-b8ff-6a1a7db9f56b</t>
  </si>
  <si>
    <t>Reivindicação de garantia\nPedido: 702-9910072-2813868\n16/01 - Trouxe a issue\n19/01 - Direcionado para análise</t>
  </si>
  <si>
    <t>8e7a1164-a5a5-4d1c-b488-92176494b650</t>
  </si>
  <si>
    <t>Reivindicação de garantia\nPedido: 702-7238288-8767415\n16/01 - Trouxe a Issue\n19/01 - Direcionado para análise</t>
  </si>
  <si>
    <t>f10076c0-e35c-4bec-a3f0-c0c4ce5f0dd6</t>
  </si>
  <si>
    <t>Seller solicita reivindicação de garantia de A a Z, cliente se encontra com o produto e não está colaborando para que ocorra a coleta do produto.\nPedido: 701-8857893-7433047\n26/01 - Seller trouxe o problema, questionado o link de rastreio para escalar\n27/01 - Aberto tt \n28/01- negaram que não respondeu a Amazon dia 15/12/2025. Seller respondeu no dia 16/12/2025 dentro das 72h. Reaberto o mesmo ticket\nhttps://issues.amazon.com/issues/V2088203007\n04/02 - Cobrei um retorno\n05/02 - Aberto SIF\nhttps://na.vici.pars.amazon.dev/mpa-escalations/#/caseDetails/1770310792004780\n09/02 - Negado, pois não forneceu as informações clara.</t>
  </si>
  <si>
    <t>e3a9d8fe-635a-4772-a7d3-920045157019</t>
  </si>
  <si>
    <t>Seller tentando realizar integração de link de rastreio, integração própria.\n22/01 - trouxe o problema, aberto ticket para backoffice https://t.corp.amazon.com/V2082534735\n28/01 - Confirmado para o seller que o limite de caracteres é de 50 e o link de rastreio é maior que isso. Solicitado o cURL completo, tanto a requisição como a resposta.\n29/01 - Encerrado sem retorno do seller</t>
  </si>
  <si>
    <t>7fb4af69-6106-42d6-9300-301e98b0a2f1</t>
  </si>
  <si>
    <t>Reivindicação de garantia, cliente quer devolver por gosto pessoal. Seller realizou todos os passos corretamente.\nPedido: 701-5918326-1061829\n23/01 - Seller trouxe o problema, ticket aberto\n27/01 - Questionado o time, pois falaram que o seller não respondeu a amazon em \n21/01 - porém possui evidência de que sim.\nhttps://issues.amazon.com/issues/V2083582733\n02/02 - Cobrei um retorno\n04/02 - Cobrei retorno novamente\n05/02 - Aberto SIF\nhttps://na.vici.pars.amazon.dev/mpa-escalations/#/caseDetails/1770310600821434?tab=2\n09/02 - Negado, pois as informações não foram claras como por exemplo data exata da coleta.</t>
  </si>
  <si>
    <t>67b1088e-eda3-4262-9593-7e6253379ff5</t>
  </si>
  <si>
    <t>Isenção de métricas por uma falha do time de offshoring. Era para ser cadastrado como FBA e cadastraram como DBA\n28/01 - Seller trouxe o problema\n30/01 - aberto tt https://issues.amazon.com/issues/OP-4622\n03/02 - Vini escalou por e-mail.\n06/02 - Informaram o CTI correto.\naberto novo ticket\nhttps://t.corp.amazon.com/V2100372024\n09/02 - Cobrei o time\n19/02 - Cobrei novamente\n23/02 - Removido.\nInformado o SOP para reativar a conta.</t>
  </si>
  <si>
    <t xml:space="preserve">971539676602February </t>
  </si>
  <si>
    <t>60314be4-369c-463f-8361-550d963f539b</t>
  </si>
  <si>
    <t>Seller com avaliação negativa, por conta de um erro de offshoring quando criou cadastro de novos produtos.\n09/02 - Seller trouxe a issue\naberto SIF\nhttps://na.vici.pars.amazon.dev/mpa-escalations/#/caseDetails/1770646805535887?tab=1\n13/02 - Negado. aberto um novo\nhttps://na.vici.pars.amazon.dev/mpa-escalations/#/caseDetails/1770999507613905\n15/02 - Aprovado, avaliação será removida.\n18/02 - Seller confirmou que a avaliação foi removida.</t>
  </si>
  <si>
    <t>2904b6e5-420b-44c6-a759-58302c0136ce</t>
  </si>
  <si>
    <t>Seller com ASIN (B07XWRX3F7) em PSC por conta de validade. Não possui units disponível no FC para solicitar o bin check, mas A NF consta que a validade é para 31/08/2026 (6 meses de antecedência) já enviou a NF pelo account health, mas foi recusado.\n23/02 - trouxe o problema, aberto SIF\nhttps://na.vici.pars.amazon.dev/mpa-escalations/#/caseDetails/1771848114894914\n11/03 - ASIN reativado.</t>
  </si>
  <si>
    <t>9ff0200e-390c-4c9d-9b96-fa82b420a55f</t>
  </si>
  <si>
    <t>Seller com ASIN B084BPDBFB em PSC (autenticidade), NF sendo rejeitada, provavelmente por conta de matriz vs filial.\n23/02 - Trouxe a issue, aberto SIF\nhttps://na.vici.pars.amazon.dev/mpa-escalations/#/caseDetails/1771846922515433\n26/02 - Reativado.</t>
  </si>
  <si>
    <t>1c1cb00b-df7f-4674-86f7-6db887a84d1e</t>
  </si>
  <si>
    <t xml:space="preserve">24383333802October  </t>
  </si>
  <si>
    <t>2f639227-a07e-4de4-8868-958ba5354875</t>
  </si>
  <si>
    <t>Education de como filtrar notas canceladas pelo FBA para passar para o contábil deles</t>
  </si>
  <si>
    <t>42fce511-b2ab-43e2-934e-47fdb5f390d9</t>
  </si>
  <si>
    <t>rolou um education de como verificar e contestar o DIFAL</t>
  </si>
  <si>
    <t>18def2f3-7ec7-4632-907a-b40ec423fd6a</t>
  </si>
  <si>
    <t>problema com liberação de categoria</t>
  </si>
  <si>
    <t>3be6538d-a140-4f6f-acba-b4e255e8909d</t>
  </si>
  <si>
    <t>duvidas sobre relatorio de vendas</t>
  </si>
  <si>
    <t>5f44aee6-80dc-411a-bac4-479e8dbb091e</t>
  </si>
  <si>
    <t>problema com inbound oversized</t>
  </si>
  <si>
    <t>e97cfa1b-74e9-4779-ba1c-9861ba1188ff</t>
  </si>
  <si>
    <t>10/março: seller pediu apoio de maneira para cadastrar os produtos de maneira mais prática.</t>
  </si>
  <si>
    <t xml:space="preserve">58401384302March    </t>
  </si>
  <si>
    <t>a0336008-4508-47c4-b362-8cc442d99927</t>
  </si>
  <si>
    <t>Voldermort</t>
  </si>
  <si>
    <t xml:space="preserve">438747217402January  </t>
  </si>
  <si>
    <t>391f837d-3586-44e9-b1be-bf2f71687d6f</t>
  </si>
  <si>
    <t>13/jan: Seller questionou o motivo da planilha fiscal ter sido recusada, informei para ele solicitar a contabilidade dele e em paralelo abri um TT pro time de Invoicer\n\n14/jan: Troquei o assigned do tt e questionei o seller se conseguiu falar com o setor fiscal dele</t>
  </si>
  <si>
    <t>cf35776e-fbbf-4648-8811-0779dd7d3052</t>
  </si>
  <si>
    <t>16/jan: Entrou em contato sobre pedidos que não atualização o rastreio e estão impactando engativamente.\n\n16/jan: O questionei pedindo pedidos de exemplo e qual métrica estava sendo impactada\n\n16/jan: time de integrações passou a resposta e informei ao seller, não tem ação da nossa parte\n\n19/jan: COnfirmou os detalhes e é referente a comunicação via API, abri o chamado pro time de Integration e vou tentar marcar o Office Hours\nhttps://t.corp.amazon.com/V2078706064</t>
  </si>
  <si>
    <t>695bb62e-47f2-4fa9-b0b5-dfc01044711d</t>
  </si>
  <si>
    <t>Bom dia tudo bem por ai ?\nHá  algum tempo estamos enfrentando diversos casos de clientes que não recebem a NF do pedido quando é modalidade "Entrega própria" , isso tem escalado devido ao grande número de vendas da telas maiores.\nConsegue nos ajudar a entender e achar a solução para esses casos , pfv?\n\nResposta:\n\nNa verdade, isso não representa um problema técnico. Para pedidos com modalidade de Entrega Própria (MFN), a Nota Fiscal fica disponível digitalmente para o cliente fazer o download diretamente no painel de pedidos da Amazon. O cliente pode acessá-la a qualquer momento através da sua conta.\n\nSoluções práticas para reduzir essas solicitações:\n\n• Vocês podem configurar uma mensagem automática para enviar aos clientes caso eles solicitem, informando onde encontrar a NF digital no painel de pedidos da Amazon.\n\n• Como alternativa, vocês podem optar por imprimir e incluir a Nota Fiscal física dentro da embalagem do produto no momento do envio.\n\n• Considere adicionar informações sobre como acessar a NF digital nas comunicações pós-venda.\n\nImportante: A responsabilidade pela emissão e envio da Nota Fiscal em pedidos MFN é do vendedor. A Amazon disponibiliza o sistema para que o cliente acesse a NF digitalmente, mas cabe ao seller garantir que ela seja emitida corretamente.</t>
  </si>
  <si>
    <t>7e601609-89f6-437c-beb5-070d8a9f60d2</t>
  </si>
  <si>
    <t>29/jan: Tiveram pagamentos de Janeiro bloqueados.\nhttps://t.corp.amazon.com/V2090975171</t>
  </si>
  <si>
    <t>92d5d91d-aa40-4b8d-9d71-098b716248d8</t>
  </si>
  <si>
    <t>Seller queria saber qual email ele recebe as garantias de a2z dele</t>
  </si>
  <si>
    <t xml:space="preserve">60238888002March    </t>
  </si>
  <si>
    <t>9b22a167-e9d3-4998-8d73-84cfb616d11c</t>
  </si>
  <si>
    <t>Seller deseja reembolso da garantia de A a Z do pedido 701-5473471-1275426\n\nhttps://issues.amazon.com/issues/V2130863886</t>
  </si>
  <si>
    <t>1182a911-715c-4773-bd1b-da4e74f1ca43</t>
  </si>
  <si>
    <t>Seller não localizou os reembolsos dos pedidos 702-8287829-6625857/ 702-8286464-6669014 / 702-8715674-0564223, solicitei pro time de payments verificar. \n\nhttps://t.corp.amazon.com/V2127358838</t>
  </si>
  <si>
    <t>263605ba-a909-4aac-a2c7-80ad59a05269</t>
  </si>
  <si>
    <t>Isenção/ taxa de cancelamento.</t>
  </si>
  <si>
    <t xml:space="preserve">128837707402November </t>
  </si>
  <si>
    <t>92be9509-04fa-4fb3-97bf-df46b0837d90</t>
  </si>
  <si>
    <t>Excluir usuários.</t>
  </si>
  <si>
    <t>cf6150d5-4477-4995-9b10-a42c86bc5622</t>
  </si>
  <si>
    <t>Discrepância no recebimento. \n15/01: Issue recebido \n15/01: Orientei o seller de como abrir um ILAC.</t>
  </si>
  <si>
    <t xml:space="preserve">98835860802January  </t>
  </si>
  <si>
    <t>4fe6d4b5-e983-447b-b8ec-8d4c45306149</t>
  </si>
  <si>
    <t>Seller informa que o asin B0DYPCNYFM estava fora do site, mas continuava ativo no SC, apos analisa identifiquei que ele esta no BLACKLIST por ter reclamação do cliente. solicitei que ele fizesse o PoA para conseguir entrar com reativar o ASIN</t>
  </si>
  <si>
    <t xml:space="preserve">639370275302October  </t>
  </si>
  <si>
    <t>d9e4ed78-28f9-4d58-91ea-5ca62d755ba0</t>
  </si>
  <si>
    <t>Seller esta com ASIN inativo, mas precisa fazer o appeal no account health, passei as instruções para ele.</t>
  </si>
  <si>
    <t xml:space="preserve">653060435802January  </t>
  </si>
  <si>
    <t>b2647e57-672e-4490-af55-edf7d846cf4f</t>
  </si>
  <si>
    <t xml:space="preserve">449549597602December </t>
  </si>
  <si>
    <t>9c28e5eb-5754-4356-a810-89bfa476d0c3</t>
  </si>
  <si>
    <t>estoque fantasma</t>
  </si>
  <si>
    <t>1b7ba95d-c0db-46b3-bf5a-2edeccf4b8f0</t>
  </si>
  <si>
    <t>Preciso saber sobre a ID e sobre a nota.  Id= identidade da loja, faz muitos tempos que está com essa pendencia;</t>
  </si>
  <si>
    <t>2b90c007-3325-472a-a504-816c8d2d3aa4</t>
  </si>
  <si>
    <t>Por gentileza, encaminhar a 2° via na NF deste cliente abaixo. \n\nCliente: 1114869 - PAULO RENÉ VAN BOEKEL\nCPF: 49607219791\nPedido: 701-2429039-9584260\n\nResposta: Olá boa tarde! Eu não entro em contato com o cliente. Vocês podem realizar o envio da segunda via dentro do chat com o cliente.\n</t>
  </si>
  <si>
    <t>3af30b24-a179-42ac-b94f-208c56807d99</t>
  </si>
  <si>
    <t>Devido o pedido ser Amazon Fullfilment não temos acesso ao detalhamento deste pedido. Fomos direcionados a tratar casos deste mercado por este chat. Por gentileza, encaminhar a 2° via da Nota Fiscal deste cliente, pois fomos acionados na Ouvidoria.\n\nCliente: 1114869 - PAULO RENÉ VAN BOEKEL\nCPF: 49607219791\nPedido: 701-2429039-9584260\n\nResposta: Basta acessar a NF de pedidos do FBA basta acessar:\n\nMenu &gt; Relatórios &gt; Faturador &gt; Buscar pedido número do pedido.</t>
  </si>
  <si>
    <t>78e47677-00b4-4914-910f-40b0e9c964d6</t>
  </si>
  <si>
    <t>Pedido de remoção de 2 unidades foi cancelada</t>
  </si>
  <si>
    <t>3c2addf0-14c6-4640-8975-5f44fb6bfbda</t>
  </si>
  <si>
    <t>Boa tarde!! \n\nTi, as meninas do meu SAC do ATENDIMENTO, ainda estão sem as funcionalidades, diz que precisa liberar a bendita da identidade....... me ajuda?\n\nResposta:\n\nlá bom dia! Espero que estejam bem.\n\nExato, dependendo qual função você for liberar para elas precisa realizar a verificação, é obrigatório.</t>
  </si>
  <si>
    <t>61d4c6dc-4ae1-41fb-ad2b-e3bbf282666b</t>
  </si>
  <si>
    <t>Seller foi punido por falhas na logistica,mas seguiu o plano de ação que resolveu retornando as metricas exigidas, porém os itens que foram bloqueados ainda não retornaram ao site e as respostas do chamado abertos pra SPS são inconclusivas induzindo eles a eviarem os produtos a FBA, sendo que as dimensões não atendem FBA. 18/08 na conversa que tivemos no slack vai ser necessário mandar um email e abrir um ticket pra solucionar o que esta acontecendo</t>
  </si>
  <si>
    <t>Bela Magazine</t>
  </si>
  <si>
    <t xml:space="preserve">148943295802August   </t>
  </si>
  <si>
    <t>4f6d281d-46b8-4c44-a187-29be433c1dcb</t>
  </si>
  <si>
    <t>vários produtos FBA reservado</t>
  </si>
  <si>
    <t xml:space="preserve">1041281178802January  </t>
  </si>
  <si>
    <t>7b652d05-28f4-4731-a63a-b7e49b93a538</t>
  </si>
  <si>
    <t>Os itens foram coletados em nosso fornecedor e foram conferidos pelo expedição do fornecedor, pela transportadora, então não eram para ter essa faltas.\nConforme constam nas notas fiscais do fornecedor, e no cte emitido, são 88 caixas master. Teve falta de volumes? Pois não foi feito nenhuma ressalva no comprovante de entrega alegando falta de volumes.\nPreciso que realizem nova validação no fisico para os 3 SKUs 30150, 32255, 32916</t>
  </si>
  <si>
    <t>d5fd0f22-88de-40fe-b602-595725b39c13</t>
  </si>
  <si>
    <t>Tiagao, boa tarde tudo certo?\n\nMe ajuda com esse caso aqui 18659617541, é refernte a marca Atlas, tinha sido aprovada e agora foi recusada.\n\nConsegue ajudar com essa liberação?\n\nOutra coisa, o nome da conta aqui ainda não foi alterado, esta como tclsemp, consegue escalar tb para ajustarmos?\n\nAtte Marcelo Celeri</t>
  </si>
  <si>
    <t>789347df-b40b-4eee-b714-70097704ca54</t>
  </si>
  <si>
    <t>13/jan: Seller entrou em contato sobre ASIN inativado e na categoria errada, solicitei a alteração do "tipo do produto" de Anel para Smarthphone para conseguirmos inserir o código anatel para prosseguirmos com a ativação\n\n14/jan: Time de offshoring escalou o caso para alterar o tipo do produto:\nhttps://issues.amazon.com/issues/PtBulkAppeal-315016\n\n16/jan: Cobrei atualizações\n\n19/jan: Abri o ticket pro time de catalogo\nhttps://t.corp.amazon.com/V2078592416\n\n23/jan: Passou as 48h para cadastrar novamente e abri o TT pro time de Listing\nhttps://taskei.amazon.dev/tasks/V2083691127\n\n26/jan: Aguardando cadastrarem\n\n27/jan: COmuniquei o vendedor que aguardo a listagem\n\n29/jan: Novo TT\nhttps://na.winston.a2z.com/Seller-BR/task/10244\n\n3/fev: listando novo ASIN com certificado de ANATEL, porém ainda estamos com problema referente ao EAN vinculado a china/]\n\n09/fev: enviei um email para eletronicsafety\n\n10/fev: vendedor comunicado\n\n11/fev: solicitei a alteração para Angela para prosseguirmos com a nova solicitação</t>
  </si>
  <si>
    <t>1eda166d-7050-4487-8179-b1d087264cde</t>
  </si>
  <si>
    <t>12/jan: Seller entrou em contato sobre a reclamação no ASIN de Wrong Product\n\n12/jan: Abri o chamado para o time do FBA solicitando apoio para reativação ou o CTI correto\nhttps://t.corp.amazon.com/V2070237609/overview\n\n13/jan: Informei ao seller a enviar o Appeal com o código do chamado do FBA\n\n14/jan: Appeal negado\n\n14/jan: Localizeo o CTI de ISS-Bin Check CNF5 e realizei a abertura do chamado\nhttps://t.corp.amazon.com/V2072605715\n\n14/jan: Enviei o código para enviar o novo appeal e o seller enviou o appeal</t>
  </si>
  <si>
    <t>c0804633-3b97-459b-9fd3-1bd135c86814</t>
  </si>
  <si>
    <t>15/jan: TEntou enviar informações de ILAC pelo chat do suprote premium, instrui onde devia ser enviado a documentação. Farei o acompanhamento\n\nFBA193966T57 / FBA193J6VDT3 \n\n15/jan: Seller não conseguiu seguir por iLAC e terá que dar entrada no NOT PO \nhttps://t.corp.amazon.com/V2074125651\n\n16/jan: Deram entrada na nova PO</t>
  </si>
  <si>
    <t>5155f13a-c9a6-40a1-b567-df5f459c5b6b</t>
  </si>
  <si>
    <t>23/jan:Asin inativado por "Violação da Política de preço justo do site da Amazon". Porém o preço sugerido é R$0\nhttps://na.winston.a2z.com/Seller-BR/task/10114\n\n26/jan: Informei o vendedor a excluir e listar novamente</t>
  </si>
  <si>
    <t>ba567fc5-c3d8-4111-86e7-8995a76bd8af</t>
  </si>
  <si>
    <t>Seller solicita remoção de avaliação negativa. \n15/01 - Trouxe a Issue</t>
  </si>
  <si>
    <t xml:space="preserve">500513845602January  </t>
  </si>
  <si>
    <t>20e3fe25-3480-4797-969e-be33d223271e</t>
  </si>
  <si>
    <t>Reivindicação de garantia de A a Z \nPedido: 701-3636133-9559422\n16/01 - Seller trouxe a issue</t>
  </si>
  <si>
    <t>73fef925-8b21-45aa-b116-215687acc0ed</t>
  </si>
  <si>
    <t>Reivindicação de garantia de A a Z \nPedido: 701-4989142-6233035 \n15/01 - Seller trouxe a issue</t>
  </si>
  <si>
    <t>16cdb887-61be-4b74-9485-2436ef3757da</t>
  </si>
  <si>
    <t>Reivindicação de garantia de A a Z \nPedido: 701-8101860-2404233\n15/01 - Seller trouxe a issue</t>
  </si>
  <si>
    <t>2847c709-b22b-4160-b91f-8825e981ba27</t>
  </si>
  <si>
    <t>Reivindicação de garantia de A a Z\nPedido: 702-3430789-2859461 \n15/01 - Seller trouxe a issue\n</t>
  </si>
  <si>
    <t>3d6d753b-dece-4067-b538-d1ba884f281f</t>
  </si>
  <si>
    <t>Seller deseja auxili com NF de conciliação financeira.\n05/02 - Trouxe a issue, chamei o @vfmach no slack\n09/02 - Cobrei o @vfmach novamente\n13/02 - enviou a planilha, enviei para o seller</t>
  </si>
  <si>
    <t xml:space="preserve">241419664602February </t>
  </si>
  <si>
    <t>2ed22739-c373-443d-a72f-af17954b39bc</t>
  </si>
  <si>
    <t>Seller informa que não está conseguindo emitir NF do pedidos DBA, ele abriu um chamado hoje mesmo, aguardando o que eles vão responder.</t>
  </si>
  <si>
    <t xml:space="preserve">627010921602August   </t>
  </si>
  <si>
    <t>ed68d966-1924-411d-a974-23ebfe8317b4</t>
  </si>
  <si>
    <t>Seller está com duvida sobre como criar um envio de itens pra FBA, passei um possivel resolução, aguardando retorno.</t>
  </si>
  <si>
    <t>f7e12846-8d5e-46b0-92de-5f89777ee7c5</t>
  </si>
  <si>
    <t>Seller informa que os itens cadastrados errado na quantidade dos kits, mandei o passo a passo que ele realizar a alteração.</t>
  </si>
  <si>
    <t>24680391-0f2d-47d6-ac31-897ad7314bb1</t>
  </si>
  <si>
    <t>Seller abriu um chamado porque não estava recebendo os emails semanais, pedi confirmação do email, mas o time de sps abriu um ticket estarei acompanhando. V1913090053</t>
  </si>
  <si>
    <t>81b2a21d-e2f0-4da8-8c51-cb912226b4b1</t>
  </si>
  <si>
    <t>Seller estava com duvida de como remover os itens que estão no FC  a mais de 1 ano.</t>
  </si>
  <si>
    <t>3f6b38c9-a793-4e8e-a7d5-fc47fff0ebfe</t>
  </si>
  <si>
    <t>Enviou um celular e devolveram uma Pasta de Amendoim</t>
  </si>
  <si>
    <t xml:space="preserve">11613361102November </t>
  </si>
  <si>
    <t>47abbee0-b792-4929-801a-33f6f210d7df</t>
  </si>
  <si>
    <t>Problema ao processar devoluções no T-REX</t>
  </si>
  <si>
    <t>fd69f4ba-7cfa-4a67-acd5-1e2efc096ada</t>
  </si>
  <si>
    <t>receberam produto bloqueado com senha de cliente, e queriam apoio nosso, mas foge do escopo</t>
  </si>
  <si>
    <t>3ddf87e5-d0d4-40a5-b30e-d7cc1ca9c830</t>
  </si>
  <si>
    <t>RSR 251006181L</t>
  </si>
  <si>
    <t>fd1626eb-981c-4e14-80bb-d02056043abd</t>
  </si>
  <si>
    <t>Essas vendas foram reembolsadas aos clientes, e precisamos saber quando receberemos o reembolso  ou a devolução dos produtos, por favor.\n\n18761110671\n18760859301\n18760839821\n18760347071\n18761194481\n18760574911\n18761461231\n18761214381\n18760681171\n18760631731\n18760541501\n18761195561\n18760678251\n18761511611\n18761533471\n18761726041\n18762292391\n18761796251\n18762528251\n18762333621\n18762475021\n18762537881\n18761943381\n18762540191\n18761820481\n18762619201\n18761821111\n18762690581</t>
  </si>
  <si>
    <t>d079d4cb-4041-48e1-86af-e62cc9001f2c</t>
  </si>
  <si>
    <t>Essas vendas foram reembolsadas aos clientes, e precisamos saber quando receberemos o reembolso correspondente ou a devolução dos produtos, por favor.\n\n18762131221\n18762002111\n18762671991\n18762476171\n18762680321</t>
  </si>
  <si>
    <t>dc1a747d-be5d-4dc0-a26f-5dd8bf5b144b</t>
  </si>
  <si>
    <t>Quis solicitar reembolso de uma unidade defeituosa, mostrei pra ela que o item envolvido era uma unidade Não comercializável, e enviei o guia de reembolsos FBA\nID da remoção 2509241CL4, SKU 328727.\n</t>
  </si>
  <si>
    <t>75f42f15-3c80-4ce7-abaf-8a5046180a04</t>
  </si>
  <si>
    <t>1º ponto\nO Pedido de remoção 251006181L, foi dito que estaria retornando para o CD de vocês, e que após voltarem para o galpão o time responsável iria entrar em contato para seguir com o procedimento de remoção.\nO que seria esse procedimento de remoção, uma vez que o item já foi retirado?\n\n2º ponto\nPedido de remoção 2509241CL4\nCódigo de rastreio: AM082317599LO\n\nVocês informaram que consta no rastreio que o pacote foi recusado no momento da entrega, precisamos das envidencias da recusa, para que possamos verificar junto ao nosso CD o que houve.\nPedido de remoção 2509241CL4\nCódigo de rastreio: AM082317599LO\n\n3º ponto\nFoi informado que os itens abaixo seria entregue no dia 28/10, porém os itens não deram entrada em nosso CD.Precisamos saber onde estão nossas peças ou se seremos reembolsados.\nNF N° 000.045.730 Série 1\nCódigo SKU do vendedor: 328727\nCódigo SKU do vendedor: 327475</t>
  </si>
  <si>
    <t>8996d497-6ee4-4984-ae65-ef2a936ade5b</t>
  </si>
  <si>
    <t>não cosnegue processar devolução no t-rex\n\nCaso aberto: 18872441471</t>
  </si>
  <si>
    <t>1c06f97b-cfa0-4209-a1d5-c98e178ea1cb</t>
  </si>
  <si>
    <t>Seller entrou em contato sinalizando que não consegue processar o pedido devido informações do cliente.\nAberto chamado para integrador: https://t.corp.amazon.com/V2100077642</t>
  </si>
  <si>
    <t xml:space="preserve">572185491502February </t>
  </si>
  <si>
    <t>58f4f5a2-f206-4b8e-aca2-bddc0c7dea6f</t>
  </si>
  <si>
    <t>Seller com oferta sem a buy box.\nRodei a query de SCFODED e na netshoes estava mais barato até o dia 08/02.\n10/02 - Seller trouxe a issue. Aberto tt\nhttps://t.corp.amazon.com/V2104269629\n12/02 - Reativado</t>
  </si>
  <si>
    <t xml:space="preserve">97596278102February </t>
  </si>
  <si>
    <t>d6b7c4a4-1a36-462b-9e2c-c113261b9272</t>
  </si>
  <si>
    <t>Seller com produto sem buy box.\nASIN: B0D6Z89BJS \n11/02 - Seller trouxe o problema\naberto ticket\nhttps://t.corp.amazon.com/V2105416137\n12/02 - Reativado B0FZBRT2XV\n19/02 - Cobrei sobre o ASIN B0D6Z89BJS\n20/02 - B0D6Z89BJS reativado.</t>
  </si>
  <si>
    <t>1447fb2e-9f4d-46a6-9164-9f3d693f85af</t>
  </si>
  <si>
    <t>Seller questionou porque os produtos estavam como Reservado</t>
  </si>
  <si>
    <t xml:space="preserve">11103651302October  </t>
  </si>
  <si>
    <t>1423fef6-0b5b-4e64-b11c-39a73b093e35</t>
  </si>
  <si>
    <t>Inbound demorado - untis estavam em prep - chequei pelo fc research</t>
  </si>
  <si>
    <t>2d0f7960-1afb-4e43-be40-e6e15c7a4e80</t>
  </si>
  <si>
    <t>Seller não conseguiu criar envio, ao olhar a categoria possuia Gating de marca</t>
  </si>
  <si>
    <t>4cf1479d-62c7-4f6f-8ea2-677a603894cf</t>
  </si>
  <si>
    <t>Erro de listagem code 8572</t>
  </si>
  <si>
    <t>3ac2aa36-e693-4884-a089-24ddf0ce9ab7</t>
  </si>
  <si>
    <t>seller questiona a demora das 400 units do envio FBA19133RBDY ficar disponível, soliictei bincheck (envio foi fechado dia 09/10)</t>
  </si>
  <si>
    <t>f5807707-87c5-44d3-be52-0749683a3325</t>
  </si>
  <si>
    <t>Contestação das métricas Semana 272 e 273</t>
  </si>
  <si>
    <t xml:space="preserve">103928980802January  </t>
  </si>
  <si>
    <t>6159c067-f13e-4585-962f-6f47722be63f</t>
  </si>
  <si>
    <t>14/jan: Seller informou que trocou o Ops Owner e que permanece o acumuluco de métricas impactadas que foram solicitadas a isenção\n\n14/jan: email enviado para o Ops Owner\n\n15/jan: Aprovaram 1 appeal e o outro foi negado</t>
  </si>
  <si>
    <t>fdbe2626-744e-4e44-96f3-0ba0b2f0fc12</t>
  </si>
  <si>
    <t>16/jan: seller não conseguei mprimir os pedidos devido a um erro no onsite/impressora\n\nPedi para entrar em contato com o Ops Owner (ele possui o contato) e também tentei a comunicação via Chime\n\n16/jan: Não tive retorno até o EOD e questionei o seller se conseguiu imprimir os pedidos\n\nhttps://t.corp.amazon.com/V2075175672</t>
  </si>
  <si>
    <t>24ae81b8-f95c-42f2-baff-78383a9fba83</t>
  </si>
  <si>
    <t>20/jan: Seller entrou em contato sobre dúvidas de formatos aceitos pela Amazon\n\n20/jan: Pedi informações extras e não me respondeu</t>
  </si>
  <si>
    <t>07bee2d3-5aa8-4d68-b09d-b455d718119f</t>
  </si>
  <si>
    <t>19/jan: Entrou em contato pedindo apoio para inativar o ASIN, mandei o SOP para contestar a decisão\n\n20/jan: chequei e o seller recorreu o appel e a offer permanece inativa\nhttps://t.corp.amazon.com/V2080052317\n\n21/jan: Enviei o passo a passo para reatição\n\n22/jan: Não me respondeu mas confirmei que o ASIN está ativo novamente</t>
  </si>
  <si>
    <t>4934ae47-c947-4414-a726-0fc13c75c764</t>
  </si>
  <si>
    <t>ERRADO</t>
  </si>
  <si>
    <t>87fffa67-105b-4616-87d8-7d3ec777c4d6</t>
  </si>
  <si>
    <t>Seller está com dúvida de sobre caso de brand referente as suas outras contas,</t>
  </si>
  <si>
    <t xml:space="preserve">256525648402November </t>
  </si>
  <si>
    <t>9f37d749-e1a9-4bb4-8ab2-ef3cc2e00a59</t>
  </si>
  <si>
    <t>Seller está com diversos produtos suprimidos por sono infantil. \n\nhttps://issues.amazon.com/issues/RISC-CET-81076\n\n10/03 - https://issues.amazon.com/issues/V2135216754</t>
  </si>
  <si>
    <t xml:space="preserve">128174680202March    </t>
  </si>
  <si>
    <t>0291f79d-1e2a-435f-92a2-d73a9bb04109</t>
  </si>
  <si>
    <t>02/fev: entrou em contato questionando porque os pedidos sairam como MFN\n\nCaso de oferta hibrida, passei o passo a passo e acompanharei a correção\n\n04/fev: seller inativou a oferta ao invés de atualizar.</t>
  </si>
  <si>
    <t xml:space="preserve">669516273102February </t>
  </si>
  <si>
    <t>7c42841d-3934-4387-9cab-5591a8c3a433</t>
  </si>
  <si>
    <t>02/fev: Solicitarm isenção de algumas métricas devido a falha da integração\n\nQuestionei se alteraram o rastreio dentro do pedido para solicitar a isenção</t>
  </si>
  <si>
    <t>4b3e6295-f3b3-4848-b460-a1f3a4572b8a</t>
  </si>
  <si>
    <t>11/fev: Uniu as variações, porém não reflete no Seller central\nhttps://na.winston.a2z.com/Seller-BR/task/10567\n\n17/fev: merge concluido, seller comunicado</t>
  </si>
  <si>
    <t>35c731b1-c765-495d-9dc1-4cf1cdbf7d1b</t>
  </si>
  <si>
    <t>23/fev: seller não conseguiu gerar a coleta/etiqueta do pedido 702-3216301-1950626\n\n24/fev: teve problema com +10 pedidos\nhttps://t.corp.amazon.com/V2119145552</t>
  </si>
  <si>
    <t>0b7b4edc-6511-4f29-9a67-dc20b6710e60</t>
  </si>
  <si>
    <t>Seller teve problemas com a integradora e pede insenção das métricas. -V1932130045</t>
  </si>
  <si>
    <t>24558652202September</t>
  </si>
  <si>
    <t>49e21ff7-c16d-4207-973c-9ff01d9bcf58</t>
  </si>
  <si>
    <t>Seller teve problemas com a integradora e está pedindo insenção das metricas.  V1932128371</t>
  </si>
  <si>
    <t>7e058c1b-8268-4e20-ac9f-55773d204fda</t>
  </si>
  <si>
    <t>A principio seller informou que a coleta não tinha passado, porém no outro dia o mesmo informou que a coleta passou, porém fora do horário comercial</t>
  </si>
  <si>
    <t xml:space="preserve">361885515402July     </t>
  </si>
  <si>
    <t>31a179af-86f8-4ee8-b913-bf517c82e42e</t>
  </si>
  <si>
    <t>Seller informa que foi impacto por um pedido cancelado, porém o mesmo não identifica esse pedido, informei o pedido para o mesmo e solicitei para o ops owner aceitar a apelação, deu tudo certo</t>
  </si>
  <si>
    <t>4e7089ef-0877-4500-a8ac-e2b6633b8f38</t>
  </si>
  <si>
    <t>Seller informa que não consegue alterar a data de lançamento, com isso os compradores não tem acesso ao produto até a data de lançamento - Conseguimos solucionar através de um ticket no taskei</t>
  </si>
  <si>
    <t>f04da587-8576-40d6-b537-0356c6b25abe</t>
  </si>
  <si>
    <t>407f4476-21f0-44e1-84df-0fdb96478cba</t>
  </si>
  <si>
    <t>Aguardando o ASIN B09H221SH4 ficar disponível no FC para solicitar bin check X003OLDFVJ</t>
  </si>
  <si>
    <t>40e020c2-cb81-430a-b3ce-2a61053512f6</t>
  </si>
  <si>
    <t>contestar métricas</t>
  </si>
  <si>
    <t xml:space="preserve">472181389102October  </t>
  </si>
  <si>
    <t>62805210-1803-4807-9413-2aae8aa88149</t>
  </si>
  <si>
    <t>Seller solicitou isenção de métricas, porém sofreu impacto com as inativações das ofertas. \n\nJá possuia um chamado em aberto: https://t.corp.amazon.com/V1962503950/communication</t>
  </si>
  <si>
    <t>f9e5ed1c-61e8-4cb4-81e9-9417545b1a0a</t>
  </si>
  <si>
    <t>Seller solicitou investigação de 2 ASIN\nASIN: B0CGQ3P4QS - Chamado aberto no Winston\nASIN: B0BY3K3HVW - Sem estoque\nEram vendidos por anúncio de catálogo e não estão mais. \n\nhttps://na.winston.a2z.com/Seller-BR/task/9059</t>
  </si>
  <si>
    <t>416d6c6c-21a2-4242-a13a-5707c762c56e</t>
  </si>
  <si>
    <t>Seller solicitou ajuda com impactos de envios tardios\n\nChamado aberto: https://t.corp.amazon.com/V1981154897</t>
  </si>
  <si>
    <t>fe504650-1543-49b8-9a48-82d2c3383fce</t>
  </si>
  <si>
    <t>Classificação Hazmat</t>
  </si>
  <si>
    <t xml:space="preserve">530870446802January  </t>
  </si>
  <si>
    <t>9f81dd25-4220-43db-9ffc-ffb618e43e1b</t>
  </si>
  <si>
    <t>O Seller pediu que ajustasse o familia de variação que foi criada, solicitei pro time.</t>
  </si>
  <si>
    <t xml:space="preserve">380157072302January  </t>
  </si>
  <si>
    <t>a713d321-277e-41d3-b636-dcf844f96a2d</t>
  </si>
  <si>
    <t>Seller solicitou uma criação de variação/familia. \n\nhttps://na.winston.a2z.com/Seller-BR/task/10204</t>
  </si>
  <si>
    <t>d6f35e5d-6525-4ef3-b0de-277c6c1c5731</t>
  </si>
  <si>
    <t>Seller solicita insenção de métricas</t>
  </si>
  <si>
    <t xml:space="preserve">72695582302November </t>
  </si>
  <si>
    <t>1505b009-8fe9-4526-968a-c76ed17014ad</t>
  </si>
  <si>
    <t>Seller informa que está com uma oferta inativa. Verificado e precisa de POA para liberação. Aguardando seller</t>
  </si>
  <si>
    <t>be1889e9-8809-4775-9b9c-9d1ab16f73aa</t>
  </si>
  <si>
    <t>Seller informa que a transportadora tem passado fora do horário de coleta e que o expediente toda sexta-feira se encerra as 17h</t>
  </si>
  <si>
    <t>14775086-1007-40ea-bbf7-59f212e67a2a</t>
  </si>
  <si>
    <t>3/fev: informou que não conseguia concluir o envio para FBA, devido a HAZMAT.\n\nMostrei o caminho e aguardo ele enviar a planilha\n\n06/fev: recusado, pedi a planilha para o seller\nhttps://t.corp.amazon.com/V2100414540\n\n09/fev: Não responderam meu chamado, e vou escalar\n\n10/fev: nvo tt https://t.corp.amazon.com/V2104503945/information\n\n\nhttps://t.corp.amazon.com/V2060017233/communication</t>
  </si>
  <si>
    <t xml:space="preserve">46733383915February </t>
  </si>
  <si>
    <t>4a1979a3-e2f0-49d2-98fd-35574d2d31e3</t>
  </si>
  <si>
    <t>13/fev: Oferta foi derrubada "Worng Product" enviei o SOP\nhttps://t.corp.amazon.com/V2107564626\n\n20/fev: escalation\nhttps://na.vici.pars.amazon.dev/mpa-escalations/index.html#/caseDetails/1771604668987644\n\n23/fev: passei caso para Malu porque o seller ligou para o @castelog\n\n24/fev: tentei contato com a hamdyaya@</t>
  </si>
  <si>
    <t>373f283f-5dee-4853-9716-4a5d59d1a916</t>
  </si>
  <si>
    <t>24/fev: seller não consegue realizar a remoção pelo item ser Hazmat</t>
  </si>
  <si>
    <t>f29423bc-2ef5-4c27-819a-bff99cd19a84</t>
  </si>
  <si>
    <t>24/fev: seller questiona o motivo de 9 unidades estarem como "reservado"\nhttps://t.corp.amazon.com/V2119485593</t>
  </si>
  <si>
    <t>fc017a71-45c5-4b97-840e-7dfbed460358</t>
  </si>
  <si>
    <t>24/fev: seller enviou a documentação de compliance, acompanahrei a resposta e escalar caso necessário.</t>
  </si>
  <si>
    <t>348c179e-8b8d-4c5d-adb9-c55060b82209</t>
  </si>
  <si>
    <t>Remover avaliações negativas.  https://na.vici.pars.amazon.dev/mpa-escalations/submit#/caseDetails/1767805007714607?tab=2</t>
  </si>
  <si>
    <t xml:space="preserve">549848560202January  </t>
  </si>
  <si>
    <t>f67cab41-bf5f-4695-99c8-52b384762d11</t>
  </si>
  <si>
    <t>Seller informa que houve 2 pedidos que foram entregues 2 unidades ao inves de 1  702-9020749-2736238 / 702-5183336-1661028\n\nhttps://t.corp.amazon.com/V2119456148</t>
  </si>
  <si>
    <t xml:space="preserve">509224899302February </t>
  </si>
  <si>
    <t>a9195e1f-7424-4119-8a7c-599199ee034a</t>
  </si>
  <si>
    <t>03/março Problema de NF recusada\nhttps://t.corp.amazon.com/V2127070999</t>
  </si>
  <si>
    <t xml:space="preserve">16898656902March    </t>
  </si>
  <si>
    <t>4f87a3be-fb9a-4fc4-b025-a099aee85f80</t>
  </si>
  <si>
    <t>06/março: seller pediu apoio para reativação das ofertas\nhttps://na.winston.a2z.com/Seller-BR/task/11434\n\n09/março: Informei para preencher o campo "Condição do produto"</t>
  </si>
  <si>
    <t>8f44741e-40d8-4aa2-9e8a-8272fecf3b6a</t>
  </si>
  <si>
    <t>09//março: seller falou que a oferta estava inativa e não conseguiu ativar.</t>
  </si>
  <si>
    <t>f1094cb6-8804-40a1-a93d-fb2ab7045126</t>
  </si>
  <si>
    <t>12/março: seller informou que o item estava em Recall e pediu apoio na reativação.</t>
  </si>
  <si>
    <t>0d89a19e-638e-4dfe-9130-8f98c9bb01a8</t>
  </si>
  <si>
    <t>Seller esta com um RSR, mas diz que não cosegue fazer o removal no FC e nem quer que os produtos sejam descartados. estou com contato com a Isa pra entender como conseguimos fazer um nova nota de entrada pra que o seller consiga criar um novo Removal Order.</t>
  </si>
  <si>
    <t xml:space="preserve">625725137302August   </t>
  </si>
  <si>
    <t>96dd0df5-dfd5-419a-8eec-17829fb49ea6</t>
  </si>
  <si>
    <t>Produto foi movido pra Recall, preciso das documentação para inciar a appeal. - já tem um ticket aberto, então estou com watching</t>
  </si>
  <si>
    <t>1516ba9e-2680-47f8-a823-cddedca3e525</t>
  </si>
  <si>
    <t>Seller não estava conseguindo solicitar o reembolso.</t>
  </si>
  <si>
    <t>30acfa58-13a6-4b19-ae06-df9f46b0d811</t>
  </si>
  <si>
    <t>o ASIN B09GKSWN8T foi liberado do recall, mas atualmente está com 240 unidades como defeitos. V1905984491 - abri um novo ticket pra restabelar os itens que estão como defective V1914341676</t>
  </si>
  <si>
    <t>b78157cd-4e26-4e56-8bd5-41a9e88fe24f</t>
  </si>
  <si>
    <t>Seller também teve produtos faltantes no seu envio FBA FBA18ZLVKZJ5 que foi recebido com itens faltando, precisei abrir um ticket pro FC pra entender e caso esteja realmente faltando orientar o seller a fazer o reembolso.\nV1906124151</t>
  </si>
  <si>
    <t>f74a7a90-9eab-4d7b-ad2f-bf61c83de5bf</t>
  </si>
  <si>
    <t>Teve o removal e o seller esta dizendo que 34 unidades o FNSKU X004NUYEUV não foram entregues, chamei o Alan no slack pra entender melhor o que vem acontecendo</t>
  </si>
  <si>
    <t>dd006727-49d3-4dcb-a0c0-f06ffc84b074</t>
  </si>
  <si>
    <t>Seller informa que está com problemas para emissão de etiqueta. Informado que foi um problema geral e questionado se erro persiste.</t>
  </si>
  <si>
    <t xml:space="preserve">187533500102November </t>
  </si>
  <si>
    <t>39cab076-cf0c-44d0-9d94-162076f6bca6</t>
  </si>
  <si>
    <t>Seller solicita auxilio pois remessa está com discrepância, informado que se encontra em processo de recebimento. Acompanhando</t>
  </si>
  <si>
    <t>3937450c-d446-4faf-baa5-49261635b1dc</t>
  </si>
  <si>
    <t>Seller atualizou certificado digital, ofertas inativas. solicitei o unblock, acompanhando</t>
  </si>
  <si>
    <t>be8a559d-719a-4cf0-aa7d-af41a95a9b5a</t>
  </si>
  <si>
    <t>Reclassificação de ASINs de percabonato</t>
  </si>
  <si>
    <t xml:space="preserve">124090551902January  </t>
  </si>
  <si>
    <t>535862f7-b430-4c4e-abd0-2adc2fcbc1f6</t>
  </si>
  <si>
    <t>UTC5 - Seller solicta auxilio para classificação de ASIN\n08/01 - Aberto tt - https://t.corp.amazon.com/V2065307025\n19/01 - Cobrado no ticket um update\n26/01 - Enviado e-mail\n30/01 - Cobrado no ticket e inserido + @abrahavi\n02/02 - Vini escalou por e-mail\n19/02 - Responderam informando que precisa de 16 seções e o arquivo FISPQ enviado pelo seller possui somente 11.\nSolicitado para o seller.\nDia 20/01 tinha informado essa mensagem para outros ASINs.\nAguardando seller.</t>
  </si>
  <si>
    <t>75d882d5-8510-41b6-b156-bc4d9544d0a3</t>
  </si>
  <si>
    <t>Seller quer entender sobre o saldo negativo da sua conta.\n20/01 - Trouxe o problema.\n21/01 - Aberto ticket com o time de payments. https://t.corp.amazon.com/V2080999446</t>
  </si>
  <si>
    <t>c82d505e-752a-4d0e-9008-82b6154a6988</t>
  </si>
  <si>
    <t>ASIN com gating B0FMYV1PCW\ncompliance_br_baby_feeding\n03/03 - Aberto tt\nhttps://t.corp.amazon.com/V2127419701\n04/03 - Informado o caminho para solicitar aprovação.</t>
  </si>
  <si>
    <t xml:space="preserve">72695582302March    </t>
  </si>
  <si>
    <t>5af35ff8-1aa8-4a31-9788-0158b13c9326</t>
  </si>
  <si>
    <t>Voldemort B0CT3T1J7N - Item danificado.\n04/03 - Seller trouxe a issue\naberto tt\nhttps://t.corp.amazon.com/V2128279760\n05/03 - Criado ticket com RBS\nhttps://na.winston.a2z.com/Seller-BR/task/11419\n13/03 - Reativado.</t>
  </si>
  <si>
    <t>e34035e5-62e5-4525-ab7c-ba2139308b74</t>
  </si>
  <si>
    <t>Seller com ASIN B0CMJRVJ4V com Voldemort.\n02/03 - Trouxe a issue\nAberto tt\nhttps://t.corp.amazon.com/V2126064977\n03/03 - Pediram para abrir outro CTI\nhttps://t.corp.amazon.com/V2126863847\n04/03 - Oferta reativada</t>
  </si>
  <si>
    <t>0cda2ed3-3075-4676-b41e-cc010eab79fe</t>
  </si>
  <si>
    <t>Seller está com asin suprimido por possivel 5461. \n\nhttps://na.winston.a2z.com/Seller-BR/task/10635\n19/02https://na.winston.a2z.com/Seller-BR/task/10739</t>
  </si>
  <si>
    <t xml:space="preserve">244366726002February </t>
  </si>
  <si>
    <t>775b254d-e8fa-4e2d-a800-1a4049d5d801</t>
  </si>
  <si>
    <t>aa64d86b-084d-450a-8929-bd00c58c6cd6</t>
  </si>
  <si>
    <t>2f3e25b7-3e9f-46f0-8ed9-77af679d9af7</t>
  </si>
  <si>
    <t>Seller com remessa com discrepância, investigação informou que está correta a contagem.\n18/02 - Seller trouxe a issue\n19/02 - Solicitado os documentos que enviou.\n27/02 - Criado thread com MC e Vini.\nSeller escala.</t>
  </si>
  <si>
    <t xml:space="preserve">758979444002February </t>
  </si>
  <si>
    <t>7f399034-4004-473a-addd-daf6a17e8896</t>
  </si>
  <si>
    <t>Seller solicita que o ASIN seja reativado, ele já fez o appeal no account health, mas foi negado. Subi um SIF para reavaliação. 1762349819976022 - https://na.winston.a2z.com/Seller-BR/task/9368</t>
  </si>
  <si>
    <t xml:space="preserve">60238888002November </t>
  </si>
  <si>
    <t>b62bd904-3c0a-4d0e-ba86-557caea45695</t>
  </si>
  <si>
    <t>Seller nos enviou uma planilha com diversos order em que o customer pediu o refund do produto acabou recebendo, mas eles n receberem o repasse desses orders</t>
  </si>
  <si>
    <t>b5e3b4c7-710a-431e-a899-1dc0a73bf5fb</t>
  </si>
  <si>
    <t>Seller estava com dúvida de como é contabilizada as métricas que afetam a conta.</t>
  </si>
  <si>
    <t>59ee261f-c3a8-401b-b8a7-fd0c32f5532b</t>
  </si>
  <si>
    <t>Seller informa que a descrição do produto está informando a voltagem errada, pedi para alterarem: https://na.winston.a2z.com/Seller-BR/task/9376</t>
  </si>
  <si>
    <t>1f79dac3-17eb-490f-b912-b94f0ba117f0</t>
  </si>
  <si>
    <t>Seller quer que reivindicar uma garantia de AtoZ https://issues.amazon.com/issues/V2007879471</t>
  </si>
  <si>
    <t>a887a32a-17ed-453a-807c-bf0bfd10c47a</t>
  </si>
  <si>
    <t>Seller informa que devida a descrição do produto estar errada teve impactos na sua conta e solicita que sejam removidas, pedi que me enviassem o numero dos pedidos.  os pedidos não estavam afetando as métricas.</t>
  </si>
  <si>
    <t>46edee6c-8693-4be2-b2db-92ccea8ff9e7</t>
  </si>
  <si>
    <t>2ca93cba-fa14-421c-91ff-9afe001acbdc</t>
  </si>
  <si>
    <t>Seller informa que os ASIN estão com as imagens erradas. solicitou que mudasse. https://na.winston.a2z.com/Seller-BR/task/9460</t>
  </si>
  <si>
    <t>5d72130a-ecd0-4421-9a3f-9abc5383dbaa</t>
  </si>
  <si>
    <t>18219329921 - seller solicitou correção de imagens pro time de offshoring mas não foram feitas corretamente, solicitei novamente pelo WInston\n</t>
  </si>
  <si>
    <t xml:space="preserve">366327938802August   </t>
  </si>
  <si>
    <t>3d1f651b-eba9-405f-9d01-5bf9b54bec7f</t>
  </si>
  <si>
    <t>18023761881 - atualização de titulo da variação - time de offshoring fez mas precisa de correção\n\nfalta a seller confirmar as informações</t>
  </si>
  <si>
    <t>a995e6eb-c5bb-49d0-b853-a38670271b2d</t>
  </si>
  <si>
    <t>Seller com problema em listar um produto. \n09/03 - Trouxe a issue\nDirecionado para cadastrar com serviços premium.</t>
  </si>
  <si>
    <t xml:space="preserve">366327938802March    </t>
  </si>
  <si>
    <t>2ab21547-db8f-45f8-a04d-84c6bbb1265d</t>
  </si>
  <si>
    <t>apoio para contestação da desativação do ASIN</t>
  </si>
  <si>
    <t xml:space="preserve">1041281178802November </t>
  </si>
  <si>
    <t>0d4daa6f-30d8-4e36-98d8-17ec46224f02</t>
  </si>
  <si>
    <t>MFN desabilitado</t>
  </si>
  <si>
    <t>2e375c34-9554-45d3-ab87-91c828a01647</t>
  </si>
  <si>
    <t>Solicitou alteração do nome da Loja mas não refletiu</t>
  </si>
  <si>
    <t>61741d28-c7ec-4b5f-ac51-dadaa4c20a10</t>
  </si>
  <si>
    <t>recebeu email de problema no faturador</t>
  </si>
  <si>
    <t>53706b47-b7ea-472c-91bd-2a846644bcd4</t>
  </si>
  <si>
    <t>Bom dia Tiago, tudo bem?\nEstamos com ASIN B0DP3JDD6Y "Bugado", nao conseguimos adicionar ele ao carrinho, ja tentei alterar o preço, desativar e ativar, adicionar um valor de buybox, porem sem sucesso, abri um ticket 18853215981, pode escalar por favor, ou se souber de algo que esta impedindo adicionar no carrinho, segue print da tela com erro.\n\nResposta: Erro de Cookies</t>
  </si>
  <si>
    <t>bc409749-256b-4d48-bea7-b46a4ea05c59</t>
  </si>
  <si>
    <t>02/fev: Informou que a BB estava suprimida, ao analisar o mesmo praticava preços inferiores no concorrente, informei o vendedor e passei para o AM negociar deals</t>
  </si>
  <si>
    <t xml:space="preserve">1069577391202February </t>
  </si>
  <si>
    <t>5d7d9cd3-caf9-4d02-8f17-715743452c96</t>
  </si>
  <si>
    <t>05/fev: Vendedor entrou em contato informando insucesso na entrega, e relatou que não houve tentativa.\n\nEntrei em contato com o time responsável no slack\n\n\n09/fev: comuniquei o vendedor, não tivemos retorno ainda\n09/fev: Aguardando resposta\nhttps://t.corp.amazon.com/V2099405271/communication\n\n03/fev: Recebeu a comunicação de RSR:\nhttps://t.corp.amazon.com/V2114781279/communication</t>
  </si>
  <si>
    <t>ec1be172-ca0b-4207-bec8-02cb677d8c9e</t>
  </si>
  <si>
    <t>04/fev: Recorreram ILAC, porém pela documentação provavelmente será recusada. Pedi apoio no canal de OOC\nhttps://t.corp.amazon.com/V2097869680</t>
  </si>
  <si>
    <t>e0f19b94-d4ee-4496-a5b4-03669be8d21b</t>
  </si>
  <si>
    <t>05/fev: Reportou uma falha no processo ge emissão das etiquetas pro FBA\nhttps://t.corp.amazon.com/V2098935177</t>
  </si>
  <si>
    <t>f73b152e-b91c-44b9-a110-d26d03bcb906</t>
  </si>
  <si>
    <t>13/fev: solicitou correção do NODE\nhttps://na.winston.a2z.com/Seller-BR/task/10645</t>
  </si>
  <si>
    <t>b9da21ed-ff37-4ec5-9268-fd3fc44d0de6</t>
  </si>
  <si>
    <t>10/fev: quer atualizar o ASIN para uma new version, chamado 19369484081 \nhttps://na.winston.a2z.com/Seller-BR/task/10550\n\nNão tem a função de "New Version" no BR</t>
  </si>
  <si>
    <t>e879d3e6-2602-4a4c-9cdb-bf86a8b1d63b</t>
  </si>
  <si>
    <t>10/fev: rank de imagem do US cganhando a contribuiçao no marketplace BR \n\nhttps://t.corp.amazon.com/BR-CATALOG-10635\n\n19/fev: conversei com a Arelys e ela vai tentar uma alternativa\nhttps://na.winston.a2z.com/Seller-BR/task/10733</t>
  </si>
  <si>
    <t>b4a820bb-3198-42c8-af4f-06bdd0db5177</t>
  </si>
  <si>
    <t>11/fev: Pediu prioridade no inbound desse envio FBA1977F2MZF\nhttps://t.corp.amazon.com/V2105317941\n</t>
  </si>
  <si>
    <t>7d352f28-c297-4412-95c2-e6aa34d39584</t>
  </si>
  <si>
    <t>18/fev: Pediu apoio para responder o chamado 19443479871 sobre itens NOT POT. Mostrei o caminho e expliquei o motivo desse processo.\n\nhttps://t.corp.amazon.com/V2091551668/communication</t>
  </si>
  <si>
    <t>a655326c-7238-49ff-9011-f5ab85698913</t>
  </si>
  <si>
    <t>27/fev: seller não consegue solicitar ILAC\nhttps://t.corp.amazon.com/V2122801852\n\n11/março: contato o Malves</t>
  </si>
  <si>
    <t>491943dd-52d2-4109-b4ba-fefceb68d729</t>
  </si>
  <si>
    <t>27/fev: seller teve problema de RSR no removal 25101516PR e nã oteve a comunicação devida.\nhttps://t.corp.amazon.com/V2122795097\n\n3/março: Tem que resposar o case de RSR</t>
  </si>
  <si>
    <t>b70a4905-37ba-4223-9fc6-f8bbaec70c9a</t>
  </si>
  <si>
    <t>Seller solicita auxilio para uma garantia de A a Z que o cliente alegou não recebimento contudo possui evidência de entrega. Em análise ainda e solicitado o comprovante de entrega. 701-1573809-5862630</t>
  </si>
  <si>
    <t xml:space="preserve">59283260402November </t>
  </si>
  <si>
    <t>479eb0d5-c0bb-4ba5-8a3a-b9211e6773c3</t>
  </si>
  <si>
    <t>Seller informa que está com problemas no repasse, conta em KYC segundo informação de SPS é por conta disso. Validando.</t>
  </si>
  <si>
    <t xml:space="preserve">542325043802November </t>
  </si>
  <si>
    <t>a77f2219-93d4-4c76-ba56-ec6ee9bcdf40</t>
  </si>
  <si>
    <t>Seller com problema de etiqueta correios</t>
  </si>
  <si>
    <t>5e05ed50-7997-4c4b-be47-e39a8275237b</t>
  </si>
  <si>
    <t>reividicação de Garantia de A2z order: 702-0457948-3707439</t>
  </si>
  <si>
    <t xml:space="preserve">276705576602January  </t>
  </si>
  <si>
    <t>16f54de6-8640-4209-b160-cba19668a42e</t>
  </si>
  <si>
    <t>Reividicação de A a Z do pedido: 702-6025968-0257041\n\nhttps://issues.amazon.com/issues/V2082299373</t>
  </si>
  <si>
    <t>a154dc73-58ad-4867-897f-74055115b502</t>
  </si>
  <si>
    <t>Garatia de A a Z do pedido 701-9858239-2206650\nhttps://issues.amazon.com/issues/V2082335006</t>
  </si>
  <si>
    <t>cd0d037e-34f1-46c0-875b-45a2540fbefb</t>
  </si>
  <si>
    <t>Reividicação de A2Z do pedido 702-4650440-9507427\n\nhttps://issues.amazon.com/issues/V2082286956</t>
  </si>
  <si>
    <t>98f3ea04-9637-4631-bc54-2f597f55544b</t>
  </si>
  <si>
    <t>Reividicação A2Z do pedido  701-5306538-8949047\n\nhttps://issues.amazon.com/issues/V2082681378</t>
  </si>
  <si>
    <t>954bd148-1ff4-4b65-9ae2-9e6c550d090b</t>
  </si>
  <si>
    <t>Reivindicação de Atoz do pedido 702-9504775-0116237\nhttps://issues.amazon.com/issues/V2082639426</t>
  </si>
  <si>
    <t>10a0fdde-10ab-475f-9ffe-b4c42dc86e16</t>
  </si>
  <si>
    <t>Reivindicação de A2Z do pedido 702-7890380-1942610\nhttps://issues.amazon.com/issues/V2082655998</t>
  </si>
  <si>
    <t>6efacfeb-c258-4284-9342-c38283b49f93</t>
  </si>
  <si>
    <t>Seller com oferta bloqueada por conta de preço alto. \n06/03 - Trouxe a issue\nPreço da oferta está maior que o máximo cadastrado, informado para ou diminuir o preço da oferta ou aumentar o preço máximo.</t>
  </si>
  <si>
    <t xml:space="preserve">296844067602March    </t>
  </si>
  <si>
    <t>ca02065d-2794-4ac7-a91e-80950e7a9748</t>
  </si>
  <si>
    <t>Problema ao solicitar pedido de remoção</t>
  </si>
  <si>
    <t xml:space="preserve">508996769902October  </t>
  </si>
  <si>
    <t>9644561c-e777-4468-a640-d886ccbe3d6e</t>
  </si>
  <si>
    <t>não consegue fazer inbound por hazmat\nB0D435MGHB - Classificado\nB0DXCWJL5P e B0C4Z35856 - L6</t>
  </si>
  <si>
    <t>22156062-424f-4c26-a1cb-2b802e558a96</t>
  </si>
  <si>
    <t>ofertas bloqueadas\nB0FJYFN7B3 - ativo\nB0CGVXMVRH - ativo</t>
  </si>
  <si>
    <t>1787a81d-ef2d-4830-8a87-e863e5c75ffc</t>
  </si>
  <si>
    <t>62b2538c-5efe-443b-a468-7f45f1f830a4</t>
  </si>
  <si>
    <t>UTC5 - Está com o Lucas, aguardando updates no TT</t>
  </si>
  <si>
    <t>5dc981b4-cb32-4c75-8e4a-09c473f01ce6</t>
  </si>
  <si>
    <t>education para montar blurb pra quando cliente pedir NF</t>
  </si>
  <si>
    <t>f4cda864-fb60-4c60-9afb-45f3f6006f95</t>
  </si>
  <si>
    <t>Seller ia seguir com um pedido de remoção porém não liberaram o código ISA dele</t>
  </si>
  <si>
    <t>7955f446-e4ea-44da-aa8b-6851840ef3f7</t>
  </si>
  <si>
    <t>Seller reclamou que os ASIN\'s B0D1CSPRL7 e B0CH3YSW3B estão inativos</t>
  </si>
  <si>
    <t>ee02f432-7db5-4f54-9a9f-58584d7d54fe</t>
  </si>
  <si>
    <t>Seller deseja saber o FNSKU de um determinado ASIN, enviado e informado passo a passo</t>
  </si>
  <si>
    <t>95ceea11-31c3-45cb-b706-7cf35a78b9c0</t>
  </si>
  <si>
    <t>Seller solicita alterações de dimensão na página do produto. Aberto task winston, solicitado imagens do produto para arrumar medidas no seller central.</t>
  </si>
  <si>
    <t>58fc6e37-df83-4cbf-bdef-ed808774dafd</t>
  </si>
  <si>
    <t>Seller não está conseguindo enviar ASIN (sem espaço disponível) possui red carpet. Solicitando imagens para o cliente, problemas de medidas sistema de catálogo</t>
  </si>
  <si>
    <t>94958d41-6675-467a-b8db-5dc3b44bac53</t>
  </si>
  <si>
    <t>Seller informa que não consegue realizar pedido de remoção, informado passo a passo de como fazer através de planilha.</t>
  </si>
  <si>
    <t>5303b0c0-fdea-4b10-8e31-c330d4c01ab4</t>
  </si>
  <si>
    <t>Seller com certificação ANATEL pendente para alguns ASIN\'s. Descartou a ativação por enquanto</t>
  </si>
  <si>
    <t>1352fd1f-116d-4c10-8aef-7787f89a222a</t>
  </si>
  <si>
    <t>CAU Título e informações sobre a memória RAM</t>
  </si>
  <si>
    <t>d63dfe24-6d77-4d1d-a81e-406cf5d74a8f</t>
  </si>
  <si>
    <t>Seller teve problemas de produtos chegando no FC sem remessa, feito o orientado por SPS e aberto TT</t>
  </si>
  <si>
    <t>b49f8951-7815-4747-9074-7e4b030ea0ef</t>
  </si>
  <si>
    <t>Seller informa que possui algumas ofertas inativas com motivo de Inaccurate Pricing Information</t>
  </si>
  <si>
    <t>5e47e165-7d22-4c4a-b0f0-b5d16fd249c7</t>
  </si>
  <si>
    <t>Erro de SKU já existente, seller relata que nunca utilizou esse SKU no seller central</t>
  </si>
  <si>
    <t>8c3e6980-8706-4fc8-b37f-5054a6909efd</t>
  </si>
  <si>
    <t>Seller com oferta inativa desde maio, solicitado bin check (XCV9). Enviado POA por conta de TT Andon</t>
  </si>
  <si>
    <t>8aece874-43c8-4bf1-8acc-bcb661c2f540</t>
  </si>
  <si>
    <t>Seller está criando uma conta focada em FBA e está enfrentando problemas com Brand, informei que ele pode incluir o novo CID no https://sell.amazon.com/brand-registry</t>
  </si>
  <si>
    <t xml:space="preserve">430279805602January  </t>
  </si>
  <si>
    <t>0e75cc95-ee9b-41cc-a998-474b376b1378</t>
  </si>
  <si>
    <t>28/jan: Entrou em contato sobre o ASIN inativado da Curva A, DIreitos Autorais.\n\nPedi apoio no TT\nhttps://t.corp.amazon.com/V2089673803\n\nAbri tbm esse\nhttps://na.winston.a2z.com/Seller-BR/task/10207\n\nfechar o ticket, tratativa vai ser por outra conta.\n\n05/fev: O enforceent não saiu dessa conta mesmo removendo da outra, seguimos com o appeal interno:\nhttps://t.corp.amazon.com/V2098946651\n\n12/fev: barbcf falou que ia escalar com a chefe dela</t>
  </si>
  <si>
    <t xml:space="preserve">589580604602January  </t>
  </si>
  <si>
    <t>126f9e89-8ba7-47b9-bb4a-482704b7ba98</t>
  </si>
  <si>
    <t>29/jan: Vendedor recorreu porém o recurso foi recusado, pedi apoio pro time de Enforcement\n\nhttps://t.corp.amazon.com/V2091078216</t>
  </si>
  <si>
    <t>00034f98-76c5-45ac-a177-29721830abbe</t>
  </si>
  <si>
    <t>Bom dia tiago\n\nA coleta On site não passou ontem, poderia verificar se podem mandar uma extra agora pela manha?\n\nE se possivel, não enviar mais nenhum motorista da empresa que era a designada ontem?\n\nResposta: Olá bom dia! Vou comunicar o time de transportes e realizar essas solicitações, assim que tiver um posicionamento te aviso.\n\nE algum problema em especifíco com a transportadora? Que posso escalar o caso aqui internamente.</t>
  </si>
  <si>
    <t xml:space="preserve">127737463602December </t>
  </si>
  <si>
    <t>0fa55d88-3aeb-4535-9f0b-d3d9d8417727</t>
  </si>
  <si>
    <t>Chegou o reporte dos atrasos do dia 09/12 devido o portador não ter tocado a campanhia,  se  possível nos isentar desse atraso por favor .</t>
  </si>
  <si>
    <t>0d189888-09dd-42d7-a451-8081bcf319f1</t>
  </si>
  <si>
    <t>Seller precisa realiza as alterações do produtos que estavam divergente no catálogo: https://t.corp.amazon.com/V2041007406</t>
  </si>
  <si>
    <t xml:space="preserve">130065728702December </t>
  </si>
  <si>
    <t>8accb9f0-ca45-48b0-83fe-7f5eac609445</t>
  </si>
  <si>
    <t>23/01 - Seller entrou em contato pedindo ajuda para localizar NF\'s no painel\n23/01 - Caminho enviado ao seller</t>
  </si>
  <si>
    <t xml:space="preserve">1045128782102January  </t>
  </si>
  <si>
    <t>30f118b1-ce44-498d-b3b3-32e05defba75</t>
  </si>
  <si>
    <t>26/01 - Seller entrou em contato relatando que não estava conseguindo inserir o ASIN em seu envio devido a capacidade de espaço.\n26/01 - Outros vendedores estrão enfrentando esse problema, devido a isso pedi para ele revisar as dimensões do produto e caso não desse certo, aguardar.</t>
  </si>
  <si>
    <t>35c27851-d508-4e34-b2f7-329635947185</t>
  </si>
  <si>
    <t>701-3899650-5147400 - Seller com devolução extraviada.\nDeseja reembolso\n05/03 - Trouxe a issue\naberto tt\nhttps://t.corp.amazon.com/V2129447717\n10/03 - Em até 2 dias o rastreio vai ser alterado para perdido em trânsito após isso até 50 dias é feito o reembolso porém pode ter uma demora na atualização no seller central.</t>
  </si>
  <si>
    <t xml:space="preserve">1026263719202March    </t>
  </si>
  <si>
    <t>7697e1d3-92ec-4b1e-aa94-1fcc322d22ad</t>
  </si>
  <si>
    <t>Seller teve perca de buybox por performance.\n\nhttps://t.corp.amazon.com/V2099014177</t>
  </si>
  <si>
    <t xml:space="preserve">655945459902February </t>
  </si>
  <si>
    <t>e7a66412-bbb2-402a-925d-6915a915619a</t>
  </si>
  <si>
    <t>Seller estava com dúvida sobre a Garantia de A a Z</t>
  </si>
  <si>
    <t>8218c1bc-ac9b-425c-ac7c-8a9f38145bc0</t>
  </si>
  <si>
    <t>Os ASINS foram recebidos, mas não foram movidos pra Sellable. \n\nhttps://t.corp.amazon.com/V2105651895</t>
  </si>
  <si>
    <t>30e6baa8-c609-4fc4-a1ab-f05ea3d96703</t>
  </si>
  <si>
    <t>Seller precisa de imagens do produto para realizar o recurso\n\nhttps://t.corp.amazon.com/V2113963471\n</t>
  </si>
  <si>
    <t>734344dd-e80c-4d49-9bf3-e37c2cf5ff06</t>
  </si>
  <si>
    <t>Seller esta com o asin suprimido pro reclamação, orientei ele a fazer o primeiro appeal no estado da conta.</t>
  </si>
  <si>
    <t>fa757968-058d-4e12-b66d-dc0d0f077637</t>
  </si>
  <si>
    <t>FBA192QT2RJC - Seller com remessa encerrada com discrepância</t>
  </si>
  <si>
    <t xml:space="preserve">153775969402January  </t>
  </si>
  <si>
    <t>ba5ad867-e83f-47c7-b013-f789f183c78c</t>
  </si>
  <si>
    <t>FBA192Q84WD6 - discrepância na remessa</t>
  </si>
  <si>
    <t>e2afa4df-d493-4ec6-b300-d3266c5513e3</t>
  </si>
  <si>
    <t>FBA19351LV7P - Seller teve remessa com discrepância.</t>
  </si>
  <si>
    <t>6a0b48db-1bcb-425d-8dfc-5ecbe29bcd20</t>
  </si>
  <si>
    <t>Seller informa que possui remessas finalizada com discrepância e sem retorno no caso.\nRemessas: FBA1945HFZ9H / FBA194CT6BBT\n13/01 - Trouxe o problema\nInvestigando\n14/01 - FBA194CT6BBT - Case ID 19229377381 - Terá o reembolso\n14/01 - FBA1945HFZ9H - TT aberto com GRU9\n19/01 - Terá o reembolso (até 5 dias úteis)</t>
  </si>
  <si>
    <t>d44d15e6-2c4e-4d95-882d-e313514f8c4b</t>
  </si>
  <si>
    <t>O seller esta com seus asins encerrados. \n\nhttps://na.winston.a2z.com/Seller-BR/task/10327</t>
  </si>
  <si>
    <t xml:space="preserve">690138852002February </t>
  </si>
  <si>
    <t>7d6577a4-ce01-4b72-98fe-6e5d3b9dfdb0</t>
  </si>
  <si>
    <t>Seller solicitou a criação de variação\n\nhttps://na.winston.a2z.com/Seller-BR/task/10440</t>
  </si>
  <si>
    <t>7e1bb9c1-8287-49c6-bf73-b8fd817120e6</t>
  </si>
  <si>
    <t>Seller solicitou novos ASIN e criação de Kits \n\nhttps://na.winston.a2z.com/Seller-BR/task/10439</t>
  </si>
  <si>
    <t>78ce55e3-bbf0-4d3a-a0bd-25427d24d9d2</t>
  </si>
  <si>
    <t>Seller solicitou a criação de 2 asin de kit com insenção de ean \n\nhttps://na.winston.a2z.com/Seller-BR/task/10652</t>
  </si>
  <si>
    <t>406bbaf5-ab46-42c3-9d53-0cfb56c46a41</t>
  </si>
  <si>
    <t>Seller solicitou atualização de atributos.\n\nhttps://na.winston.a2z.com/Seller-BR/task/10767</t>
  </si>
  <si>
    <t>547d35cf-16f7-428f-8b60-ed1ac12bb490</t>
  </si>
  <si>
    <t>Seller disse que o asin estar suprimido, por uso indevido de marca registrada(Midea), orientei como ele pode ajustar pra reativar</t>
  </si>
  <si>
    <t>741b2916-6e40-4b27-9871-0b16d4c4cab7</t>
  </si>
  <si>
    <t>Seller solicitou a criação de dois novos asins</t>
  </si>
  <si>
    <t>daa86c72-5f76-4826-b035-bfc27e3af74a</t>
  </si>
  <si>
    <t>Seller pediu a criação de dois asins com isenção de EAN\n\nhttps://na.winston.a2z.com/Seller-BR/task/10913</t>
  </si>
  <si>
    <t>945be8cf-c510-42ec-85cd-76abc008bfc1</t>
  </si>
  <si>
    <t>Seller criou ASIN com 2 variações porém elas forma criadas separadamente de maneira errada,</t>
  </si>
  <si>
    <t>366327938802September</t>
  </si>
  <si>
    <t>3692cb27-93e9-45a1-a964-75f4d19f69b6</t>
  </si>
  <si>
    <t>SKU\t        ID do produto (ASIN)\n80812\tB0CDZMDLQK\n\nGentileza corrigir bullet points e guia do usuário, pois estão informando tipo de instalação/montagem no chão e o produto possui forma de instalação na parede. Em anexo planilha e prints dos campos com erros.</t>
  </si>
  <si>
    <t>46068900-5252-4cbf-82be-b0a4441e1aeb</t>
  </si>
  <si>
    <t>Produto precisava da autorização da marca, mostrei o caminho e aguardo liberação para ativação dos aisns</t>
  </si>
  <si>
    <t xml:space="preserve">55427353102October  </t>
  </si>
  <si>
    <t>678bc2d7-c6fa-42ba-bd4a-def23a046b20</t>
  </si>
  <si>
    <t>Problema para inboundar FBA192463WM0</t>
  </si>
  <si>
    <t>ff89f213-d1ab-4031-9ba0-9265449b7714</t>
  </si>
  <si>
    <t>adc27b36-91e5-4198-90a8-d8a57d4a782b</t>
  </si>
  <si>
    <t>liberação de vendas hazmat em seller flex</t>
  </si>
  <si>
    <t>48adb87e-7932-4e29-99ce-16399804fb30</t>
  </si>
  <si>
    <t>Seller pediu para que um ASIN fosse desmbrado das variações por que a variação é diferente.</t>
  </si>
  <si>
    <t>11ded66d-4b28-4f79-8a62-18d2475fc84f</t>
  </si>
  <si>
    <t>Seller está com dificuldade para fazer duplicação de ASIN</t>
  </si>
  <si>
    <t>6af46c42-bdfc-4ae1-87a9-916af8a982de</t>
  </si>
  <si>
    <t>Seller Seller pediu ajuda com alteração de imagem de alguns ASINS</t>
  </si>
  <si>
    <t>3ff6098e-6a5b-4a6b-a289-8c809f66ac7e</t>
  </si>
  <si>
    <t>Problema para gerar envio do ASIN</t>
  </si>
  <si>
    <t xml:space="preserve">46733383915October  </t>
  </si>
  <si>
    <t>e02600d8-af9c-455e-95aa-fd3d88b9b78b</t>
  </si>
  <si>
    <t>asin inativo</t>
  </si>
  <si>
    <t>ff5cca65-ef44-4971-9102-9693c7e540cd</t>
  </si>
  <si>
    <t>Não conseguiu fazer os envios ao FBA por conta do FC cheio.\n\nMc irá dar andamento nessa questão.</t>
  </si>
  <si>
    <t xml:space="preserve">117086860802November </t>
  </si>
  <si>
    <t>02ca5a12-01f5-4a6c-95cf-2125e84fe65f</t>
  </si>
  <si>
    <t>Recebeu mensagem do FC solicitando alteração no nome do ASIN: B0DPNRZSL6\n\nJá foi realizada a alteração e o seller quer saber se precisa realizar alguma outra ação</t>
  </si>
  <si>
    <t>54f356ed-af0f-42d3-bf47-6262aeb97223</t>
  </si>
  <si>
    <t>Pedido do cliente chegou errado, seller solicita conferência das etiquetas</t>
  </si>
  <si>
    <t>8782058e-1272-4098-a051-4ada3fe0d619</t>
  </si>
  <si>
    <t>Todas as ofertas do seller estão inativas. \n09/02: Issue recebido</t>
  </si>
  <si>
    <t xml:space="preserve">475112640202February </t>
  </si>
  <si>
    <t>4aa17ec5-089a-4ace-b8f7-3768b6d379c3</t>
  </si>
  <si>
    <t>Seller com problema de imagem do produto. Aberto TT Mismatch anexado imagem/Resolvido. Com erro para subir a oferta agora</t>
  </si>
  <si>
    <t xml:space="preserve">19309418302October  </t>
  </si>
  <si>
    <t>708422db-7b6f-421b-a730-0d1768f9ff17</t>
  </si>
  <si>
    <t>Seller com problemas de match EAN vs ASIN.</t>
  </si>
  <si>
    <t>8f0a2684-3ddd-4ff3-a4ab-9f7ed3d9321d</t>
  </si>
  <si>
    <t>Seller com erro 5461, proprietário da marca</t>
  </si>
  <si>
    <t>38865fc1-5cf8-4544-b446-5602e3dc1fbf</t>
  </si>
  <si>
    <t>Dois ASINs ativos no Seller Central mas com oferta inativa na Amazon</t>
  </si>
  <si>
    <t>9af9c866-16b9-45b2-887a-4c06d483576a</t>
  </si>
  <si>
    <t>Erro de match do sistema operacional (orientado a cadastrar com o informado no catálogo e depois solicito a alteração)</t>
  </si>
  <si>
    <t>4047706e-8d67-4d47-b5a5-e07688bb9c67</t>
  </si>
  <si>
    <t>Seller deseja informações de como baixar um relatório de ASIN, SKU e nome do produto.\n06/02 - Trouxe a issue, explicado e enviado uma planilha de exemplo.</t>
  </si>
  <si>
    <t xml:space="preserve">435346364602February </t>
  </si>
  <si>
    <t>3848783c-c7cd-4267-b3ff-4e6afc9f4712</t>
  </si>
  <si>
    <t>Seller com todos itens como reservado, opera em FBA Onsite.\n03/02 - Trouxe o problema\n04/02 - Resolvido @anayjnoh deu um refresh na reativação.</t>
  </si>
  <si>
    <t>6040483f-61ff-4865-bc25-5187fef5ffc3</t>
  </si>
  <si>
    <t>Seller com pedidos com oferta híbrida\n03/02 - Trouxe o problema, informado o passo a passo para correção.</t>
  </si>
  <si>
    <t>eee18052-b129-46ed-a8d1-30058e039a3a</t>
  </si>
  <si>
    <t>Seller com oferta disponível porém ao colocar no carrinho informa que não é possível enviar\n12/02 - Seller trouxe a issue\n19/02 - Resolvido, por thread @watanabc\nhttps://t.corp.amazon.com/V2107915153</t>
  </si>
  <si>
    <t>97ce3e7a-2eed-4fb2-90bc-91f21124c4fb</t>
  </si>
  <si>
    <t>Seller possui uma remessa que ainda não foi entregue no FC.\n20/02 - Trouxe o problema.\nAberto um inbound issues\nhttps://t.corp.amazon.com/V2115274374\nEstão tratando no tt do @thalent - acompanhando.\nhttps://t.corp.amazon.com/V2115144863/communication\n26/02 - Será devolvido para o seller\n</t>
  </si>
  <si>
    <t>3dbc7bc7-1c6a-4d44-b08d-a92c009a27bf</t>
  </si>
  <si>
    <t>Seller gostaria de saber se algumas vendas estão com o pagamento confirmado.\n26/02 - Aberto o TT\nhttps://t.corp.amazon.com/V2121694795\n03/03 - Pedidos todos pagos.</t>
  </si>
  <si>
    <t>45d6640a-f038-46ec-a39a-db404161da34</t>
  </si>
  <si>
    <t>Seller está com um pedido do FBA onsite que já está faturado, porém, na plataforma consta que ainda não hà nota fiscal. \n</t>
  </si>
  <si>
    <t xml:space="preserve">795323312102November </t>
  </si>
  <si>
    <t>7a2a478d-5bd4-4d06-9b67-137b69262f6a</t>
  </si>
  <si>
    <t>Divergência entre faturamento e nota fiscal no FBA Onsite.</t>
  </si>
  <si>
    <t>c55712f2-a840-4afe-bb0d-fc18ebe64721</t>
  </si>
  <si>
    <t>Seller com cartão de crédito sendo recusado.\n05/03 - Trouxe a issue\nverificando com @anazen, @marcrra\nsolicitei para o seller atualizar o cartão.\n09/03 - Amazon BR - Feito.</t>
  </si>
  <si>
    <t xml:space="preserve">816067318102March    </t>
  </si>
  <si>
    <t>390b9f0c-8380-4325-9b63-bf046e87d44e</t>
  </si>
  <si>
    <t>B07FYNMF8B - Seller com oferta FBA bloqueada, invoicer.\n09/03 - Aberto tt de Offer unblock e solicitado para o vini rodar a queryhttps://t.corp.amazon.com/V2133740555\n10/03 - Desbloqueado.</t>
  </si>
  <si>
    <t>d268b735-fe12-4774-ac65-4abc800135fe</t>
  </si>
  <si>
    <t>caso 18823256011\nASIN B003PAOAWG\n\neste produto estava com problema para o cadastro, o suporte estava verificando para criarmos novo\npedido de remessa de entrada e nos criamos como solicitado.\n\nAgora informaram que 355 itens que tinhamos do asin foram "deletados\' pois nao resolveram o problema.\nPode nos ajudar?</t>
  </si>
  <si>
    <t xml:space="preserve">92771955402December </t>
  </si>
  <si>
    <t>33129c60-c1cb-4186-b1b6-53f4070358af</t>
  </si>
  <si>
    <t>Possui contas inativas na Amazon que ainda estão gerando cobranças e deseja manter ativa apenas sua conta no Brasil.</t>
  </si>
  <si>
    <t xml:space="preserve">20025747402November </t>
  </si>
  <si>
    <t>77b26a3c-3803-4aca-8a07-354e74e4b1c8</t>
  </si>
  <si>
    <t>140d49ab-9513-4345-be57-8efa04d5871e</t>
  </si>
  <si>
    <t>Remover avaliações negativas</t>
  </si>
  <si>
    <t xml:space="preserve">16898656902January  </t>
  </si>
  <si>
    <t>f0f4c988-fb36-40dd-8ef1-41407d8e0b26</t>
  </si>
  <si>
    <t>14/jan: ASIN ativo mas oferta indisponível devido a reclamações, instrui o seller a realizar a abertura do chamado para o time de SPS para montar o POA para reativação\n\n15/jan: ASIN ativo com o chamado aberto de SPS</t>
  </si>
  <si>
    <t>c7e50cb8-b994-4392-ba39-00d9e5b0748e</t>
  </si>
  <si>
    <t>12/jan: Seller entrou em contato sobre ASIN inativado, ao verificar foi questão de Product Policy Compliance, abri o TT de Bin Check para o GRU9 para prosseguir com a reativação\n\n15/jan: Time respondeu o bin check e montei o POA para o Seller realizar o envio\n\n20/jan: reforcei o caminho para reativação devido ao GMAS, encerrando como PSA</t>
  </si>
  <si>
    <t>750c3e0d-8919-4e19-86be-9f68f11fa64a</t>
  </si>
  <si>
    <t>20/jan: Teve units movidas para unsellable devido a estarem vencidas, ele informava que iriam se vencer apenas em março.\n\nInformei as regras de produtos consumiveis com data de validade e irão seguir com a remoção</t>
  </si>
  <si>
    <t>4dcfafc8-1368-46f1-8bb8-ca1e81d1fae5</t>
  </si>
  <si>
    <t>20/jan: seller entrou em contato referente a oferta hibrida, ele nao possuia estoque e cancelou os pedidos.\n\nRealizei a abertura do chamado de exemptions\nhttps://t.corp.amazon.com/V2080135343</t>
  </si>
  <si>
    <t>e0049dfe-96d7-4232-add9-9811c157aa95</t>
  </si>
  <si>
    <t>20/jan: Entrou em contato sobre vendas que sairam como Logistica do Vendedor sendo que só vendem em FBA\n\nEnviei o SOP</t>
  </si>
  <si>
    <t>a9892fa0-038f-4451-8483-2e5ae19e393f</t>
  </si>
  <si>
    <t>23/jan: Pediu para reativar a oferta e enviei o SOP</t>
  </si>
  <si>
    <t>d142ad59-3238-4b6f-97e9-98bffbccc0bc</t>
  </si>
  <si>
    <t>22/jan: Transaction id do reembolsos dos notebooks perdidos do ano passado, negados denovo.\n\nhttps://t.corp.amazon.com/V2082609731\n\n19/fev: novos transaction ID criados:\nTransaction ID: 21082155191\nTotal: 72737.35 BRL\n\nTransaction ID: 21080781981\nTotal:  72737.35 BRL\n\nAté 7 dias para aprovarem\n\n17/fev: criado o TT no cti correto\nhttps://t.corp.amazon.com/V2111908972\n\n26/jan: Enviaram novo transaction ID e informei ao seller.\n\n10/fev: negado denovo, novo tt\nhttps://t.corp.amazon.com/V2104228862</t>
  </si>
  <si>
    <t>193db660-0f6d-40db-addd-ca55392d1e20</t>
  </si>
  <si>
    <t>Task proativa, ASIN B07MFZLH2L bloqueado por informação no bullet point de emagrecimento.\n02/02 - Aberto task com offshoring\nhttps://na.winston.a2z.com/Seller-BR/task/10330\n06/02 - @jmenezf disse que não é possível porque o produto está inativo a dois anos.\n09/02 - Chamei via Slack e expliquei que o produto está inativo por conta da informação de fadiga e emagrecimento. Aguardando retorno.\n11/02 - Disse que iria verificar com o manager dele.\nDisse que é mais fácil excluir e listar novamente, por conta do tempo bloqueada.\nEnviado e-mail ao seller.</t>
  </si>
  <si>
    <t xml:space="preserve">358205651902February </t>
  </si>
  <si>
    <t>ba7c2686-1a1a-44a9-807e-bd9d0d26aca1</t>
  </si>
  <si>
    <t>Seller com pedido de entrega DBA em atraso (sem atualização de entrega).\n11/02 - Seller trouxe a issue. Aberto ticket para time de transportes DBA.\nhttps://t.corp.amazon.com/V2105352475\nAguardando ticket de logísitca AMZL do @emathuk\n\n</t>
  </si>
  <si>
    <t>ad812893-a7fc-448a-b6b1-0e848cc5fd0e</t>
  </si>
  <si>
    <t>Seller com problemas de colocar inventário no Onsite.\n11/02 - Trouxe a issue\n13/02 - aberto a atividade, conversei com Cristina Watanabe\n14/02 - Tentando descobrir o tt correto.\n(falha assunto ficou pendente de minha ação)\n23/02 - Aberto tt\nhttps://t.corp.amazon.com/V2118123822\n02/03 - Chamei o ops owner\nInformado o caminho com vídeo.</t>
  </si>
  <si>
    <t>d9565023-53b7-4fad-95d9-2a3e7a13f7d4</t>
  </si>
  <si>
    <t>Seller está tentando cadastro de duas novas marcas no Brand Registry, mas o e-mail de confirmação é enviado para o e-mail disponível no INPI. Só que perderam o acesso a esses e-mail. Estão questionando se é possível enviar para outro e-mail.\n23/02 - Trouxe a issue\nfalando com o @lfelipet</t>
  </si>
  <si>
    <t>9ee4652c-f228-4207-8670-b695b8c0cbd1</t>
  </si>
  <si>
    <t>Seller com ASIN B077NPRMHV em Recall PSI\n06/03 - Seller trouxe a issue\ninformado o SOP para enviar o recurso na tela de PSC\nSeller enviou. Aguardando.</t>
  </si>
  <si>
    <t xml:space="preserve">153775969402March    </t>
  </si>
  <si>
    <t>3c81bdee-8f0a-4a37-9146-a4ed32b31bdd</t>
  </si>
  <si>
    <t>ASIN B0BGT1BWVP - 195 units em defective, teve classificação hazmat, necessário colocar para sellable. \n13/03 - Seller trouxe a issue, aberto bin check com XCV9\nhttps://t.corp.amazon.com/V2139231970\n</t>
  </si>
  <si>
    <t>0e34fda4-a780-43f1-a7bd-e7180a425599</t>
  </si>
  <si>
    <t>ASIN B077NPRMHV - Seller com 946 units como defective.\n13/03 - toruxe a issue, aberto tt para GRU9 pedindo informações e alteração para sellable.\nhttps://t.corp.amazon.com/V2139238133\n\n</t>
  </si>
  <si>
    <t>d50d6df2-b9b1-4b92-8fa2-877ce934688e</t>
  </si>
  <si>
    <t>Seller que insenção das métricas de envios tardios. \n\nhttps://t.corp.amazon.com/V2098018862</t>
  </si>
  <si>
    <t xml:space="preserve">795323312102February </t>
  </si>
  <si>
    <t>0be42bea-dabf-4962-be82-92d899837910</t>
  </si>
  <si>
    <t>Bom dia !\ntudo certo?\nEstamos tentando fazer uma remessa mas todos itens aparecem essa mensagem de erro , consegue me ajudar a entender por favor ?\ntem algum bloqueio de envio ?\n\nResposta: Olá bom dia! Tudo sim e com você?\n\nRapaz não é problema não kkk realmente nossos CD\'s estão cheios. Quem conseguirá te ajudar vai ser o pessoal do grupo da Amazon no Whatsapp.\n\nCaso seja Curva A pergunta se da pra solicitar uma Hot PO.</t>
  </si>
  <si>
    <t xml:space="preserve">438747217402December </t>
  </si>
  <si>
    <t>278bc7dc-c03a-4ea2-af2c-8b756394e4b9</t>
  </si>
  <si>
    <t>Boa tarde!\nestamos tentando enviar uma remessa de telas mas para esse produto aparece que tem bloqueio de envio .\nConsegue me ajdudar a entender o motivo e como consigo corrigir nesse caso ?</t>
  </si>
  <si>
    <t>c2598b2e-6470-43c1-8fc2-a22237721845</t>
  </si>
  <si>
    <t>Boa tarde !\ntudo certo ?\nEstamos com vários pedidos com atualização divergente (entrega própria ) , existe uma forma de atualizar se foi entrege ou não em massa para esses produtos na plataforma ?\n\nResposta:\n\nOlá meus amigos! Boa tarde!\n\nTudo sim e com vocês?\n\nCaso seja uma transportadora parceira, irá atualizar. Caso não seja, não irá atualizar a informação.\n\nTem alguns pedidos de exemplo para checar?\n</t>
  </si>
  <si>
    <t>9cf6f09e-051b-4d20-844a-abbbe6a10118</t>
  </si>
  <si>
    <t>03/março: oferta inativada por falhaf iscal\nhttps://t.corp.amazon.com/V2126923580/information</t>
  </si>
  <si>
    <t xml:space="preserve">46733383915March    </t>
  </si>
  <si>
    <t>9684ae1b-cc65-4db2-9730-1cf55880b78c</t>
  </si>
  <si>
    <t>10/março: duvidas sobre reembolso de produtos danificados</t>
  </si>
  <si>
    <t>5f063858-38a0-436f-bbd6-d0c457a90735</t>
  </si>
  <si>
    <t>Hold Disbursements. https://t.corp.amazon.com/V2065343484</t>
  </si>
  <si>
    <t xml:space="preserve">549848560202December </t>
  </si>
  <si>
    <t>842b2264-9bf0-43a9-b2db-4150cd99853e</t>
  </si>
  <si>
    <t>Seller estava com problemas de integração e teve pedidos em LSR, pedido de insenção\n\nTicket:https://t.corp.amazon.com/V2074270241</t>
  </si>
  <si>
    <t xml:space="preserve">627010921602January  </t>
  </si>
  <si>
    <t>183e679a-e94a-4bb0-aea9-0adb3b98ad77</t>
  </si>
  <si>
    <t>Seller teve a coleta de FBA, mas dos 22 volumes somente 5 foram coltetadas. \n\nTT: https://t.corp.amazon.com/V2082454650</t>
  </si>
  <si>
    <t>fadf40f0-dd7c-4959-acaa-cd1be8273af2</t>
  </si>
  <si>
    <t>Seller estava com duvida sobre seu inventario, pos solcitação de removals \n\nhttp://t.corp.amazon.com/V2090052267/communication</t>
  </si>
  <si>
    <t>6d590466-753b-477d-bd39-e8fdbc5be5c8</t>
  </si>
  <si>
    <t>Relatou problemas ao criar contas para novos usuários. Entrando em looping quando direcionado para verificação.\n\nVini escalou via e-mail.</t>
  </si>
  <si>
    <t xml:space="preserve">1030040901202February </t>
  </si>
  <si>
    <t>5768a327-fd11-4787-ac01-b90b43bbca36</t>
  </si>
  <si>
    <t>Seller com alguns ASINs em Recall, solicitado o certificado anatel. Enviado e-mail para electronics-safety e aberto ticket</t>
  </si>
  <si>
    <t xml:space="preserve">656484931002November </t>
  </si>
  <si>
    <t>a03180d0-fcfb-4cd7-8af1-f2c738abb713</t>
  </si>
  <si>
    <t>ASIN em Recall UPSTREAM_PRODUCT_SAFETY_CONTROL. solicitado certificado anatel</t>
  </si>
  <si>
    <t>2cced10c-6047-448a-b778-a551441a4b72</t>
  </si>
  <si>
    <t>Seller deseja alterar o nome do tipo de produto. Aberto TT Winston, falta a correção de um ASIN B0FYJ6G52N</t>
  </si>
  <si>
    <t>eb240238-11fa-4010-9f37-ee8a781ce68e</t>
  </si>
  <si>
    <t>Oferta inativa, blacklist. A to Z foi revertida para o seller, aberto ticket reinstatement</t>
  </si>
  <si>
    <t>97ca8282-6323-4115-ac1e-6c694a7e3a3e</t>
  </si>
  <si>
    <t>Seller com alguns ASINs em Recall UPSC\n</t>
  </si>
  <si>
    <t>a7b78d4d-709e-4bcd-bf1f-ea1b0ca01168</t>
  </si>
  <si>
    <t>ASIN ZLIP 7 em Recall UPSTREAM_PRODUCT_SAFETY_CONTROL.</t>
  </si>
  <si>
    <t>0d9fb0fe-07e1-4273-b80f-d88b5a0c1019</t>
  </si>
  <si>
    <t>ASIN S25+ em Recall UPSTREAM_PRODUCT_SAFETY_CONTROL.</t>
  </si>
  <si>
    <t>170955f7-5a62-44c3-986c-c6b3ea56ce3d</t>
  </si>
  <si>
    <t>ASIN Galaxy A36 em Recall UPSTREAM_PRODUCT_SAFETY_CONTROL.</t>
  </si>
  <si>
    <t>5728c7cd-9ebc-47e5-9dac-211cbab41361</t>
  </si>
  <si>
    <t>Seller informa que possui duas ofertas não disponível. ASINs sem estoque.</t>
  </si>
  <si>
    <t>f6b48676-969c-46a3-b2c5-d2102e242386</t>
  </si>
  <si>
    <t>ASIN em UPSC Galaxy A17</t>
  </si>
  <si>
    <t>d0253264-9d7f-4bdc-95dc-270547e58dd0</t>
  </si>
  <si>
    <t>UPSC Galaxy A26</t>
  </si>
  <si>
    <t>d5c9352f-f32d-4fd1-8e07-8081127224af</t>
  </si>
  <si>
    <t>UPSC Galaxy A16</t>
  </si>
  <si>
    <t>e59ace59-5d23-410a-bad1-d2575f05a74c</t>
  </si>
  <si>
    <t>ASIN S25 em Recall UPSTREAM_PRODUCT_SAFETY_CONTROL.</t>
  </si>
  <si>
    <t>70f7e77e-ea70-4794-9d35-d25f2056997d</t>
  </si>
  <si>
    <t>Contestação do Difal\n</t>
  </si>
  <si>
    <t xml:space="preserve">11613361102August   </t>
  </si>
  <si>
    <t>54bfa082-7aeb-4446-abb2-abcda957ae78</t>
  </si>
  <si>
    <t>Fazer o acompanhamento dos chamados de reembolso que o vendedor não recebeu\n\n18354625301\n18354710961\n18354861631\n18354157651\n18354701821\n18354759771\n18354597641\n18354915421\n18354310121\n18354699431\n18354215191\n18354970811\n18354772231\n18354268351\n18354932831\n18354901131\n18354992801\n18354373691\n18354414301\n18354989881\n\nTodos foram respondidos pelo time de SPS, todos os pedidos mencionados no caso houveram reembolsos e fazem mais de 6 meses, passou do tempo do seller recorrer eles</t>
  </si>
  <si>
    <t>2c9c1a43-a704-4fe3-bd82-81ef804d595d</t>
  </si>
  <si>
    <t>Seller solicita remoção de avaliação negativa</t>
  </si>
  <si>
    <t xml:space="preserve">241419664602January  </t>
  </si>
  <si>
    <t>b66e2a57-fbd8-4169-8941-f7cec038932f</t>
  </si>
  <si>
    <t>Seller deseja que nas miniaturas da variação tenha uma imagem nas opções.\n30/01 - Trouxe a Issue, aberto task winston\nhttps://na.winston.a2z.com/Seller-BR/task/10275\n03/02 - oblancor abriu um tcorp https://t.corp.amazon.com/V2096547261\n05/02 - Time disse que não seria possível pois isso afeta a nível global por conta da combinação de imagem + tipo de produto.\n09/02 - Chamei @oblancor no slack e expliquei que o seller tem outros ASINs configurado dessa forma. Aguardando retorno.\n10/02 - Familia de variação por estilo (como no caso do seller) não é possível colocar imagens na categoria de variação.\nPossível em casos de variação por cor.</t>
  </si>
  <si>
    <t>690ddc5b-d01d-40ae-8fbe-be96212145a3</t>
  </si>
  <si>
    <t>Tivemos um pedido que esta contabilizando envio tardio, porém, foi enviado no dia correto. Consegue solicitar a remoção por favor? Estou te enviando as informações e provas de envio.</t>
  </si>
  <si>
    <t xml:space="preserve">351067276502January  </t>
  </si>
  <si>
    <t>abf27466-c374-4a9c-a5c1-5de7232bae44</t>
  </si>
  <si>
    <t>20/JAN: Seller contestar o valor das taxas cobradas em 240 pedidos do FBA. Chamado 19191122451 em análise.\n\n21/jan: Responderam o chamado 19191122451  e precisam confirmar as datas negociadas para chear os pedidos e apenas a AM tem essa informação. Tentei contato no slack com o AM e sem sucesso.\n\n26/jan: tentei um novo contato com a AM, porém no chamado informaram para falar diretamente com a Luciana</t>
  </si>
  <si>
    <t>3fdef49d-8431-4526-a8a1-43022853b91b</t>
  </si>
  <si>
    <t>15/jan: Contestar AtoZ do pedido 701-5210079-6669806, foi reembolsado para o cliente porém o mesmo não devolveu o produto. Solicitei o comprovante de entrega.\n\n16/jan: Cobrie novamente</t>
  </si>
  <si>
    <t>a8ed2f6a-5e4b-4d0f-acb4-a0e0cc23d7ec</t>
  </si>
  <si>
    <t>15/jan: Entrou em contato para contestar comentários negativos, mostrei o caminho para contestar.\n\nPedidos:  701-3048440-2952255 / 701-2445813-4206601</t>
  </si>
  <si>
    <t>01caa7f2-e68d-4ea2-a982-506b7165a322</t>
  </si>
  <si>
    <t>28/jan: a Ju entrou em contato no chat solicitando a isenção, que está sendo impactada erroneamente\n\nhttps://t.corp.amazon.com/V2089843850\n\n29/jan: O robo fechou o chamado informando que não era ES e que não poderia seguir com o exemption, abri na CTI correta\n\nhttps://t.corp.amazon.com/V2091024124\n\nEscalation: https://issues.amazon.com/issues/f7494102-6b3b-42ee-bf7b-f5f5b7186314</t>
  </si>
  <si>
    <t>6cfa74db-3211-43c3-bddd-693094444239</t>
  </si>
  <si>
    <t>última resposta da amazon no chamado foi dia 06/08</t>
  </si>
  <si>
    <t xml:space="preserve">11613361102July     </t>
  </si>
  <si>
    <t>7539d846-26be-4225-a62d-1dd9dcaef534</t>
  </si>
  <si>
    <t>seller solicita remoção do impacto, já passei pra Dani</t>
  </si>
  <si>
    <t>3625c1e9-560d-422a-9221-53aeb223352b</t>
  </si>
  <si>
    <t>Seller entrou em contato sinalizando alguns ASINs que estão inativos solicitando o certificado de conformidade para ativação.\n\nInicialmente abri o chamado para o time de RISC: https://t.corp.amazon.com/V2122758285 e fui indicado para este CTI: https://issues.amazon.com/issues/V2125763705</t>
  </si>
  <si>
    <t xml:space="preserve">631818497202March    </t>
  </si>
  <si>
    <t>8a634c2a-32bc-4744-a002-fe36835e5141</t>
  </si>
  <si>
    <t>Os ASINs apresentados pelo seller estão inativos devido o certificado inmetro, para abrir para o time de RISC é necessário inserir o ID do modelo que constam no certificado enviado. Abri o chamado para offshoring inserir essa questão: https://na.winston.a2z.com/Seller-BR/task/11565 / após isso será aberto chamado para RISC</t>
  </si>
  <si>
    <t>60bfd22f-4924-4c96-9fca-2d47e25cc51e</t>
  </si>
  <si>
    <t>Seller solicitou uma retirada (pagamento) no dia 05/03 e até o momento não foi depositado. Retiradas feitas após essa data, já foram depositadas, mas essa em específico não.\nAberto um chamado para o time de payments: https://t.corp.amazon.com/V2137752171</t>
  </si>
  <si>
    <t>03d606ce-2ce7-485a-aa3c-6d24945bc7f8</t>
  </si>
  <si>
    <t>Seller queria o relatório de conciliação financeira de dez.</t>
  </si>
  <si>
    <t xml:space="preserve">549848560202March    </t>
  </si>
  <si>
    <t>a8ca6ec2-09a2-4935-83ea-8bc49348e998</t>
  </si>
  <si>
    <t>Legal case, solicitou mais informações do chat pós venda com a amazon, poré,m não temos acesso, passei o caso para o MC (Alexandre Werner) e aguardamos resposta.</t>
  </si>
  <si>
    <t>11613361102September</t>
  </si>
  <si>
    <t>97cf7c34-864a-478f-a74b-5d000d1a2bf8</t>
  </si>
  <si>
    <t>Seller gostaria de contestar o reembolso de alguns pedidos e mostrei o caminho correto através do Seller Central</t>
  </si>
  <si>
    <t>13757c3e-e85d-42d0-a250-4dacb58e5162</t>
  </si>
  <si>
    <t>Processo judicial, encaminhei as informações para a POC</t>
  </si>
  <si>
    <t>bb036c1a-12e9-4d8e-92ed-23bfb9080ede</t>
  </si>
  <si>
    <t>seller solicitou isenção de métricas de um pedido que o cliente cancelou</t>
  </si>
  <si>
    <t>fb489157-e2d8-411e-92cd-d1503610f3c9</t>
  </si>
  <si>
    <t>Recebeu pagamento em dolar e queria entender. - 18534063191. Ao verificar o chamado o time de SPS pediu um print da transação, porém eles não enviaram, realizei uma cobrança e não tive retorno.</t>
  </si>
  <si>
    <t>16bff045-3af0-4f0d-900d-d9d3defd6ec4</t>
  </si>
  <si>
    <t>Pode me ajudar com o sku: 84858. Possui estoque, porém não está refletindo no front. Segue print. Asin: B0FBHL5XCZ</t>
  </si>
  <si>
    <t xml:space="preserve">366327938802December </t>
  </si>
  <si>
    <t>0dae9c17-dfaa-46b6-b5b5-3f482098df2f</t>
  </si>
  <si>
    <t>bca5bf9f-ba70-4bcf-8f31-3338bcb8f412</t>
  </si>
  <si>
    <t>Me ajuda com os skus 84135 e 84137, são da nossa marca, ajustei bullets e descrição, mas a descrição não está sendo ajudada. O produto não possui a função Sleep.</t>
  </si>
  <si>
    <t>34eb5949-9fe7-4d74-bc38-99b2a3864313</t>
  </si>
  <si>
    <t>Não consegue dar match por imagens estarem erradas</t>
  </si>
  <si>
    <t>55d8a134-19ab-4a1a-9d40-15080f6bb700</t>
  </si>
  <si>
    <t>aquele erro que não se pode ser nomeado!</t>
  </si>
  <si>
    <t>d9668bc4-2480-4c5a-9bd0-8bb9a58f6080</t>
  </si>
  <si>
    <t>Abri um chamado de inbound issues para reembolso do envio FBA19246KR0M</t>
  </si>
  <si>
    <t xml:space="preserve">551856008602December </t>
  </si>
  <si>
    <t>1d6dbf86-bff7-4b07-8546-a59fa2465592</t>
  </si>
  <si>
    <t>Envio fechado com descrepâncias</t>
  </si>
  <si>
    <t>3b8e4967-9f70-4b29-8eed-27c24c03bf78</t>
  </si>
  <si>
    <t>ASIN inativo por estar em policy compliance</t>
  </si>
  <si>
    <t>aee2b64c-7283-486c-9a84-ed86104cf615</t>
  </si>
  <si>
    <t>Abrir os chamados pro Viktorcae\n18528584401, 18275475781, 18589205551 , 18590284901, 18626649271, 18701621801, 18892565101 , 19059477591 (refutei)</t>
  </si>
  <si>
    <t xml:space="preserve">24386750602January  </t>
  </si>
  <si>
    <t>fee05b22-69d2-46df-86b0-79132eb1bb98</t>
  </si>
  <si>
    <t>16/jan: Seller enviou uma planilha com 19 pedidis que gostaria de contestar reembolso\n\nMontei uma planilha compartilhada para tratarmos os casos e atualizaremos por lá, já que será uma tarefa longa e ele irá acrescentar novas issues.</t>
  </si>
  <si>
    <t>c0106122-d8a5-4ca7-9a7c-fafbd19967da</t>
  </si>
  <si>
    <t>30/jan: Removals aparece concluido mas eles inforam que nunca receberam\nhttps://t.corp.amazon.com/V2092262389\n\nBug POA1\n\n02/fev: Comuniquei ao vendedor e será feita uma nova tentativa de entrega</t>
  </si>
  <si>
    <t>baf60c88-b041-4eee-9d89-df160fbbb96d</t>
  </si>
  <si>
    <t>3/fev: Questionou o motivo do ASIN estar inativo, informei o motivo e solicitei POA\n\n5/fev: https://t.corp.amazon.com/V2099157232</t>
  </si>
  <si>
    <t xml:space="preserve">449549597602February </t>
  </si>
  <si>
    <t>cfb67abe-ac72-4865-940a-eaba52abcef9</t>
  </si>
  <si>
    <t>06/fev: duvidas da integração do link de rastreio</t>
  </si>
  <si>
    <t>2aecd924-72e3-4166-8d50-6a5e608f02d9</t>
  </si>
  <si>
    <t>3/fev: entrou em contato sobre vendas FBA saindo como MFN</t>
  </si>
  <si>
    <t>ea789c22-8c8f-4bee-86fc-6331897fcdc7</t>
  </si>
  <si>
    <t>09/fev: Questionu sobre o envio FBA196RPYSZX, e não indentifiquei nenhum problema no recebimento</t>
  </si>
  <si>
    <t>b0d51552-c7b1-48a8-a92e-4a53d588e162</t>
  </si>
  <si>
    <t>12/fev: dúvidas fiscais\nhttps://t.corp.amazon.com/V2106411398\n\n13fev: Vendedor comunicado</t>
  </si>
  <si>
    <t>d8505b61-8b60-4958-959c-77ca56be8c9b</t>
  </si>
  <si>
    <t>19/fev: vendedor quis contestar discrepâncias, porém não recorreu ao ILAC. Direcionei como tem que ser feita a discrepância.\n\nBincheck: https://t.corp.amazon.com/V2114136193\n\nChamado para transportadora: https://t.corp.amazon.com/V2114886243</t>
  </si>
  <si>
    <t>efd60fc2-9804-4c15-ace7-716f3e1efae0</t>
  </si>
  <si>
    <t>26/fev: Tentou lsitar os produtos, porém não solicitou aprovação da categoria</t>
  </si>
  <si>
    <t>ca11ba43-27ff-46d7-89d7-8ecc27a0d71f</t>
  </si>
  <si>
    <t>Informo que a Amazon identificou que violamos as políticas por autenticidade no ASIN B0F2B1D586 porém a afirmativa não procede.\nNós possuímos todas as evidencias de autenticidade e compra via distribuidor autorizado, precisamos que a oferta volte a ficar ativa e competir no buybox, e principalmente que a violação seja desconsiderada.\n\nPodem nos ajudar?</t>
  </si>
  <si>
    <t xml:space="preserve">25248213105January  </t>
  </si>
  <si>
    <t>91063564-50e1-4fee-a0f3-162442445b55</t>
  </si>
  <si>
    <t>14/jan: Chequei o Desempenho da conta e tratei uma reclamação\n\n20/jan: cobrei o TT</t>
  </si>
  <si>
    <t>7ac33d31-53a3-47e6-a658-e0ad9fcf2531</t>
  </si>
  <si>
    <t>14/jan: Iniciou o contato informando que não consegue cadastrar dois ASINs devido a erro de SKU Duplicado\n\n15/jan: parece que foi um bug temporário, seller conseguiu realizar o match</t>
  </si>
  <si>
    <t>1ba700b1-fd97-44d3-95d7-256f72d9923b</t>
  </si>
  <si>
    <t>27/jan: Vendedor nem entrou em contato e informei o número do chamado para remover o enforcement\nhttps://t.corp.amazon.com/V2088607602</t>
  </si>
  <si>
    <t>7f9a1a1c-5300-458a-81fb-97c1939a8bb3</t>
  </si>
  <si>
    <t>Seller diz que não nas devoluções o cliente recebeu o reembolso, mas ele não receberam os produtos de volta, caso de seller flex.</t>
  </si>
  <si>
    <t>183456830502September</t>
  </si>
  <si>
    <t>1f632beb-d878-4034-b967-ce6558fbd5f7</t>
  </si>
  <si>
    <t>Seller recebeu o produto de volta, mas estava com senha, orientei o seller a tentar fazer um "hard reset", aguardando respostas dele</t>
  </si>
  <si>
    <t>435dba43-4c19-4d64-8bf9-f46e703240f4</t>
  </si>
  <si>
    <t>Seller não estava conseguindo solicitar reembolso de uma pedido, mas ao verificar vi que o time de SPS já liberou</t>
  </si>
  <si>
    <t>d1ac631c-cddc-4947-8bd9-0b0edd1e4619</t>
  </si>
  <si>
    <t>Seller estava enfrentando problemas com autenticidade dos produtos. Solicitei me enviar o ASIN\'s que estão nessa questão.</t>
  </si>
  <si>
    <t xml:space="preserve">551856008602November </t>
  </si>
  <si>
    <t>1a751460-0745-48e9-8d61-93add65dcc28</t>
  </si>
  <si>
    <t>Seller está com problema em 3 SKU, aparentemente erro fiscal.</t>
  </si>
  <si>
    <t>4064cb94-565b-432c-8e4b-335fb12145e0</t>
  </si>
  <si>
    <t>Seller estava enfrentando problemas com autenticidade dos produtos, pedi para que me enviasse os ASIN\'s em questões.</t>
  </si>
  <si>
    <t>990c6fa1-37ce-40d9-87e6-f7e34245427a</t>
  </si>
  <si>
    <t>Asin\'s bloqueados: B07MFM38MM , B07G7JPTCV , B0C2ZS78K9 , B0F1ZHNVWZ</t>
  </si>
  <si>
    <t>3b4e0dd1-b41f-48fb-8da6-f48203715a1a</t>
  </si>
  <si>
    <t>2 envios para o FBA com divergência no recebimento.</t>
  </si>
  <si>
    <t>da3f5b9c-a053-410b-86c6-3c904e04150e</t>
  </si>
  <si>
    <t>705 un não foram contabilizadas no processo de inbound</t>
  </si>
  <si>
    <t>8d80f815-f105-4760-af92-dac649eb03bf</t>
  </si>
  <si>
    <t>30/jan: informou sobre o ASIN B0DFMNRWVP foi inativado por questões de autencidiade e o recurso foi negado.\n\nInformei o total de quantidades que as NFs tinham q ter e infomrei para enviar, caso seja recusado realizo o appeal interno</t>
  </si>
  <si>
    <t xml:space="preserve">1041281178802February </t>
  </si>
  <si>
    <t>4abfa49c-d9b6-42e7-94cd-293af94b8e84</t>
  </si>
  <si>
    <t>09/fev: appeal tinah sido aceito, e agora recebeu um email falando que não foi\nhttps://t.corp.amazon.com/V2103334125</t>
  </si>
  <si>
    <t>0598a317-ba83-48ce-9469-09eefca60b82</t>
  </si>
  <si>
    <t>11/fev: Pediu apoio pra classificação de hazmat</t>
  </si>
  <si>
    <t>ecd24c9b-fca3-45cd-bbc7-d087da4ff952</t>
  </si>
  <si>
    <t>13/fev: dúvidas sobre movimentação de estoque</t>
  </si>
  <si>
    <t>a581996b-751e-41b9-b36d-75132111132e</t>
  </si>
  <si>
    <t>09/março: seller entrou em contato para realizar a remoção com transportadora própria\nhttps://t.corp.amazon.com/V2133854163</t>
  </si>
  <si>
    <t xml:space="preserve">92771955402March    </t>
  </si>
  <si>
    <t>f9101b49-6db2-4e7a-a9ab-2ff6206b6ff3</t>
  </si>
  <si>
    <t>09/março: seller contesta discrepância no envio\nhttps://t.corp.amazon.com/V2133822256\n\n10/março: TT FBA https://t.corp.amazon.com/V2134803107</t>
  </si>
  <si>
    <t>d5a232e8-09d1-4f5e-88ff-346e7aa8a83f</t>
  </si>
  <si>
    <t>9/março: Pacote não retornou para o seller e estão recusando ILAC, informei oq ele tinha que fazer</t>
  </si>
  <si>
    <t>ec95128d-ec6d-4a57-8c9b-4db2b9d57dd0</t>
  </si>
  <si>
    <t>Seller criou uma family asin, ,mas no site está apresentando a mesma imagem para todos os child asin, solicitei pro time winston reavaliar Task: https://na.winston.a2z.com/Seller-BR/task/9230</t>
  </si>
  <si>
    <t xml:space="preserve">653955892602November </t>
  </si>
  <si>
    <t>82d42bc5-0306-437a-a12d-dce324a0736c</t>
  </si>
  <si>
    <t>Seller não estava conseguir criar envios pra FBA, informei que o motivo é porque o FC está cheio.</t>
  </si>
  <si>
    <t xml:space="preserve">509224899302December </t>
  </si>
  <si>
    <t>e640aa99-20f6-44e9-b5e1-4da00c7f93a5</t>
  </si>
  <si>
    <t>Seller tem 2 asin em GRU8 e precisa reativar pra que possam ser transferidos para GRU9</t>
  </si>
  <si>
    <t>19f98876-652d-431c-8dce-50e7d56b1e8d</t>
  </si>
  <si>
    <t>Dia 16/01 seller solicitou alteração de imagem no ASIN B08FNRQ3X9\nSolicitado no mesmo dia ao time de offshoring fazer essa alteração. https://na.winston.a2z.com/Seller-BR/task/10019</t>
  </si>
  <si>
    <t xml:space="preserve">1030040901202January  </t>
  </si>
  <si>
    <t>ce782fcc-427e-4e84-b9e8-d09d3f65eb29</t>
  </si>
  <si>
    <t>Dia 22/01 - Entrou em contato relatando que os clientes que realizaram a compra do asin, receberam produto diferente.\nDia 22/01 - Aberto um bin-check para conferir as unidades. https://t.corp.amazon.com/V2082301145</t>
  </si>
  <si>
    <t>cc889ae8-382f-4b36-a523-5740715d9797</t>
  </si>
  <si>
    <t>Seller esta com difuculdade de incluir video na sua oferta, encaminhei ele a sua o time de offershoring pra essa ação.</t>
  </si>
  <si>
    <t xml:space="preserve">481703768002October  </t>
  </si>
  <si>
    <t>efd1a656-6603-4c77-bf09-b594989fe67c</t>
  </si>
  <si>
    <t>Seller não estava conseguindo enviar os novos skus para fba, ao verificar eles não estavam na planilha.</t>
  </si>
  <si>
    <t>39a9b97d-db4a-4468-be03-317651195664</t>
  </si>
  <si>
    <t>Seller estava enfrentendo problemas pra criar um envio pra a amazon, apos investigação descobrimos que era um erro de tech</t>
  </si>
  <si>
    <t>31e98314-c448-4599-bfad-73907f27dd3e</t>
  </si>
  <si>
    <t>Seller esta com dificuldade de incluir estoque nos seus asin atraves do ONSITE, instrui ele a tentar pelo FNSKU</t>
  </si>
  <si>
    <t>bff30dac-5b42-4c9e-be57-9c47a2632717</t>
  </si>
  <si>
    <t>Dúvida sobre o tempo de análise dos pedidos.</t>
  </si>
  <si>
    <t xml:space="preserve">655945459902November </t>
  </si>
  <si>
    <t>2ef65319-a175-4470-b938-28c0a7a0e23f</t>
  </si>
  <si>
    <t>ASIN esta ativo no SC porém não reflete no site. https://t.corp.amazon.com/V2014902481\n\n</t>
  </si>
  <si>
    <t>e4af20d3-fd30-4ff3-a904-acede032e9a2</t>
  </si>
  <si>
    <t>Seller Flex Hazmat, contestar produto perigoso de classificação média. Pedir uma reclassificação</t>
  </si>
  <si>
    <t>414165418502September</t>
  </si>
  <si>
    <t>d404eb37-11c3-49b6-bca8-e7dce183e056</t>
  </si>
  <si>
    <t>ASIN inativo</t>
  </si>
  <si>
    <t xml:space="preserve">1041281178802October  </t>
  </si>
  <si>
    <t>04e9fb53-a6d6-4deb-b60c-ed3a1b616a9e</t>
  </si>
  <si>
    <t>Problemas para autorização de marca</t>
  </si>
  <si>
    <t>e0bb97fc-767b-42f8-bcd0-cf40ec95866f</t>
  </si>
  <si>
    <t>problema com a imagem conter o logo das olimpiadas</t>
  </si>
  <si>
    <t>691dfcf5-6575-4e93-ac52-e44cfd9cf51b</t>
  </si>
  <si>
    <t>Seller queria que liberassemos a subcategoria Infantil, porém ele só precisava enviar as fotos do produto para conseguir o approval</t>
  </si>
  <si>
    <t>a917ea7c-9768-47d6-bb37-f5ee4ac02718</t>
  </si>
  <si>
    <t>1 das marcas mesmo com o approval na Nic ainda teve gating, checando com o edu a melhor maneira de remover esse gating</t>
  </si>
  <si>
    <t>24f5bd44-38d3-4035-b110-286884b7b320</t>
  </si>
  <si>
    <t>liberação de categoria</t>
  </si>
  <si>
    <t>c79bcfb4-5238-4af7-9093-84c457611de9</t>
  </si>
  <si>
    <t>solicitação recusada de marca FINSCHER</t>
  </si>
  <si>
    <t>cafef6ce-43a1-4303-91f9-02e15cfc0f95</t>
  </si>
  <si>
    <t>Liberação para venda, nf recusada por ser filial</t>
  </si>
  <si>
    <t>6efd5cf9-e405-4543-a02f-c64571c6fda9</t>
  </si>
  <si>
    <t>599ebc86-08ca-40e9-a9f9-c22eb50e7ba8</t>
  </si>
  <si>
    <t>vendedor quer informações de um seller que vende produtos da buybox e teve reclame aqui</t>
  </si>
  <si>
    <t>50f11f3f-ffdf-4134-90eb-dc803c9d46e9</t>
  </si>
  <si>
    <t>Alteração do endereço de coleta DBA</t>
  </si>
  <si>
    <t xml:space="preserve">191336978502December </t>
  </si>
  <si>
    <t>93742781-7191-47fe-ac2a-d7bf37191aa8</t>
  </si>
  <si>
    <t>teve falha na integração</t>
  </si>
  <si>
    <t xml:space="preserve">351067276502November </t>
  </si>
  <si>
    <t>6a7f67e3-63a7-4dd6-a2f4-72dc313431e0</t>
  </si>
  <si>
    <t>Oferta inativa por listing price</t>
  </si>
  <si>
    <t>710aa6bc-4b94-4071-9e1f-b6f4e9e0a71c</t>
  </si>
  <si>
    <t>contestação de 35 garantias atoz</t>
  </si>
  <si>
    <t>1757d9da-d839-41f8-9d0f-615cdeb95685</t>
  </si>
  <si>
    <t>Isençaõ de metricas, enviaei o Education para o seller. \n</t>
  </si>
  <si>
    <t xml:space="preserve">24357990102November </t>
  </si>
  <si>
    <t>51eddc94-a839-4e98-a605-f62c3c4d299c</t>
  </si>
  <si>
    <t>Seller com ofertas inativas por conta de taxa de cancelamento\n10/03 - Trouxe a issue\nTaxa de cancelamento está em 0%\nOrientado a enviar o appeal e também abri ticket com enforcement\nhttps://t.corp.amazon.com/V2134882481\n11/03 - Conta reativada.</t>
  </si>
  <si>
    <t xml:space="preserve">971539676602March    </t>
  </si>
  <si>
    <t>467a682c-9210-4ad4-9603-434f0daa839a</t>
  </si>
  <si>
    <t>Seller com ofertas FBA inativas. Mesmo após reativação da conta, seller está com as ofertas bloqueadas.\n11/03 - Aberto chamado com o time de FBA e solicitado prioridade.\nhttps://t.corp.amazon.com/V2136120699</t>
  </si>
  <si>
    <t>1967689d-6b54-43a3-9a55-2df870bae3ca</t>
  </si>
  <si>
    <t>Seller questionou se teria coleta devido ao feriado nacional.</t>
  </si>
  <si>
    <t xml:space="preserve">247227556102December </t>
  </si>
  <si>
    <t>c426f486-69c7-4f2d-a284-41089e70755e</t>
  </si>
  <si>
    <t>Education sobre aonde fazer download do relatório de notas fiscais de serviço.</t>
  </si>
  <si>
    <t>a33f01ff-9263-4e56-adf0-e9eb62e5a2ec</t>
  </si>
  <si>
    <t>Pedidos pendentes.</t>
  </si>
  <si>
    <t>32a13107-00cf-476a-841f-bbbfe46d6471</t>
  </si>
  <si>
    <t>Pedido de remoção do FC.</t>
  </si>
  <si>
    <t>cfd4626c-19d7-4972-b45c-f0c30690f115</t>
  </si>
  <si>
    <t>Seller realizou um pedido de remoção a um pouco mais de um mês e está sem atualizações. \nhttps://t.corp.amazon.com/V2032028763</t>
  </si>
  <si>
    <t>c2a3f5b3-83c6-423c-a958-9b9b9a8e7dfa</t>
  </si>
  <si>
    <t>Pedidos não foram entregues.</t>
  </si>
  <si>
    <t>1af0b463-672d-4d36-a6e0-36e2940cdaaa</t>
  </si>
  <si>
    <t>Seller solicita correção de imagem de dois ASINs</t>
  </si>
  <si>
    <t xml:space="preserve">375080537802December </t>
  </si>
  <si>
    <t>6abbccd0-0645-4944-8d70-2dc0ef31f4af</t>
  </si>
  <si>
    <t>Oi, Tiago. Tudo bem? \n\nConsegue me ajudar em uma dúvida? Onde consigo localizar os ID do vendendor? \n\nObrigada.\n\nResposta: Olá boa tarde!\n\nConfigurações &gt; Informações da conta &gt; Informações da empresa &gt; Seu código do vendedor\n</t>
  </si>
  <si>
    <t>7dfa04f1-e115-48dd-a993-51159dbc8c74</t>
  </si>
  <si>
    <t>Seller com ofertas bloqueadas, erro faturador.\n03/03 - Seller trouxe a issue\nAberto tt\nhttps://t.corp.amazon.com/V2127267078\n04/03 - Ofertas ativas.</t>
  </si>
  <si>
    <t xml:space="preserve">55427353102March    </t>
  </si>
  <si>
    <t>b2960fad-3b31-407e-8eda-4e6b7f983a61</t>
  </si>
  <si>
    <t>Seller com ASIN B0FD4RZQZ1 em PSC (expirado).\n05/03 - Seller trouxe a issue, aberto bin check V2129674977 \nsem units disponíveis.\n06/03 - Achei caso de novembro dizendo que estava tudo certo.\nAberto SIF\nhttps://na.vici.pars.amazon.dev/mpa-escalations/#/caseDetails/1772803270896382?tab=1</t>
  </si>
  <si>
    <t>d91c2d0b-894d-4945-9f0c-b11c4c8e2f0a</t>
  </si>
  <si>
    <t>Alteração de imagem não refletindo. \n05/03 - Seller trouxe a issue.\naberto TT\nSolicitado para catálogo de 1P - Pixel pusher mais rápido.\nhttps://t.corp.amazon.com/V2129536688</t>
  </si>
  <si>
    <t>5ac82adb-949c-4169-b6a4-da1867603507</t>
  </si>
  <si>
    <t>B093Q9J5GB - Oferta inativada. Sem muitos detalhes.\n04/03 - rouxe a issue\nAberto tt para RBS\nhttps://na.winston.a2z.com/Seller-BR/task/11378\n09/03 - atualizar preço e/ou estoque.\n</t>
  </si>
  <si>
    <t>ba0ec44b-62f7-4bfb-b6a7-5d6dce133d5f</t>
  </si>
  <si>
    <t>B0DNTJWH12 - ASIN com oferta inativa.\n04/03 - Trouxe a issue\naberto TT RBS\nhttps://na.winston.a2z.com/Seller-BR/task/11367\n11/03 - Cobrei o assignee\n13/03 - Aberto SIF\nhttps://na.vici.pars.amazon.dev/mpa-escalations/#/caseDetails/1773424390062634</t>
  </si>
  <si>
    <t>f82e9b69-9396-4068-90fc-62635577f30e</t>
  </si>
  <si>
    <t>ASIN B0D4F7KMY2, seller com 308 unidades como danificado pelo distribuidor.\n03/03 - Seller trouxe a issue.\nAberto Bin Check para validar.\nhttps://t.corp.amazon.com/V2127236767\n09/03 - As informações de lote, validade, fabricação estão ilegíveis.</t>
  </si>
  <si>
    <t>e742bb5f-1255-41a1-8fc7-a9f992f40018</t>
  </si>
  <si>
    <t>Seller com oferta encerrada, sem muitos detalhes\n03/03 - aberto ticket com offshoring\nhttps://na.winston.a2z.com/Seller-BR/task/11363\n09/03 - atualiza estoque e/ou preço que a oferta retorna.</t>
  </si>
  <si>
    <t>459d409e-6ee7-4f0c-a53f-ee8970c26d3e</t>
  </si>
  <si>
    <t>Seller informa que possui ASINs no estado da conta. Verificado e estão ativos (23 ASINs)\nB09MSD7NS2,\nB0BNP18XVL,\nB086Y3575F,\nB083FL211Y,\nB09MSFBWHT,\nB0DJC1CDRS,\nB09MSDQ9GF,\nB086Y22R7J,\nB0BNP31W9R,\nB09MSF1Q7S,\nB0BSG2GPPH,\nB07DXDX151,\nB07FPZCLY4,\nB0CP6JKBQ9,\nB07PY4MJFJ,\nB0B3Z6MLDY,\nB0DJBZLG2L,\nB07FSRLRSH,\nB07MLLZH58,\nB07FRYM6W9,\nB07FSS1YR3,\nB0BNNY25VM,\nB0D3VFK9W9</t>
  </si>
  <si>
    <t>fea3ce75-ad6b-4d83-a6d1-05dc6587933a</t>
  </si>
  <si>
    <t>Seller com 9 ASINs em PSC, enviou a documentação.\n13/03 - Trouxe a issue. Analisando os ASINs e os documentos.</t>
  </si>
  <si>
    <t>98708106-886b-4d30-a199-357825419907</t>
  </si>
  <si>
    <t>Seller com 39 ASINs em PSC. Não enviou o recurso.\n13/03 - Trouxe a issue. Orientado a enviar, para conseguir escalar por aqui.\n\nB0CDDQ3XQF,\nB07FRYM46X,\nB07FS4YCHT,\nB0B3Z4M2SQ,\nB0D1DPJGFG,\nB07FRWFLB3,\nB09NDTVL23,\nB07STMV28B,\nB0D1DQ52HS,\nB083FKS7SP,\nB07DXJM24C,\nB083FLCWR9,\nB07P5H7RDX,\nB07SRLXYT2,\nB07FRTWCJJ,\nB07NWBJ2WL,\nB07DXKN41M,\nB0BJQHZGGN,\nB086Y2CKGT,\nB0B3Z9VLWJ,\nB07FS8SRY7,\nB0CBCT46QH,\nB0CB1M48FP,\nB09TBJHZ2Y,\nB07FRYM46W,\nB083FLFY95,\nB07FRTWD4Y,\nB083FL86N4,\nB0CB965S13,\nB07FRWHDMK,\nB07DX86HMV,\nB07T6PV22R,\nB083FKS7TC,\nB07SJDXJCV,\nB0GLSK4TB2,\nB09B1CV87D,\nB0D3MBHVDN,\nB08FRNB66V,\nB09TBKJN2Z,</t>
  </si>
  <si>
    <t>f4410cf1-db51-4bfb-8acb-8cf033ac0917</t>
  </si>
  <si>
    <t>Seller com ASINs com lista removida.\nASINs: B0FJV3SD3V / B0FJVD5ZPV \n09/03 - Trouxe a issue. Aberto tt para RBS\nhttps://na.winston.a2z.com/Seller-BR/task/11469</t>
  </si>
  <si>
    <t>ce6dd041-538d-4586-8595-9a41e2950e1b</t>
  </si>
  <si>
    <t>Seller está com 824 un constando como vencidas</t>
  </si>
  <si>
    <t xml:space="preserve">277711423902December </t>
  </si>
  <si>
    <t>2ff1fad1-d909-4ce5-9a3e-97d0d2ea9a9c</t>
  </si>
  <si>
    <t>Seller solicita auxilio de estornos aprovados pela Amazon para cliente que teve o pedido enviado e entregue.\n10/02 - Trouxe a issue\n11/02 - Aberto tt Self Ship\nhttps://t.corp.amazon.com/V2105541955\n24/02 - @larmizae disse que está investigando.</t>
  </si>
  <si>
    <t xml:space="preserve">133844711902February </t>
  </si>
  <si>
    <t>4f0937a4-201f-4201-98b7-53b31dcb6376</t>
  </si>
  <si>
    <t>Seller com algumas ofertas suprimidas.\n06/02 - Trouxe o problema (final do dia).\n09/02 - Aberto task offshoring.\nhttps://na.winston.a2z.com/Seller-BR/task/10506\n12/02 - B0CKXZ55G9 precisa forçar uma atualização para ficar ativo // B0CKC3MNKG enviar appeal via seller central, se der negado me avisar.</t>
  </si>
  <si>
    <t>6e1f8c06-6df2-4d26-ba8d-d0c0e5ee706a</t>
  </si>
  <si>
    <t>Isenção de métricas erro interno na precificação.\n19/02 - Seller informou o ocorrido.\n20/02 - Aberto tt de isenção.\nhttps://t.corp.amazon.com/V2115132502\n23/02 - Chamei @prathima no chime e no slack\n24/02 - Escalado via e-mail.\nSem resposta no ticket, mas olhei a conta, removido.</t>
  </si>
  <si>
    <t>285df30e-6c38-4376-8355-8637cf8d26b5</t>
  </si>
  <si>
    <t>Seller queria que a NFe de Serviço fosse emitida em um CNPJ diferente do que está cadastrado, informei que essa ação não é permitida.</t>
  </si>
  <si>
    <t xml:space="preserve">276705576602November </t>
  </si>
  <si>
    <t>f76bc4d7-5f88-43b1-a00a-db54374c2961</t>
  </si>
  <si>
    <t>Reclamações do produto, risco de inativação do asin</t>
  </si>
  <si>
    <t xml:space="preserve">625725137302December </t>
  </si>
  <si>
    <t>1b2a6d65-c714-4ed5-9184-8a403d02a2f0</t>
  </si>
  <si>
    <t>Problema de Policy Compliance</t>
  </si>
  <si>
    <t>06663498-d7eb-4683-83f9-4f1ca469dc23</t>
  </si>
  <si>
    <t>Cliente final solicitou reembolso direto com a Amazon e não foi reembolsado</t>
  </si>
  <si>
    <t xml:space="preserve">277711423902January  </t>
  </si>
  <si>
    <t>f745b674-6f53-4c47-a679-356bade261db</t>
  </si>
  <si>
    <t>Removeu a oferta e possui estoque no FC</t>
  </si>
  <si>
    <t>bfc961cf-7194-4dc1-acd1-924d4f089916</t>
  </si>
  <si>
    <t>Dia 23/01 - Seller entrou em contato relatando que estava com o  valor de 2.302.261,72 travado no repasse.\nDia 23/01 - Chamado foi aberto e concluído, sinalizando que esses valores foram adiados devido a entrega, porém, ja tem uma data estimada para lançamento. https://t.corp.amazon.com/V2083497193 \n</t>
  </si>
  <si>
    <t>743f5f46-9c9e-4b3e-bbac-88f498c9ba15</t>
  </si>
  <si>
    <t>Seller estava com problemas para Inboudar, ao checar vi que ele tinha 2 ASINs, um já possuia FNSku e ele estava enviando o ASIN errado.</t>
  </si>
  <si>
    <t>46733383915September</t>
  </si>
  <si>
    <t>d05f4e92-3fb1-4fe4-87f3-6ab62087cc6c</t>
  </si>
  <si>
    <t>Seller solicita insenção de métricas de envio tardio.</t>
  </si>
  <si>
    <t xml:space="preserve">45030065502October  </t>
  </si>
  <si>
    <t>b26d308f-804b-42e4-9490-8eb1707a7196</t>
  </si>
  <si>
    <t>seller precisa que altere o atribute de voltagem. https://na.winston.a2z.com/Seller-BR/task/9560</t>
  </si>
  <si>
    <t xml:space="preserve">690138852002December </t>
  </si>
  <si>
    <t>eeeb2cdb-7782-4c97-96f5-935a4f36d8f4</t>
  </si>
  <si>
    <t>Seller estava com os frete de 1M precisou alterar as dimensões do produto. pedi pra offshore realizar. https://na.winston.a2z.com/Seller-BR/task/9670</t>
  </si>
  <si>
    <t>837fc053-1bac-4420-a5d5-61729e4feef0</t>
  </si>
  <si>
    <t>Seller está com problema para dar permissão a usuarios.</t>
  </si>
  <si>
    <t xml:space="preserve">549848560202October  </t>
  </si>
  <si>
    <t>9612170e-facf-4d07-a81e-97120371e5b2</t>
  </si>
  <si>
    <t>Seller não está conseguindo colocar o numero de verificação na atualização da sua conta no seller central. abri um chamado V1936327306</t>
  </si>
  <si>
    <t>60238888002September</t>
  </si>
  <si>
    <t>58f5ff42-f507-4335-90fd-bed0d1e6ff75</t>
  </si>
  <si>
    <t>Seller solicitou uma garantia de AaZ para o pedido 701-0181564-0792272 - https://issues.amazon.com/issues/V1943711149 / https://issues.amazon.com/issues/V1948471406 / https://issues.amazon.com/issues/V1961157050</t>
  </si>
  <si>
    <t>8c6590f4-6d2f-4cc7-911c-2742e20f20f4</t>
  </si>
  <si>
    <t>Seller solicitou a garantia de AaZ para o pedido 702-6986732-8445864 - https://issues.amazon.com/issues/V1943717500</t>
  </si>
  <si>
    <t>d4c7d741-740d-4dba-ad98-71f1ac209c18</t>
  </si>
  <si>
    <t xml:space="preserve">10369153302December </t>
  </si>
  <si>
    <t>91cea53a-8b8d-4461-8458-eb51658d2023</t>
  </si>
  <si>
    <t>Entregamos a remessa FBA1940474SX na quinta feira dia 27/11 porem ainda nao deu entrada no estoque de voces. Sabe me dizer se alconteceu algo?</t>
  </si>
  <si>
    <t>1c68f74c-9c0e-48af-a1a8-28f07f90dcf6</t>
  </si>
  <si>
    <t>Boa tarde Tiago, tudo bem?\nPoderia nos ajudar com um pedido por gentileza, na plataforma consta " pagamento pendente" o cliente alega que está sem atualização desde 11/11. E o prazo de entrega desse pedido séria 27/11. \nSe trata de uma compra do FULL da Amazon. Ele alega que abriu chamado de suporte com vocês diversas vezes porém sem solução, segundo ele os atendentes falam que a responsabilidade do envio é da ( Loja).\nPoderia nos orientar de fato o que houve com esse pedido, e o que podemos fazer para ajuda-lo? \nAguardo retorno.\n\nPedido: 702-0973845-9357030\n\nResposta:\n\nEle comprou dia 19/11 e não foi confirmada a questão do pagamento. O prazo está até dia 10/01 justamente como data limite para realizar essa verificação e conseguirem liberar o pedido.\n\nRecomendo o cliente entrar em contato com a empresa responsável pelo Cartão. Caso ele tiver a comprovação sobre a aprovação da venda, me manda aqui que escalo internamente.</t>
  </si>
  <si>
    <t>2b96c683-7690-48ee-9625-70fe6e50a611</t>
  </si>
  <si>
    <t>702738d8-b0ca-4fe5-a7fa-0a233184573d</t>
  </si>
  <si>
    <t>Bom dia Thiago\n\nEstamos com problemas em finalizar uma lista de coleta do FBA Onsite, por conta do pedido B7tBP8QQh. Esta aparecendo prblema com SPOO.\n\nJa fizemos o passo a passo que contumamos fazer para solucionar o problema e nao foi. Caso aberto: 19063169101\n\nO que devemos fazer?\n\nAo analisar o pedido com problema (# 702-2096033-1387426) o pagamento estava pendente</t>
  </si>
  <si>
    <t>d0137cac-ede1-46ba-bf39-7c5194d5afe5</t>
  </si>
  <si>
    <t>Estamos com problemas em alguns produtos, porque estamos colocando estoque Onsite e estao aparecendo no seller central como reservados, e nao deixa ativo nosso anuncio e nao tem faturamento no nosso sitema.\n\nO que esta acontecendo? Porque nao estamos conseguindo vender nossos produtos na plataforma?</t>
  </si>
  <si>
    <t>d54d3c13-70ef-415c-9740-b0c997d0775e</t>
  </si>
  <si>
    <t>Gostaria de saber o motivo de bloqueio da oferta do ASIN B07G5TZSYJ\n\nNF RECUSADA ICS 815</t>
  </si>
  <si>
    <t>55975e74-2b2d-4bd9-83e6-6370de6fbd8e</t>
  </si>
  <si>
    <t>transferência</t>
  </si>
  <si>
    <t>bcdaa896-9071-438c-8c7c-bbf7d481842c</t>
  </si>
  <si>
    <t>SF inativado</t>
  </si>
  <si>
    <t>35a669d1-097b-44d3-aa8c-8dee5fcacbe8</t>
  </si>
  <si>
    <t>Estamos com 2 anuncios bloqueados por liberacao de marca. Consegue me ajudar por favor?</t>
  </si>
  <si>
    <t>050dcb14-b9c7-4b4a-8480-f400de3f4533</t>
  </si>
  <si>
    <t>Seller informa que está com problemas com a integradora.</t>
  </si>
  <si>
    <t xml:space="preserve">472181389102December </t>
  </si>
  <si>
    <t>28fdb30f-dc9c-4ebf-b534-ce05f7a5d1b4</t>
  </si>
  <si>
    <t>Seller informa que tem um pedido que está como aguardando pagamento no Seller Central e em OnSite informa para enviar.\nConforme informações obtidas com @etomtt deve se basear em Onsite</t>
  </si>
  <si>
    <t>08688054-5d7b-4a76-98db-4dc015ee6eb7</t>
  </si>
  <si>
    <t>Seller solicita isenção de métricas de dois pedidos por conta de oferta híbrida</t>
  </si>
  <si>
    <t>77947d92-abe0-464b-b7c9-2e0299a26f0b</t>
  </si>
  <si>
    <t>Seller com problema de oferta híbrida em dois ASINs</t>
  </si>
  <si>
    <t>277724e9-32c8-4feb-bf33-4d40e3c9f639</t>
  </si>
  <si>
    <t>Seller entrou em contato pra solicitar ajuda com o estado da conta, pois está com com categorização imprecisa. \n\nChamado: https://t.corp.amazon.com/V1975067413\n</t>
  </si>
  <si>
    <t xml:space="preserve">434163431202October  </t>
  </si>
  <si>
    <t>96a67cee-df99-47bd-bbd6-4fd45112fa78</t>
  </si>
  <si>
    <t>3/fev: Entrou em contato para classificar o ASIN, porém está em UTC5\nVi que o ticket estava rolando desde o mês 10:\nhttps://t.corp.amazon.com/V1967578297/communication\n\nSei mais delongas subi um email\n\n09/fev: Subi um novo email para quem estava assigned da correção de conflito de informações\n\n25/fev: subi abuse escalation\nhttps://na.vici.pars.amazon.dev/mpa-escalations#/caseDetails/1772024428193679\n\n03/março: Escalation para o  scchnde@amazon.com no email\nhttps://t.corp.amazon.com/V2125859004\n\n10/março: subi um novo SIF https://na.vici.pars.amazon.dev/mpa-escalations#/caseDetails/1773158501624267</t>
  </si>
  <si>
    <t xml:space="preserve">508996769902February </t>
  </si>
  <si>
    <t>a861828f-a6fd-4ba5-adb2-dfa7a710957a</t>
  </si>
  <si>
    <t>11/fev: Seller informou que não consegue vender produtos "novos" da HP mesmo com a autorização\n\nhttps://t.corp.amazon.com/V2105633334\n\nPedi o approval da CMM\n</t>
  </si>
  <si>
    <t>bfd222a3-6357-4ea3-a900-437ec46eb4a5</t>
  </si>
  <si>
    <t>13/fev: Seller quis inboundar mas estava com gating, passei o caminho para solicitar aprovação\n\n17/fev: seller não enviou recurso, cobrei novamente\n\n19/fev: Brand Role Permission:\nhttps://na.winston.a2z.com/Seller-BR/task/10743</t>
  </si>
  <si>
    <t>25120868-3e0d-45e4-8fdf-f1b91d4783a2</t>
  </si>
  <si>
    <t>23/fev: ASIN caiu pelo uso indevido da marca JBL.\n\nTicket para corrigir a GCOR:\nhttps://t.corp.amazon.com/V2118291319\n\n24/fev: abri para offshoring\nhttps://na.winston.a2z.com/Seller-BR/task/10847</t>
  </si>
  <si>
    <t>5b5d0df2-c3b2-4956-ad58-daf34f6c927e</t>
  </si>
  <si>
    <t>23/fev: vendedor informou que está recebendo reclamações por porduto diferente, e solicitou o bincheck\nhttps://t.corp.amazon.com/V2118213263\nhttps://t.corp.amazon.com/V2118213919\n\n03/março: escalation\nhttps://na.vici.pars.amazon.dev/mpa-escalations#/caseDetails/1772553230865940\n\n09/março:\nCobrei updates no escalation\n\n11/março: TT \nhttps://t.corp.amazon.com/V2136148858</t>
  </si>
  <si>
    <t>9f0fd8ea-d7b2-4dc3-89f4-b9e6a4264b86</t>
  </si>
  <si>
    <t>04/02 - 2 ASINs em policy compliance com recusa de nf, todas as informações solicitadas estavam corretas.\n04/02 - Aberto um chamado para backoffice fazer a verificação dessas recusas: https://t.corp.amazon.com/V2098032229</t>
  </si>
  <si>
    <t xml:space="preserve">625725137302February </t>
  </si>
  <si>
    <t>8b65eeaf-c5c2-4dcc-bcd9-8f7316b8d17f</t>
  </si>
  <si>
    <t>09/02 - aprovação da marca DEWALT negada\n09/02 - abri um chamado para o time de backoffice verificar o gating: https://t.corp.amazon.com/V2103338441</t>
  </si>
  <si>
    <t>e22ed1b8-3c84-4e95-8608-5c22884b8fdc</t>
  </si>
  <si>
    <t>19/02 - Alteração na imagem\n19/02 - Encaminhei a offshoring</t>
  </si>
  <si>
    <t>027945d7-52d9-4283-8354-7483b3d58e63</t>
  </si>
  <si>
    <t>seller teve aprovação da marca Boticário negada\nvi que está com gating e abri um chamado indicado no csi: https://t.corp.amazon.com/V2121647154\no chamado aberto não foi solucionado o problema, aberto um novo para o time de backoffice: https://t.corp.amazon.com/V2125756757</t>
  </si>
  <si>
    <t>bb237008-469c-487a-a889-90bd32eacae8</t>
  </si>
  <si>
    <t>3/março: informaram que despacharam os pedidos corretamente, porém a Amazon está puxando as informações com atraso\nhttps://t.corp.amazon.com/V2125755672</t>
  </si>
  <si>
    <t xml:space="preserve">658814193902March    </t>
  </si>
  <si>
    <t>cb65eb63-9b37-482d-9428-6112bdea1239</t>
  </si>
  <si>
    <t>3/março: devido a falha na integração tivemos que libera a isenção das métricas\nhttps://t.corp.amazon.com/V2127255499</t>
  </si>
  <si>
    <t>2d51f681-d140-4a67-a026-e17fd170d957</t>
  </si>
  <si>
    <t>Portfólio do seller segue como reservado e indisponível. \n11/02: Issue recebido \n11/02: Pedi para o seller forçar uma atualização \n13/02: tt aberto https://t.corp.amazon.com/V2107777020</t>
  </si>
  <si>
    <t xml:space="preserve">155525090602February </t>
  </si>
  <si>
    <t>34a0cf6c-7e3b-4761-9d73-c7c2e44b2959</t>
  </si>
  <si>
    <t>Teve duvidas sobre BB - Informei ao mesmo que as questões de BuyBox são tratados diretamente com o AM</t>
  </si>
  <si>
    <t xml:space="preserve">10369153302July     </t>
  </si>
  <si>
    <t>286ec2fb-45b4-43dd-b421-655cb17ab59d</t>
  </si>
  <si>
    <t>Seller gostaria de alterar o galpão de recebimento do seu fba - Falei com o NAM e ele conversou com o seller sobre o caso</t>
  </si>
  <si>
    <t>ad6baa80-f703-4f36-9092-28e7d06f9ffd</t>
  </si>
  <si>
    <t>aguardando resposta do seller com print do bug</t>
  </si>
  <si>
    <t>167e75bc-7e4d-44b9-b3c4-00ae4ffb21a1</t>
  </si>
  <si>
    <t>Seller questionou o motivo do seller não ter recebido o Código de Autorização para devolução pago, após a análise essa era a configuração do mesmo, caso ele queira mudar isso passei o caminho para resolution</t>
  </si>
  <si>
    <t>bd1f1711-fd09-4eb4-a3e4-56da4d639dac</t>
  </si>
  <si>
    <t>Informei ao seller o ticket para solicitar reembolso</t>
  </si>
  <si>
    <t>a59c99a0-5df8-4618-922d-217653f227f6</t>
  </si>
  <si>
    <t>seller gostaria de alterar o endereço de coleta/devolução, falei com a Owner e apresentei o caminho para fazer a solicitação - 18276167511</t>
  </si>
  <si>
    <t xml:space="preserve">361885515402August   </t>
  </si>
  <si>
    <t>dca03172-53f1-4e3f-ad85-6a84eba5c662</t>
  </si>
  <si>
    <t>Atraso na coleta</t>
  </si>
  <si>
    <t>3aa776f3-4d0a-4f55-aac7-65c212301203</t>
  </si>
  <si>
    <t>Seller teve problema para acessar o T-Rex\n\nOs pedidos nos quais estamos pendentes de prosseguir com o processo de devoulção são os seguintes:\n702-5594651-1553002\n701-3587893-4644213\n701-3218829-9420257\n702-3976944-2193069\n702-7741778-0081811\n\nCaso ocorra algum tipo de penalidade referente à estes pedidos, nós o avisamos.</t>
  </si>
  <si>
    <t>e58fa834-ef8f-45b6-a470-5f051c583ed3</t>
  </si>
  <si>
    <t>produto não tinha em estoque e vendeu, chamado 18241711101 , e solicitou a isenção de métricas</t>
  </si>
  <si>
    <t>6fc769f0-8a99-49a2-a5b2-7da58388d031</t>
  </si>
  <si>
    <t>coleta não passou</t>
  </si>
  <si>
    <t>043e8b92-d16d-4208-a662-29bbf3ce1fbd</t>
  </si>
  <si>
    <t>ASINS B00JUFT1CE, B0050SXKU4 e B00JUFT1E2 - inativos por contribution issues, foi aberto um ticket para ativação pro time de 3P, e funcionou</t>
  </si>
  <si>
    <t>30a48386-03e5-40e0-8a4c-500660430917</t>
  </si>
  <si>
    <t>Seller reclamou que os produtos estavam inativos, e mostrei como ele solicita a autorização de venda dos produtos\n\nB071DTLPMJ, B07TTJ15SN, B08CGB3YCF e B07MMP354N\n</t>
  </si>
  <si>
    <t>7d78998a-0671-4d67-878c-7c9fd36d5551</t>
  </si>
  <si>
    <t>Oferta hibrida</t>
  </si>
  <si>
    <t>17a245b4-03e8-45a1-9bd6-f83363919d48</t>
  </si>
  <si>
    <t>Produto está ativo no seller central e no csi, porém não esta buyable e possui ticket aberto\n\nB0D7FBKRBQ, B07SMLMFC6, B09YMGDN7F, B0BYTFZFDM, B0792DY2W3, \nB06XPG5RZP, B01M5DZ525 e B0977DL4HP\n</t>
  </si>
  <si>
    <t>f042273a-3586-4c52-9f3f-d0ee588dad86</t>
  </si>
  <si>
    <t>18276167511 - Alteração de endereço - Foi aberto um chamado pelo seller, e também abri um ticket pro time</t>
  </si>
  <si>
    <t>49b109b0-99fa-4a19-8917-8d75169e02a9</t>
  </si>
  <si>
    <t>6031ed0c-561d-4d76-a86b-3e507fbea5a1</t>
  </si>
  <si>
    <t>Seller abriu o chamado 18337729961 para correção do ASIN porém não refletiu corretamente, reforcei com o time de OffShoring</t>
  </si>
  <si>
    <t>10674a16-92b0-4779-983c-3315e3c9c043</t>
  </si>
  <si>
    <t>Seller teve os eans trocados entre os ASIN cadastrados, apri um wiston pra que o time possa fazer as alterações necessárias. ID: 8153 - criei um ticket solicitando a alteração. V1921221561 - BR-CATALOG-7707</t>
  </si>
  <si>
    <t>509224899302September</t>
  </si>
  <si>
    <t>7904ee02-d31f-43e6-bffe-a70f97e3b09f</t>
  </si>
  <si>
    <t>Seller teve o ASIN B0DSWK7DN1 transferido de FC, mas os itens estão reservados desde Maio. \nEstou aguardando ele me mandar os chamados que ele disse que possuia,</t>
  </si>
  <si>
    <t>f3e90e7b-4808-43b4-85bc-e342cd67569b</t>
  </si>
  <si>
    <t>Seller informa que esta com muitos pedidos com pagamentos pendentes. V1936435410</t>
  </si>
  <si>
    <t>fd9a3d54-4506-4bbc-a9b7-7bd1c51f99a0</t>
  </si>
  <si>
    <t>Seller não está conseguindo aplicar o preço desejado, questionei se ele configurou o preço minimo e o maximo da oferta antes.</t>
  </si>
  <si>
    <t>c2e898d1-ae74-4b7a-a2c3-67d34e4f7d79</t>
  </si>
  <si>
    <t>Seller disse que estava com problemas de adicionar o asin no A+, mas ao verificar o ASIN ainda estava inativo por isso a difilcudade.</t>
  </si>
  <si>
    <t>e509edea-5561-42b8-a447-d5aacfb78c0f</t>
  </si>
  <si>
    <t>Seller informa que está com problemas na imagem de um produto.</t>
  </si>
  <si>
    <t xml:space="preserve">375080537802November </t>
  </si>
  <si>
    <t>463bdb9b-20d3-4aa9-9da8-7d984a60c3d6</t>
  </si>
  <si>
    <t>Seller com problema na imagem, fez o cadastro do produto e a imagem não está disponível na oferta</t>
  </si>
  <si>
    <t>f854cf43-5a37-452d-86a2-e88d7f574bd6</t>
  </si>
  <si>
    <t>Olá, bom dia\nCaros, gostaria de solicitar apoio num caso de Produtos classificados como perigosos. \nNo caso, são itens da marca REALME que gostaríamos de fazer a venda, registramos os ASINs conforme disponível no portal porém eles estão classificados como "NÃO APTO PARA VENDA PELO PROGRAMA DE PRODUTOS PERIGOSOS" mesmo após envio Folha de isenção para baterias e produtos alimentados por bateria e Folha de isenção para produtos sem substâncias químicas nocivas.\n\nOs asins são: \nB0F53MKRNC\nB0F53KL4LG\nB0F53PNLTD\nB0FDQJ3H99\nB0F5Z5DG4K\nB0F5Z2G6F1\nB0F5XZFWRD</t>
  </si>
  <si>
    <t xml:space="preserve">46733383915August   </t>
  </si>
  <si>
    <t>d0529e9c-06e4-42da-a6b9-6cb2652bd13e</t>
  </si>
  <si>
    <t>ASINS Inativos.</t>
  </si>
  <si>
    <t xml:space="preserve">16137818802November </t>
  </si>
  <si>
    <t>113f8a72-02ef-4107-be40-4b554927556d</t>
  </si>
  <si>
    <t>06/fev: Remoção de avaliações negativas\nhttps://na.vici.pars.amazon.dev/mpa-escalations#/caseDetails/1770577323063230\n\n10/fev: Aguardando resposta do abuse escalation, comuniquei o seller\n\n13/fev: cobrei o SIF\n\n26/fev: aguardo resposta do chamado, enviei as provas do erro da nossa parte (email que a rafa mandou)</t>
  </si>
  <si>
    <t xml:space="preserve">16898656902February </t>
  </si>
  <si>
    <t>a7944221-3ae0-4b99-b7f1-dcb9fa77d3d0</t>
  </si>
  <si>
    <t>17/fev: entrou em contato sobre o ASIN inativado. Rodei a query de invoicer e foi devido o erro 697.\n\nSolicitei para o seller corrigir e segui com o desbloqueio da offer\n\nhttps://t.corp.amazon.com/V2114057547</t>
  </si>
  <si>
    <t>8e517b77-bb81-408d-a059-1e6a3ef4e316</t>
  </si>
  <si>
    <t>23/fev: seller entrou em contato que o usuário "jessica.amorim@inpower.com.br" tem a função "Ferramentas de produtos Recondicionados com certificado" ativada, porém não reflete no Seller Central.\n\nAo analisar vi que o usuário está pnedente de KYC\n</t>
  </si>
  <si>
    <t>b005ba7b-efea-4174-8572-882fb4232f08</t>
  </si>
  <si>
    <t>11/fev: informou que estava com problema de mismatch e pedi mais informações.\n\n12/fev: me respondeu com as informações do EAN, e quando verifiquei na verdade eram erros de cadastro. Enviei a planilha e aguardo me enviaram para encerrar a atividade.</t>
  </si>
  <si>
    <t xml:space="preserve">160165983902February </t>
  </si>
  <si>
    <t>d32a287b-04f8-4e03-9f87-3f451760c08e</t>
  </si>
  <si>
    <t>24/fev: seller informou que a informaçao do titulo está errada:\nhttps://t.corp.amazon.com/V2119233561</t>
  </si>
  <si>
    <t>829dc9f2-1453-4c1a-a672-451455b0af1a</t>
  </si>
  <si>
    <t>Atualização da variação. \n05/02: Issue recebido \n05/02: tt aberto https://na.winston.a2z.com/Seller-BR/task/10533\n20/02: Novo tt aberto para o time de catalogo https://t.corp.amazon.com/V2115171630</t>
  </si>
  <si>
    <t xml:space="preserve">45030065502February </t>
  </si>
  <si>
    <t>451aa30e-050f-4a7c-acd6-52b97be322a6</t>
  </si>
  <si>
    <t>Seller quer entender porque os pedidos foram cancelados depois da coleta.\n04/02: Issue recebdio \n04/02: tt https://t.corp.amazon.com/V2082620286</t>
  </si>
  <si>
    <t>b0ca4741-8e83-40bb-a17c-fe8a68e6078c</t>
  </si>
  <si>
    <t>Taxas de DBA iNCORRETAS\n05/02: Issue recebido \n05/02: tt aberto https://t.corp.amazon.com/V2099218098</t>
  </si>
  <si>
    <t>87448e4a-6818-4752-a56f-99d28b89a639</t>
  </si>
  <si>
    <t>Correção das taxas em DBA\n11/02: Issue recebido\n11/02: tt aberto https://t.corp.amazon.com/V2105621701/overview</t>
  </si>
  <si>
    <t>d8aed575-04bf-4742-9d89-52169a264c7c</t>
  </si>
  <si>
    <t>2 asins suprimidos pela cor errada na imagem em miniatura.\n18/02: Issue recebido\n19/02: TT aberto https://na.winston.a2z.com/Seller-BR/task/10742\n24/02: Offshoring abriu tt para corrigir as imagens https://t.corp.amazon.com/V2118412196/ https://t.corp.amazon.com/V2118414895</t>
  </si>
  <si>
    <t>ca44e9af-b251-4ef4-af79-9dc1e6ae31e0</t>
  </si>
  <si>
    <t>Seller está com o ASIN fora de DBA, mas ele estava com o indice de cancelamento alto, então a oferta foi inativada por segurança, mandei o enducation de como ele reativar a oferta</t>
  </si>
  <si>
    <t xml:space="preserve">124090551902August   </t>
  </si>
  <si>
    <t>dc8206a0-bb1b-4b5b-8e53-b1ce37840275</t>
  </si>
  <si>
    <t>Seller estava com 2 asins que estão inativos do inventário, mas por se tratar de produtos hazmat precisa-se de uma informações no cadastro do produto, orientei o seller a completar os campos que estão fantando.</t>
  </si>
  <si>
    <t>adb7dd15-eff7-4445-a5be-ed5a83e553e1</t>
  </si>
  <si>
    <t>Seller esta solcitando o link de denuncia de brand</t>
  </si>
  <si>
    <t xml:space="preserve">755841394202October  </t>
  </si>
  <si>
    <t>7b32eb76-be4b-4186-aa85-e3e88244e997</t>
  </si>
  <si>
    <t>trocar a marca de TGT para TGT Target</t>
  </si>
  <si>
    <t>24386750602September</t>
  </si>
  <si>
    <t>a1cadd7e-0103-440b-bb22-e008427acf77</t>
  </si>
  <si>
    <t>O produto PG-HR160-BG01 está no Onsite com o titulo e o EAN do SKU PG-HR160-RD01</t>
  </si>
  <si>
    <t>82fc24b3-e766-4c3f-b6c0-be71e59e8771</t>
  </si>
  <si>
    <t>DUvidas do repasse, houve alteração nos dados, com isso fica bloqueado até aprovar as informações e o repasse será feito no próximo ciclo</t>
  </si>
  <si>
    <t>a40ce43a-51c2-4599-a02f-6f982fe706d7</t>
  </si>
  <si>
    <t>Tiverem os reembolsos aprovados, porem ao checar internamente todos estavam cancelados</t>
  </si>
  <si>
    <t>4d8e7b0e-ca23-40f8-a790-1660144a0943</t>
  </si>
  <si>
    <t>Seller com ASIN B0FH11C33L em PSC, investigação de defective.\n03/02 - Trouxe o problema.\n04/02 - Aberto bin check\nhttps://t.corp.amazon.com/V2097940105\n09/02 - Aberto task com offshoring\nhttps://na.winston.a2z.com/Seller-BR/task/10524\n10/02 - Oferta ativa</t>
  </si>
  <si>
    <t xml:space="preserve">1005231704002February </t>
  </si>
  <si>
    <t>4efec004-356f-4342-808b-7801d78642fb</t>
  </si>
  <si>
    <t>Seller com oferta inativa precisa de aprovação, contudo sem muitas informações no seller central.\n05/02 - Seller trouxe o problema, aberto task winston.\nhttps://na.winston.a2z.com/Seller-BR/task/10455\n06/02 - Oferta ativa</t>
  </si>
  <si>
    <t>2a014e23-7980-4345-a9f5-29dc4f4f94ea</t>
  </si>
  <si>
    <t>Produtos são sortidos</t>
  </si>
  <si>
    <t xml:space="preserve">449549597602January  </t>
  </si>
  <si>
    <t>db9b9188-a820-4ca7-b857-740d98d82f3d</t>
  </si>
  <si>
    <t>units no FBA mas está em voldemort</t>
  </si>
  <si>
    <t>6978174e-3bfb-4e0c-8cf7-03a0653ce403</t>
  </si>
  <si>
    <t>Apoio para aprovação das marcas corretas</t>
  </si>
  <si>
    <t>6615c2ea-c839-49dd-b599-36b367e17dcb</t>
  </si>
  <si>
    <t>Erro 5461</t>
  </si>
  <si>
    <t>30e9c267-c599-4806-8e3f-91bc94127dce</t>
  </si>
  <si>
    <t>Ensinei ela a como recorrer uma avaliação negativa.</t>
  </si>
  <si>
    <t>aa6145dc-99d8-4526-8782-b00e89696f01</t>
  </si>
  <si>
    <t>12/jan: Pediu apoio para aprovação das marcas dos asins nas tags, mostrei como contestar a recusa\n\n14/jan: Foi recusado e suspeito que seja por filial, abri o tt para o time de Gating\n\n14/jan: Foi aberto o escalation</t>
  </si>
  <si>
    <t>ceac5e78-6069-436d-a538-a2f62e7cf785</t>
  </si>
  <si>
    <t>novos educations de como usar os serviços premium</t>
  </si>
  <si>
    <t>2b30a566-47d0-4384-bd75-2be59c296679</t>
  </si>
  <si>
    <t>19/jan: Solicitou a isenção de alguns pedidos por Error Pricing, abri o tT de exemptions\nhttps://t.corp.amazon.com/V2078727773\n\n20/jan: Cobrei no TT</t>
  </si>
  <si>
    <t>e52c44cb-99be-42c5-a3c6-64bc20bef94e</t>
  </si>
  <si>
    <t>21/jan: precisa de aumento de capacidade\nhttps://t.corp.amazon.com/V2081021729\n\n22/jan: aprovado e reflete em até 2 dias</t>
  </si>
  <si>
    <t>016b6ddc-0de7-4623-9f1f-f407e7f7904a</t>
  </si>
  <si>
    <t>19/jan: Seller não consegue converter o ASIN para FBA, não possui nenhum gating ou algo do tipo;\nAbri um chamado de Inbound Issues\nhttps://t.corp.amazon.com/V2078529513\n\n20/jan: Apresentei duas possíveis socluções:\n\nAinda aguardo retorno sobre os ASINs B077GZK45M e B077XLLY3Z.\n\nAnalisando melhor a situação, identifiquei que quando esses ASINs foram cadastrados, ainda possuíam restrições ativas. Para tentar resolver o problema, sugiro testarmos o seguinte procedimento:\n\nConverter temporariamente para Logística Própria (FBM) e salvar a alteração\nReconverter para FBA após a primeira etapa\nPor favor, verifiquem se esse processo resolve a questão. Caso não funcione, podemos partir para o plano B: excluir os ASINs e recadastrá-los do zero.\n\n21/jan: Questionei se deu certo o recadastramento dos ASINs eles informaram que sim, porém ao verificar no Seller central esses ASINs não estavam cadastrados.</t>
  </si>
  <si>
    <t>c18161e8-b350-472d-acdc-6dfbdd985af8</t>
  </si>
  <si>
    <t>19/jan: Quer contestar a decisão da inibição por preço.\n\n20/jan: confirmei e não é possivel remover, comuniqueo ao seller</t>
  </si>
  <si>
    <t>709531d7-159f-4d20-8df5-a6fa52cfc608</t>
  </si>
  <si>
    <t>15/jan: Entrou em contato perguntando sobre o ASIN que constava "a caminho", localizei o envio e abri o tt para o GRU9\nhttps://t.corp.amazon.com/V2074034818\n\n16/jan: O envio foi recebido em outra PO</t>
  </si>
  <si>
    <t>ef0c519e-b779-4b4d-867c-eaf61d0efe53</t>
  </si>
  <si>
    <t>30/jan: AM entrou em contato informando que ela estava com permissão de usuário, informei como prosseguir</t>
  </si>
  <si>
    <t>b07f9ab6-b04c-4c9b-8782-d864f227236d</t>
  </si>
  <si>
    <t>03/março: seller reclama de pedidos DBA saindo como MFN com logistica do Correios\nhttps://t.corp.amazon.com/V2126081630\n\n03/março: novo tt\nhttps://t.corp.amazon.com/V2127140300</t>
  </si>
  <si>
    <t xml:space="preserve">320035971002March    </t>
  </si>
  <si>
    <t>5ae7095b-facc-4726-8ed2-ddb67fcacb16</t>
  </si>
  <si>
    <t>2d4ee669-d2a5-452d-affe-5f4483132f61</t>
  </si>
  <si>
    <t>12/março: seller reclama que pedidos DBA estão caindo como MFN\nhttps://t.corp.amazon.com/V2137481795</t>
  </si>
  <si>
    <t>f7a02899-fcfc-4e01-b01b-0fdcd7f7164c</t>
  </si>
  <si>
    <t>09/março: seller reclama do prazo de promessa de entrega que está superior a 15d.\nhttps://t.corp.amazon.com/V2133666108</t>
  </si>
  <si>
    <t>f5817c63-38af-46ce-8a2b-a5ed872a0a7f</t>
  </si>
  <si>
    <t>11/março: tem todas métricas boas e recebeu a comunicação de PICKUP para DROPOFF\nhttps://t.corp.amazon.com/V2136557728</t>
  </si>
  <si>
    <t>a246bbe5-0984-4823-b1b5-79086601e7d1</t>
  </si>
  <si>
    <t>Seller questionou a demora para liberarem a retirada do full, esse erro foi devido ao Prime Day, onde foram congeladas todas solicitações devido ao alto fluxo</t>
  </si>
  <si>
    <t xml:space="preserve">11103651302July     </t>
  </si>
  <si>
    <t>34dcd8f3-25e2-4466-9897-285dbf5be33b</t>
  </si>
  <si>
    <t>Seller esta com produtos reservado no FC desde o recebimento. \n\nhttps://t.corp.amazon.com/V2096663878\n\n09/02 - https://t.corp.amazon.com/V2103226992</t>
  </si>
  <si>
    <t xml:space="preserve">601998582602February </t>
  </si>
  <si>
    <t>4eaee22b-cada-4a93-aac9-28043bf6412d</t>
  </si>
  <si>
    <t>Seller estava com o asin surpimido por erro 539</t>
  </si>
  <si>
    <t>e61b814c-2393-42d0-9560-9e82c4973389</t>
  </si>
  <si>
    <t>Os asins do seller precisam ser movidos de FC, mas até agora n foi realizado. \nhttps://t.corp.amazon.com/V2122927569\n03/03 - reabri o ticket</t>
  </si>
  <si>
    <t>875403e5-7b5e-4a8f-8e49-a25eab9e0cfa</t>
  </si>
  <si>
    <t>Alteração no campo "Marca"</t>
  </si>
  <si>
    <t xml:space="preserve">610886576January  </t>
  </si>
  <si>
    <t>9364f909-9762-429d-b19e-f29e82e557dd</t>
  </si>
  <si>
    <t>430f6e29-f01a-4fe1-996c-8edf192ed121</t>
  </si>
  <si>
    <t>19/01: Seller trouxe o ASIN B0DM6NSXHG com problemas de Policy Compliance.\n19/01: Aberto um chamado para o time de backoffice analisar a questão: https://t.corp.amazon.com/V2078740937\n\nNovo ticket: https://issues.amazon.com/issues/D391088363</t>
  </si>
  <si>
    <t>fd6b19f0-9eca-4e7f-a3f5-624aa5efca51</t>
  </si>
  <si>
    <t>Dia 21/01 - Seller entrou em contato sinalizando 39 ASIN\'s apresentado erro ao enviar para FBA (não possui espaço)\nDia 22/01 - Aberto chamado para FBA analisar essa questão : https://t.corp.amazon.com/V2082273273</t>
  </si>
  <si>
    <t>0dc05969-a89e-4d55-8976-7b20b0496b23</t>
  </si>
  <si>
    <t>Verificação de usuário</t>
  </si>
  <si>
    <t xml:space="preserve">474741185002October  </t>
  </si>
  <si>
    <t>63751420-6ec8-4eac-8542-05ab9e1c84c7</t>
  </si>
  <si>
    <t>isenção de despacho tardio devido a isntabilidade da AWS</t>
  </si>
  <si>
    <t>c73b42b1-b773-47a1-90c1-b58a3d877fb5</t>
  </si>
  <si>
    <t>Problema para liberação de usuário</t>
  </si>
  <si>
    <t>95b274ea-66bb-4150-ba78-448e65c0bda1</t>
  </si>
  <si>
    <t>Seller solicitou a alteração da descrição dos ASIN\'s: B0CFCPTKK9, B0B99BKF5H, B0D6Z9TKCS</t>
  </si>
  <si>
    <t xml:space="preserve">97596278102November </t>
  </si>
  <si>
    <t>60f86921-4432-45ad-814b-cba31e4292b5</t>
  </si>
  <si>
    <t>Seller informa que tem dois ASINs bloqueados. Tombstoned e PSC. Tombstoned corrigido informado o passo a passo para subir o recurso.</t>
  </si>
  <si>
    <t>36326cc1-1fcd-44d9-852c-05b3ea4fd2bf</t>
  </si>
  <si>
    <t>Seller solicita alteração da descrição</t>
  </si>
  <si>
    <t>10face56-9ffe-46e4-995a-00d0f4212136</t>
  </si>
  <si>
    <t>Seller solicita informação sobre o ASIN que seria reintegrado e continua inativo.</t>
  </si>
  <si>
    <t>a97e121b-6390-4f52-b81b-aa23adbd108c</t>
  </si>
  <si>
    <t>Seller solicita correção de descrição e título de 10 ASINs\n\n</t>
  </si>
  <si>
    <t>3069f6c1-9ad8-488c-8f5a-75b22acd43a1</t>
  </si>
  <si>
    <t>Seller informa que alteração realizada na descrição não está disponível. Reaberto ticket com 1P</t>
  </si>
  <si>
    <t>b7623763-228b-4cc3-b52f-d756d0a09a6f</t>
  </si>
  <si>
    <t>06/março: Seller pediu apoio para classificação de Hazmat para inboundar</t>
  </si>
  <si>
    <t xml:space="preserve">11103651302March    </t>
  </si>
  <si>
    <t>08040785-6dd1-4974-9d27-42eeac309015</t>
  </si>
  <si>
    <t>11/março: informou que preencheu a planilha fiscal correamente, porém, ao analisar verifiquei que ele usou o EAN ao invés do código SKU</t>
  </si>
  <si>
    <t>5faa881e-336d-4014-ab10-83bdfd479ffe</t>
  </si>
  <si>
    <t>09/março: Seller quer contestar discrepâncias\n\ntime FBA: https://t.corp.amazon.com/V2133903894\n\nFBA196RWFG4G: https://t.corp.amazon.com/V2133909218\nFBA1956MHGK5: https://t.corp.amazon.com/V2133911491\nFBA193VN6KK2:  https://t.corp.amazon.com/V2133912695\nFBA193BM8NTV: https://t.corp.amazon.com/V2133913348\nFBA193BC22PQ:  https://t.corp.amazon.com/V2133914008\nFBA197CXXC79:  https://t.corp.amazon.com/V2133915244</t>
  </si>
  <si>
    <t>bec0f360-a6e9-4c15-854e-5b279914cf58</t>
  </si>
  <si>
    <t>09/março: seller não conseguiu inboundar, ao verificar não cadastrou a planilha fiscal</t>
  </si>
  <si>
    <t>0774bdc4-4c4d-4bb2-88df-e4fa9c6a867b</t>
  </si>
  <si>
    <t>Seller não está conseguindo enviar 3 ASINs para FBA, erro de dimensões</t>
  </si>
  <si>
    <t xml:space="preserve">816067318102December </t>
  </si>
  <si>
    <t>20740bc2-ba28-41d2-a380-adf01c84d631</t>
  </si>
  <si>
    <t>Seller com dois ASINs com oferta inativa, query de invoicer, problema fiscal. Informado o passo a passo, aguadarndo seller realizar para solicitar o backfill</t>
  </si>
  <si>
    <t>583953b8-db90-4be0-819f-06036718d047</t>
  </si>
  <si>
    <t>Seller com duas ofertas inativas sem maiores informações.</t>
  </si>
  <si>
    <t>52192851-c24f-44fc-aafb-c295003cea22</t>
  </si>
  <si>
    <t>Seller deseja alterar o e-mail da conta master, pois não tem mais acesso então não consegue realizar a verificação de usuário.\n20/01 - MC trouxe o problema, verificando @mcathlen\n21/01 - me respondeu, pedi o CTI\n22/01 (a noite) - seller respondeu com as informações necessárias\n23/01 - aberto tt\nhttps://issues.amazon.com/issues/V2083460120\n23/01 - Não é possível alterar o e-mail da conta master por um e-mail que já está sendo usando na amazon por um usuário secundário.\nPendente o seller criar um novo e-mail.</t>
  </si>
  <si>
    <t xml:space="preserve">133844711902January  </t>
  </si>
  <si>
    <t>1f0d0d4f-8b40-4378-8f79-1f3ca030c29e</t>
  </si>
  <si>
    <t>Alteração de e-mail de telefone da conta owner.\n\n27/01 - MC trouxe a issue\n28/01 - aberto o tt (https://issues.amazon.com/issues/V2089947807), responderam que não é possível por conta da verificação de duas etapas (2SV)\n29/01 - Aberto o ticket para remover a verificação de duas etapas.\nhttps://t.corp.amazon.com/V2090882127\nDesativado\n02/01 - Seller está acessando mas está apresentando erro\n03/02 - MC confirmou que o seller consegue acessar a conta e erro resolvido.</t>
  </si>
  <si>
    <t>af12a0b6-ba26-4f2c-943c-74694106a249</t>
  </si>
  <si>
    <t>dúvida sobre solicitação da marca Guday direcionei ao seller o caminho que deve ser seguido.</t>
  </si>
  <si>
    <t xml:space="preserve">551856008602March    </t>
  </si>
  <si>
    <t>d0733498-3d16-4da1-8639-9e29787fe869</t>
  </si>
  <si>
    <t>05/03 - seller está com asin inativo devido reclamações de condições do produto.\naberto um bin-check: https://t.corp.amazon.com/V2129532792</t>
  </si>
  <si>
    <t>e6638a0f-5c1d-4f99-abfa-58738f179b60</t>
  </si>
  <si>
    <t>O seller teve seu KYC aprovado, mas a mensagem de "documentação em análise" continua no Seller Central, impedindo a adição de novos usuários à plataforma.</t>
  </si>
  <si>
    <t xml:space="preserve">475112640202November </t>
  </si>
  <si>
    <t>6751d55a-df04-455c-b413-cca4a2d2d54e</t>
  </si>
  <si>
    <t>Seller disse que o pacontes : AMZB698136517tx AMZB698143614tx não foram entregues até hoje e no sistema a tex não consta a informação - O produtos precisam ser recebidos pelo FC pra se criar um novo removal. - V1859760818</t>
  </si>
  <si>
    <t>625725137302September</t>
  </si>
  <si>
    <t>4254c069-e0a2-4765-be8d-5fa5ffb272f8</t>
  </si>
  <si>
    <t>Seller questiono o status do seu envio que está parado desde o dia 29/07. orientado a aguardar até o fim do prazo estipulado (30/09)- ticket aberto V1946135498</t>
  </si>
  <si>
    <t>d28fafad-7486-4ca0-9d03-63eea471e6b4</t>
  </si>
  <si>
    <t>Seller está com as fotos erradas no ASIN, disse que foi o time que subiu errado. Pedi que eles enviassem a imagens corretas pra pedir alteração. V1938208073</t>
  </si>
  <si>
    <t>80f25cb1-3378-460d-83dd-5f0823aba66a</t>
  </si>
  <si>
    <t>Seller reclama que as imagens não foram alteradas, no site está como image not available, abri um winston pra incluirem. https://na.winston.a2z.com/Seller-BR/task/8607/ seller mandou as imagens: https://na.winston.a2z.com/Seller-BR/task/8870</t>
  </si>
  <si>
    <t>7e858562-c486-46b5-95e6-3a0ed1f47604</t>
  </si>
  <si>
    <t>Seller gostaria de recorrer um reembolso, mostrei o caminho do Safe-T</t>
  </si>
  <si>
    <t xml:space="preserve">11103651302August   </t>
  </si>
  <si>
    <t>1542c37a-4292-4405-82d6-9d5a7742b00b</t>
  </si>
  <si>
    <t>seller queria recorrer reembolso, recomendei a abrir safe t</t>
  </si>
  <si>
    <t>d88580f7-c495-4211-965e-c5a0ba48f60e</t>
  </si>
  <si>
    <t>Fez um apontamento que estava irreconhecível as devoluções de Seller Flex, instrui abrir um chamado e realizar o apontamento para obter mais informações.</t>
  </si>
  <si>
    <t>29c0f375-87c9-4905-8490-9fef028d76bd</t>
  </si>
  <si>
    <t>Seller queria questionar sobre um reembolso de removal</t>
  </si>
  <si>
    <t>fe1e6c08-2ad8-4370-b241-6f4c3973d2f7</t>
  </si>
  <si>
    <t>Seller questionou a quantidade devolvida do pedido de remoção, as unidades ainda estavam em transporte.\nEle solicitou 135, devolveram 101, e as demais estão em pesquisa, pedi um bin check\nparece que o fc perdeu os outros itens, e deve aguardar enquanto buscam, caso não seja localizado ele será reembolsado automaticamente</t>
  </si>
  <si>
    <t>fc28d73d-0995-424e-b76c-95048d2eee04</t>
  </si>
  <si>
    <t>Seller recebeu produto de devolução diferente do vendido - passei o caminho do T-Rex e para ele abrir um ticket</t>
  </si>
  <si>
    <t>bb219345-7aca-417d-b8ff-26da67cc8d98</t>
  </si>
  <si>
    <t>ola, estamos com 4 produtos em processamento no centro de distribuição, e eles estão nos gerando custos pois não podemos vender nem retirar, segue SKU e ASIN dos produtos que estão em processamento:  \nsku:  4710483772146  asin:B0BFP75HNW\nsku:7898578154972    asin:B0DM9QLQMS\nsku: 4715302448967   asin:B073R559TB\nsku: 6941487288953   asin:B0CY5M8WHY</t>
  </si>
  <si>
    <t>107f9e3d-5ea0-4514-981b-dd2b92329480</t>
  </si>
  <si>
    <t>Shipment não fecha do pedido, para o cliente resgatar os pontos no Meliuz</t>
  </si>
  <si>
    <t xml:space="preserve">103928980802October  </t>
  </si>
  <si>
    <t>7da4c691-85d7-493a-9583-9ca5bb60f39a</t>
  </si>
  <si>
    <t>erro de sincronização de estoque</t>
  </si>
  <si>
    <t>011df9e7-e1f5-4263-b971-40854dc454e7</t>
  </si>
  <si>
    <t>seller vendeu um notebook e o cliente devolveu kit teclado e mouse</t>
  </si>
  <si>
    <t>2f2823d8-8fde-48a9-aafc-cb60d1365551</t>
  </si>
  <si>
    <t>Contestar reembolso SF</t>
  </si>
  <si>
    <t>0d0bab76-e841-4198-bc83-f19a25a95df8</t>
  </si>
  <si>
    <t>Seller com pedido para cliente sem atualização de entrega.</t>
  </si>
  <si>
    <t xml:space="preserve">94015899402December </t>
  </si>
  <si>
    <t>837b885a-267a-41f8-873e-2e98be2d1b4b</t>
  </si>
  <si>
    <t>Seller pediu ajuda com alteração de imagem de alguns ASINS</t>
  </si>
  <si>
    <t xml:space="preserve">55427353102November </t>
  </si>
  <si>
    <t>1c139366-673a-4284-8c6a-056a6d7c4921</t>
  </si>
  <si>
    <t>Seller não consegue enviar documentação do ASIN.\n\nChamado aberto: https://t.corp.amazon.com/V1994943866\n\nMas pedi pro seller tentar fazer um teste</t>
  </si>
  <si>
    <t>4e3b99bb-07d5-490e-93cb-c86160c079ab</t>
  </si>
  <si>
    <t>Seller informa que não está conseguindo enviar um ASIN para Seller Flex, estoque fica como reservado. Possui autorização para L1 e L2, questionado se fez o treinamento (ASIN L4)</t>
  </si>
  <si>
    <t>029cd91e-401f-4e82-a847-caa563b5ff9d</t>
  </si>
  <si>
    <t>Seller solicita atualização de imagem, aguardando envio das imagens</t>
  </si>
  <si>
    <t>00a4fdc7-d696-4998-93bb-38e21883beaf</t>
  </si>
  <si>
    <t>Seller informa que está com dois ASINs com violação de marca sendo que é brand owner, informado que se trata de um item que possui no produto da marca Orbeez.</t>
  </si>
  <si>
    <t>ff9b8ee8-12ea-4e81-ad9b-7f6b7c34fc1c</t>
  </si>
  <si>
    <t>Seller solicita que seja retirado um ASIN de uma família.</t>
  </si>
  <si>
    <t>95a06067-c34e-4941-923d-088c4a499f79</t>
  </si>
  <si>
    <t>Seller deseja configurar que não possui envios/operação no dia 16/02.\n04/02 - Trouxe a questão, aberto task.\nhttps://t.corp.amazon.com/V2097768428\n09/02 - Seller solicita a remoção do feriado, visto que agora terá operação no dia 16/02.\nTicket encerrado.</t>
  </si>
  <si>
    <t xml:space="preserve">153775969402February </t>
  </si>
  <si>
    <t>3d9c6bcc-cc96-459b-ba1e-2d792d69e42f</t>
  </si>
  <si>
    <t>Seller com oferta inativa, cliente recebeu algo diferente. Aberto bin check para enviar um POA via TCORP (bloqueio não está em account health).\n05/02 - Seller trouxe o problema.\nhttps://t.corp.amazon.com/V2098988942\n09/02 - Oferta ativa.</t>
  </si>
  <si>
    <t>230ba44f-d2d6-4154-baeb-aa28faef9c53</t>
  </si>
  <si>
    <t>Seller deseja configurar que não possui envios/operação no dia 16/02.\n04/02 - Trouxe a questão, aberto task.\nhttps://t.corp.amazon.com/V2097775457\n05/02 - Configurado</t>
  </si>
  <si>
    <t>f735aa8c-d481-45a8-9ee6-5eb405b57aa7</t>
  </si>
  <si>
    <t>Seller cancela o registro de feriado para o dia 16/02.\n09/02 - Trouxe a issue, aberto tt\nhttps://t.corp.amazon.com/V2103040078\n10/02 - anayjnoh confirmou a remoção do feriado\n13/02 - Seller avisado</t>
  </si>
  <si>
    <t>3af7d1c8-1564-4d4c-a8bc-13fe85248b61</t>
  </si>
  <si>
    <t>Seller com ASIN B0D1QJ2M7N em PSC por Autenticidade. \n26/02 - Trouxe o problema\nInformado o passo a passo.\nSeller solicitou a carta para o time e disse que depois retornava.</t>
  </si>
  <si>
    <t>e6364299-bef4-416a-a0f4-58afc999feef</t>
  </si>
  <si>
    <t>13/março: ele quer contestar um problema de brand registry/abuse</t>
  </si>
  <si>
    <t xml:space="preserve">589580604602March    </t>
  </si>
  <si>
    <t>fd1921d0-9fc6-497e-a8d3-84f56999bf75</t>
  </si>
  <si>
    <t>Seller está com oferta inativa, offer está buyable, CSI ok e Pandash ok. Aberto task winston. Aguardando seller</t>
  </si>
  <si>
    <t xml:space="preserve">685488901302November </t>
  </si>
  <si>
    <t>67a6445c-8295-47f0-8599-302376f6fda2</t>
  </si>
  <si>
    <t>Seller informa que saiu um pedido com logística própria</t>
  </si>
  <si>
    <t xml:space="preserve">45030065502November </t>
  </si>
  <si>
    <t>c71ae376-5b47-48b3-9a84-c5cf899c51fd</t>
  </si>
  <si>
    <t>Seller informa que pedido foi enviado mas não foi atualizado o status no Seller Central (ES)</t>
  </si>
  <si>
    <t>077dead3-2aa4-41d6-853d-f017bfe8f8ec</t>
  </si>
  <si>
    <t>Ah, temos um produto nosso que está com a oferta suprimida (acho que é isso), ela não aparece como uma oferta indicada ndiretamente na página de oferta do produto, apenas se clicar naquele link "Outras opções de venda" que aparece a nossa oferta lá.</t>
  </si>
  <si>
    <t xml:space="preserve">361885515402January  </t>
  </si>
  <si>
    <t>d404f193-e690-454e-82af-504868bbf4a7</t>
  </si>
  <si>
    <t>Coleta SF não passou\n</t>
  </si>
  <si>
    <t>4ff26d66-2d38-4fc4-836c-c544f7290ca2</t>
  </si>
  <si>
    <t>No momento estamos aguardando apenas um retorno referente ao reembolso de um pedido que devolveram outro produto no lugar.\nAcabei de olhar o chamado, nos retornaram uma mensagem em chinês. Acho que precisamos contratar um tradutor aqui no escritório também kkkkk</t>
  </si>
  <si>
    <t>b5b2124d-bf91-477c-986f-94b0793ae417</t>
  </si>
  <si>
    <t>Hoje veio um coletor totalmente sem educação, faltou com respeito com a moça da recepção do prédio, que só estava fazendo o trabalho dela, disse que não ia subir até o nosso andar para realizar a coleta e que sempre coletou lá na recepção, mas como se ele nunca veio aqui? A recepção tem o controle de todos os coletores da Amazon que já vieram aqui até hoje e esse excelentíssimo nunca veio.\n\nE já que ele não iria subir, sugerimos então ir no Subsolo, onde ele também conseguiria acessar com o veículo, mas também o mesmo se recusou, saiu do prédio e ficou dentro do veículo, disse que iria ligar para o supervisor dele, enquanto isso um de nossos colaboradores desceu e estava esperando ele já na recepção, pois não iríamos levar os pedidos na rua, correndo risco de segurança para ambos as partes. Ele não voltou, ficou um tempo parado e foi embora.\n\nO veículo é um Renault Kangoo, placa FBA2624. Não conseguimos o nome do caríssimo que veio tentar realizar a coleta. E mais, o mesmo parou o veículo atravessado na calçada, impedindo a passagem de pedestres na mesma, e aqui no prédio possui estacionamento demarcado, mas o bendito estacionou fora das marcações.\nAnexo a foto do veículo+placa e como o caríssimo estava "bem estacionado".</t>
  </si>
  <si>
    <t>a4d8f6bd-9df5-4534-93f4-d3b60c40d67b</t>
  </si>
  <si>
    <t>21/jan: Seller entrou em contato sobre um chamado que recebeu de Pricing. Porém ao analisar a mensagem era referente julho do ano passado e o ASIN/Offer não possuia nenhuma restrição.\n\nInformei que poderia desconsiderar a mensagem</t>
  </si>
  <si>
    <t>7282329c-a43e-4081-a1ea-efcb2f8c9f79</t>
  </si>
  <si>
    <t>16/jan: Pediu apoio em como checar se houve reembolso em um pedido, mostrei o caminho e como seguir na tratativa. E também confirmei quando foi solicitada a devolução</t>
  </si>
  <si>
    <t>1dbc62ab-2b63-4912-ac24-ff4758fbf5a7</t>
  </si>
  <si>
    <t>24/jan: entrou em contato solicitando a isenção pelo canal do Suporte Premium e não do onsite\n\nhttps://t.corp.amazon.com/V2086159207\n\n26/jan: Chamado aprovado</t>
  </si>
  <si>
    <t>1fc977d4-0adc-4b69-a12b-3dddeb6240b4</t>
  </si>
  <si>
    <t>23/jan: Seller entra em contato sobre o pedido  702-5392429-0669824.\n\nPagamento pendente e o cliente nao teve andamento\n\n23/jan: Instrui o seller a indicar o cliente falar com o Pos Venda da amazon, ja que foi FBA.</t>
  </si>
  <si>
    <t>8dea5935-f776-44bf-ae1b-e400aa85075c</t>
  </si>
  <si>
    <t>27/jan: Vendedor recebeu um DVD da Avril Lavigne no lugar do jogo\nhttps://t.corp.amazon.com/V2088600537/information\n\n02/fev: Responderam o chamado informado que o valor seria reconciliado, comuniquei o vendedor.</t>
  </si>
  <si>
    <t>53153379-06b7-4780-be51-cd2bcc9a68a0</t>
  </si>
  <si>
    <t>28/jan: Vendedor informou que não consegue conveterte o ASIN para FBA</t>
  </si>
  <si>
    <t>2c573c66-09c1-4eb0-b181-25b651da3e33</t>
  </si>
  <si>
    <t>30/jan: Seller informou que não conseguia cadastrar varis jogos, dava erro de SKU duplicado.\n\nPedi para ele limpar o rascunho e deu bom</t>
  </si>
  <si>
    <t>6b7aec2e-fd61-45c8-af44-b470e4d48028</t>
  </si>
  <si>
    <t>30/jan: Informou que o ASIN está na pagina de cachorrinhos\nhttps://t.corp.amazon.com/V2092558139/communication</t>
  </si>
  <si>
    <t>443c2c6c-fbab-442e-a395-2291b2b37a35</t>
  </si>
  <si>
    <t>09/março: ASIN ficou inativado por politicas de Bloqueador de sinais. Pedi para o time acrescentar as infos da Anatel para prosseguirmos com a reativação:\nhttps://na.winston.a2z.com/Seller-BR/task/11465\n\n10/março: Abri abuse escalation:\nhttps://na.vici.pars.amazon.dev/mpa-escalations#/caseDetails/1773160926091340\n\n12/março: Novo SIF\nhttps://na.vici.pars.amazon.dev/mpa-escalations#/caseDetails/1773336107532247?tab=2</t>
  </si>
  <si>
    <t xml:space="preserve">45146550802March    </t>
  </si>
  <si>
    <t>9f43111f-20dd-4920-aa1a-403a3099028e</t>
  </si>
  <si>
    <t>09/março: problemas de mismatch, pedi para preencher a planilha para listar\nhttps://na.winston.a2z.com/Seller-BR/task/11464</t>
  </si>
  <si>
    <t>5a13040a-281f-4b62-9212-5f896f7760e6</t>
  </si>
  <si>
    <t>Liberação de usuário, não reflete</t>
  </si>
  <si>
    <t xml:space="preserve">801134136002December </t>
  </si>
  <si>
    <t>ec599f85-6090-45f0-ac12-b2324f2a7718</t>
  </si>
  <si>
    <t>conta foi reativada mas as ofertas não</t>
  </si>
  <si>
    <t xml:space="preserve">160165983902October  </t>
  </si>
  <si>
    <t>369b8510-198f-4dcc-891f-1162128bce0e</t>
  </si>
  <si>
    <t>ASIN inativo, problema no faturador</t>
  </si>
  <si>
    <t xml:space="preserve">101837981602December </t>
  </si>
  <si>
    <t>6dde0975-4a00-4c0a-bad9-9b92a8953b74</t>
  </si>
  <si>
    <t>Estava com suas ofertas que são FBA em FBM</t>
  </si>
  <si>
    <t>9684db25-bffc-4ad7-b50d-3556ac8adcf2</t>
  </si>
  <si>
    <t>Seller estava com dúvidas referente ao financeiro.</t>
  </si>
  <si>
    <t>16efcab2-8e66-4bc1-afb8-b235506ba23e</t>
  </si>
  <si>
    <t>6511924e-bc1b-4c4f-9d64-633661eaa1fa</t>
  </si>
  <si>
    <t>8a9e7b0a-f401-4aba-be38-b72ba39af7b3</t>
  </si>
  <si>
    <t>Problema de 8572</t>
  </si>
  <si>
    <t>736960318302September</t>
  </si>
  <si>
    <t>19be1523-aaa3-4012-8aac-07f722684a13</t>
  </si>
  <si>
    <t>Olá, boa tarde! Tudo bem?\n\nGostaria de solicitar suporte prioritário para uma divergência que identificamos em nosso fluxo de pedidos. Alguns pedidos estão sendo integrados em nosso sistema como ONSITE, porém não aparecem no painel da Onsite e permanecem com o status de \'Pagamento Pendente\' no Seller Central da Amazon.\n\nO caso mais crítico no momento é o pedido [Inserir Número do Pedido]. A cliente está realizando reclamações recorrentes em nossas redes sociais e canais de atendimento por telefone. Como o status na Amazon consta como pendente (conforme o print anexo), estamos impossibilitados de processar o envio ou até mesmo realizar o reembolso para estancar a crise de atendimento.\n\nPoderiam verificar por que esses pedidos estão \'presos\' nesse status e por que a integração está reportando dados divergentes? Aguardamos um retorno urgente.\n\nPEDIDO: 701-6797241-1242631-Pqp3mc2Fb|WBCD</t>
  </si>
  <si>
    <t xml:space="preserve">669516273102January  </t>
  </si>
  <si>
    <t>a7b6eea0-dfbf-41f9-9ea3-015b44f6d42f</t>
  </si>
  <si>
    <t>16/jan: Seller entrou em contato solicitando comprovante do reembolso para o cliente, legal case. SOlicitei por email para a Heloisa, coloquei a MC e o Vini em cópia\n\nEnviei o DOC\n\n</t>
  </si>
  <si>
    <t>3580300b-8c3e-4d58-b674-98e4c3a1be30</t>
  </si>
  <si>
    <t>ERRADA</t>
  </si>
  <si>
    <t>ab5e5753-dcf7-4501-94d7-ab43a4f15959</t>
  </si>
  <si>
    <t>19/jan: Seller entrou em contato sobre 3 ASINs de oferta hibrida. Enviei o SOP e perguntei se queria apoio para realizar o levantamento de mais ofertas com problema</t>
  </si>
  <si>
    <t>487ec15f-7d25-4649-9987-f19b285bad60</t>
  </si>
  <si>
    <t>20/jan: Solicitou o comprovante do reembolso do pedido 701-5095238-4301858 devido ao processo judicial.\n\nSolicei no email pra Heloisa\n\nhttps://t.corp.amazon.com/V2080062366\n\n21/jan: Enviei o comprovante solicitado</t>
  </si>
  <si>
    <t>f839ef87-8f45-475a-84b1-ab01944f370b</t>
  </si>
  <si>
    <t>20/jan: entrou em contato sobre um pedido que a cliente comprou 2 produtos e só recebeu 1, gerando avaliação negativa.\n\nele também tinha dúvidas sobre os pedidos com 2 units ou mais geravam 2 NFs</t>
  </si>
  <si>
    <t>a4c02efc-35b3-47fe-9abb-2e84acb7fc6e</t>
  </si>
  <si>
    <t>23/jan: Vendedor solicitou comprovante de entrega para anexar no processo.\n\nEnviei o email para a Heloisa com o Vini em cópia\n\n29/jan: No final a Heloisa não me deu apoio, quem me auxiliou foi a @nixontha</t>
  </si>
  <si>
    <t>d4ccae9d-2920-42e6-8f41-ade9a8a3d3a9</t>
  </si>
  <si>
    <t>28/jan: solicitou histórico de logs e mencionou o caso de oferta hibrida, passei o SOP pra ele\n\nCódigo SKU: BY9434-OMS\n\n29/jan: Questionei se forçaram a atualização, não refletiu até o momento.\n\n30/jan: encerrando PSA</t>
  </si>
  <si>
    <t>f4cf6197-0248-462d-a3fe-8021f6052476</t>
  </si>
  <si>
    <t>29/jan: Informou que algumas etiquetas sairam como Correios porém o pacote passa das dimensões permitidas\nhttps://t.corp.amazon.com/create/templates/0d9b8b5f-56c1-4981-a742-543e1cf085a0\n\n29/jan: Pedi o nome do integrador e o chamado para corrigirmos essa Tech Issue</t>
  </si>
  <si>
    <t>22f75ab0-afcc-4ba3-b815-ef0af116af84</t>
  </si>
  <si>
    <t>Seller está com problema de EAN do asin B0G2CQ3Z8F, porém, para ajustar o EAN neste ASIN é necessário tirar o recall do asin B0CB9GQ7J2 que é onde o ean está atrelado.\n\naberto chamado para tirar o recall: https://t.corp.amazon.com/V2105536608</t>
  </si>
  <si>
    <t xml:space="preserve">24679550702February </t>
  </si>
  <si>
    <t>056c37a2-7699-4e97-9469-8b7ace0e4456</t>
  </si>
  <si>
    <t>Seller solicitou ajuda no ajuste do ean\naberto chamado para catálogo analisar: https://t.corp.amazon.com/V2103388342</t>
  </si>
  <si>
    <t>5eed3ea3-0dfd-4ccd-9c1c-42bd09a91b74</t>
  </si>
  <si>
    <t>Unidades do ASIN B0C3SDGV2G constando como " impossivel de ser enviado " \n\nSeller entrou em contato queixando que há unidades com o status " impossível de ser enviado " em seu painel de alguns asins.\n\nAberto bin-check para verificação: https://t.corp.amazon.com/V2100284979</t>
  </si>
  <si>
    <t>bc7e494a-6a00-4d43-9caa-cdcd4be09591</t>
  </si>
  <si>
    <t>09/02 - Solicitado alteração no campo marca\n09/02 - Aberto chamado para catálogo: https://t.corp.amazon.com/V2103210584</t>
  </si>
  <si>
    <t>fdf66085-bfab-43d0-8c1e-3a47ec883a7c</t>
  </si>
  <si>
    <t>23/02 - Após ser retirado do UTC5, asin está ativo e sem restrição no buyability, mas está sem o botão de compra.\n23/02 - Ticket aberto para offshoring: https://na.winston.a2z.com/Seller-BR/task/10783</t>
  </si>
  <si>
    <t>93f2209e-54cb-4d0e-950f-dd06e20dac21</t>
  </si>
  <si>
    <t>Task de proatividade, ASIN B089Y8463W\n em PSC e Recall por conta de informação de perda de peso.\n02/02 - Aberto task com offshoring para correção do conteúdo A+\nhttps://na.winston.a2z.com/Seller-BR/task/10321\n09/02 - Enviado e-mail solicitando para ativar o novo conteúdo A+\n20/02 - Sem retorno, fechado.</t>
  </si>
  <si>
    <t xml:space="preserve">187533500102February </t>
  </si>
  <si>
    <t>da3bd2b6-6404-470d-8f5b-ae3df8ef2447</t>
  </si>
  <si>
    <t>Seller não teve coleta na data de ontem 23/02.\n24/02 - trouxe a issue.\nfalando com o @vholanda\n27/02 - sem pedidos pendentes, sem métrica impactada\n</t>
  </si>
  <si>
    <t>05c04f5c-27a2-40a3-9795-75ca13aba9f3</t>
  </si>
  <si>
    <t>Seller precisando classificar produto de bicarbonato. ASIN B0F3JBFHP2\n03/02 - trouxe o problema.\n04/02 - Aberto tt e também orientado o seller a enviar as fotos para mim e preencher a planilha de produtos quimicos.\nhttps://t.corp.amazon.com/V2097910999\n09/02 - Cobrei o time (escalar amanhã 10/02)\n16/02 - Ticket solicitou fotos do produto, sendo que estão inseridas. Chamei no slack.\n20/02 - Abri outro ticket por garantia\nhttps://t.corp.amazon.com/V2114890723\n02/03 - Classificado, ASIN ativo.</t>
  </si>
  <si>
    <t xml:space="preserve">124090551902February </t>
  </si>
  <si>
    <t>8f666fc7-d3a4-4930-93ba-e384c23d1046</t>
  </si>
  <si>
    <t>Seller quer saber mais sobre as unidades em processamento no centro de distribuição.\n06/02 - Aberto bin check\nhttps://t.corp.amazon.com/V2100436542\n11/02 - Chamei no chime.\n19/02 - Cobrei no tt\n21/02 - Responderam o ticket, contudo solicitei mais explicações para @gvicsoar no slack\nTime informou que são unidades que estão ajustando no inventário. Sem ações pendentes nossas ou do seller. Processo do FC mesmo.</t>
  </si>
  <si>
    <t>666dcc4d-d7fa-4d96-845b-5adabeda5624</t>
  </si>
  <si>
    <t>Seller está tentando realizar o cadastro de Brand Registry, porém é rejeitado e não fornece maiores informações.\n05/02 - @thalent trouxe a issue, aberto ticket para backoffice.\nhttps://t.corp.amazon.com/V2099244493\n13/02 - conversei com o @lfelipet e seller estava realizando alguns processos incorretos, informado o que está inconsistente:\n(1) Fotos virtuais dos produtos - Precisa ser fotos reais do produto.\n(2) Ausência de dados para a verificação de dados em outros sites ou marketplaces, e \n(3) não fez a verificação de duas etapas. \nPara finalizar o registro, enviamos um código de verificação para o email que fez o registro no INPI, e eles precisam submeter o código no application do registro em até 10 dias úteis. Para mais informações, pode compartilhar com o seller esse material que precisa ser seguido a risca.\nhttps://www.amazonbrandprotection.com/Brand_Registry_Application_Guide_BR</t>
  </si>
  <si>
    <t>83b79cdf-c243-4c29-8223-a31daa55bd46</t>
  </si>
  <si>
    <t>Seller com ASIN em UTC5, B0B9P6WJ18\n18/02 - Trouxe o problema\n19/02 - Aberto correção de catálogo com offshoring\nhttps://na.winston.a2z.com/Seller-BR/task/10717\naberto de buyability https://na.winston.a2z.com/Seller-BR/task/10732\nhttps://t.corp.amazon.com/V2114239511/\n23/02 - Enviado foto do produto na task winston\n02/03 - Aberto tt com o time de US\nhttps://t.corp.amazon.com/V2125902958\n05/03 - Classificado.</t>
  </si>
  <si>
    <t>4848fa46-dea2-4593-89da-a730e3b3c580</t>
  </si>
  <si>
    <t>Seller com oferta do ASIN B0CWN8CMP5, bloqueada. Pandash ok, CSI ok\n18/02 - Trouxe a issue\n19/02 - Aberto task com offshoring \nhttps://na.winston.a2z.com/Seller-BR/task/10713\n20/02 - Ativado.</t>
  </si>
  <si>
    <t>01b698f4-ed0e-49d8-942f-f754e123731d</t>
  </si>
  <si>
    <t>O pedido acima está com bug no seller central e não gera etiqueta, já está faturado em nosso ERP e integradora porém não evolui pra gerar etiqueta e agendar coleta.</t>
  </si>
  <si>
    <t xml:space="preserve">320035971002November </t>
  </si>
  <si>
    <t>d9c5414f-39e0-4b85-a1e6-45aa9d18c207</t>
  </si>
  <si>
    <t>Alguns pedidos do seller não foram entregues aos clientes e devolvidos sem um motivo claro. \nhttps://t.corp.amazon.com/V2013318641</t>
  </si>
  <si>
    <t>ef16c4aa-c115-43cc-8481-a1d5cff54e56</t>
  </si>
  <si>
    <t>Autorização de marca.  https://na.winston.a2z.com/Seller-BR/task/9458</t>
  </si>
  <si>
    <t>2fe4ea91-6201-4523-8189-7b3370086b84</t>
  </si>
  <si>
    <t>em estoque mas não disponivel</t>
  </si>
  <si>
    <t xml:space="preserve">11103651302December </t>
  </si>
  <si>
    <t>ce253bbd-e0da-4c25-b6c8-aa13fe764a73</t>
  </si>
  <si>
    <t>acer tem brand protection, atualização não refletiu.</t>
  </si>
  <si>
    <t>6e89c4a1-7622-4aed-a602-d30840a276a1</t>
  </si>
  <si>
    <t>Ola boa tarde, nosso anuncio da Placa Mãe Gigabyte B550M AORUS Elite, Chipset B550, AMD, Socket AM4, mATX, DDR4, de EAN 4719331809546, não esta aparecendo nas buscas, vocês poderiam nos ajudar?</t>
  </si>
  <si>
    <t>96c6f15a-ed1c-4c93-b3c8-79a4097b348a</t>
  </si>
  <si>
    <t>Ola boa tarde, estou com uma lista de 7 produtos que estão em reserva, porem nenhum deles ouve venda, segue a lista de produtos e reservas:\nPlaca mãe</t>
  </si>
  <si>
    <t>d8398c16-21bd-458a-a776-eed80128fa92</t>
  </si>
  <si>
    <t>alteração do endereço de devolução</t>
  </si>
  <si>
    <t>1245d51e-eb0f-49b8-9c0a-0121007b056f</t>
  </si>
  <si>
    <t xml:space="preserve">155525090602November </t>
  </si>
  <si>
    <t>3d20e3fa-e557-430a-97b3-6f64df98de8c</t>
  </si>
  <si>
    <t>05/março: informou que a consciliação de janeiro não está batendo</t>
  </si>
  <si>
    <t xml:space="preserve">40274588502March    </t>
  </si>
  <si>
    <t>c18c50a6-176a-4461-8d4f-5cc9a37697fa</t>
  </si>
  <si>
    <t>Seller questiona sobre as discrepância no recebimento dos itens no FC. abri um bin check. após bin foi orientado a solicitar reembolso do produtos faltantes</t>
  </si>
  <si>
    <t xml:space="preserve">108483856702August   </t>
  </si>
  <si>
    <t>eed78d00-2485-4fc5-b25d-17576be4900c</t>
  </si>
  <si>
    <t>Seller está com duvida sobre com administrar sua marca dentro do site amazon</t>
  </si>
  <si>
    <t>497abf34-6b49-4f7e-92b4-15c2f35aa5e4</t>
  </si>
  <si>
    <t>Produtos estão em quarentena, mas preciso dos documentos pra poderem iniciar o appeal. - 12/08 - inciei o appeal</t>
  </si>
  <si>
    <t>a681c989-76d2-4335-8edd-d69a72f097e5</t>
  </si>
  <si>
    <t>O Asin B0BVRLX95G está sellable em todos os sistemas, mas continua inativo no Seller Central, foi indicado pro seller alterar o preço e/ou estoque pra forçar atualizar.</t>
  </si>
  <si>
    <t>52f336b2-920a-4903-a98d-9624696b61a9</t>
  </si>
  <si>
    <t>Seller teve dois Asin que foram entregues ao FC, mas não foi encontrado o PO deles, atraves do chamado foi orientado que ele abram um novo PO na modalidade Self Ship, oirentei ele.</t>
  </si>
  <si>
    <t>11da2c81-1ef8-4490-b3fd-7351fdfb2b56</t>
  </si>
  <si>
    <t>O Asin B0C4CCZFBL caiu mas o seller não conseguiu fazer o appeal porque esta com defective , abri um bin check pra entender melhor. V1906147904 - os itens estão em processo de remoção criada pelo seller.</t>
  </si>
  <si>
    <t>1c8fd033-6065-41f7-ad42-6bdabf983587</t>
  </si>
  <si>
    <t>queria mais informações de como funciona o programa de seller flex. pedi pra ele falar com o consultor dele.</t>
  </si>
  <si>
    <t>e2df0c70-4ac3-402c-9da9-ff20d792b0d0</t>
  </si>
  <si>
    <t>O Seller estava com dúvida qual a data máxima de dias da data de validade pra itens que estão no FBA. mandei a informação pra ele.</t>
  </si>
  <si>
    <t>05770ac0-77a1-4d68-93d2-68f6295706c5</t>
  </si>
  <si>
    <t>Seller recebeu reclamação por que o sabor do produto veio diferente do comprado\n\nChamado aberto: https://t.corp.amazon.com/V1991732014/overview</t>
  </si>
  <si>
    <t xml:space="preserve">108483856702November </t>
  </si>
  <si>
    <t>c014dc44-18c4-4796-8f96-8551b6ee4144</t>
  </si>
  <si>
    <t>Seller entrou em contato dizendo que os ASIN\'s não estavam ativos, verifiquei planilha fiscal e os mesmo não se encontram lá, orientei inserir.</t>
  </si>
  <si>
    <t>b6b2bacd-d23f-4045-87ea-f000f4af502e</t>
  </si>
  <si>
    <t>Seller entrou em contato trazendo 3 ASIN\'s inativos: \n\nB0BVRLX95G - Aberto chamado com o pessoal de Enforcement: https://t.corp.amazon.com/V1986676271\nB0FRCMPPM8 - ASIN foi descontinuado (tombstoned): https://t.corp.amazon.com/V1990314262\nB0FTW3M7TR - Seller tentou enviar o appeal, mas não conseguiu, verificando.</t>
  </si>
  <si>
    <t>f25c9bcf-f61b-47f1-b13f-aac8dbeb7dea</t>
  </si>
  <si>
    <t>Seller com problema em questão refente a perfomace da conta no Onsite, enviou os manifestos, correspondentes ao dia.\n\nChamado: https://t.corp.amazon.com/V1990335998</t>
  </si>
  <si>
    <t>416b6fc7-ee01-4fbb-ac23-4b902b53a04a</t>
  </si>
  <si>
    <t>Seller recebeu uma queixa de cliente dizendo que os produtos estao chegaram no sabor errado. Solicitei Bin-check ao FC: https://t.corp.amazon.com/V1990469537</t>
  </si>
  <si>
    <t>fdf3e49f-291b-4d42-a207-d09321dcf082</t>
  </si>
  <si>
    <t>Seller solicitou informações referente ao pedido de remoção. O pedido voltou a estoque.</t>
  </si>
  <si>
    <t>c531377f-e484-433e-8853-349c8037e509</t>
  </si>
  <si>
    <t>Seller estava com ASIN inativo, mas tinha opção de reativar oferta no proprio seller central, fiz esse teste estou aguardando.</t>
  </si>
  <si>
    <t>ebfe8c26-3443-43e7-ae30-b3908095742d</t>
  </si>
  <si>
    <t>Não estava conseguindo imprimir etiquetas de transportes / Problema com diversos Sellers\n\nChamado aberto: https://t.corp.amazon.com/V1999369436/communication</t>
  </si>
  <si>
    <t>7ed3bffc-c46c-4d8d-be4b-aeaf9d80b13f</t>
  </si>
  <si>
    <t>Não estava conseguindo imprimir etiquetas de transportes / Problema com diversos sellers\n\nChamado aberto: https://t.corp.amazon.com/V1999369436/communication</t>
  </si>
  <si>
    <t>11fe19d3-b24b-46de-a276-b55386054fc0</t>
  </si>
  <si>
    <t>Questiona a demora do transporte das un para o FC (solicitei o comprovante de coleta)</t>
  </si>
  <si>
    <t>eaa23943-67fd-43a8-9a95-5674304688a6</t>
  </si>
  <si>
    <t>43f6d107-8267-4662-a4ba-31fed70a5e73</t>
  </si>
  <si>
    <t>Seller recebeu um reporte de impacto devido a envios tardios, porém, foi uma data que todos os sellers teve problema, não deveria sofrer impacto. Abri esse chamado: https://t.corp.amazon.com/V2002891061</t>
  </si>
  <si>
    <t>117c0f17-38ba-43a9-a02f-32bda9c13c6a</t>
  </si>
  <si>
    <t>Está com problema em 316 un impossível de ser enviadas. Aberto chamado para o FC análisar.</t>
  </si>
  <si>
    <t>0ceb3a77-4701-4de7-837a-3c40390d91e2</t>
  </si>
  <si>
    <t>Nfs pendentes para envio por conta das unidades (kit (3/6))</t>
  </si>
  <si>
    <t>638d556d-f5a5-4782-ba71-118d345029cc</t>
  </si>
  <si>
    <t>Asin bloqueado, abrir um chamado para Food Safety</t>
  </si>
  <si>
    <t xml:space="preserve">687037975702November </t>
  </si>
  <si>
    <t>eb3938a6-3998-4cac-87e5-3ed0fb90de82</t>
  </si>
  <si>
    <t>Seller solicitou ajuda com ASINS que estão inativos, aparentemente problema fiscal, solicitei ao seller conferir se os ASIN\'s estão na planilha</t>
  </si>
  <si>
    <t>4b0638d5-9590-4240-b88c-ee3f90789f6e</t>
  </si>
  <si>
    <t>Seller está com o ASIN: B0BHL6FKYY bloqueado, parece ser gating, abri um chamado: https://na.vici.pars.amazon.dev/mpa-escalations/submit#/caseDetails/1762969614598361</t>
  </si>
  <si>
    <t>c3f8fdb6-72f2-491d-8215-5f5d7a554eb2</t>
  </si>
  <si>
    <t>Seller quer o acesso total para edição pois é brand owner</t>
  </si>
  <si>
    <t xml:space="preserve">1045128782102December </t>
  </si>
  <si>
    <t>9538dc0a-b174-4b30-87c8-81bb163e588a</t>
  </si>
  <si>
    <t>Seller recebeu um comunicado de iventário em FBA, ASIN B0DWXYCKMB diferente do anunciado, fotos anexadas de um FNSKU que o seller não possui.\nUnits em Defective\n06/02 - Seller trouxe a issue, aberto bin check GRU9\nhttps://t.corp.amazon.com/V2100264842\n- Modelo da oferta carregador com cabo lighting e USB-C. No FC modelo diferente, apenas USB-C.\n- Orientado a remover as units, porém informou que apresenta erro.\n- Time transferiu para defective.\n- Orientado a tentar novamente\n- Disse que o problema persiste.\n09/02 - Fiz o teste no link abaixo e é possível remover. Orientado a tentar novamente.\n\nhttps://sellercentral.amazon.com.br/myinventory/unfulfillable/index.html?ref_=unfulfillable_legacy_link</t>
  </si>
  <si>
    <t xml:space="preserve">1004366724902February </t>
  </si>
  <si>
    <t>e1c39d2c-72fc-4c2c-b7e6-b7a981a9b86a</t>
  </si>
  <si>
    <t>Seller deseja corrigir as variações de alguns produtos.\n04/02 - Trouxe o problema, direcionado para Serviços Premium</t>
  </si>
  <si>
    <t>263cf7d7-c369-4865-a4c0-ae1584828b3a</t>
  </si>
  <si>
    <t>Seller com ASIN B0CMGXX165 em UTC5, investigando.\n10/02 - Trouxe a issue\n11/02 - Inestigando\n19/02 - Seller enviou as fotos\n20/02 - Aberto tt\nhttps://t.corp.amazon.com/V2115183507\n23/02 - Responderam informando que tem outro ticket \nhttps://t.corp.amazon.com/V1961171854/\n24/02 - Coloquei um any updates\n26/02 - Aberto tt para corrigir EAN catalogo DE\nhttps://t.corp.amazon.com/V2121848470\n02/03 - Aberto ticket com 1P para correção no BR para depois tentar novamente com DE\nhttps://t.corp.amazon.com/BR-CATALOG-11035\n03/03 - Aberto com RBS para inserir o EAN\nhttps://na.winston.a2z.com/Seller-BR/task/11364\n12/03 - Classificado\n</t>
  </si>
  <si>
    <t>ecfc38d4-16b1-436d-a81f-b51a4f1ebe7e</t>
  </si>
  <si>
    <t>04/março: ASIN inativado pela pane no SEFAZ</t>
  </si>
  <si>
    <t xml:space="preserve">1041281178802March    </t>
  </si>
  <si>
    <t>8f444761-e7a0-43ba-a8d7-0a4b66a1b6ed</t>
  </si>
  <si>
    <t>18255596551 - CAU - https://na.winston.a2z.com/Seller-BR/task/7850</t>
  </si>
  <si>
    <t xml:space="preserve">449549597602August   </t>
  </si>
  <si>
    <t>dc15742f-6ee2-453e-be01-b9c6ed5cd161</t>
  </si>
  <si>
    <t>18255790751 - seller que enviou o produto errado</t>
  </si>
  <si>
    <t>2fda8baa-e082-4cd4-8837-f26aec296d59</t>
  </si>
  <si>
    <t>case 18255720031 - Cliente reclama que as informações do ASIN estavam erradas, mas ao checar estava correto</t>
  </si>
  <si>
    <t>8cf8934a-bdef-4bc4-9e66-5c0c6ecc8c73</t>
  </si>
  <si>
    <t>18256111651 - seller que enviou o produto errado\n</t>
  </si>
  <si>
    <t>7f72bdd7-78a5-4fd6-a153-b661a57bb7eb</t>
  </si>
  <si>
    <t>18256943681 - seller que enviou o produto errado\n</t>
  </si>
  <si>
    <t>1b494160-b5cb-4cf3-a9da-414329f8dd95</t>
  </si>
  <si>
    <t>18268641681 - seller enviou o produto errado e abriu chamado</t>
  </si>
  <si>
    <t>e671426d-babc-4a94-bce1-6499680ee565</t>
  </si>
  <si>
    <t>18283363161 - seller abriu ticket falando que um cliente reclamou, porém era logistica do vendedor e ele mandou o produto errado\n</t>
  </si>
  <si>
    <t>00cd2737-baad-48d2-bd99-7f870f65a6ef</t>
  </si>
  <si>
    <t>18276107921  - inativação de ASIN</t>
  </si>
  <si>
    <t>820e761d-a8b9-4f20-9410-9010f104c4b1</t>
  </si>
  <si>
    <t>seller questionou sobre 50 asins inativados, mas todos tinham a opção de corrigir oferta, mostrei pra ele o caminho para corrigir a oferta e para abertura do chamado correto</t>
  </si>
  <si>
    <t>9aef04e1-8048-4f68-8a08-ce9c02b543b2</t>
  </si>
  <si>
    <t>13/02 - Seller solicitou alteração no campo marca do asin.\n13/02 - Aberto um chamado para offshoring realizar a alteração.</t>
  </si>
  <si>
    <t xml:space="preserve">610886576February </t>
  </si>
  <si>
    <t>a58af10f-8721-438f-aaaa-769448c12911</t>
  </si>
  <si>
    <t>Seller com erro na planilha fiscal\n02/03 - Trouxe a issue\nquestionado o seller a planilha de regras ou atributos, pois estava pendente a de atributos e ele enviou a de regras\n04/03 - Erro na coluna S\n10/03 - Seller disse que deu certo.\n</t>
  </si>
  <si>
    <t xml:space="preserve">1087931314602March    </t>
  </si>
  <si>
    <t>9e08e064-cea4-4130-92a5-a84497826166</t>
  </si>
  <si>
    <t>Seller com erro na planilha de atributos fiscais dos produtos.\n11/03 - Confirmou a regra fiscal com erro\nAberto tt para FBA - Fiscal Spreadsheets \nhttps://t.corp.amazon.com/V2136302161</t>
  </si>
  <si>
    <t>a896e8ec-7248-4b16-854c-4fd7abbe20e1</t>
  </si>
  <si>
    <t>Alteração na marca</t>
  </si>
  <si>
    <t xml:space="preserve">610886576December </t>
  </si>
  <si>
    <t>2d7697db-5a80-4cb7-930d-e8453d64e61f</t>
  </si>
  <si>
    <t>ASIN\'S inativos classificados como recall_public</t>
  </si>
  <si>
    <t>a54de5a2-732b-4347-8c6a-358653d76587</t>
  </si>
  <si>
    <t>f6908438-b401-4fb5-9c6c-f7d9c1f939fe</t>
  </si>
  <si>
    <t>Seller gostaria de cancelar um pedido de remoção</t>
  </si>
  <si>
    <t>1beb0eae-22ea-47f5-bfeb-dea99337b947</t>
  </si>
  <si>
    <t>Seller está com problema em alguns registro nas marcas: \nB08VQRCVRN - Aurigen\nB08SLD31BK - BRAVECTO\nB08JH5V196 - BRAVECTO</t>
  </si>
  <si>
    <t xml:space="preserve">472181389102November </t>
  </si>
  <si>
    <t>d675566c-8689-41b5-847c-7dede8450c47</t>
  </si>
  <si>
    <t>Seller teve impacto por cancelamentos, porém alega não ter cancelado os pedidos. Enviou comprovação somente de 1 pedido, mas abri o ticket para tentar a isenção: https://t.corp.amazon.com/V2128411060</t>
  </si>
  <si>
    <t xml:space="preserve">381567616102March    </t>
  </si>
  <si>
    <t>74cd8571-0101-462a-a670-9b09307d4149</t>
  </si>
  <si>
    <t>13/jan: Seller questionou sobre um pedido que solicitou AtoZ e pediu algumas confirmações se poderia reenviar o pedido</t>
  </si>
  <si>
    <t xml:space="preserve">16116314302January  </t>
  </si>
  <si>
    <t>113c9cd2-59e2-4876-bb72-af4f2247c5a2</t>
  </si>
  <si>
    <t>26/jan: Seller contestou reembolso e abri contestação pelo caminho do AtoZ\nhttps://issues.amazon.com/issues/V2087282989\n\n27/jan: Recusaram o chamado anterior e solicitei Self Ship Issues\nhttps://t.corp.amazon.com/V2088335124\n\n28/jan Aguardo resposta e comuniquei o vendedor\n\n29/jan: novo chamado https://t.corp.amazon.com/V2091037101\n\n04/fev: novo chamado https://t.corp.amazon.com/V2098137287\n\n05/fev: Novo ticket https://t.corp.amazon.com/V2099119434\n\n09/fev: https://t.corp.amazon.com/V2103294020/information\n\n10/fev: cobrei o Math Cesar\n\n11/fev: não tive retorno, escalei no ASANA\n\n20/fev: cobrado no slack</t>
  </si>
  <si>
    <t>c5fc324f-a33a-46d7-8092-8d1040e70710</t>
  </si>
  <si>
    <t>O seller está com produto hazmat que não está conseguindo emitir a etiquetas, pedi mais evidencias</t>
  </si>
  <si>
    <t xml:space="preserve">30887912302December </t>
  </si>
  <si>
    <t>66c4cf53-19ed-438e-910c-2b8b2864691f</t>
  </si>
  <si>
    <t>Seller não está conseguindo gerar a etiqueta de envio dos pedidos do ASIN B0BZSTPW7X, pedi para que verificasse as dimensões do produto. aguardando resposta pra saber se funcionou.</t>
  </si>
  <si>
    <t>13d56d5d-93bc-4a68-a50d-cf8c8a02c755</t>
  </si>
  <si>
    <t>ASIN\'s do FBA ficaram inativos, problemas no faturador</t>
  </si>
  <si>
    <t xml:space="preserve">7763660815December </t>
  </si>
  <si>
    <t>89a8c698-01ce-4345-9e90-64c9b989c99e</t>
  </si>
  <si>
    <t>Risco de inativação nos ASIN\'s</t>
  </si>
  <si>
    <t>1e2f4ac6-001b-4e1e-be6f-233ca958122d</t>
  </si>
  <si>
    <t>608d4db7-fd2a-49ab-a98d-540c76cdbd31</t>
  </si>
  <si>
    <t>Seller reclamou que Asin\'s em FBA estavam sendo vendidos como MFN</t>
  </si>
  <si>
    <t xml:space="preserve">60769061802October  </t>
  </si>
  <si>
    <t>3cf66e8a-5cf7-4b48-b95b-abd5bf4a8443</t>
  </si>
  <si>
    <t>overage</t>
  </si>
  <si>
    <t xml:space="preserve">1041281178802December </t>
  </si>
  <si>
    <t>22eacf50-5ccc-4cc4-80cc-08ec5ec62c20</t>
  </si>
  <si>
    <t>Seller deseja contestar os envios FBA193966T57 e FBA193989YC2</t>
  </si>
  <si>
    <t>c580f891-4f1b-4f8f-942b-f06ba8a14c54</t>
  </si>
  <si>
    <t>2 asins que enviamos para o fba foram bloqueados, preciso de ajuda pra validar o motivo e o desbloqueio.\nB0FPRFPZTG\nB0FPDW9PLB\n\nAbri esse chamado 19066532491, porem no link que o atendente me passou, é para solicitar a remoção do itens.</t>
  </si>
  <si>
    <t>dee1d055-95b6-4cfc-a238-ae10c4b1efbc</t>
  </si>
  <si>
    <t>Outra coisa, veja se consegue me orientar com esse outro caso aqui 18818750501, solicitamos a inclusao de itens pelo suporte tb, acho que foi finalizado mas um dos asins ficou incorreto.\n\nB0FH7R5QLN este asin aqui, consegue ajudar na correção?</t>
  </si>
  <si>
    <t>a8acaa08-6d87-40ea-acc4-6b61e933b150</t>
  </si>
  <si>
    <t>ofertas bloqueadas sem motivo</t>
  </si>
  <si>
    <t>b83aef20-b8d9-4765-9262-76e03c476186</t>
  </si>
  <si>
    <t>Boa Tarde Tiagao, tudo certo ?\nNosso time fiscal solicitou uma informação sobre um debito em um dos relatorios financeiros, pelo chat foi informado que seria um debito de difal, mas ja pagamos esse imposto do lado da Mega. Solicitamos entao o relatorio pelo ticket 19117214681, voce pode por favor escalar para agilizar a devolutiva do relatorio?\n\nAtte \n\nMarcelo Celeri - MegaMamute</t>
  </si>
  <si>
    <t>7ecf3b1e-2909-42d4-a7bf-a94859e6a9d0</t>
  </si>
  <si>
    <t>Seller está com suas ofertas inativas em FBA, mas sem nenhum motivo aparente abrimos o ticket V1935525183</t>
  </si>
  <si>
    <t>601998582602September</t>
  </si>
  <si>
    <t>8e721b34-bd39-493f-a237-c2e4a11e2096</t>
  </si>
  <si>
    <t>Seller reclama que o seu backlog está alto novamente. pedido pro Bruno Livio investigar novamente o caso</t>
  </si>
  <si>
    <t>faf7f58a-7975-4d5d-9dd1-8976bd01afe2</t>
  </si>
  <si>
    <t>Seller questiona sobre o chamado ID- 18406767161 onde não foi encontrado a PO dos itens enviado, questionei eles se possuem essa nota e orientei que mandassem.</t>
  </si>
  <si>
    <t>69e84be7-fa33-4e7d-9629-b1531e1e2cbd</t>
  </si>
  <si>
    <t>Seller questiona porque seus itens estão com status de reservado no seller central, olhando o FC verifiquei e está como pending research, solicitei bin check pra entender.\nxcv9 https://t.corp.amazon.com/V1948517121\ngru9 https://t.corp.amazon.com/V1948519023</t>
  </si>
  <si>
    <t>d24acfa6-278b-4ecd-9a89-8e759132ed69</t>
  </si>
  <si>
    <t>Cliente estava com o asin FBA saindo em DBA, realizei a alteração no seller central.</t>
  </si>
  <si>
    <t>3ed57c22-3967-4283-8db9-60294aecd5f9</t>
  </si>
  <si>
    <t>Seller esta com problemas na reividicação de A a Z do pedido: 702-4713467-0033046.</t>
  </si>
  <si>
    <t xml:space="preserve">60238888002February </t>
  </si>
  <si>
    <t>29ce50a7-f3ae-4783-a72c-0f58d7d3b281</t>
  </si>
  <si>
    <t>Seller queria uma reinvidicação de A a Z do pedido 702-8287829-6625857. mas já foi concedida e reembolsada pra eles</t>
  </si>
  <si>
    <t>cee7a48d-cc97-4e56-a1e2-003dd311ade3</t>
  </si>
  <si>
    <t>Seller esta com o asin ativo no seller central, mas não está refletindo no front \n\nhttps://t.corp.amazon.com/V2104599671</t>
  </si>
  <si>
    <t>efa9935c-2879-41e0-93d4-d34ca00ec2a5</t>
  </si>
  <si>
    <t>Seller esta com o ASIN em Blacklisted. \n\nhttps://t.corp.amazon.com/V2104606338/communication\nhttps://t.corp.amazon.com/V2105303962</t>
  </si>
  <si>
    <t>890145d0-a6ef-435b-8a65-fcf869e72a08</t>
  </si>
  <si>
    <t>Seller esta com o asin ativo no seller central, mas não está refletindo no front \n\nhttps://t.corp.amazon.com/V2104606338\n11/02 https://t.corp.amazon.com/V2105303962\n19/02 https://t.corp.amazon.com/V2113796130</t>
  </si>
  <si>
    <t>30dc15c0-7823-41d7-b63e-281ad8e96d07</t>
  </si>
  <si>
    <t>Seller esta com o ASIN em Blacklisted. \n\nhttps://t.corp.amazon.com/V2104599671/overview\n</t>
  </si>
  <si>
    <t>b26d43fb-28fa-4f0b-a101-8ed6c9d5f29a</t>
  </si>
  <si>
    <t>Seller esta com a asin ativo, mas não está refletindo no front. \n\nhttps://t.corp.amazon.com/V2113865664\n23/02 - https://t.corp.amazon.com/V2117962490</t>
  </si>
  <si>
    <t>a8bacb13-69ca-4da4-bdeb-ae94eb46cb15</t>
  </si>
  <si>
    <t>Seller teve o prazo de entrega aumentado pelo indice, solicitei reanalise. \n\nhttps://na.vici.pars.amazon.dev/mpa-escalations/submit#/caseDetails/1772115097716881\n02/03 - email enviado (sr-help@amazon.com) \n\n10/03 - email enviado</t>
  </si>
  <si>
    <t>4bee8330-7e84-4929-af7c-183730f2b594</t>
  </si>
  <si>
    <t>Seller solicitou reividicação de A a Z para o pedido 701-0622440-7859448\n\nhttps://issues.amazon.com/issues/V2120702147</t>
  </si>
  <si>
    <t>6e1e664c-b77d-496e-9425-696dfde40464</t>
  </si>
  <si>
    <t>Isenção de métricas\n13/01: Issue recebido\n20/01: abertura do tt https://t.corp.amazon.com/V2079810489</t>
  </si>
  <si>
    <t xml:space="preserve">30887912302January  </t>
  </si>
  <si>
    <t>ab6744a9-51b9-4ae2-bf2a-712f8014a8ed</t>
  </si>
  <si>
    <t>Conta do brasil inativa</t>
  </si>
  <si>
    <t xml:space="preserve">1030040901202December </t>
  </si>
  <si>
    <t>e3e3a301-2a44-45a5-aee6-7a8c894622ca</t>
  </si>
  <si>
    <t>03/março: seller cadastrou kits e foram inativados. Solicitei para acrescentar as informações da ANATEL\nhttps://na.winston.a2z.com/Seller-BR/task/11303\n\n09/maço: abri um SIF\nhttps://na.vici.pars.amazon.dev/mpa-escalations#/caseDetails/1773067305894810\n\n09/março:\nhttps://na.winston.a2z.com/Seller-BR/task/11462\n\n13/março: Novo appeal\nhttps://na.vici.pars.amazon.dev/mpa-escalations#/caseDetails/1773407425344255</t>
  </si>
  <si>
    <t xml:space="preserve">801134136002March    </t>
  </si>
  <si>
    <t>d8e4a2bd-2fd7-492a-a902-d492910e51ec</t>
  </si>
  <si>
    <t>09/março: questiona porque os new ASINs estão indisponiveis</t>
  </si>
  <si>
    <t>5e5f9e80-afe0-4f48-b315-3f04030b253b</t>
  </si>
  <si>
    <t>Seller solicita reembolso de pedido danificado pela transportadora (ES)\n</t>
  </si>
  <si>
    <t xml:space="preserve">94015899402October  </t>
  </si>
  <si>
    <t>09314e63-815c-4dd0-8c6d-8d1cda9aee31</t>
  </si>
  <si>
    <t>Seller informa que a Amazon reembolsou o cliente sem nem investigar, pedido 701-8030149-2721823.\n10/02 - Seller trouxe o problema.\n11/02 - Realizado dive deep, se trata de um pedido por logísitca do vendedor. Cliente foi reembolsado por conta que abriu uma garantia de A a Z visto que passou o prazo de entrega. Seller não recorreu ou respondeu a reivindicação, respondeu o cliente dentro de 48h úteis. Informado que se tiver um comprovante de entrega antes da data informada no pedido pode recorrer na página de garantia de A a Z.</t>
  </si>
  <si>
    <t xml:space="preserve">94015899402February </t>
  </si>
  <si>
    <t>12188932-07f7-44e1-9283-ef7055dbff09</t>
  </si>
  <si>
    <t>Seller com problemas em um pedido DBA 702-7903481-2577833. Cliente disse que recebeu errado e não devolveu o produto, deseja o reembolso.\n26/02 - Aberto tt com o time.\nhttps://t.corp.amazon.com/V2121722857\n27/02 - Informaram que o seller precisa instruir o cliente a devolver o produto.</t>
  </si>
  <si>
    <t>031e0ea3-a1f9-4414-a616-0ebc310b11a7</t>
  </si>
  <si>
    <t>20/jan: Quis saber a melhor maneira para contestar as métricas de CX.\n\nPassei o material de A a Z e como contestar avaliações negativas</t>
  </si>
  <si>
    <t xml:space="preserve">45146550802January  </t>
  </si>
  <si>
    <t>67d3631d-6938-48ea-890a-72b9ebb182c8</t>
  </si>
  <si>
    <t>28/jan: Devido a uma falha na integração dos pedidos, eles poderão impactar negativamente a conta do vendedor, farei o acompanhamento e garantir a isenção.\nhttps://t.corp.amazon.com/V2091017305\n\n2/fev: Caso escalado\nhttps://issues.amazon.com/issues/4d13744a-efd3-4c3e-af2e-05f608e8a04a\n\n09/fev: Abri esse novo TT\nhttps://t.corp.amazon.com/V2103301698/communication\n\n17/fev: cobraram o approval do L6 mas informei o do ticket anterior</t>
  </si>
  <si>
    <t>bd452bce-c8af-413c-8cd2-547dad49037c</t>
  </si>
  <si>
    <t>28/jan: entrou em contato informando que despacharam os pedidos corretamente, porém a Amazon não recebeu as informações da integradora.\n\nsolicitei o número do chamado na Anymarket\nhttps://t.corp.amazon.com/V2089611578\n\nResponderam o chamado e estão em contato com a Anymarket</t>
  </si>
  <si>
    <t>7e383dc8-6189-4662-b1b9-2372825b6c14</t>
  </si>
  <si>
    <t>23/jan: seller entrou em contato sobre erro 5461. Instrui a pedir pelos serviços premium, mas por via das duvidas, solicitei também\n\nhttps://na.winston.a2z.com/Seller-BR/task/10122</t>
  </si>
  <si>
    <t>0946d8ef-2e2d-4306-98ee-077c4195863a</t>
  </si>
  <si>
    <t>Seller não consegue cadastra. \n24/02: Encaminhei a planilha de offshore. \n25/02: abri tt https://na.winston.a2z.com/Seller-BR/task/10916</t>
  </si>
  <si>
    <t xml:space="preserve">597004571302February </t>
  </si>
  <si>
    <t>a26acf3a-9237-4178-ae20-8f3c5771f6b6</t>
  </si>
  <si>
    <t>ASIN está ativo no Seller Central, mas não está com a offer na buybox, vimos que o sua tabela de frete não está devidamente configurada. \'1 Million and 1 Shipping Cost\' TT: https://t.corp.amazon.com/V1986460384</t>
  </si>
  <si>
    <t xml:space="preserve">28945506502November </t>
  </si>
  <si>
    <t>e6c81b16-d9d4-4c38-808f-97449b66e0b2</t>
  </si>
  <si>
    <t>Seller teve recusa da marca SHIMANO e solicitou ajuda com essa aprovação.\nAberto um chamado para o time de backoffice: https://t.corp.amazon.com/V2135078147</t>
  </si>
  <si>
    <t xml:space="preserve">625725137302March    </t>
  </si>
  <si>
    <t>8b7d0c5b-0db7-4b11-952d-b3858e3bfdf1</t>
  </si>
  <si>
    <t>4/fev: Seller enviou o Appeal, foi aceito, porém o ASIN permanece restrito, abri o SIF\n\nhttps://na.vici.pars.amazon.dev/mpa-escalations#/caseDetails/1770233571689416\n\n09/fev: Cobrei a barbcf \nhttps://t.corp.amazon.com/V2097771901/communication\n\n10/fev: o appeal na verdade foi negado, mostrei a melhor maneira de recorrer.\n\n11/fev: appeal negado e cobrei o TT\n\n19/fev: time solicitou o teste de qualidade do produto, cobrei o vendedor sobre.</t>
  </si>
  <si>
    <t xml:space="preserve">438747217402February </t>
  </si>
  <si>
    <t>904bb76b-5a6e-4fe3-9964-8c574b23a1b7</t>
  </si>
  <si>
    <t>11/fev: questionou sobre relatórios de movimentação do FBA</t>
  </si>
  <si>
    <t>95b8ab68-40f8-4316-9ae7-ffda6f9c48bb</t>
  </si>
  <si>
    <t>10/fev: informou que todas ofertas estão inativas, ao analisar o certificado digital está expirado. Comuniquei o vendedor\n\n11/fev: seller atualizou o certificado digital\nhttps://t.corp.amazon.com/V2105654932</t>
  </si>
  <si>
    <t>544cf278-2746-46ca-b179-1d3ff48e51c5</t>
  </si>
  <si>
    <t>12/fev: obvious poricing error, 30 tvs vendida por R$ 0.30 cents\nhttps://issues.amazon.com/issues/47ead669-4b4b-4ec3-abfa-cddb58a41725</t>
  </si>
  <si>
    <t>666f0b96-a827-4e2b-9f3c-4459f369dab8</t>
  </si>
  <si>
    <t>03/03 - O ASIN: B0DJ3HLYSX - havia sido reestabelecido no TT: https://t.corp.amazon.com/V2080094196\nPorém, fico inativo novamente em todas as outras contas, o asin permanece ativo. Reportei novamente ao time de backoffice, que foi quem cuidou do caso anteriormente. está sendo verificado se há alguma incompatibilidade.</t>
  </si>
  <si>
    <t xml:space="preserve">108483856702February </t>
  </si>
  <si>
    <t>45601067-02c8-4b7f-b422-9f73adaaebd6</t>
  </si>
  <si>
    <t>04/02 - Seller entrou em contato sinalizando os pedidos que foram deixados para tras pela transportadora devido a capacidade do veículo.\n04/02 - Aberto um pedido para isentar as métricas desses pedidos: https://t.corp.amazon.com/V2097990203</t>
  </si>
  <si>
    <t>654eba1e-caa2-4c78-97c5-7ccc4e1f226f</t>
  </si>
  <si>
    <t>Seller entrou em contato solicitando ajuda com o ASIN: B0FFJDG7LR - Itens como " Reservado " \n\nAberto o bin-check para o FC: https://t.corp.amazon.com/V2092198380\n\nE todas as unidades ficaram disponiveis novamente.</t>
  </si>
  <si>
    <t>81cd1f1b-3d6c-4a2c-876e-2ae8cd74593a</t>
  </si>
  <si>
    <t>09/02 - Produto inativo devido a falta de informações\n09/02 - Solicitei ao seller preencher as informações de dimensão</t>
  </si>
  <si>
    <t>ffb17bc3-c2ba-4d2d-aa9c-dbf59d661fd1</t>
  </si>
  <si>
    <t>20/02 - Seller solicitou ajuda com 26 ASINs que estão inativos devido atributos faltantes.\n23/02 - Aberto um chamado para offshoring investigar esses atributos: https://na.winston.a2z.com/Seller-BR/task/10818</t>
  </si>
  <si>
    <t>425af323-eb15-4689-95ba-55621e414644</t>
  </si>
  <si>
    <t>Seller trouxe um problema de oferta híbrida no asin, passei o passo a passo que ele deveria seguir para corrigir o problema. aguardando confirmação de sucesso.</t>
  </si>
  <si>
    <t>e479aa5d-49fd-4246-9585-f4607d517bec</t>
  </si>
  <si>
    <t>Seller informa que teve problemas com a coleta e alguns pedidos.</t>
  </si>
  <si>
    <t xml:space="preserve">93900917902November </t>
  </si>
  <si>
    <t>92d00203-e1f1-4086-9eba-86903c0b9591</t>
  </si>
  <si>
    <t>Seller solicita ajuda para que comece a contagem logo dos seus itens, remessa dentro do prazo mostrado no seller central. Acompanhando FBA19395V4JX</t>
  </si>
  <si>
    <t>f91b7989-1b7c-4ebb-8c1d-f77b14e7f43b</t>
  </si>
  <si>
    <t>Seller com ASIN sem BuyBox, por questões de preço de concorrente. Ticket em andamento.</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</si>
</sst>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0"/>
    <numFmt numFmtId="166" formatCode="_-&quot;R$&quot;\ * #,##0.00_-;\-&quot;R$&quot;\ * #,##0.00_-;_-&quot;R$&quot;\ * &quot;-&quot;??_-;_-@_-"/>
    <numFmt numFmtId="167" formatCode="_-* #,##0.00_-;\-* #,##0.00_-;_-* &quot;-&quot;??_-;_-@_-"/>
  </numFmts>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sz val="11"/>
      <color indexed="8"/>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theme="0"/>
      <name val="Aptos Narrow"/>
      <family val="2"/>
      <scheme val="minor"/>
    </font>
    <font>
      <sz val="10"/>
      <color rgb="FF383A42"/>
      <name val="Consolas"/>
      <family val="3"/>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patternFill>
    </fill>
    <fill>
      <patternFill patternType="solid">
        <fgColor theme="1"/>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0" tint="-0.14999847407452621"/>
        <bgColor indexed="64"/>
      </patternFill>
    </fill>
    <fill>
      <patternFill patternType="solid">
        <fgColor rgb="FFE6E6E6"/>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s>
  <cellStyleXfs count="52">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1" fillId="0" borderId="0"/>
    <xf numFmtId="166" fontId="1" fillId="0" borderId="0" applyFont="0" applyFill="0" applyBorder="0" applyAlignment="0" applyProtection="0"/>
    <xf numFmtId="0" fontId="20" fillId="2" borderId="0" applyNumberFormat="0" applyBorder="0" applyAlignment="0" applyProtection="0"/>
    <xf numFmtId="0" fontId="21" fillId="3" borderId="0" applyNumberFormat="0" applyBorder="0" applyAlignment="0" applyProtection="0"/>
    <xf numFmtId="0" fontId="22" fillId="4" borderId="0" applyNumberFormat="0" applyBorder="0" applyAlignment="0" applyProtection="0"/>
    <xf numFmtId="0" fontId="23" fillId="29" borderId="0" applyNumberFormat="0" applyBorder="0" applyAlignment="0" applyProtection="0"/>
    <xf numFmtId="167" fontId="1" fillId="0" borderId="0" applyFont="0" applyFill="0" applyBorder="0" applyAlignment="0" applyProtection="0"/>
    <xf numFmtId="0" fontId="1" fillId="0" borderId="0"/>
  </cellStyleXfs>
  <cellXfs count="64">
    <xf numFmtId="0" fontId="0" fillId="0" borderId="0" xfId="0"/>
    <xf numFmtId="22" fontId="0" fillId="0" borderId="0" xfId="0" applyNumberFormat="1"/>
    <xf numFmtId="9" fontId="0" fillId="0" borderId="0" xfId="0" applyNumberFormat="1"/>
    <xf numFmtId="14" fontId="0" fillId="0" borderId="0" xfId="0" applyNumberFormat="1"/>
    <xf numFmtId="1" fontId="0" fillId="0" borderId="0" xfId="0" applyNumberFormat="1" applyAlignment="1">
      <alignment horizontal="left"/>
    </xf>
    <xf numFmtId="1" fontId="0" fillId="0" borderId="0" xfId="0" applyNumberFormat="1" applyAlignment="1">
      <alignment horizontal="center"/>
    </xf>
    <xf numFmtId="0" fontId="0" fillId="33" borderId="0" xfId="0" applyFill="1"/>
    <xf numFmtId="1" fontId="13" fillId="34" borderId="0" xfId="0" applyNumberFormat="1" applyFont="1" applyFill="1" applyAlignment="1">
      <alignment horizontal="left"/>
    </xf>
    <xf numFmtId="1" fontId="13" fillId="34" borderId="0" xfId="0" applyNumberFormat="1" applyFont="1" applyFill="1" applyAlignment="1">
      <alignment horizontal="center"/>
    </xf>
    <xf numFmtId="49" fontId="0" fillId="0" borderId="0" xfId="0" applyNumberFormat="1"/>
    <xf numFmtId="2" fontId="0" fillId="0" borderId="0" xfId="0" applyNumberFormat="1"/>
    <xf numFmtId="10" fontId="0" fillId="0" borderId="0" xfId="1" applyNumberFormat="1" applyFont="1"/>
    <xf numFmtId="9" fontId="0" fillId="0" borderId="0" xfId="1" applyFont="1" applyFill="1"/>
    <xf numFmtId="164" fontId="0" fillId="0" borderId="0" xfId="0" applyNumberFormat="1"/>
    <xf numFmtId="0" fontId="13" fillId="36" borderId="10" xfId="0" applyFont="1" applyFill="1" applyBorder="1" applyAlignment="1">
      <alignment horizontal="center" vertical="center"/>
    </xf>
    <xf numFmtId="0" fontId="0" fillId="0" borderId="10" xfId="0" applyBorder="1" applyAlignment="1">
      <alignment horizontal="center" vertical="center"/>
    </xf>
    <xf numFmtId="9" fontId="0" fillId="0" borderId="10" xfId="0" applyNumberFormat="1" applyBorder="1" applyAlignment="1">
      <alignment horizontal="center" vertical="center"/>
    </xf>
    <xf numFmtId="9" fontId="0" fillId="0" borderId="10" xfId="0" applyNumberFormat="1" applyBorder="1" applyAlignment="1">
      <alignment horizontal="center"/>
    </xf>
    <xf numFmtId="0" fontId="0" fillId="0" borderId="10" xfId="0" applyBorder="1" applyAlignment="1">
      <alignment horizontal="center"/>
    </xf>
    <xf numFmtId="1" fontId="0" fillId="0" borderId="10" xfId="0" applyNumberFormat="1" applyBorder="1" applyAlignment="1">
      <alignment horizontal="center"/>
    </xf>
    <xf numFmtId="10" fontId="0" fillId="0" borderId="0" xfId="1" applyNumberFormat="1" applyFont="1" applyFill="1"/>
    <xf numFmtId="0" fontId="0" fillId="0" borderId="0" xfId="0" applyAlignment="1">
      <alignment horizontal="center" vertical="center"/>
    </xf>
    <xf numFmtId="10" fontId="0" fillId="0" borderId="10" xfId="1" applyNumberFormat="1" applyFont="1" applyBorder="1" applyAlignment="1">
      <alignment horizontal="center" vertical="center"/>
    </xf>
    <xf numFmtId="164" fontId="0" fillId="0" borderId="10" xfId="0" applyNumberFormat="1" applyBorder="1" applyAlignment="1">
      <alignment horizontal="center" vertical="center"/>
    </xf>
    <xf numFmtId="9" fontId="0" fillId="0" borderId="10" xfId="1" applyFont="1" applyFill="1" applyBorder="1" applyAlignment="1">
      <alignment horizontal="center" vertical="center"/>
    </xf>
    <xf numFmtId="22" fontId="0" fillId="0" borderId="10" xfId="0" applyNumberFormat="1" applyBorder="1" applyAlignment="1">
      <alignment horizontal="center" vertical="center"/>
    </xf>
    <xf numFmtId="1" fontId="0" fillId="0" borderId="10" xfId="0" applyNumberFormat="1" applyBorder="1" applyAlignment="1">
      <alignment horizontal="center" vertical="center"/>
    </xf>
    <xf numFmtId="0" fontId="16" fillId="35" borderId="10" xfId="0" applyFont="1" applyFill="1" applyBorder="1" applyAlignment="1">
      <alignment horizontal="center" vertical="center"/>
    </xf>
    <xf numFmtId="0" fontId="0" fillId="0" borderId="10" xfId="0" applyBorder="1"/>
    <xf numFmtId="165" fontId="0" fillId="0" borderId="0" xfId="0" applyNumberFormat="1"/>
    <xf numFmtId="0" fontId="16" fillId="0" borderId="0" xfId="0" applyFont="1"/>
    <xf numFmtId="0" fontId="16" fillId="38" borderId="10" xfId="0" applyFont="1" applyFill="1" applyBorder="1"/>
    <xf numFmtId="9" fontId="0" fillId="0" borderId="10" xfId="1" applyFont="1" applyBorder="1" applyAlignment="1">
      <alignment horizontal="center" vertical="center"/>
    </xf>
    <xf numFmtId="9" fontId="0" fillId="0" borderId="10" xfId="1" applyFont="1" applyBorder="1" applyAlignment="1">
      <alignment horizontal="center"/>
    </xf>
    <xf numFmtId="0" fontId="13" fillId="34" borderId="0" xfId="0" applyFont="1" applyFill="1" applyAlignment="1">
      <alignment horizontal="center" vertical="center"/>
    </xf>
    <xf numFmtId="0" fontId="24" fillId="0" borderId="0" xfId="0" applyFont="1" applyAlignment="1">
      <alignment horizontal="left" vertical="center" indent="1" readingOrder="1"/>
    </xf>
    <xf numFmtId="0" fontId="18" fillId="0" borderId="0" xfId="0" applyFont="1" applyAlignment="1">
      <alignment horizontal="center" vertical="center" wrapText="1"/>
    </xf>
    <xf numFmtId="0" fontId="0" fillId="0" borderId="10" xfId="0" applyBorder="1" applyAlignment="1">
      <alignment horizontal="left" vertical="center" wrapText="1"/>
    </xf>
    <xf numFmtId="9" fontId="18" fillId="0" borderId="0" xfId="1" applyFont="1" applyAlignment="1">
      <alignment horizontal="center" vertical="center" wrapText="1"/>
    </xf>
    <xf numFmtId="10" fontId="1" fillId="0" borderId="10" xfId="1" applyNumberFormat="1" applyFont="1" applyBorder="1" applyAlignment="1">
      <alignment horizontal="center" vertical="center"/>
    </xf>
    <xf numFmtId="164" fontId="0" fillId="0" borderId="10" xfId="1" applyNumberFormat="1" applyFont="1" applyBorder="1" applyAlignment="1">
      <alignment horizontal="center" vertical="center"/>
    </xf>
    <xf numFmtId="1" fontId="0" fillId="0" borderId="10" xfId="1" applyNumberFormat="1" applyFont="1" applyBorder="1" applyAlignment="1">
      <alignment horizontal="center" vertical="center"/>
    </xf>
    <xf numFmtId="0" fontId="0" fillId="0" borderId="10" xfId="0" applyBorder="1" applyAlignment="1">
      <alignment wrapText="1"/>
    </xf>
    <xf numFmtId="47" fontId="0" fillId="0" borderId="0" xfId="0" applyNumberFormat="1"/>
    <xf numFmtId="11" fontId="0" fillId="0" borderId="0" xfId="0" applyNumberFormat="1"/>
    <xf numFmtId="0" fontId="0" fillId="40" borderId="0" xfId="0" applyFill="1"/>
    <xf numFmtId="0" fontId="0" fillId="41" borderId="0" xfId="0" applyFill="1"/>
    <xf numFmtId="0" fontId="0" fillId="42" borderId="0" xfId="0" applyFill="1"/>
    <xf numFmtId="1" fontId="0" fillId="0" borderId="0" xfId="0" applyNumberFormat="1"/>
    <xf numFmtId="0" fontId="16" fillId="39" borderId="18" xfId="0" applyFont="1" applyFill="1" applyBorder="1" applyAlignment="1">
      <alignment horizontal="left" vertical="center" wrapText="1"/>
    </xf>
    <xf numFmtId="0" fontId="0" fillId="0" borderId="18" xfId="0" applyBorder="1" applyAlignment="1">
      <alignment horizontal="left" vertical="center" wrapText="1"/>
    </xf>
    <xf numFmtId="14" fontId="0" fillId="0" borderId="18" xfId="0" applyNumberFormat="1" applyBorder="1" applyAlignment="1">
      <alignment horizontal="left" vertical="center" wrapText="1"/>
    </xf>
    <xf numFmtId="14" fontId="0" fillId="0" borderId="18" xfId="0" applyNumberFormat="1" applyBorder="1" applyAlignment="1">
      <alignment horizontal="right" vertical="center" wrapText="1"/>
    </xf>
    <xf numFmtId="0" fontId="13" fillId="36" borderId="15" xfId="0" applyFont="1" applyFill="1" applyBorder="1" applyAlignment="1">
      <alignment horizontal="center" vertical="center"/>
    </xf>
    <xf numFmtId="0" fontId="13" fillId="36" borderId="17" xfId="0" applyFont="1" applyFill="1" applyBorder="1" applyAlignment="1">
      <alignment horizontal="center" vertical="center"/>
    </xf>
    <xf numFmtId="0" fontId="13" fillId="36" borderId="16" xfId="0" applyFont="1" applyFill="1" applyBorder="1" applyAlignment="1">
      <alignment horizontal="center" vertical="center"/>
    </xf>
    <xf numFmtId="0" fontId="13" fillId="37" borderId="15" xfId="0" applyFont="1" applyFill="1" applyBorder="1" applyAlignment="1">
      <alignment horizontal="center" vertical="center"/>
    </xf>
    <xf numFmtId="0" fontId="13" fillId="37" borderId="17" xfId="0" applyFont="1" applyFill="1" applyBorder="1" applyAlignment="1">
      <alignment horizontal="center" vertical="center"/>
    </xf>
    <xf numFmtId="0" fontId="13" fillId="37" borderId="16" xfId="0" applyFont="1" applyFill="1" applyBorder="1" applyAlignment="1">
      <alignment horizontal="center" vertical="center"/>
    </xf>
    <xf numFmtId="0" fontId="13" fillId="37" borderId="14" xfId="0" applyFont="1" applyFill="1" applyBorder="1" applyAlignment="1">
      <alignment horizontal="center" vertical="center"/>
    </xf>
    <xf numFmtId="0" fontId="13" fillId="37" borderId="0" xfId="0" applyFont="1" applyFill="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cellXfs>
  <cellStyles count="52">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Bom 2" xfId="46"/>
    <cellStyle name="Calculation" xfId="12" builtinId="22" customBuiltin="1"/>
    <cellStyle name="Check Cell" xfId="14" builtinId="23" customBuiltin="1"/>
    <cellStyle name="Comma 2" xfId="50"/>
    <cellStyle name="Ênfase6 2" xfId="49"/>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Moeda 2" xfId="45"/>
    <cellStyle name="Neutral" xfId="9" builtinId="28" customBuiltin="1"/>
    <cellStyle name="Neutro 2" xfId="48"/>
    <cellStyle name="Normal" xfId="0" builtinId="0"/>
    <cellStyle name="Normal 2" xfId="43"/>
    <cellStyle name="Normal 3" xfId="44"/>
    <cellStyle name="Normal 7" xfId="51"/>
    <cellStyle name="Note" xfId="16" builtinId="10" customBuiltin="1"/>
    <cellStyle name="Output" xfId="11" builtinId="21" customBuiltin="1"/>
    <cellStyle name="Percent" xfId="1" builtinId="5"/>
    <cellStyle name="Ruim 2" xfId="47"/>
    <cellStyle name="Title" xfId="2" builtinId="15" customBuiltin="1"/>
    <cellStyle name="Total" xfId="18" builtinId="25" customBuiltin="1"/>
    <cellStyle name="Warning Text" xfId="15" builtinId="11" customBuiltin="1"/>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b/>
        <i val="0"/>
        <color rgb="FF00B050"/>
      </font>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externalLinks/_rels/externalLink1.xml.rels><?xml version="1.0" encoding="UTF-8" standalone="yes"?>
<Relationships xmlns="http://schemas.openxmlformats.org/package/2006/relationships"><Relationship Id="rId1" Type="http://schemas.microsoft.com/office/2006/relationships/xlExternalLinkPath/xlPathMissing" Target="results(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BR Issue Resolution Slide"/>
      <sheetName val="Active Sellers"/>
      <sheetName val="Sellers Pro"/>
      <sheetName val="Base"/>
      <sheetName val="Enforcement"/>
      <sheetName val="Sellers Piloto"/>
      <sheetName val="SAS Sellers"/>
      <sheetName val="FTAC"/>
      <sheetName val="iGMS"/>
      <sheetName val="_METADATA_"/>
    </sheetNames>
    <sheetDataSet>
      <sheetData sheetId="0"/>
      <sheetData sheetId="1"/>
      <sheetData sheetId="2">
        <row r="1">
          <cell r="C1" t="str">
            <v>merchant_customer_id</v>
          </cell>
          <cell r="F1" t="str">
            <v>om_alias</v>
          </cell>
        </row>
        <row r="2">
          <cell r="C2">
            <v>251774695102</v>
          </cell>
        </row>
        <row r="3">
          <cell r="C3">
            <v>11103651302</v>
          </cell>
          <cell r="F3" t="str">
            <v>tiaelima</v>
          </cell>
        </row>
        <row r="4">
          <cell r="C4">
            <v>161445746002</v>
          </cell>
          <cell r="F4" t="str">
            <v>tiaelima</v>
          </cell>
        </row>
        <row r="5">
          <cell r="C5">
            <v>439493352402</v>
          </cell>
          <cell r="F5" t="str">
            <v>tiaelima</v>
          </cell>
        </row>
        <row r="6">
          <cell r="C6">
            <v>101837981602</v>
          </cell>
          <cell r="F6" t="str">
            <v>gomrodrd</v>
          </cell>
        </row>
        <row r="7">
          <cell r="C7">
            <v>131430188302</v>
          </cell>
          <cell r="F7" t="str">
            <v>gomrodrd</v>
          </cell>
        </row>
        <row r="8">
          <cell r="C8">
            <v>963780507202</v>
          </cell>
          <cell r="F8" t="str">
            <v>gomrodrd</v>
          </cell>
        </row>
        <row r="9">
          <cell r="C9">
            <v>795323312102</v>
          </cell>
          <cell r="F9" t="str">
            <v>qmanuelv</v>
          </cell>
        </row>
        <row r="10">
          <cell r="C10">
            <v>1041132329602</v>
          </cell>
          <cell r="F10" t="str">
            <v>gomrodrd</v>
          </cell>
        </row>
        <row r="11">
          <cell r="C11">
            <v>1045128782102</v>
          </cell>
          <cell r="F11" t="str">
            <v>gomrodrd</v>
          </cell>
        </row>
        <row r="12">
          <cell r="C12">
            <v>282538163102</v>
          </cell>
          <cell r="F12" t="str">
            <v>gomrodrd</v>
          </cell>
        </row>
        <row r="13">
          <cell r="C13">
            <v>355214089002</v>
          </cell>
          <cell r="F13" t="str">
            <v>qmanuelv</v>
          </cell>
        </row>
        <row r="14">
          <cell r="C14">
            <v>1095970973902</v>
          </cell>
          <cell r="F14" t="str">
            <v>qmanuelv</v>
          </cell>
        </row>
        <row r="15">
          <cell r="C15">
            <v>241419664602</v>
          </cell>
          <cell r="F15" t="str">
            <v>fpereluc</v>
          </cell>
        </row>
        <row r="16">
          <cell r="C16">
            <v>21230697402</v>
          </cell>
          <cell r="F16" t="str">
            <v>joaoclan</v>
          </cell>
        </row>
        <row r="17">
          <cell r="C17">
            <v>91552422202</v>
          </cell>
          <cell r="F17" t="str">
            <v>joaoclan</v>
          </cell>
        </row>
        <row r="18">
          <cell r="C18">
            <v>395702288202</v>
          </cell>
          <cell r="F18" t="str">
            <v>joaoclan</v>
          </cell>
        </row>
        <row r="19">
          <cell r="C19">
            <v>481703768002</v>
          </cell>
          <cell r="F19" t="str">
            <v>joaoclan</v>
          </cell>
        </row>
        <row r="20">
          <cell r="C20">
            <v>621619033302</v>
          </cell>
          <cell r="F20" t="str">
            <v>joaoclan</v>
          </cell>
        </row>
        <row r="21">
          <cell r="C21">
            <v>24928216102</v>
          </cell>
          <cell r="F21" t="str">
            <v>fpereluc</v>
          </cell>
        </row>
        <row r="22">
          <cell r="C22">
            <v>1087931314602</v>
          </cell>
          <cell r="F22" t="str">
            <v>fpereluc</v>
          </cell>
        </row>
        <row r="23">
          <cell r="C23">
            <v>351067276502</v>
          </cell>
          <cell r="F23" t="str">
            <v>tiaelima</v>
          </cell>
        </row>
        <row r="24">
          <cell r="C24">
            <v>24663245702</v>
          </cell>
        </row>
        <row r="25">
          <cell r="C25">
            <v>702866446802</v>
          </cell>
        </row>
        <row r="26">
          <cell r="C26">
            <v>164556184602</v>
          </cell>
        </row>
        <row r="27">
          <cell r="C27">
            <v>706059138702</v>
          </cell>
        </row>
        <row r="28">
          <cell r="C28">
            <v>879591218802</v>
          </cell>
        </row>
        <row r="29">
          <cell r="C29">
            <v>291732783002</v>
          </cell>
          <cell r="F29" t="str">
            <v>gomrodrd</v>
          </cell>
        </row>
        <row r="30">
          <cell r="C30">
            <v>434163431202</v>
          </cell>
          <cell r="F30" t="str">
            <v>gomrodrd</v>
          </cell>
        </row>
        <row r="31">
          <cell r="C31">
            <v>687037975702</v>
          </cell>
          <cell r="F31" t="str">
            <v>gomrodrd</v>
          </cell>
        </row>
        <row r="32">
          <cell r="C32">
            <v>487573149502</v>
          </cell>
        </row>
        <row r="33">
          <cell r="C33">
            <v>617214756102</v>
          </cell>
          <cell r="F33" t="str">
            <v>tiaelima</v>
          </cell>
        </row>
        <row r="34">
          <cell r="C34">
            <v>582151058602</v>
          </cell>
        </row>
        <row r="35">
          <cell r="C35">
            <v>629116898602</v>
          </cell>
        </row>
        <row r="36">
          <cell r="C36">
            <v>16116314302</v>
          </cell>
          <cell r="F36" t="str">
            <v>tiaelima</v>
          </cell>
        </row>
        <row r="37">
          <cell r="C37">
            <v>302130688502</v>
          </cell>
        </row>
        <row r="38">
          <cell r="C38">
            <v>390767362702</v>
          </cell>
        </row>
        <row r="39">
          <cell r="C39">
            <v>480001006102</v>
          </cell>
        </row>
        <row r="40">
          <cell r="C40">
            <v>125288528002</v>
          </cell>
          <cell r="F40" t="str">
            <v>gomrodrd</v>
          </cell>
        </row>
        <row r="41">
          <cell r="C41">
            <v>575629095302</v>
          </cell>
          <cell r="F41" t="str">
            <v>gomrodrd</v>
          </cell>
        </row>
        <row r="42">
          <cell r="C42">
            <v>625725137302</v>
          </cell>
          <cell r="F42" t="str">
            <v>gomrodrd</v>
          </cell>
        </row>
        <row r="43">
          <cell r="C43">
            <v>810505986102</v>
          </cell>
          <cell r="F43" t="str">
            <v>gomrodrd</v>
          </cell>
        </row>
        <row r="44">
          <cell r="C44">
            <v>322287200702</v>
          </cell>
          <cell r="F44" t="str">
            <v>joaoclan</v>
          </cell>
        </row>
        <row r="45">
          <cell r="C45">
            <v>398869765802</v>
          </cell>
          <cell r="F45" t="str">
            <v>joaoclan</v>
          </cell>
        </row>
        <row r="46">
          <cell r="C46">
            <v>395118894802</v>
          </cell>
        </row>
        <row r="47">
          <cell r="C47">
            <v>26774818902</v>
          </cell>
          <cell r="F47" t="str">
            <v>qmanuelv</v>
          </cell>
        </row>
        <row r="48">
          <cell r="C48">
            <v>25545596202</v>
          </cell>
        </row>
        <row r="49">
          <cell r="C49">
            <v>141987353202</v>
          </cell>
          <cell r="F49" t="str">
            <v>gomrodrd</v>
          </cell>
        </row>
        <row r="50">
          <cell r="C50">
            <v>716769647502</v>
          </cell>
          <cell r="F50" t="str">
            <v>gomrodrd</v>
          </cell>
        </row>
        <row r="51">
          <cell r="C51">
            <v>844422866302</v>
          </cell>
          <cell r="F51" t="str">
            <v>gomrodrd</v>
          </cell>
        </row>
        <row r="52">
          <cell r="C52">
            <v>24674493302</v>
          </cell>
          <cell r="F52" t="str">
            <v>joaoclan</v>
          </cell>
        </row>
        <row r="53">
          <cell r="C53">
            <v>24938392802</v>
          </cell>
          <cell r="F53" t="str">
            <v>joaoclan</v>
          </cell>
        </row>
        <row r="54">
          <cell r="C54">
            <v>24679550702</v>
          </cell>
          <cell r="F54" t="str">
            <v>gomrodrd</v>
          </cell>
        </row>
        <row r="55">
          <cell r="C55">
            <v>150738856702</v>
          </cell>
        </row>
        <row r="56">
          <cell r="C56">
            <v>601998582602</v>
          </cell>
          <cell r="F56" t="str">
            <v>qmanuelv</v>
          </cell>
        </row>
        <row r="57">
          <cell r="C57">
            <v>639370275302</v>
          </cell>
          <cell r="F57" t="str">
            <v>joaoclan</v>
          </cell>
        </row>
        <row r="58">
          <cell r="C58">
            <v>840556373002</v>
          </cell>
          <cell r="F58" t="str">
            <v>joaoclan</v>
          </cell>
        </row>
        <row r="59">
          <cell r="C59">
            <v>768067542102</v>
          </cell>
        </row>
        <row r="60">
          <cell r="C60">
            <v>72695582302</v>
          </cell>
          <cell r="F60" t="str">
            <v>fpereluc</v>
          </cell>
        </row>
        <row r="61">
          <cell r="C61">
            <v>851886444902</v>
          </cell>
          <cell r="F61" t="str">
            <v>fpereluc</v>
          </cell>
        </row>
        <row r="62">
          <cell r="C62">
            <v>1121498636702</v>
          </cell>
          <cell r="F62" t="str">
            <v>fpereluc</v>
          </cell>
        </row>
        <row r="63">
          <cell r="C63">
            <v>133844711902</v>
          </cell>
          <cell r="F63" t="str">
            <v>fpereluc</v>
          </cell>
        </row>
        <row r="64">
          <cell r="C64">
            <v>696396556502</v>
          </cell>
          <cell r="F64" t="str">
            <v>gomrodrd</v>
          </cell>
        </row>
        <row r="65">
          <cell r="C65">
            <v>822674551702</v>
          </cell>
          <cell r="F65" t="str">
            <v>gomrodrd</v>
          </cell>
        </row>
        <row r="66">
          <cell r="C66">
            <v>358111169102</v>
          </cell>
        </row>
        <row r="67">
          <cell r="C67">
            <v>1020692807102</v>
          </cell>
        </row>
        <row r="68">
          <cell r="C68">
            <v>284153487302</v>
          </cell>
          <cell r="F68" t="str">
            <v>gomrodrd</v>
          </cell>
        </row>
        <row r="69">
          <cell r="C69">
            <v>287289131302</v>
          </cell>
          <cell r="F69" t="str">
            <v>gomrodrd</v>
          </cell>
        </row>
        <row r="70">
          <cell r="C70">
            <v>949931980602</v>
          </cell>
          <cell r="F70" t="str">
            <v>gomrodrd</v>
          </cell>
        </row>
        <row r="71">
          <cell r="C71">
            <v>950538002502</v>
          </cell>
          <cell r="F71" t="str">
            <v>gomrodrd</v>
          </cell>
        </row>
        <row r="72">
          <cell r="C72">
            <v>1078200608102</v>
          </cell>
          <cell r="F72" t="str">
            <v>gomrodrd</v>
          </cell>
        </row>
        <row r="73">
          <cell r="C73">
            <v>1087999910402</v>
          </cell>
          <cell r="F73" t="str">
            <v>gomrodrd</v>
          </cell>
        </row>
        <row r="74">
          <cell r="C74">
            <v>61648289002</v>
          </cell>
          <cell r="F74" t="str">
            <v>tiaelima</v>
          </cell>
        </row>
        <row r="75">
          <cell r="C75">
            <v>13639293002</v>
          </cell>
        </row>
        <row r="76">
          <cell r="C76">
            <v>24386750602</v>
          </cell>
          <cell r="F76" t="str">
            <v>tiaelima</v>
          </cell>
        </row>
        <row r="77">
          <cell r="C77">
            <v>826870081802</v>
          </cell>
          <cell r="F77" t="str">
            <v>tiaelima</v>
          </cell>
        </row>
        <row r="78">
          <cell r="C78">
            <v>577689852902</v>
          </cell>
        </row>
        <row r="79">
          <cell r="C79">
            <v>706035266402</v>
          </cell>
        </row>
        <row r="80">
          <cell r="C80">
            <v>784462922402</v>
          </cell>
        </row>
        <row r="81">
          <cell r="C81">
            <v>947856252502</v>
          </cell>
        </row>
        <row r="82">
          <cell r="C82">
            <v>500553466002</v>
          </cell>
          <cell r="F82" t="str">
            <v>gomrodrd</v>
          </cell>
        </row>
        <row r="83">
          <cell r="C83">
            <v>619747148002</v>
          </cell>
          <cell r="F83" t="str">
            <v>gomrodrd</v>
          </cell>
        </row>
        <row r="84">
          <cell r="C84">
            <v>736960318302</v>
          </cell>
          <cell r="F84" t="str">
            <v>gomrodrd</v>
          </cell>
        </row>
        <row r="85">
          <cell r="C85">
            <v>627010921602</v>
          </cell>
          <cell r="F85" t="str">
            <v>joaoclan</v>
          </cell>
        </row>
        <row r="86">
          <cell r="C86">
            <v>56875076002</v>
          </cell>
        </row>
        <row r="87">
          <cell r="C87">
            <v>170004727002</v>
          </cell>
          <cell r="F87" t="str">
            <v>joaoclan</v>
          </cell>
        </row>
        <row r="88">
          <cell r="C88">
            <v>1084260090102</v>
          </cell>
          <cell r="F88" t="str">
            <v>joaoclan</v>
          </cell>
        </row>
        <row r="89">
          <cell r="C89">
            <v>435346364602</v>
          </cell>
          <cell r="F89" t="str">
            <v>fpereluc</v>
          </cell>
        </row>
        <row r="90">
          <cell r="C90">
            <v>689588524802</v>
          </cell>
          <cell r="F90" t="str">
            <v>fpereluc</v>
          </cell>
        </row>
        <row r="91">
          <cell r="C91">
            <v>490336347502</v>
          </cell>
          <cell r="F91" t="str">
            <v>gomrodrd</v>
          </cell>
        </row>
        <row r="92">
          <cell r="C92">
            <v>506544099802</v>
          </cell>
          <cell r="F92" t="str">
            <v>gomrodrd</v>
          </cell>
        </row>
        <row r="93">
          <cell r="C93">
            <v>591291307902</v>
          </cell>
          <cell r="F93" t="str">
            <v>gomrodrd</v>
          </cell>
        </row>
        <row r="94">
          <cell r="C94">
            <v>1148686680402</v>
          </cell>
          <cell r="F94" t="str">
            <v>tiaelima</v>
          </cell>
        </row>
        <row r="95">
          <cell r="C95">
            <v>159666680002</v>
          </cell>
          <cell r="F95" t="str">
            <v>tiaelima</v>
          </cell>
        </row>
        <row r="96">
          <cell r="C96">
            <v>398381486702</v>
          </cell>
          <cell r="F96" t="str">
            <v>tiaelima</v>
          </cell>
        </row>
        <row r="97">
          <cell r="C97">
            <v>428548350302</v>
          </cell>
          <cell r="F97" t="str">
            <v>tiaelima</v>
          </cell>
        </row>
        <row r="98">
          <cell r="C98">
            <v>602057730902</v>
          </cell>
          <cell r="F98" t="str">
            <v>tiaelima</v>
          </cell>
        </row>
        <row r="99">
          <cell r="C99">
            <v>622908280602</v>
          </cell>
          <cell r="F99" t="str">
            <v>tiaelima</v>
          </cell>
        </row>
        <row r="100">
          <cell r="C100">
            <v>653955892602</v>
          </cell>
          <cell r="F100" t="str">
            <v>joaoclan</v>
          </cell>
        </row>
        <row r="101">
          <cell r="C101">
            <v>655945459902</v>
          </cell>
          <cell r="F101" t="str">
            <v>qmanuelv</v>
          </cell>
        </row>
        <row r="102">
          <cell r="C102">
            <v>128664783802</v>
          </cell>
          <cell r="F102" t="str">
            <v>fpereluc</v>
          </cell>
        </row>
        <row r="103">
          <cell r="C103">
            <v>892333803902</v>
          </cell>
          <cell r="F103" t="str">
            <v>fpereluc</v>
          </cell>
        </row>
        <row r="104">
          <cell r="C104">
            <v>758373730902</v>
          </cell>
        </row>
        <row r="105">
          <cell r="C105">
            <v>98835860802</v>
          </cell>
          <cell r="F105" t="str">
            <v>qmanuelv</v>
          </cell>
        </row>
        <row r="106">
          <cell r="C106">
            <v>128837707402</v>
          </cell>
          <cell r="F106" t="str">
            <v>qmanuelv</v>
          </cell>
        </row>
        <row r="107">
          <cell r="C107">
            <v>14279576402</v>
          </cell>
          <cell r="F107" t="str">
            <v>tiaelima</v>
          </cell>
        </row>
        <row r="108">
          <cell r="C108">
            <v>506559759302</v>
          </cell>
          <cell r="F108" t="str">
            <v>tiaelima</v>
          </cell>
        </row>
        <row r="109">
          <cell r="C109">
            <v>1041281178802</v>
          </cell>
          <cell r="F109" t="str">
            <v>tiaelima</v>
          </cell>
        </row>
        <row r="110">
          <cell r="C110">
            <v>1106270355002</v>
          </cell>
          <cell r="F110" t="str">
            <v>tiaelima</v>
          </cell>
        </row>
        <row r="111">
          <cell r="C111">
            <v>31616534302</v>
          </cell>
        </row>
        <row r="112">
          <cell r="C112">
            <v>137029362402</v>
          </cell>
          <cell r="F112" t="str">
            <v>gomrodrd</v>
          </cell>
        </row>
        <row r="113">
          <cell r="C113">
            <v>957435887502</v>
          </cell>
          <cell r="F113" t="str">
            <v>gomrodrd</v>
          </cell>
        </row>
        <row r="114">
          <cell r="C114">
            <v>361885515402</v>
          </cell>
          <cell r="F114" t="str">
            <v>tiaelima</v>
          </cell>
        </row>
        <row r="115">
          <cell r="C115">
            <v>47148034115</v>
          </cell>
        </row>
        <row r="116">
          <cell r="C116">
            <v>133398128802</v>
          </cell>
        </row>
        <row r="117">
          <cell r="C117">
            <v>540947583202</v>
          </cell>
        </row>
        <row r="118">
          <cell r="C118">
            <v>878617535402</v>
          </cell>
        </row>
        <row r="119">
          <cell r="C119">
            <v>1133002699402</v>
          </cell>
        </row>
        <row r="120">
          <cell r="C120">
            <v>671124237502</v>
          </cell>
          <cell r="F120" t="str">
            <v>qmanuelv</v>
          </cell>
        </row>
        <row r="121">
          <cell r="C121">
            <v>442895480102</v>
          </cell>
          <cell r="F121" t="str">
            <v>joaoclan</v>
          </cell>
        </row>
        <row r="122">
          <cell r="C122">
            <v>597004571302</v>
          </cell>
          <cell r="F122" t="str">
            <v>joaoclan</v>
          </cell>
        </row>
        <row r="123">
          <cell r="C123">
            <v>1089853461002</v>
          </cell>
          <cell r="F123" t="str">
            <v>joaoclan</v>
          </cell>
        </row>
        <row r="124">
          <cell r="C124">
            <v>118772541402</v>
          </cell>
        </row>
        <row r="125">
          <cell r="C125">
            <v>740195132402</v>
          </cell>
        </row>
        <row r="126">
          <cell r="C126">
            <v>536388313802</v>
          </cell>
        </row>
        <row r="127">
          <cell r="C127">
            <v>721128628302</v>
          </cell>
        </row>
        <row r="128">
          <cell r="C128">
            <v>281658231902</v>
          </cell>
          <cell r="F128" t="str">
            <v>gomrodrd</v>
          </cell>
        </row>
        <row r="129">
          <cell r="C129">
            <v>508744538702</v>
          </cell>
          <cell r="F129" t="str">
            <v>gomrodrd</v>
          </cell>
        </row>
        <row r="130">
          <cell r="C130">
            <v>734743947702</v>
          </cell>
          <cell r="F130" t="str">
            <v>gomrodrd</v>
          </cell>
        </row>
        <row r="131">
          <cell r="C131">
            <v>414165418502</v>
          </cell>
          <cell r="F131" t="str">
            <v>tiaelima</v>
          </cell>
        </row>
        <row r="132">
          <cell r="C132">
            <v>841372402902</v>
          </cell>
          <cell r="F132" t="str">
            <v>tiaelima</v>
          </cell>
        </row>
        <row r="133">
          <cell r="C133">
            <v>1126409110002</v>
          </cell>
          <cell r="F133" t="str">
            <v>tiaelima</v>
          </cell>
        </row>
        <row r="134">
          <cell r="C134">
            <v>368561207102</v>
          </cell>
          <cell r="F134" t="str">
            <v>gomrodrd</v>
          </cell>
        </row>
        <row r="135">
          <cell r="C135">
            <v>97759973202</v>
          </cell>
          <cell r="F135" t="str">
            <v>tiaelima</v>
          </cell>
        </row>
        <row r="136">
          <cell r="C136">
            <v>794325328902</v>
          </cell>
          <cell r="F136" t="str">
            <v>tiaelima</v>
          </cell>
        </row>
        <row r="137">
          <cell r="C137">
            <v>59283260402</v>
          </cell>
          <cell r="F137" t="str">
            <v>fpereluc</v>
          </cell>
        </row>
        <row r="138">
          <cell r="C138">
            <v>702886126902</v>
          </cell>
          <cell r="F138" t="str">
            <v>fpereluc</v>
          </cell>
        </row>
        <row r="139">
          <cell r="C139">
            <v>131648381902</v>
          </cell>
        </row>
        <row r="140">
          <cell r="C140">
            <v>777216427602</v>
          </cell>
        </row>
        <row r="141">
          <cell r="C141">
            <v>286214821402</v>
          </cell>
        </row>
        <row r="142">
          <cell r="C142">
            <v>380157072302</v>
          </cell>
          <cell r="F142" t="str">
            <v>joaoclan</v>
          </cell>
        </row>
        <row r="143">
          <cell r="C143">
            <v>772282276502</v>
          </cell>
          <cell r="F143" t="str">
            <v>joaoclan</v>
          </cell>
        </row>
        <row r="144">
          <cell r="C144">
            <v>702794226702</v>
          </cell>
          <cell r="F144" t="str">
            <v>gomrodrd</v>
          </cell>
        </row>
        <row r="145">
          <cell r="C145">
            <v>301392154502</v>
          </cell>
        </row>
        <row r="146">
          <cell r="C146">
            <v>472654638202</v>
          </cell>
        </row>
        <row r="147">
          <cell r="C147">
            <v>596969205902</v>
          </cell>
        </row>
        <row r="148">
          <cell r="C148">
            <v>24807318802</v>
          </cell>
        </row>
        <row r="149">
          <cell r="C149">
            <v>103928980802</v>
          </cell>
          <cell r="F149" t="str">
            <v>tiaelima</v>
          </cell>
        </row>
        <row r="150">
          <cell r="C150">
            <v>780132216302</v>
          </cell>
          <cell r="F150" t="str">
            <v>tiaelima</v>
          </cell>
        </row>
        <row r="151">
          <cell r="C151">
            <v>98998632802</v>
          </cell>
          <cell r="F151" t="str">
            <v>qmanuelv</v>
          </cell>
        </row>
        <row r="152">
          <cell r="C152">
            <v>530870446802</v>
          </cell>
          <cell r="F152" t="str">
            <v>fpereluc</v>
          </cell>
        </row>
        <row r="153">
          <cell r="C153">
            <v>1086425873902</v>
          </cell>
          <cell r="F153" t="str">
            <v>fpereluc</v>
          </cell>
        </row>
        <row r="154">
          <cell r="C154">
            <v>45146550802</v>
          </cell>
          <cell r="F154" t="str">
            <v>tiaelima</v>
          </cell>
        </row>
        <row r="155">
          <cell r="C155">
            <v>158701479502</v>
          </cell>
        </row>
        <row r="156">
          <cell r="C156">
            <v>55427353102</v>
          </cell>
          <cell r="F156" t="str">
            <v>tiaydasi</v>
          </cell>
        </row>
        <row r="157">
          <cell r="C157">
            <v>55427353102</v>
          </cell>
          <cell r="F157" t="str">
            <v>tiaydasi</v>
          </cell>
        </row>
        <row r="158">
          <cell r="C158">
            <v>55427353102</v>
          </cell>
          <cell r="F158" t="str">
            <v>tiaydasi</v>
          </cell>
        </row>
        <row r="159">
          <cell r="C159">
            <v>55427353102</v>
          </cell>
          <cell r="F159" t="str">
            <v>tiaydasi</v>
          </cell>
        </row>
        <row r="160">
          <cell r="C160">
            <v>352653660902</v>
          </cell>
        </row>
        <row r="161">
          <cell r="C161">
            <v>763850718402</v>
          </cell>
          <cell r="F161" t="str">
            <v>tiaelima</v>
          </cell>
        </row>
        <row r="162">
          <cell r="C162">
            <v>21753463202</v>
          </cell>
          <cell r="F162" t="str">
            <v>joaoclan</v>
          </cell>
        </row>
        <row r="163">
          <cell r="C163">
            <v>22945409202</v>
          </cell>
          <cell r="F163" t="str">
            <v>joaoclan</v>
          </cell>
        </row>
        <row r="164">
          <cell r="C164">
            <v>193208728502</v>
          </cell>
          <cell r="F164" t="str">
            <v>joaoclan</v>
          </cell>
        </row>
        <row r="165">
          <cell r="C165">
            <v>1102146047902</v>
          </cell>
          <cell r="F165" t="str">
            <v>joaoclan</v>
          </cell>
        </row>
        <row r="166">
          <cell r="C166">
            <v>1102237904002</v>
          </cell>
          <cell r="F166" t="str">
            <v>joaoclan</v>
          </cell>
        </row>
        <row r="167">
          <cell r="C167">
            <v>397021068802</v>
          </cell>
        </row>
        <row r="168">
          <cell r="C168">
            <v>560201489502</v>
          </cell>
          <cell r="F168" t="str">
            <v>gomrodrd</v>
          </cell>
        </row>
        <row r="169">
          <cell r="C169">
            <v>686172844702</v>
          </cell>
          <cell r="F169" t="str">
            <v>gomrodrd</v>
          </cell>
        </row>
        <row r="170">
          <cell r="C170">
            <v>885740551602</v>
          </cell>
        </row>
        <row r="171">
          <cell r="C171">
            <v>60769061802</v>
          </cell>
          <cell r="F171" t="str">
            <v>fpereluc</v>
          </cell>
        </row>
        <row r="172">
          <cell r="C172">
            <v>94015899402</v>
          </cell>
          <cell r="F172" t="str">
            <v>fpereluc</v>
          </cell>
        </row>
        <row r="173">
          <cell r="C173">
            <v>774839834202</v>
          </cell>
          <cell r="F173" t="str">
            <v>fpereluc</v>
          </cell>
        </row>
        <row r="174">
          <cell r="C174">
            <v>114045214402</v>
          </cell>
        </row>
        <row r="175">
          <cell r="C175">
            <v>393731502702</v>
          </cell>
        </row>
        <row r="176">
          <cell r="C176">
            <v>971539676602</v>
          </cell>
          <cell r="F176" t="str">
            <v>fpereluc</v>
          </cell>
        </row>
        <row r="177">
          <cell r="C177">
            <v>430279805602</v>
          </cell>
          <cell r="F177" t="str">
            <v>joaoclan</v>
          </cell>
        </row>
        <row r="178">
          <cell r="C178">
            <v>412423553002</v>
          </cell>
          <cell r="F178" t="str">
            <v>tiaelima</v>
          </cell>
        </row>
        <row r="179">
          <cell r="C179">
            <v>438747217402</v>
          </cell>
          <cell r="F179" t="str">
            <v>tiaelima</v>
          </cell>
        </row>
        <row r="180">
          <cell r="C180">
            <v>933459575402</v>
          </cell>
          <cell r="F180" t="str">
            <v>tiaelima</v>
          </cell>
        </row>
        <row r="181">
          <cell r="C181">
            <v>22445894402</v>
          </cell>
          <cell r="F181" t="str">
            <v>joaoclan</v>
          </cell>
        </row>
        <row r="182">
          <cell r="C182">
            <v>175133439302</v>
          </cell>
          <cell r="F182" t="str">
            <v>gomrodrd</v>
          </cell>
        </row>
        <row r="183">
          <cell r="C183">
            <v>366781295402</v>
          </cell>
          <cell r="F183" t="str">
            <v>gomrodrd</v>
          </cell>
        </row>
        <row r="184">
          <cell r="C184">
            <v>316318935902</v>
          </cell>
        </row>
        <row r="185">
          <cell r="C185">
            <v>823019944302</v>
          </cell>
        </row>
        <row r="186">
          <cell r="C186">
            <v>13351599302</v>
          </cell>
          <cell r="F186" t="str">
            <v>joaoclan</v>
          </cell>
        </row>
        <row r="187">
          <cell r="C187">
            <v>803007155202</v>
          </cell>
          <cell r="F187" t="str">
            <v>joaoclan</v>
          </cell>
        </row>
        <row r="188">
          <cell r="C188">
            <v>98385811302</v>
          </cell>
          <cell r="F188" t="str">
            <v>joaoclan</v>
          </cell>
        </row>
        <row r="189">
          <cell r="C189">
            <v>611778301402</v>
          </cell>
          <cell r="F189" t="str">
            <v>joaoclan</v>
          </cell>
        </row>
        <row r="190">
          <cell r="C190">
            <v>618906774602</v>
          </cell>
        </row>
        <row r="191">
          <cell r="C191">
            <v>894940764202</v>
          </cell>
        </row>
        <row r="192">
          <cell r="C192">
            <v>283888426602</v>
          </cell>
          <cell r="F192" t="str">
            <v>fpereluc</v>
          </cell>
        </row>
        <row r="193">
          <cell r="C193">
            <v>538911850502</v>
          </cell>
          <cell r="F193" t="str">
            <v>fpereluc</v>
          </cell>
        </row>
        <row r="194">
          <cell r="C194">
            <v>64610950702</v>
          </cell>
          <cell r="F194" t="str">
            <v>gomrodrd</v>
          </cell>
        </row>
        <row r="195">
          <cell r="C195">
            <v>642643854302</v>
          </cell>
          <cell r="F195" t="str">
            <v>gomrodrd</v>
          </cell>
        </row>
        <row r="196">
          <cell r="C196">
            <v>1112678651302</v>
          </cell>
          <cell r="F196" t="str">
            <v>gomrodrd</v>
          </cell>
        </row>
        <row r="197">
          <cell r="C197">
            <v>56744200802</v>
          </cell>
          <cell r="F197" t="str">
            <v>fpereluc</v>
          </cell>
        </row>
        <row r="198">
          <cell r="C198">
            <v>641070941202</v>
          </cell>
          <cell r="F198" t="str">
            <v>fpereluc</v>
          </cell>
        </row>
        <row r="199">
          <cell r="C199">
            <v>219314571102</v>
          </cell>
          <cell r="F199" t="str">
            <v>gomrodrd</v>
          </cell>
        </row>
        <row r="200">
          <cell r="C200">
            <v>551856008602</v>
          </cell>
          <cell r="F200" t="str">
            <v>gomrodrd</v>
          </cell>
        </row>
        <row r="201">
          <cell r="C201">
            <v>563654665702</v>
          </cell>
        </row>
        <row r="202">
          <cell r="C202">
            <v>160165983902</v>
          </cell>
          <cell r="F202" t="str">
            <v>tiaelima</v>
          </cell>
        </row>
        <row r="203">
          <cell r="C203">
            <v>547494309302</v>
          </cell>
          <cell r="F203" t="str">
            <v>tiaelima</v>
          </cell>
        </row>
        <row r="204">
          <cell r="C204">
            <v>589580604602</v>
          </cell>
          <cell r="F204" t="str">
            <v>tiaelima</v>
          </cell>
        </row>
        <row r="205">
          <cell r="C205">
            <v>624116505902</v>
          </cell>
          <cell r="F205" t="str">
            <v>tiaelima</v>
          </cell>
        </row>
        <row r="206">
          <cell r="C206">
            <v>704271827302</v>
          </cell>
          <cell r="F206" t="str">
            <v>tiaelima</v>
          </cell>
        </row>
        <row r="207">
          <cell r="C207">
            <v>803520752602</v>
          </cell>
          <cell r="F207" t="str">
            <v>tiaelima</v>
          </cell>
        </row>
        <row r="208">
          <cell r="C208">
            <v>45030065502</v>
          </cell>
          <cell r="F208" t="str">
            <v>qmanuelv</v>
          </cell>
        </row>
        <row r="209">
          <cell r="C209">
            <v>1096899393702</v>
          </cell>
          <cell r="F209" t="str">
            <v>qmanuelv</v>
          </cell>
        </row>
        <row r="210">
          <cell r="C210">
            <v>58318994402</v>
          </cell>
        </row>
        <row r="211">
          <cell r="C211">
            <v>38010712715</v>
          </cell>
        </row>
        <row r="212">
          <cell r="C212">
            <v>743495001802</v>
          </cell>
        </row>
        <row r="213">
          <cell r="C213">
            <v>97596278102</v>
          </cell>
          <cell r="F213" t="str">
            <v>fpereluc</v>
          </cell>
        </row>
        <row r="214">
          <cell r="C214">
            <v>153775969402</v>
          </cell>
          <cell r="F214" t="str">
            <v>fpereluc</v>
          </cell>
        </row>
        <row r="215">
          <cell r="C215">
            <v>195492390002</v>
          </cell>
          <cell r="F215" t="str">
            <v>fpereluc</v>
          </cell>
        </row>
        <row r="216">
          <cell r="C216">
            <v>11613361102</v>
          </cell>
          <cell r="F216" t="str">
            <v>tiaelima</v>
          </cell>
        </row>
        <row r="217">
          <cell r="C217">
            <v>847074348102</v>
          </cell>
          <cell r="F217" t="str">
            <v>tiaelima</v>
          </cell>
        </row>
        <row r="218">
          <cell r="C218">
            <v>69746651</v>
          </cell>
          <cell r="F218" t="str">
            <v>qmanuelv</v>
          </cell>
        </row>
        <row r="219">
          <cell r="C219">
            <v>854385915602</v>
          </cell>
          <cell r="F219" t="str">
            <v>qmanuelv</v>
          </cell>
        </row>
        <row r="220">
          <cell r="C220">
            <v>326312039202</v>
          </cell>
        </row>
        <row r="221">
          <cell r="C221">
            <v>12650981605</v>
          </cell>
        </row>
        <row r="222">
          <cell r="C222">
            <v>979484430002</v>
          </cell>
        </row>
        <row r="223">
          <cell r="C223">
            <v>312652842702</v>
          </cell>
        </row>
        <row r="224">
          <cell r="C224">
            <v>441724999802</v>
          </cell>
        </row>
        <row r="225">
          <cell r="C225">
            <v>301135555502</v>
          </cell>
        </row>
        <row r="226">
          <cell r="C226">
            <v>629892973702</v>
          </cell>
        </row>
        <row r="227">
          <cell r="C227">
            <v>688479741602</v>
          </cell>
        </row>
        <row r="228">
          <cell r="C228">
            <v>779493596402</v>
          </cell>
        </row>
        <row r="229">
          <cell r="C229">
            <v>952609312702</v>
          </cell>
        </row>
        <row r="230">
          <cell r="C230">
            <v>996604083802</v>
          </cell>
        </row>
        <row r="231">
          <cell r="C231">
            <v>502852074302</v>
          </cell>
          <cell r="F231" t="str">
            <v>gomrodrd</v>
          </cell>
        </row>
        <row r="232">
          <cell r="C232">
            <v>838524899602</v>
          </cell>
          <cell r="F232" t="str">
            <v>gomrodrd</v>
          </cell>
        </row>
        <row r="233">
          <cell r="C233">
            <v>937091762802</v>
          </cell>
          <cell r="F233" t="str">
            <v>gomrodrd</v>
          </cell>
        </row>
        <row r="234">
          <cell r="C234">
            <v>937150499502</v>
          </cell>
          <cell r="F234" t="str">
            <v>gomrodrd</v>
          </cell>
        </row>
        <row r="235">
          <cell r="C235">
            <v>965087056602</v>
          </cell>
          <cell r="F235" t="str">
            <v>gomrodrd</v>
          </cell>
        </row>
        <row r="236">
          <cell r="C236">
            <v>970694558102</v>
          </cell>
          <cell r="F236" t="str">
            <v>gomrodrd</v>
          </cell>
        </row>
        <row r="237">
          <cell r="C237">
            <v>981394824502</v>
          </cell>
          <cell r="F237" t="str">
            <v>gomrodrd</v>
          </cell>
        </row>
        <row r="238">
          <cell r="C238">
            <v>991340097402</v>
          </cell>
          <cell r="F238" t="str">
            <v>gomrodrd</v>
          </cell>
        </row>
        <row r="239">
          <cell r="C239">
            <v>472181389102</v>
          </cell>
          <cell r="F239" t="str">
            <v>fpereluc</v>
          </cell>
        </row>
        <row r="240">
          <cell r="C240">
            <v>726407220202</v>
          </cell>
          <cell r="F240" t="str">
            <v>fpereluc</v>
          </cell>
        </row>
        <row r="241">
          <cell r="C241">
            <v>862944388002</v>
          </cell>
        </row>
        <row r="242">
          <cell r="C242">
            <v>666400200602</v>
          </cell>
        </row>
        <row r="243">
          <cell r="C243">
            <v>256525648402</v>
          </cell>
          <cell r="F243" t="str">
            <v>joaoclan</v>
          </cell>
        </row>
        <row r="244">
          <cell r="C244">
            <v>106892707902</v>
          </cell>
        </row>
        <row r="245">
          <cell r="C245">
            <v>396461794202</v>
          </cell>
        </row>
        <row r="246">
          <cell r="C246">
            <v>322177938302</v>
          </cell>
        </row>
        <row r="247">
          <cell r="C247">
            <v>794862789002</v>
          </cell>
        </row>
        <row r="248">
          <cell r="C248">
            <v>26789844502</v>
          </cell>
          <cell r="F248" t="str">
            <v>fpereluc</v>
          </cell>
        </row>
        <row r="249">
          <cell r="C249">
            <v>230755558102</v>
          </cell>
          <cell r="F249" t="str">
            <v>fpereluc</v>
          </cell>
        </row>
        <row r="250">
          <cell r="C250">
            <v>247227556102</v>
          </cell>
          <cell r="F250" t="str">
            <v>qmanuelv</v>
          </cell>
        </row>
        <row r="251">
          <cell r="C251">
            <v>564320905202</v>
          </cell>
          <cell r="F251" t="str">
            <v>qmanuelv</v>
          </cell>
        </row>
        <row r="252">
          <cell r="C252">
            <v>358205651902</v>
          </cell>
          <cell r="F252" t="str">
            <v>fpereluc</v>
          </cell>
        </row>
        <row r="253">
          <cell r="C253">
            <v>587254988202</v>
          </cell>
          <cell r="F253" t="str">
            <v>fpereluc</v>
          </cell>
        </row>
        <row r="254">
          <cell r="C254">
            <v>136831572602</v>
          </cell>
        </row>
        <row r="255">
          <cell r="C255">
            <v>124638672202</v>
          </cell>
          <cell r="F255" t="str">
            <v>qmanuelv</v>
          </cell>
        </row>
        <row r="256">
          <cell r="C256">
            <v>307039143202</v>
          </cell>
        </row>
        <row r="257">
          <cell r="C257">
            <v>836164805402</v>
          </cell>
        </row>
        <row r="258">
          <cell r="C258">
            <v>16137818802</v>
          </cell>
          <cell r="F258" t="str">
            <v>qmanuelv</v>
          </cell>
        </row>
        <row r="259">
          <cell r="C259">
            <v>124090551902</v>
          </cell>
          <cell r="F259" t="str">
            <v>fpereluc</v>
          </cell>
        </row>
        <row r="260">
          <cell r="C260">
            <v>1044965067502</v>
          </cell>
          <cell r="F260" t="str">
            <v>fpereluc</v>
          </cell>
        </row>
        <row r="261">
          <cell r="C261">
            <v>128174680202</v>
          </cell>
          <cell r="F261" t="str">
            <v>qmanuelv</v>
          </cell>
        </row>
        <row r="262">
          <cell r="C262">
            <v>619541081802</v>
          </cell>
          <cell r="F262" t="str">
            <v>qmanuelv</v>
          </cell>
        </row>
        <row r="263">
          <cell r="C263">
            <v>927560299202</v>
          </cell>
          <cell r="F263" t="str">
            <v>qmanuelv</v>
          </cell>
        </row>
        <row r="264">
          <cell r="C264">
            <v>1162249489302</v>
          </cell>
        </row>
        <row r="265">
          <cell r="C265">
            <v>542692133702</v>
          </cell>
          <cell r="F265" t="str">
            <v>qmanuelv</v>
          </cell>
        </row>
        <row r="266">
          <cell r="C266">
            <v>704737347202</v>
          </cell>
          <cell r="F266" t="str">
            <v>qmanuelv</v>
          </cell>
        </row>
        <row r="267">
          <cell r="C267">
            <v>119969424302</v>
          </cell>
          <cell r="F267" t="str">
            <v>fpereluc</v>
          </cell>
        </row>
        <row r="268">
          <cell r="C268">
            <v>475112640202</v>
          </cell>
          <cell r="F268" t="str">
            <v>qmanuelv</v>
          </cell>
        </row>
        <row r="269">
          <cell r="C269">
            <v>377459760802</v>
          </cell>
        </row>
        <row r="270">
          <cell r="C270">
            <v>24383333802</v>
          </cell>
          <cell r="F270" t="str">
            <v>tiaelima</v>
          </cell>
        </row>
        <row r="271">
          <cell r="C271">
            <v>60238888002</v>
          </cell>
          <cell r="F271" t="str">
            <v>joaoclan</v>
          </cell>
        </row>
        <row r="272">
          <cell r="C272">
            <v>711020215702</v>
          </cell>
          <cell r="F272" t="str">
            <v>joaoclan</v>
          </cell>
        </row>
        <row r="273">
          <cell r="C273">
            <v>985914499902</v>
          </cell>
          <cell r="F273" t="str">
            <v>gomrodrd</v>
          </cell>
        </row>
        <row r="274">
          <cell r="C274">
            <v>92771955402</v>
          </cell>
          <cell r="F274" t="str">
            <v>tiaelima</v>
          </cell>
        </row>
        <row r="275">
          <cell r="C275">
            <v>902277407302</v>
          </cell>
          <cell r="F275" t="str">
            <v>tiaelima</v>
          </cell>
        </row>
        <row r="276">
          <cell r="C276">
            <v>508996769902</v>
          </cell>
          <cell r="F276" t="str">
            <v>tiaelima</v>
          </cell>
        </row>
        <row r="277">
          <cell r="C277">
            <v>700698899902</v>
          </cell>
          <cell r="F277" t="str">
            <v>tiaelima</v>
          </cell>
        </row>
        <row r="278">
          <cell r="C278">
            <v>861076042402</v>
          </cell>
          <cell r="F278" t="str">
            <v>tiaelima</v>
          </cell>
        </row>
        <row r="279">
          <cell r="C279">
            <v>108483856702</v>
          </cell>
          <cell r="F279" t="str">
            <v>gomrodrd</v>
          </cell>
        </row>
        <row r="280">
          <cell r="C280">
            <v>327981185502</v>
          </cell>
          <cell r="F280" t="str">
            <v>gomrodrd</v>
          </cell>
        </row>
        <row r="281">
          <cell r="C281">
            <v>368602630102</v>
          </cell>
          <cell r="F281" t="str">
            <v>gomrodrd</v>
          </cell>
        </row>
        <row r="282">
          <cell r="C282">
            <v>592383571202</v>
          </cell>
          <cell r="F282" t="str">
            <v>gomrodrd</v>
          </cell>
        </row>
        <row r="283">
          <cell r="C283">
            <v>836748983002</v>
          </cell>
          <cell r="F283" t="str">
            <v>gomrodrd</v>
          </cell>
        </row>
        <row r="284">
          <cell r="C284">
            <v>950152561102</v>
          </cell>
          <cell r="F284" t="str">
            <v>gomrodrd</v>
          </cell>
        </row>
        <row r="285">
          <cell r="C285">
            <v>449549597602</v>
          </cell>
          <cell r="F285" t="str">
            <v>tiaelima</v>
          </cell>
        </row>
        <row r="286">
          <cell r="C286">
            <v>995775060202</v>
          </cell>
          <cell r="F286" t="str">
            <v>tiaelima</v>
          </cell>
        </row>
        <row r="287">
          <cell r="C287">
            <v>25248213105</v>
          </cell>
          <cell r="F287" t="str">
            <v>tiaelima</v>
          </cell>
        </row>
        <row r="288">
          <cell r="C288">
            <v>44765160202</v>
          </cell>
        </row>
        <row r="289">
          <cell r="C289">
            <v>106288180002</v>
          </cell>
        </row>
        <row r="290">
          <cell r="C290">
            <v>155525090602</v>
          </cell>
          <cell r="F290" t="str">
            <v>qmanuelv</v>
          </cell>
        </row>
        <row r="291">
          <cell r="C291">
            <v>392901953102</v>
          </cell>
          <cell r="F291" t="str">
            <v>qmanuelv</v>
          </cell>
        </row>
        <row r="292">
          <cell r="C292">
            <v>597278873202</v>
          </cell>
          <cell r="F292" t="str">
            <v>qmanuelv</v>
          </cell>
        </row>
        <row r="293">
          <cell r="C293">
            <v>302404890002</v>
          </cell>
        </row>
        <row r="294">
          <cell r="C294">
            <v>717880984102</v>
          </cell>
        </row>
        <row r="295">
          <cell r="C295">
            <v>1096087678002</v>
          </cell>
        </row>
        <row r="296">
          <cell r="C296">
            <v>731694233402</v>
          </cell>
        </row>
        <row r="297">
          <cell r="C297">
            <v>845246523302</v>
          </cell>
        </row>
        <row r="298">
          <cell r="C298">
            <v>375080537802</v>
          </cell>
          <cell r="F298" t="str">
            <v>tiaelima</v>
          </cell>
        </row>
        <row r="299">
          <cell r="C299">
            <v>28882816002</v>
          </cell>
        </row>
        <row r="300">
          <cell r="C300">
            <v>47713862502</v>
          </cell>
          <cell r="F300" t="str">
            <v>qmanuelv</v>
          </cell>
        </row>
        <row r="301">
          <cell r="C301">
            <v>437878012202</v>
          </cell>
        </row>
        <row r="302">
          <cell r="C302">
            <v>384216553002</v>
          </cell>
        </row>
        <row r="303">
          <cell r="C303">
            <v>28945506502</v>
          </cell>
          <cell r="F303" t="str">
            <v>joaoclan</v>
          </cell>
        </row>
        <row r="304">
          <cell r="C304">
            <v>6127997902</v>
          </cell>
          <cell r="F304" t="str">
            <v>tiaelima</v>
          </cell>
        </row>
        <row r="305">
          <cell r="C305">
            <v>50247636002</v>
          </cell>
          <cell r="F305" t="str">
            <v>tiaelima</v>
          </cell>
        </row>
        <row r="306">
          <cell r="C306">
            <v>366327938802</v>
          </cell>
          <cell r="F306" t="str">
            <v>tiaydasi</v>
          </cell>
        </row>
        <row r="307">
          <cell r="C307">
            <v>950421003802</v>
          </cell>
          <cell r="F307" t="str">
            <v>tiaelima</v>
          </cell>
        </row>
        <row r="308">
          <cell r="C308">
            <v>127737463602</v>
          </cell>
          <cell r="F308" t="str">
            <v>tiaelima</v>
          </cell>
        </row>
        <row r="309">
          <cell r="C309">
            <v>377220202602</v>
          </cell>
          <cell r="F309" t="str">
            <v>tiaelima</v>
          </cell>
        </row>
        <row r="310">
          <cell r="C310">
            <v>16898656902</v>
          </cell>
          <cell r="F310" t="str">
            <v>tiaelima</v>
          </cell>
        </row>
        <row r="311">
          <cell r="C311">
            <v>818862028802</v>
          </cell>
          <cell r="F311" t="str">
            <v>tiaelima</v>
          </cell>
        </row>
        <row r="312">
          <cell r="C312">
            <v>22347342515</v>
          </cell>
          <cell r="F312" t="str">
            <v>joaoclan</v>
          </cell>
        </row>
        <row r="313">
          <cell r="C313">
            <v>223179051502</v>
          </cell>
          <cell r="F313" t="str">
            <v>tiaelima</v>
          </cell>
        </row>
        <row r="314">
          <cell r="C314">
            <v>378434911402</v>
          </cell>
          <cell r="F314" t="str">
            <v>tiaelima</v>
          </cell>
        </row>
        <row r="315">
          <cell r="C315">
            <v>429663859202</v>
          </cell>
          <cell r="F315" t="str">
            <v>tiaelima</v>
          </cell>
        </row>
        <row r="316">
          <cell r="C316">
            <v>366470259302</v>
          </cell>
          <cell r="F316" t="str">
            <v>joaoclan</v>
          </cell>
        </row>
        <row r="317">
          <cell r="C317">
            <v>409594534402</v>
          </cell>
          <cell r="F317" t="str">
            <v>joaoclan</v>
          </cell>
        </row>
        <row r="318">
          <cell r="C318">
            <v>475342556402</v>
          </cell>
          <cell r="F318" t="str">
            <v>joaoclan</v>
          </cell>
        </row>
        <row r="319">
          <cell r="C319">
            <v>475371934802</v>
          </cell>
          <cell r="F319" t="str">
            <v>joaoclan</v>
          </cell>
        </row>
        <row r="320">
          <cell r="C320">
            <v>587631208102</v>
          </cell>
          <cell r="F320" t="str">
            <v>joaoclan</v>
          </cell>
        </row>
        <row r="321">
          <cell r="C321">
            <v>827345792502</v>
          </cell>
          <cell r="F321" t="str">
            <v>joaoclan</v>
          </cell>
        </row>
        <row r="322">
          <cell r="C322">
            <v>62421319902</v>
          </cell>
        </row>
        <row r="323">
          <cell r="C323">
            <v>505407014302</v>
          </cell>
        </row>
        <row r="324">
          <cell r="C324">
            <v>142720086902</v>
          </cell>
        </row>
        <row r="325">
          <cell r="C325">
            <v>634887301802</v>
          </cell>
        </row>
        <row r="326">
          <cell r="C326">
            <v>20068852602</v>
          </cell>
          <cell r="F326" t="str">
            <v>fpereluc</v>
          </cell>
        </row>
        <row r="327">
          <cell r="C327">
            <v>30887912302</v>
          </cell>
          <cell r="F327" t="str">
            <v>joaoclan</v>
          </cell>
        </row>
        <row r="328">
          <cell r="C328">
            <v>629311561502</v>
          </cell>
          <cell r="F328" t="str">
            <v>joaoclan</v>
          </cell>
        </row>
        <row r="329">
          <cell r="C329">
            <v>652627678202</v>
          </cell>
          <cell r="F329" t="str">
            <v>joaoclan</v>
          </cell>
        </row>
        <row r="330">
          <cell r="C330">
            <v>509224899302</v>
          </cell>
          <cell r="F330" t="str">
            <v>joaoclan</v>
          </cell>
        </row>
        <row r="331">
          <cell r="C331">
            <v>596977542502</v>
          </cell>
          <cell r="F331" t="str">
            <v>joaoclan</v>
          </cell>
        </row>
        <row r="332">
          <cell r="C332">
            <v>1026263719202</v>
          </cell>
          <cell r="F332" t="str">
            <v>fpereluc</v>
          </cell>
        </row>
        <row r="333">
          <cell r="C333">
            <v>100982699102</v>
          </cell>
        </row>
        <row r="334">
          <cell r="C334">
            <v>386791868802</v>
          </cell>
        </row>
        <row r="335">
          <cell r="C335">
            <v>1010526507002</v>
          </cell>
        </row>
        <row r="336">
          <cell r="C336">
            <v>276705576602</v>
          </cell>
          <cell r="F336" t="str">
            <v>joaoclan</v>
          </cell>
        </row>
        <row r="337">
          <cell r="C337">
            <v>183456830502</v>
          </cell>
          <cell r="F337" t="str">
            <v>qmanuelv</v>
          </cell>
        </row>
        <row r="338">
          <cell r="C338">
            <v>542325043802</v>
          </cell>
          <cell r="F338" t="str">
            <v>fpereluc</v>
          </cell>
        </row>
        <row r="339">
          <cell r="C339">
            <v>818940433202</v>
          </cell>
          <cell r="F339" t="str">
            <v>fpereluc</v>
          </cell>
        </row>
        <row r="340">
          <cell r="C340">
            <v>108557751002</v>
          </cell>
          <cell r="F340" t="str">
            <v>fpereluc</v>
          </cell>
        </row>
        <row r="341">
          <cell r="C341">
            <v>117086860802</v>
          </cell>
          <cell r="F341" t="str">
            <v>gomrodrd</v>
          </cell>
        </row>
        <row r="342">
          <cell r="C342">
            <v>56433406702</v>
          </cell>
          <cell r="F342" t="str">
            <v>joaoclan</v>
          </cell>
        </row>
        <row r="343">
          <cell r="C343">
            <v>922736911702</v>
          </cell>
          <cell r="F343" t="str">
            <v>joaoclan</v>
          </cell>
        </row>
        <row r="344">
          <cell r="C344">
            <v>1147177827502</v>
          </cell>
          <cell r="F344" t="str">
            <v>joaoclan</v>
          </cell>
        </row>
        <row r="345">
          <cell r="C345">
            <v>453606604502</v>
          </cell>
          <cell r="F345" t="str">
            <v>joaoclan</v>
          </cell>
        </row>
        <row r="346">
          <cell r="C346">
            <v>287368760702</v>
          </cell>
        </row>
        <row r="347">
          <cell r="C347">
            <v>19297108502</v>
          </cell>
          <cell r="F347" t="str">
            <v>qmanuelv</v>
          </cell>
        </row>
        <row r="348">
          <cell r="C348">
            <v>188325185102</v>
          </cell>
        </row>
        <row r="349">
          <cell r="C349">
            <v>309059081002</v>
          </cell>
        </row>
        <row r="350">
          <cell r="C350">
            <v>365155485602</v>
          </cell>
          <cell r="F350" t="str">
            <v>fpereluc</v>
          </cell>
        </row>
        <row r="351">
          <cell r="C351">
            <v>912150585302</v>
          </cell>
          <cell r="F351" t="str">
            <v>fpereluc</v>
          </cell>
        </row>
        <row r="352">
          <cell r="C352">
            <v>301429377802</v>
          </cell>
          <cell r="F352" t="str">
            <v>tiaelima</v>
          </cell>
        </row>
        <row r="353">
          <cell r="C353">
            <v>193343155102</v>
          </cell>
          <cell r="F353" t="str">
            <v>qmanuelv</v>
          </cell>
        </row>
        <row r="354">
          <cell r="C354">
            <v>1072070668802</v>
          </cell>
          <cell r="F354" t="str">
            <v>qmanuelv</v>
          </cell>
        </row>
        <row r="355">
          <cell r="C355">
            <v>15763939302</v>
          </cell>
          <cell r="F355" t="str">
            <v>fpereluc</v>
          </cell>
        </row>
        <row r="356">
          <cell r="C356">
            <v>308287047902</v>
          </cell>
          <cell r="F356" t="str">
            <v>fpereluc</v>
          </cell>
        </row>
        <row r="357">
          <cell r="C357">
            <v>685488901302</v>
          </cell>
          <cell r="F357" t="str">
            <v>fpereluc</v>
          </cell>
        </row>
        <row r="358">
          <cell r="C358">
            <v>653060435802</v>
          </cell>
          <cell r="F358" t="str">
            <v>joaoclan</v>
          </cell>
        </row>
        <row r="359">
          <cell r="C359">
            <v>713551948202</v>
          </cell>
          <cell r="F359" t="str">
            <v>joaoclan</v>
          </cell>
        </row>
        <row r="360">
          <cell r="C360">
            <v>89297765302</v>
          </cell>
        </row>
        <row r="361">
          <cell r="C361">
            <v>374065566102</v>
          </cell>
        </row>
        <row r="362">
          <cell r="C362">
            <v>439015490302</v>
          </cell>
        </row>
        <row r="363">
          <cell r="C363">
            <v>818231725302</v>
          </cell>
        </row>
        <row r="364">
          <cell r="C364">
            <v>297608441302</v>
          </cell>
          <cell r="F364" t="str">
            <v>gomrodrd</v>
          </cell>
        </row>
        <row r="365">
          <cell r="C365">
            <v>433969027802</v>
          </cell>
          <cell r="F365" t="str">
            <v>gomrodrd</v>
          </cell>
        </row>
        <row r="366">
          <cell r="C366">
            <v>660326163702</v>
          </cell>
          <cell r="F366" t="str">
            <v>gomrodrd</v>
          </cell>
        </row>
        <row r="367">
          <cell r="C367">
            <v>499251379602</v>
          </cell>
        </row>
        <row r="368">
          <cell r="C368">
            <v>24357990102</v>
          </cell>
          <cell r="F368" t="str">
            <v>qmanuelv</v>
          </cell>
        </row>
        <row r="369">
          <cell r="C369">
            <v>24371682602</v>
          </cell>
          <cell r="F369" t="str">
            <v>qmanuelv</v>
          </cell>
        </row>
        <row r="370">
          <cell r="C370">
            <v>1143706769002</v>
          </cell>
          <cell r="F370" t="str">
            <v>qmanuelv</v>
          </cell>
        </row>
        <row r="371">
          <cell r="C371">
            <v>187533500102</v>
          </cell>
          <cell r="F371" t="str">
            <v>fpereluc</v>
          </cell>
        </row>
        <row r="372">
          <cell r="C372">
            <v>911633271302</v>
          </cell>
          <cell r="F372" t="str">
            <v>fpereluc</v>
          </cell>
        </row>
        <row r="373">
          <cell r="C373">
            <v>12218349602</v>
          </cell>
          <cell r="F373" t="str">
            <v>joaoclan</v>
          </cell>
        </row>
        <row r="374">
          <cell r="C374">
            <v>548279192902</v>
          </cell>
          <cell r="F374" t="str">
            <v>joaoclan</v>
          </cell>
        </row>
        <row r="375">
          <cell r="C375">
            <v>660765584502</v>
          </cell>
          <cell r="F375" t="str">
            <v>joaoclan</v>
          </cell>
        </row>
        <row r="376">
          <cell r="C376">
            <v>690138852002</v>
          </cell>
          <cell r="F376" t="str">
            <v>joaoclan</v>
          </cell>
        </row>
        <row r="377">
          <cell r="C377">
            <v>22861251602</v>
          </cell>
          <cell r="F377" t="str">
            <v>joaoclan</v>
          </cell>
        </row>
        <row r="378">
          <cell r="C378">
            <v>15954434402</v>
          </cell>
        </row>
        <row r="379">
          <cell r="C379">
            <v>318109251502</v>
          </cell>
        </row>
        <row r="380">
          <cell r="C380">
            <v>693491100202</v>
          </cell>
        </row>
        <row r="381">
          <cell r="C381">
            <v>1020047152502</v>
          </cell>
        </row>
        <row r="382">
          <cell r="C382">
            <v>7763660815</v>
          </cell>
          <cell r="F382" t="str">
            <v>gomrodrd</v>
          </cell>
        </row>
        <row r="383">
          <cell r="C383">
            <v>24416796702</v>
          </cell>
          <cell r="F383" t="str">
            <v>fpereluc</v>
          </cell>
        </row>
        <row r="384">
          <cell r="C384">
            <v>241002216802</v>
          </cell>
          <cell r="F384" t="str">
            <v>fpereluc</v>
          </cell>
        </row>
        <row r="385">
          <cell r="C385">
            <v>610886576</v>
          </cell>
          <cell r="F385" t="str">
            <v>gomrodrd</v>
          </cell>
        </row>
        <row r="386">
          <cell r="C386">
            <v>801134136002</v>
          </cell>
          <cell r="F386" t="str">
            <v>tiaelima</v>
          </cell>
        </row>
        <row r="387">
          <cell r="C387">
            <v>408932491102</v>
          </cell>
          <cell r="F387" t="str">
            <v>gomrodrd</v>
          </cell>
        </row>
        <row r="388">
          <cell r="C388">
            <v>182760498402</v>
          </cell>
        </row>
        <row r="389">
          <cell r="C389">
            <v>500513845602</v>
          </cell>
        </row>
        <row r="390">
          <cell r="C390">
            <v>58401384302</v>
          </cell>
          <cell r="F390" t="str">
            <v>tiaelima</v>
          </cell>
        </row>
        <row r="391">
          <cell r="C391">
            <v>277711423902</v>
          </cell>
          <cell r="F391" t="str">
            <v>gomrodrd</v>
          </cell>
        </row>
        <row r="392">
          <cell r="C392">
            <v>374008562902</v>
          </cell>
          <cell r="F392" t="str">
            <v>gomrodrd</v>
          </cell>
        </row>
        <row r="393">
          <cell r="C393">
            <v>124490635002</v>
          </cell>
          <cell r="F393" t="str">
            <v>joaoclan</v>
          </cell>
        </row>
        <row r="394">
          <cell r="C394">
            <v>314278248802</v>
          </cell>
          <cell r="F394" t="str">
            <v>joaoclan</v>
          </cell>
        </row>
        <row r="395">
          <cell r="C395">
            <v>758979444002</v>
          </cell>
          <cell r="F395" t="str">
            <v>fpereluc</v>
          </cell>
        </row>
        <row r="396">
          <cell r="C396">
            <v>1010033571702</v>
          </cell>
          <cell r="F396" t="str">
            <v>gomrodrd</v>
          </cell>
        </row>
        <row r="397">
          <cell r="C397">
            <v>1030040901202</v>
          </cell>
          <cell r="F397" t="str">
            <v>gomrodrd</v>
          </cell>
        </row>
        <row r="398">
          <cell r="C398">
            <v>316851710302</v>
          </cell>
        </row>
        <row r="399">
          <cell r="C399">
            <v>364311616102</v>
          </cell>
          <cell r="F399" t="str">
            <v>gomrodrd</v>
          </cell>
        </row>
        <row r="400">
          <cell r="C400">
            <v>20025747402</v>
          </cell>
          <cell r="F400" t="str">
            <v>qmanuelv</v>
          </cell>
        </row>
        <row r="401">
          <cell r="C401">
            <v>320035971002</v>
          </cell>
          <cell r="F401" t="str">
            <v>qmanuelv</v>
          </cell>
        </row>
        <row r="402">
          <cell r="C402">
            <v>191336978502</v>
          </cell>
          <cell r="F402" t="str">
            <v>gomrodrd</v>
          </cell>
        </row>
        <row r="403">
          <cell r="C403">
            <v>549848560202</v>
          </cell>
          <cell r="F403" t="str">
            <v>qmanuelv</v>
          </cell>
        </row>
        <row r="404">
          <cell r="C404">
            <v>130065728702</v>
          </cell>
          <cell r="F404" t="str">
            <v>joaoclan</v>
          </cell>
        </row>
        <row r="405">
          <cell r="C405">
            <v>130183560902</v>
          </cell>
          <cell r="F405" t="str">
            <v>joaoclan</v>
          </cell>
        </row>
        <row r="406">
          <cell r="C406">
            <v>365217284302</v>
          </cell>
          <cell r="F406" t="str">
            <v>joaoclan</v>
          </cell>
        </row>
        <row r="407">
          <cell r="C407">
            <v>20208037402</v>
          </cell>
          <cell r="F407" t="str">
            <v>joaoclan</v>
          </cell>
        </row>
        <row r="408">
          <cell r="C408">
            <v>26322058702</v>
          </cell>
          <cell r="F408" t="str">
            <v>qmanuelv</v>
          </cell>
        </row>
        <row r="409">
          <cell r="C409">
            <v>769057452302</v>
          </cell>
          <cell r="F409" t="str">
            <v>fpereluc</v>
          </cell>
        </row>
        <row r="410">
          <cell r="C410">
            <v>27309334902</v>
          </cell>
        </row>
        <row r="411">
          <cell r="C411">
            <v>156545305602</v>
          </cell>
        </row>
        <row r="412">
          <cell r="C412">
            <v>737494673302</v>
          </cell>
        </row>
        <row r="413">
          <cell r="C413">
            <v>93900917902</v>
          </cell>
          <cell r="F413" t="str">
            <v>qmanuelv</v>
          </cell>
        </row>
        <row r="414">
          <cell r="C414">
            <v>642633814402</v>
          </cell>
          <cell r="F414" t="str">
            <v>qmanuelv</v>
          </cell>
        </row>
        <row r="415">
          <cell r="C415">
            <v>669516273102</v>
          </cell>
          <cell r="F415" t="str">
            <v>tiaelima</v>
          </cell>
        </row>
        <row r="416">
          <cell r="C416">
            <v>244366726002</v>
          </cell>
          <cell r="F416" t="str">
            <v>joaoclan</v>
          </cell>
        </row>
        <row r="417">
          <cell r="C417">
            <v>704260037202</v>
          </cell>
          <cell r="F417" t="str">
            <v>joaoclan</v>
          </cell>
        </row>
        <row r="418">
          <cell r="C418">
            <v>822521527602</v>
          </cell>
          <cell r="F418" t="str">
            <v>joaoclan</v>
          </cell>
        </row>
        <row r="419">
          <cell r="C419">
            <v>10369153302</v>
          </cell>
          <cell r="F419" t="str">
            <v>tiaelima</v>
          </cell>
        </row>
        <row r="420">
          <cell r="C420">
            <v>639050652002</v>
          </cell>
          <cell r="F420" t="str">
            <v>tiaelima</v>
          </cell>
        </row>
        <row r="421">
          <cell r="C421">
            <v>607776398302</v>
          </cell>
          <cell r="F421" t="str">
            <v>joaoclan</v>
          </cell>
        </row>
        <row r="422">
          <cell r="C422">
            <v>658814193902</v>
          </cell>
          <cell r="F422" t="str">
            <v>qmanuelv</v>
          </cell>
        </row>
        <row r="423">
          <cell r="C423">
            <v>40274588502</v>
          </cell>
          <cell r="F423" t="str">
            <v>tiaelima</v>
          </cell>
        </row>
        <row r="424">
          <cell r="C424">
            <v>29271934502</v>
          </cell>
          <cell r="F424" t="str">
            <v>qmanuelv</v>
          </cell>
        </row>
        <row r="425">
          <cell r="C425">
            <v>1138178402502</v>
          </cell>
          <cell r="F425" t="str">
            <v>qmanuelv</v>
          </cell>
        </row>
        <row r="426">
          <cell r="C426">
            <v>816067318102</v>
          </cell>
          <cell r="F426" t="str">
            <v>fpereluc</v>
          </cell>
        </row>
        <row r="427">
          <cell r="C427">
            <v>24558652202</v>
          </cell>
          <cell r="F427" t="str">
            <v>qmanuelv</v>
          </cell>
        </row>
        <row r="428">
          <cell r="C428">
            <v>727234475902</v>
          </cell>
          <cell r="F428" t="str">
            <v>qmanuelv</v>
          </cell>
        </row>
        <row r="429">
          <cell r="C429">
            <v>809933053402</v>
          </cell>
          <cell r="F429" t="str">
            <v>qmanuelv</v>
          </cell>
        </row>
        <row r="430">
          <cell r="C430">
            <v>858804576502</v>
          </cell>
          <cell r="F430" t="str">
            <v>qmanuelv</v>
          </cell>
        </row>
        <row r="431">
          <cell r="C431">
            <v>939067158802</v>
          </cell>
          <cell r="F431" t="str">
            <v>qmanuelv</v>
          </cell>
        </row>
        <row r="432">
          <cell r="C432">
            <v>46733383915</v>
          </cell>
          <cell r="F432" t="str">
            <v>tiaelima</v>
          </cell>
        </row>
        <row r="433">
          <cell r="C433">
            <v>755841394202</v>
          </cell>
          <cell r="F433" t="str">
            <v>joaoclan</v>
          </cell>
        </row>
        <row r="434">
          <cell r="C434">
            <v>474741185002</v>
          </cell>
          <cell r="F434" t="str">
            <v>tiaelima</v>
          </cell>
        </row>
        <row r="435">
          <cell r="C435">
            <v>837253102702</v>
          </cell>
        </row>
      </sheetData>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Curi, Vinicius" id="{B828106C-270A-4F0B-A65F-52FE4EB094D5}" userId="S::vinicuri@amazon.com::0a81c9fd-641d-48ba-9839-e172ffb636e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 dT="2026-01-12T17:47:04.33" personId="{B828106C-270A-4F0B-A65F-52FE4EB094D5}" id="{D1550972-EE61-4A36-8391-5820E72421E3}">
    <text>5 = Muito satisfeito
4 - Satisfeito
3 - Nem satisfeito, nem insatisfeito
2 - Insatisfeito
1 - Muito insatisfeito</text>
  </threadedComment>
</ThreadedComments>
</file>

<file path=xl/threadedComments/threadedComment2.xml><?xml version="1.0" encoding="utf-8"?>
<ThreadedComments xmlns="http://schemas.microsoft.com/office/spreadsheetml/2018/threadedcomments" xmlns:x="http://schemas.openxmlformats.org/spreadsheetml/2006/main">
  <threadedComment ref="F2" dT="2026-01-12T17:47:04.33" personId="{B828106C-270A-4F0B-A65F-52FE4EB094D5}" id="{06783EEB-DB7D-42E0-87A0-481F05529DE3}">
    <text>5 = Muito satisfeito
4 - Satisfeito
3 - Nem satisfeito, nem insatisfeito
2 - Insatisfeito
1 - Muito insatisfeito</text>
  </threadedComment>
</ThreadedComments>
</file>

<file path=xl/threadedComments/threadedComment3.xml><?xml version="1.0" encoding="utf-8"?>
<ThreadedComments xmlns="http://schemas.microsoft.com/office/spreadsheetml/2018/threadedcomments" xmlns:x="http://schemas.openxmlformats.org/spreadsheetml/2006/main">
  <threadedComment ref="F2" dT="2026-01-12T17:47:04.33" personId="{B828106C-270A-4F0B-A65F-52FE4EB094D5}" id="{E885A845-F6A0-440D-A677-5ED0A7EE3556}">
    <text>5 = Muito satisfeito
4 - Satisfeito
3 - Nem satisfeito, nem insatisfeito
2 - Insatisfeito
1 - Muito insatisfeito</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233"/>
  <sheetViews>
    <sheetView tabSelected="1" topLeftCell="A3" zoomScale="115" zoomScaleNormal="115" workbookViewId="0">
      <selection activeCell="AU6" sqref="AU6:BF10"/>
    </sheetView>
  </sheetViews>
  <sheetFormatPr defaultRowHeight="14.45" outlineLevelRow="1" outlineLevelCol="1"/>
  <cols>
    <col min="1" max="1" width="10.125" customWidth="1"/>
    <col min="2" max="2" width="15.375" hidden="1" customWidth="1" outlineLevel="1"/>
    <col min="3" max="13" width="10.125" hidden="1" customWidth="1" outlineLevel="1"/>
    <col min="14" max="14" width="13" customWidth="1" collapsed="1"/>
    <col min="15" max="17" width="13" hidden="1" customWidth="1" outlineLevel="1"/>
    <col min="18" max="18" width="12.5" hidden="1" customWidth="1" outlineLevel="1"/>
    <col min="19" max="19" width="9.625" hidden="1" customWidth="1" outlineLevel="1" collapsed="1"/>
    <col min="20" max="27" width="9.625" hidden="1" customWidth="1" outlineLevel="1"/>
    <col min="28" max="30" width="10.125" hidden="1" customWidth="1" outlineLevel="1"/>
    <col min="31" max="31" width="12.5" bestFit="1" customWidth="1" collapsed="1"/>
    <col min="32" max="32" width="12.625" bestFit="1" customWidth="1"/>
    <col min="33" max="44" width="12.625" hidden="1" customWidth="1" outlineLevel="1"/>
    <col min="45" max="45" width="9.125" bestFit="1" customWidth="1" collapsed="1"/>
    <col min="46" max="46" width="9.125" bestFit="1" customWidth="1"/>
    <col min="47" max="58" width="9.125" hidden="1" customWidth="1" outlineLevel="1"/>
    <col min="59" max="59" width="10.75" bestFit="1" customWidth="1" collapsed="1"/>
    <col min="60" max="60" width="11.5" bestFit="1" customWidth="1"/>
    <col min="61" max="72" width="11.5" hidden="1" customWidth="1" outlineLevel="1"/>
    <col min="73" max="73" width="10.5" customWidth="1" collapsed="1"/>
    <col min="74" max="74" width="11.625" customWidth="1"/>
    <col min="75" max="78" width="11.625" hidden="1" customWidth="1" outlineLevel="1"/>
    <col min="79" max="79" width="11.625" customWidth="1" collapsed="1"/>
    <col min="80" max="80" width="11.625" customWidth="1"/>
    <col min="81" max="81" width="19" customWidth="1"/>
    <col min="82" max="82" width="11.875" bestFit="1" customWidth="1"/>
    <col min="83" max="83" width="7.625" bestFit="1" customWidth="1"/>
    <col min="84" max="84" width="10.5" bestFit="1" customWidth="1"/>
    <col min="85" max="85" width="19" bestFit="1" customWidth="1"/>
    <col min="86" max="86" width="11.875" bestFit="1" customWidth="1"/>
    <col min="87" max="87" width="7.625" bestFit="1" customWidth="1"/>
    <col min="88" max="88" width="10.5" bestFit="1" customWidth="1"/>
    <col min="89" max="89" width="19" bestFit="1" customWidth="1"/>
    <col min="90" max="90" width="11.875" bestFit="1" customWidth="1"/>
    <col min="91" max="91" width="7.625" bestFit="1" customWidth="1"/>
    <col min="92" max="92" width="10.5" bestFit="1" customWidth="1"/>
    <col min="93" max="93" width="19" bestFit="1" customWidth="1"/>
  </cols>
  <sheetData>
    <row r="1" spans="1:93" hidden="1" outlineLevel="1">
      <c r="A1" t="s">
        <v>0</v>
      </c>
      <c r="B1" s="3">
        <v>46023</v>
      </c>
      <c r="C1" s="3">
        <v>46054</v>
      </c>
      <c r="D1" s="3">
        <v>46082</v>
      </c>
      <c r="E1" s="3">
        <v>46113</v>
      </c>
      <c r="F1" s="3">
        <v>46143</v>
      </c>
      <c r="G1" s="3">
        <v>46174</v>
      </c>
      <c r="H1" s="3">
        <v>46204</v>
      </c>
      <c r="I1" s="3">
        <v>46235</v>
      </c>
      <c r="J1" s="3">
        <v>46266</v>
      </c>
      <c r="K1" s="3">
        <v>46296</v>
      </c>
      <c r="L1" s="3">
        <v>46327</v>
      </c>
      <c r="M1" s="3">
        <v>46357</v>
      </c>
      <c r="S1" s="3">
        <v>46023</v>
      </c>
      <c r="T1" s="3">
        <v>46054</v>
      </c>
      <c r="U1" s="3">
        <v>46082</v>
      </c>
      <c r="V1" s="3">
        <v>46113</v>
      </c>
      <c r="W1" s="3">
        <v>46143</v>
      </c>
      <c r="X1" s="3">
        <v>46174</v>
      </c>
      <c r="Y1" s="3">
        <v>46204</v>
      </c>
      <c r="Z1" s="3">
        <v>46235</v>
      </c>
      <c r="AA1" s="3">
        <v>46266</v>
      </c>
      <c r="AB1" s="3">
        <v>46296</v>
      </c>
      <c r="AC1" s="3">
        <v>46327</v>
      </c>
      <c r="AD1" s="3">
        <v>46357</v>
      </c>
      <c r="AE1" s="3">
        <v>46023</v>
      </c>
      <c r="AF1" s="3">
        <v>46023</v>
      </c>
      <c r="AG1" s="3">
        <v>46023</v>
      </c>
      <c r="AH1" s="3">
        <v>46054</v>
      </c>
      <c r="AI1" s="3">
        <v>46082</v>
      </c>
      <c r="AJ1" s="3">
        <v>46113</v>
      </c>
      <c r="AK1" s="3">
        <v>46143</v>
      </c>
      <c r="AL1" s="3">
        <v>46174</v>
      </c>
      <c r="AM1" s="3">
        <v>46204</v>
      </c>
      <c r="AN1" s="3">
        <v>46235</v>
      </c>
      <c r="AO1" s="3">
        <v>46266</v>
      </c>
      <c r="AP1" s="3">
        <v>46296</v>
      </c>
      <c r="AQ1" s="3">
        <v>46327</v>
      </c>
      <c r="AR1" s="3">
        <v>46357</v>
      </c>
      <c r="AS1" s="3">
        <v>46023</v>
      </c>
      <c r="AT1" s="3">
        <v>46023</v>
      </c>
      <c r="AU1" s="3">
        <v>46023</v>
      </c>
      <c r="AV1" s="3">
        <v>46054</v>
      </c>
      <c r="AW1" s="3">
        <v>46082</v>
      </c>
      <c r="AX1" s="3">
        <v>46113</v>
      </c>
      <c r="AY1" s="3">
        <v>46143</v>
      </c>
      <c r="AZ1" s="3">
        <v>46174</v>
      </c>
      <c r="BA1" s="3">
        <v>46204</v>
      </c>
      <c r="BB1" s="3">
        <v>46235</v>
      </c>
      <c r="BC1" s="3">
        <v>46266</v>
      </c>
      <c r="BD1" s="3">
        <v>46296</v>
      </c>
      <c r="BE1" s="3">
        <v>46327</v>
      </c>
      <c r="BF1" s="3">
        <v>46357</v>
      </c>
      <c r="BG1" s="3">
        <v>46023</v>
      </c>
      <c r="BH1" s="3">
        <v>46023</v>
      </c>
      <c r="BI1" s="3">
        <v>46023</v>
      </c>
      <c r="BJ1" s="3">
        <v>46054</v>
      </c>
      <c r="BK1" s="3">
        <v>46082</v>
      </c>
      <c r="BL1" s="3">
        <v>46113</v>
      </c>
      <c r="BM1" s="3">
        <v>46143</v>
      </c>
      <c r="BN1" s="3">
        <v>46174</v>
      </c>
      <c r="BO1" s="3">
        <v>46204</v>
      </c>
      <c r="BP1" s="3">
        <v>46235</v>
      </c>
      <c r="BQ1" s="3">
        <v>46266</v>
      </c>
      <c r="BR1" s="3">
        <v>46296</v>
      </c>
      <c r="BS1" s="3">
        <v>46327</v>
      </c>
      <c r="BT1" s="3">
        <v>46357</v>
      </c>
      <c r="BU1" s="3">
        <v>46023</v>
      </c>
      <c r="BV1" s="3">
        <v>46023</v>
      </c>
      <c r="BW1" s="3">
        <v>46023</v>
      </c>
      <c r="BX1" s="3">
        <v>46113</v>
      </c>
      <c r="BY1" s="3">
        <v>46204</v>
      </c>
      <c r="BZ1" s="3">
        <v>46296</v>
      </c>
      <c r="CA1" s="3"/>
      <c r="CB1" s="3"/>
      <c r="CC1" s="3">
        <v>46023</v>
      </c>
      <c r="CD1" s="3"/>
      <c r="CE1" s="3"/>
      <c r="CF1" s="3"/>
      <c r="CG1" s="3"/>
      <c r="CH1" s="3"/>
      <c r="CI1" s="3"/>
      <c r="CJ1" s="3"/>
      <c r="CK1" s="3"/>
      <c r="CL1" s="3"/>
      <c r="CM1" s="3"/>
      <c r="CN1" s="3"/>
      <c r="CO1" s="3"/>
    </row>
    <row r="2" spans="1:93" hidden="1" outlineLevel="1">
      <c r="A2" s="35" cm="1">
        <f t="array" ref="A2">_xlfn.QUARTILE.INC(IF(Base!$V:$V&gt;0,Base!$V:$V),3)+(1.5*(_xlfn.QUARTILE.INC(IF(Base!$V:$V&gt;0,Base!$V:$V),3)-_xlfn.QUARTILE.INC(IF(Base!$V:$V&gt;0,Base!$V:$V),1)))</f>
        <v>17</v>
      </c>
      <c r="B2" s="3">
        <v>46053</v>
      </c>
      <c r="C2" s="3">
        <v>46081</v>
      </c>
      <c r="D2" s="3">
        <v>46112</v>
      </c>
      <c r="E2" s="3">
        <v>46142</v>
      </c>
      <c r="F2" s="3">
        <v>46173</v>
      </c>
      <c r="G2" s="3">
        <v>46203</v>
      </c>
      <c r="H2" s="3">
        <v>46234</v>
      </c>
      <c r="I2" s="3">
        <v>46265</v>
      </c>
      <c r="J2" s="3">
        <v>46295</v>
      </c>
      <c r="K2" s="3">
        <v>46326</v>
      </c>
      <c r="L2" s="3">
        <v>46356</v>
      </c>
      <c r="M2" s="3">
        <v>46387</v>
      </c>
      <c r="S2" s="3">
        <v>46053</v>
      </c>
      <c r="T2" s="3">
        <v>46081</v>
      </c>
      <c r="U2" s="3">
        <v>46112</v>
      </c>
      <c r="V2" s="3">
        <v>46142</v>
      </c>
      <c r="W2" s="3">
        <v>46173</v>
      </c>
      <c r="X2" s="3">
        <v>46203</v>
      </c>
      <c r="Y2" s="3">
        <v>46234</v>
      </c>
      <c r="Z2" s="3">
        <v>46265</v>
      </c>
      <c r="AA2" s="3">
        <v>46295</v>
      </c>
      <c r="AB2" s="3">
        <v>46326</v>
      </c>
      <c r="AC2" s="3">
        <v>46356</v>
      </c>
      <c r="AD2" s="3">
        <v>46387</v>
      </c>
      <c r="AE2" s="3">
        <v>46112</v>
      </c>
      <c r="AF2" s="3">
        <v>46112</v>
      </c>
      <c r="AG2" s="3">
        <v>46053</v>
      </c>
      <c r="AH2" s="3">
        <v>46081</v>
      </c>
      <c r="AI2" s="3">
        <v>46112</v>
      </c>
      <c r="AJ2" s="3">
        <v>46142</v>
      </c>
      <c r="AK2" s="3">
        <v>46173</v>
      </c>
      <c r="AL2" s="3">
        <v>46203</v>
      </c>
      <c r="AM2" s="3">
        <v>46234</v>
      </c>
      <c r="AN2" s="3">
        <v>46265</v>
      </c>
      <c r="AO2" s="3">
        <v>46295</v>
      </c>
      <c r="AP2" s="3">
        <v>46326</v>
      </c>
      <c r="AQ2" s="3">
        <v>46356</v>
      </c>
      <c r="AR2" s="3">
        <v>46387</v>
      </c>
      <c r="AS2" s="3">
        <v>46112</v>
      </c>
      <c r="AT2" s="3">
        <v>46112</v>
      </c>
      <c r="AU2" s="3">
        <v>46053</v>
      </c>
      <c r="AV2" s="3">
        <v>46081</v>
      </c>
      <c r="AW2" s="3">
        <v>46112</v>
      </c>
      <c r="AX2" s="3">
        <v>46142</v>
      </c>
      <c r="AY2" s="3">
        <v>46173</v>
      </c>
      <c r="AZ2" s="3">
        <v>46203</v>
      </c>
      <c r="BA2" s="3">
        <v>46234</v>
      </c>
      <c r="BB2" s="3">
        <v>46265</v>
      </c>
      <c r="BC2" s="3">
        <v>46295</v>
      </c>
      <c r="BD2" s="3">
        <v>46326</v>
      </c>
      <c r="BE2" s="3">
        <v>46356</v>
      </c>
      <c r="BF2" s="3">
        <v>46387</v>
      </c>
      <c r="BG2" s="3">
        <v>46112</v>
      </c>
      <c r="BH2" s="3">
        <v>46112</v>
      </c>
      <c r="BI2" s="3">
        <v>46053</v>
      </c>
      <c r="BJ2" s="3">
        <v>46081</v>
      </c>
      <c r="BK2" s="3">
        <v>46112</v>
      </c>
      <c r="BL2" s="3">
        <v>46142</v>
      </c>
      <c r="BM2" s="3">
        <v>46173</v>
      </c>
      <c r="BN2" s="3">
        <v>46203</v>
      </c>
      <c r="BO2" s="3">
        <v>46234</v>
      </c>
      <c r="BP2" s="3">
        <v>46265</v>
      </c>
      <c r="BQ2" s="3">
        <v>46295</v>
      </c>
      <c r="BR2" s="3">
        <v>46326</v>
      </c>
      <c r="BS2" s="3">
        <v>46356</v>
      </c>
      <c r="BT2" s="3">
        <v>46387</v>
      </c>
      <c r="BU2" s="3">
        <v>46112</v>
      </c>
      <c r="BV2" s="3">
        <v>46112</v>
      </c>
      <c r="BW2" s="3">
        <v>46112</v>
      </c>
      <c r="BX2" s="3">
        <v>46203</v>
      </c>
      <c r="BY2" s="3">
        <v>46295</v>
      </c>
      <c r="BZ2" s="3">
        <v>41274</v>
      </c>
      <c r="CA2" s="3"/>
      <c r="CB2" s="3"/>
      <c r="CC2" s="3">
        <v>46112</v>
      </c>
      <c r="CD2" s="3"/>
      <c r="CE2" s="3"/>
      <c r="CF2" s="3"/>
      <c r="CG2" s="3"/>
      <c r="CH2" s="3"/>
      <c r="CI2" s="3"/>
      <c r="CJ2" s="3"/>
      <c r="CK2" s="3"/>
      <c r="CL2" s="3"/>
      <c r="CM2" s="3"/>
      <c r="CN2" s="3"/>
      <c r="CO2" s="3"/>
    </row>
    <row r="3" spans="1:93" collapsed="1">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row>
    <row r="4" spans="1:93">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56" t="s">
        <v>1</v>
      </c>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8"/>
      <c r="BW4" s="53" t="s">
        <v>2</v>
      </c>
      <c r="BX4" s="54"/>
      <c r="BY4" s="54"/>
      <c r="BZ4" s="54"/>
      <c r="CA4" s="54"/>
      <c r="CB4" s="55"/>
    </row>
    <row r="5" spans="1:93">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27" t="s">
        <v>19</v>
      </c>
      <c r="R5" s="27" t="s">
        <v>20</v>
      </c>
      <c r="S5" s="27" t="s">
        <v>4</v>
      </c>
      <c r="T5" s="27" t="s">
        <v>5</v>
      </c>
      <c r="U5" s="27" t="s">
        <v>6</v>
      </c>
      <c r="V5" s="27" t="s">
        <v>7</v>
      </c>
      <c r="W5" s="27" t="s">
        <v>8</v>
      </c>
      <c r="X5" s="27" t="s">
        <v>9</v>
      </c>
      <c r="Y5" s="27" t="s">
        <v>10</v>
      </c>
      <c r="Z5" s="27" t="s">
        <v>11</v>
      </c>
      <c r="AA5" s="27" t="s">
        <v>12</v>
      </c>
      <c r="AB5" s="27" t="s">
        <v>13</v>
      </c>
      <c r="AC5" s="27" t="s">
        <v>14</v>
      </c>
      <c r="AD5" s="27" t="s">
        <v>15</v>
      </c>
      <c r="AE5" s="27" t="s">
        <v>21</v>
      </c>
      <c r="AF5" s="27" t="s">
        <v>22</v>
      </c>
      <c r="AG5" s="27" t="s">
        <v>4</v>
      </c>
      <c r="AH5" s="27" t="s">
        <v>5</v>
      </c>
      <c r="AI5" s="27" t="s">
        <v>6</v>
      </c>
      <c r="AJ5" s="27" t="s">
        <v>7</v>
      </c>
      <c r="AK5" s="27" t="s">
        <v>8</v>
      </c>
      <c r="AL5" s="27" t="s">
        <v>9</v>
      </c>
      <c r="AM5" s="27" t="s">
        <v>10</v>
      </c>
      <c r="AN5" s="27" t="s">
        <v>11</v>
      </c>
      <c r="AO5" s="27" t="s">
        <v>12</v>
      </c>
      <c r="AP5" s="27" t="s">
        <v>13</v>
      </c>
      <c r="AQ5" s="27" t="s">
        <v>14</v>
      </c>
      <c r="AR5" s="27" t="s">
        <v>15</v>
      </c>
      <c r="AS5" s="27" t="s">
        <v>23</v>
      </c>
      <c r="AT5" s="27" t="s">
        <v>24</v>
      </c>
      <c r="AU5" s="27" t="s">
        <v>4</v>
      </c>
      <c r="AV5" s="27" t="s">
        <v>5</v>
      </c>
      <c r="AW5" s="27" t="s">
        <v>6</v>
      </c>
      <c r="AX5" s="27" t="s">
        <v>7</v>
      </c>
      <c r="AY5" s="27" t="s">
        <v>8</v>
      </c>
      <c r="AZ5" s="27" t="s">
        <v>9</v>
      </c>
      <c r="BA5" s="27" t="s">
        <v>10</v>
      </c>
      <c r="BB5" s="27" t="s">
        <v>11</v>
      </c>
      <c r="BC5" s="27" t="s">
        <v>12</v>
      </c>
      <c r="BD5" s="27" t="s">
        <v>13</v>
      </c>
      <c r="BE5" s="27" t="s">
        <v>14</v>
      </c>
      <c r="BF5" s="27" t="s">
        <v>15</v>
      </c>
      <c r="BG5" s="27" t="s">
        <v>25</v>
      </c>
      <c r="BH5" s="27" t="s">
        <v>26</v>
      </c>
      <c r="BI5" s="27" t="s">
        <v>4</v>
      </c>
      <c r="BJ5" s="27" t="s">
        <v>5</v>
      </c>
      <c r="BK5" s="27" t="s">
        <v>6</v>
      </c>
      <c r="BL5" s="27" t="s">
        <v>7</v>
      </c>
      <c r="BM5" s="27" t="s">
        <v>8</v>
      </c>
      <c r="BN5" s="27" t="s">
        <v>9</v>
      </c>
      <c r="BO5" s="27" t="s">
        <v>10</v>
      </c>
      <c r="BP5" s="27" t="s">
        <v>11</v>
      </c>
      <c r="BQ5" s="27" t="s">
        <v>12</v>
      </c>
      <c r="BR5" s="27" t="s">
        <v>13</v>
      </c>
      <c r="BS5" s="27" t="s">
        <v>14</v>
      </c>
      <c r="BT5" s="27" t="s">
        <v>15</v>
      </c>
      <c r="BU5" s="27" t="s">
        <v>27</v>
      </c>
      <c r="BV5" s="27" t="s">
        <v>28</v>
      </c>
      <c r="BW5" s="27" t="s">
        <v>29</v>
      </c>
      <c r="BX5" s="27" t="s">
        <v>30</v>
      </c>
      <c r="BY5" s="27" t="s">
        <v>31</v>
      </c>
      <c r="BZ5" s="27" t="s">
        <v>32</v>
      </c>
      <c r="CA5" s="27" t="s">
        <v>33</v>
      </c>
      <c r="CB5" s="27" t="s">
        <v>34</v>
      </c>
      <c r="CC5" s="27" t="s">
        <v>35</v>
      </c>
    </row>
    <row r="6" spans="1:93">
      <c r="A6" s="25" t="s">
        <v>36</v>
      </c>
      <c r="B6" s="26">
        <f>COUNTIFS('Sellers Pro'!$F:$F,Scorecard!$A6,'Sellers Pro'!$Q:$Q,"&lt;"&amp;Scorecard!B$2,'Sellers Pro'!$O:$O,"1")</f>
        <v>46</v>
      </c>
      <c r="C6" s="26">
        <f>COUNTIFS('Sellers Pro'!$F:$F,Scorecard!$A6,'Sellers Pro'!$Q:$Q,"&lt;"&amp;Scorecard!C$2,'Sellers Pro'!$O:$O,"1")</f>
        <v>48</v>
      </c>
      <c r="D6" s="26">
        <f>COUNTIFS('Sellers Pro'!$F:$F,Scorecard!$A6,'Sellers Pro'!$Q:$Q,"&lt;"&amp;Scorecard!D$2,'Sellers Pro'!$O:$O,"1")</f>
        <v>48</v>
      </c>
      <c r="E6" s="26">
        <f>COUNTIFS('Sellers Pro'!$F:$F,Scorecard!$A6,'Sellers Pro'!$Q:$Q,"&lt;"&amp;Scorecard!E$2,'Sellers Pro'!$O:$O,"1")</f>
        <v>48</v>
      </c>
      <c r="F6" s="26">
        <f>COUNTIFS('Sellers Pro'!$F:$F,Scorecard!$A6,'Sellers Pro'!$Q:$Q,"&lt;"&amp;Scorecard!F$2,'Sellers Pro'!$O:$O,"1")</f>
        <v>48</v>
      </c>
      <c r="G6" s="26">
        <f>COUNTIFS('Sellers Pro'!$F:$F,Scorecard!$A6,'Sellers Pro'!$Q:$Q,"&lt;"&amp;Scorecard!G$2,'Sellers Pro'!$O:$O,"1")</f>
        <v>48</v>
      </c>
      <c r="H6" s="26">
        <f>COUNTIFS('Sellers Pro'!$F:$F,Scorecard!$A6,'Sellers Pro'!$Q:$Q,"&lt;"&amp;Scorecard!H$2,'Sellers Pro'!$O:$O,"1")</f>
        <v>48</v>
      </c>
      <c r="I6" s="26">
        <f>COUNTIFS('Sellers Pro'!$F:$F,Scorecard!$A6,'Sellers Pro'!$Q:$Q,"&lt;"&amp;Scorecard!I$2,'Sellers Pro'!$O:$O,"1")</f>
        <v>48</v>
      </c>
      <c r="J6" s="26">
        <f>COUNTIFS('Sellers Pro'!$F:$F,Scorecard!$A6,'Sellers Pro'!$Q:$Q,"&lt;"&amp;Scorecard!J$2,'Sellers Pro'!$O:$O,"1")</f>
        <v>48</v>
      </c>
      <c r="K6" s="26">
        <f>COUNTIFS('Sellers Pro'!$F:$F,Scorecard!$A6,'Sellers Pro'!$Q:$Q,"&lt;"&amp;Scorecard!K$2,'Sellers Pro'!$O:$O,"1")</f>
        <v>48</v>
      </c>
      <c r="L6" s="26">
        <f>COUNTIFS('Sellers Pro'!$F:$F,Scorecard!$A6,'Sellers Pro'!$Q:$Q,"&lt;"&amp;Scorecard!L$2,'Sellers Pro'!$O:$O,"1")</f>
        <v>48</v>
      </c>
      <c r="M6" s="26">
        <f>COUNTIFS('Sellers Pro'!$F:$F,Scorecard!$A6,'Sellers Pro'!$Q:$Q,"&lt;"&amp;Scorecard!M$2,'Sellers Pro'!$O:$O,"1")</f>
        <v>48</v>
      </c>
      <c r="N6" s="41">
        <f t="shared" ref="N6:N8" si="0">IFERROR(AVERAGEIF(B6:M6,"&gt;0",B6:M6),"-")</f>
        <v>47.833333333333336</v>
      </c>
      <c r="O6" s="26">
        <f>COUNTIFS('Survey Q1'!$G:$G,"="&amp;1,'Survey Q1'!$C:$C,Scorecard!$A6)</f>
        <v>10</v>
      </c>
      <c r="P6" s="26">
        <f>COUNTIFS('Survey Q2'!$G:$G,"="&amp;1,'Survey Q1'!$C:$C,Scorecard!$A6)</f>
        <v>0</v>
      </c>
      <c r="Q6" s="26">
        <f>COUNTIFS('Survey Q3'!$G:$G,"="&amp;1,'Survey Q1'!$C:$C,Scorecard!$A6)</f>
        <v>0</v>
      </c>
      <c r="R6" s="26">
        <f>COUNTIFS('Survey Q4'!$G:$G,"="&amp;1,'Survey Q1'!$C:$C,Scorecard!$A6)</f>
        <v>0</v>
      </c>
      <c r="S6" s="22">
        <f>IFERROR(COUNTIFS(Base!$J:$J,Scorecard!$A6,Base!$E:$E,"&gt;"&amp;S$1,Base!$E:$E,"&lt;"&amp;S$2,Base!$AH:$AH,"1",Base!$A:$A,"2026")/$N6,"0")</f>
        <v>0.4808362369337979</v>
      </c>
      <c r="T6" s="22">
        <f>IFERROR(COUNTIFS(Base!$J:$J,Scorecard!$A6,Base!$E:$E,"&gt;"&amp;T$1,Base!$E:$E,"&lt;"&amp;T$2,Base!$AH:$AH,"1",Base!$A:$A,"2026")/$N6,"0")</f>
        <v>0.68989547038327526</v>
      </c>
      <c r="U6" s="22">
        <f>IFERROR(COUNTIFS(Base!$J:$J,Scorecard!$A6,Base!$E:$E,"&gt;"&amp;U$1,Base!$E:$E,"&lt;"&amp;U$2,Base!$AH:$AH,"1",Base!$A:$A,"2026")/$N6,"0")</f>
        <v>0.58536585365853655</v>
      </c>
      <c r="V6" s="22">
        <f>IFERROR(COUNTIFS(Base!$J:$J,Scorecard!$A6,Base!$E:$E,"&gt;"&amp;V$1,Base!$E:$E,"&lt;"&amp;V$2,Base!$AH:$AH,"1",Base!$A:$A,"2026")/$N6,"0")</f>
        <v>0</v>
      </c>
      <c r="W6" s="22">
        <f>IFERROR(COUNTIFS(Base!$J:$J,Scorecard!$A6,Base!$E:$E,"&gt;"&amp;W$1,Base!$E:$E,"&lt;"&amp;W$2,Base!$AH:$AH,"1",Base!$A:$A,"2026")/$N6,"0")</f>
        <v>0</v>
      </c>
      <c r="X6" s="22">
        <f>IFERROR(COUNTIFS(Base!$J:$J,Scorecard!$A6,Base!$E:$E,"&gt;"&amp;X$1,Base!$E:$E,"&lt;"&amp;X$2,Base!$AH:$AH,"1",Base!$A:$A,"2026")/$N6,"0")</f>
        <v>0</v>
      </c>
      <c r="Y6" s="22">
        <f>IFERROR(COUNTIFS(Base!$J:$J,Scorecard!$A6,Base!$E:$E,"&gt;"&amp;Y$1,Base!$E:$E,"&lt;"&amp;Y$2,Base!$AH:$AH,"1",Base!$A:$A,"2026")/$N6,"0")</f>
        <v>0</v>
      </c>
      <c r="Z6" s="22">
        <f>IFERROR(COUNTIFS(Base!$J:$J,Scorecard!$A6,Base!$E:$E,"&gt;"&amp;Z$1,Base!$E:$E,"&lt;"&amp;Z$2,Base!$AH:$AH,"1",Base!$A:$A,"2026")/$N6,"0")</f>
        <v>0</v>
      </c>
      <c r="AA6" s="22">
        <f>IFERROR(COUNTIFS(Base!$J:$J,Scorecard!$A6,Base!$E:$E,"&gt;"&amp;AA$1,Base!$E:$E,"&lt;"&amp;AA$2,Base!$AH:$AH,"1",Base!$A:$A,"2026")/$N6,"0")</f>
        <v>0</v>
      </c>
      <c r="AB6" s="22">
        <f>IFERROR(COUNTIFS(Base!$J:$J,Scorecard!$A6,Base!$E:$E,"&gt;"&amp;AB$1,Base!$E:$E,"&lt;"&amp;AB$2,Base!$AH:$AH,"1",Base!$A:$A,"2026")/$N6,"0")</f>
        <v>0</v>
      </c>
      <c r="AC6" s="22">
        <f>IFERROR(COUNTIFS(Base!$J:$J,Scorecard!$A6,Base!$E:$E,"&gt;"&amp;AC$1,Base!$E:$E,"&lt;"&amp;AC$2,Base!$AH:$AH,"1",Base!$A:$A,"2026")/$N6,"0")</f>
        <v>0</v>
      </c>
      <c r="AD6" s="22">
        <f>IFERROR(COUNTIFS(Base!$J:$J,Scorecard!$A6,Base!$E:$E,"&gt;"&amp;AD$1,Base!$E:$E,"&lt;"&amp;AD$2,Base!$AH:$AH,"1",Base!$A:$A,"2026")/$N6,"0")</f>
        <v>0</v>
      </c>
      <c r="AE6" s="22">
        <f t="shared" ref="AE6:AE8" si="1">IFERROR(AVERAGEIF(S6:AD6,"&gt;0",S6:AD6),"-")</f>
        <v>0.58536585365853655</v>
      </c>
      <c r="AF6" s="16">
        <f>IF(AE6="-",0,IF(AE6&lt;Goals!$K$6,Goals!$L$7,IF(AE6&lt;Goals!$K$5,Goals!$L$6,IF(AE6&lt;Goals!$K$4,Goals!$L$5,IF(AE6&lt;Goals!$K$3,Goals!$L$4,IF(AE6&lt;Goals!$K$2,Goals!$L$3,Goals!$L$2))))))</f>
        <v>0.5</v>
      </c>
      <c r="AG6" s="23">
        <f>IFERROR(AVERAGEIFS(Base!$V:$V,Base!$J:$J,Scorecard!$A6,Base!$E:$E,"&gt;"&amp;AG$1,Base!$G:$G,"&lt;"&amp;AG$2,Base!$V:$V,"&lt;"&amp;$A$2,Base!$V:$V,"&gt;"&amp;0,Base!$A:$A,"2026"),"0")</f>
        <v>3.25</v>
      </c>
      <c r="AH6" s="23">
        <f>IFERROR(AVERAGEIFS(Base!$V:$V,Base!$J:$J,Scorecard!$A6,Base!$E:$E,"&gt;"&amp;AH$1,Base!$G:$G,"&lt;"&amp;AH$2,Base!$V:$V,"&lt;"&amp;$A$2,Base!$V:$V,"&gt;"&amp;0,Base!$A:$A,"2026"),"0")</f>
        <v>4.859375</v>
      </c>
      <c r="AI6" s="23">
        <f>IFERROR(AVERAGEIFS(Base!$V:$V,Base!$J:$J,Scorecard!$A6,Base!$E:$E,"&gt;"&amp;AI$1,Base!$G:$G,"&lt;"&amp;AI$2,Base!$V:$V,"&lt;"&amp;$A$2,Base!$V:$V,"&gt;"&amp;0,Base!$A:$A,"2026"),"0")</f>
        <v>3.2678571428571428</v>
      </c>
      <c r="AJ6" s="23" t="str">
        <f>IFERROR(AVERAGEIFS(Base!$V:$V,Base!$J:$J,Scorecard!$A6,Base!$E:$E,"&gt;"&amp;AJ$1,Base!$G:$G,"&lt;"&amp;AJ$2,Base!$V:$V,"&lt;"&amp;$A$2,Base!$V:$V,"&gt;"&amp;0,Base!$A:$A,"2026"),"0")</f>
        <v>0</v>
      </c>
      <c r="AK6" s="23" t="str">
        <f>IFERROR(AVERAGEIFS(Base!$V:$V,Base!$J:$J,Scorecard!$A6,Base!$E:$E,"&gt;"&amp;AK$1,Base!$G:$G,"&lt;"&amp;AK$2,Base!$V:$V,"&lt;"&amp;$A$2,Base!$V:$V,"&gt;"&amp;0,Base!$A:$A,"2026"),"0")</f>
        <v>0</v>
      </c>
      <c r="AL6" s="23" t="str">
        <f>IFERROR(AVERAGEIFS(Base!$V:$V,Base!$J:$J,Scorecard!$A6,Base!$E:$E,"&gt;"&amp;AL$1,Base!$G:$G,"&lt;"&amp;AL$2,Base!$V:$V,"&lt;"&amp;$A$2,Base!$V:$V,"&gt;"&amp;0,Base!$A:$A,"2026"),"0")</f>
        <v>0</v>
      </c>
      <c r="AM6" s="23" t="str">
        <f>IFERROR(AVERAGEIFS(Base!$V:$V,Base!$J:$J,Scorecard!$A6,Base!$E:$E,"&gt;"&amp;AM$1,Base!$G:$G,"&lt;"&amp;AM$2,Base!$V:$V,"&lt;"&amp;$A$2,Base!$V:$V,"&gt;"&amp;0,Base!$A:$A,"2026"),"0")</f>
        <v>0</v>
      </c>
      <c r="AN6" s="23" t="str">
        <f>IFERROR(AVERAGEIFS(Base!$V:$V,Base!$J:$J,Scorecard!$A6,Base!$E:$E,"&gt;"&amp;AN$1,Base!$G:$G,"&lt;"&amp;AN$2,Base!$V:$V,"&lt;"&amp;$A$2,Base!$V:$V,"&gt;"&amp;0,Base!$A:$A,"2026"),"0")</f>
        <v>0</v>
      </c>
      <c r="AO6" s="23" t="str">
        <f>IFERROR(AVERAGEIFS(Base!$V:$V,Base!$J:$J,Scorecard!$A6,Base!$E:$E,"&gt;"&amp;AO$1,Base!$G:$G,"&lt;"&amp;AO$2,Base!$V:$V,"&lt;"&amp;$A$2,Base!$V:$V,"&gt;"&amp;0,Base!$A:$A,"2026"),"0")</f>
        <v>0</v>
      </c>
      <c r="AP6" s="23" t="str">
        <f>IFERROR(AVERAGEIFS(Base!$V:$V,Base!$J:$J,Scorecard!$A6,Base!$E:$E,"&gt;"&amp;AP$1,Base!$G:$G,"&lt;"&amp;AP$2,Base!$V:$V,"&lt;"&amp;$A$2,Base!$V:$V,"&gt;"&amp;0,Base!$A:$A,"2026"),"0")</f>
        <v>0</v>
      </c>
      <c r="AQ6" s="23" t="str">
        <f>IFERROR(AVERAGEIFS(Base!$V:$V,Base!$J:$J,Scorecard!$A6,Base!$E:$E,"&gt;"&amp;AQ$1,Base!$G:$G,"&lt;"&amp;AQ$2,Base!$V:$V,"&lt;"&amp;$A$2,Base!$V:$V,"&gt;"&amp;0,Base!$A:$A,"2026"),"0")</f>
        <v>0</v>
      </c>
      <c r="AR6" s="23" t="str">
        <f>IFERROR(AVERAGEIFS(Base!$V:$V,Base!$J:$J,Scorecard!$A6,Base!$E:$E,"&gt;"&amp;AR$1,Base!$G:$G,"&lt;"&amp;AR$2,Base!$V:$V,"&lt;"&amp;$A$2,Base!$V:$V,"&gt;"&amp;0,Base!$A:$A,"2026"),"0")</f>
        <v>0</v>
      </c>
      <c r="AS6" s="40">
        <f>IFERROR(AVERAGEIF(AG6:AR6,"&gt;0",AG6:AR6),"-")</f>
        <v>3.792410714285714</v>
      </c>
      <c r="AT6" s="16">
        <f>IF(AS6="-",0,IF(AS6&gt;Goals!$N$6,Goals!$O$7,IF(AS6&gt;Goals!$N$5,Goals!$O$6,IF(AS6&gt;Goals!$N$4,Goals!$O$5,IF(AS6&gt;Goals!$N$3,Goals!$O$4,IF(AS6&gt;Goals!$N$2,Goals!$O$3,Goals!$O$2))))))</f>
        <v>0.8</v>
      </c>
      <c r="AU6" s="39">
        <f>IFERROR(COUNTIFS(Base!$E:$E,"&gt;"&amp;AU$1,Base!$G:$G,"&lt;"&amp;AU$2,Base!$J:$J,Scorecard!$A6,Base!$T:$T,"COMPLETED")/COUNTIFS(Base!$E:$E,"&gt;"&amp;AU$1,Base!$E:$E,"&lt;"&amp;AU$2,Base!$J:$J,Scorecard!$A6),"0")</f>
        <v>0.7</v>
      </c>
      <c r="AV6" s="39">
        <f>IFERROR(COUNTIFS(Base!$E:$E,"&gt;"&amp;AV$1,Base!$G:$G,"&lt;"&amp;AV$2,Base!$J:$J,Scorecard!$A6,Base!$T:$T,"COMPLETED")/COUNTIFS(Base!$E:$E,"&gt;"&amp;AV$1,Base!$E:$E,"&lt;"&amp;AV$2,Base!$J:$J,Scorecard!$A6),"0")</f>
        <v>0.71875</v>
      </c>
      <c r="AW6" s="39">
        <f>IFERROR(COUNTIFS(Base!$E:$E,"&gt;"&amp;AW$1,Base!$G:$G,"&lt;"&amp;AW$2,Base!$J:$J,Scorecard!$A6,Base!$T:$T,"COMPLETED")/COUNTIFS(Base!$E:$E,"&gt;"&amp;AW$1,Base!$E:$E,"&lt;"&amp;AW$2,Base!$J:$J,Scorecard!$A6),"0")</f>
        <v>0.68181818181818177</v>
      </c>
      <c r="AX6" s="39" t="str">
        <f>IFERROR(COUNTIFS(Base!$E:$E,"&gt;"&amp;AX$1,Base!$G:$G,"&lt;"&amp;AX$2,Base!$J:$J,Scorecard!$A6,Base!$T:$T,"COMPLETED")/COUNTIFS(Base!$E:$E,"&gt;"&amp;AX$1,Base!$E:$E,"&lt;"&amp;AX$2,Base!$J:$J,Scorecard!$A6),"0")</f>
        <v>0</v>
      </c>
      <c r="AY6" s="39" t="str">
        <f>IFERROR(COUNTIFS(Base!$E:$E,"&gt;"&amp;AY$1,Base!$G:$G,"&lt;"&amp;AY$2,Base!$J:$J,Scorecard!$A6,Base!$T:$T,"COMPLETED")/COUNTIFS(Base!$E:$E,"&gt;"&amp;AY$1,Base!$E:$E,"&lt;"&amp;AY$2,Base!$J:$J,Scorecard!$A6),"0")</f>
        <v>0</v>
      </c>
      <c r="AZ6" s="39" t="str">
        <f>IFERROR(COUNTIFS(Base!$E:$E,"&gt;"&amp;AZ$1,Base!$G:$G,"&lt;"&amp;AZ$2,Base!$J:$J,Scorecard!$A6,Base!$T:$T,"COMPLETED")/COUNTIFS(Base!$E:$E,"&gt;"&amp;AZ$1,Base!$E:$E,"&lt;"&amp;AZ$2,Base!$J:$J,Scorecard!$A6),"0")</f>
        <v>0</v>
      </c>
      <c r="BA6" s="39" t="str">
        <f>IFERROR(COUNTIFS(Base!$E:$E,"&gt;"&amp;BA$1,Base!$G:$G,"&lt;"&amp;BA$2,Base!$J:$J,Scorecard!$A6,Base!$T:$T,"COMPLETED")/COUNTIFS(Base!$E:$E,"&gt;"&amp;BA$1,Base!$E:$E,"&lt;"&amp;BA$2,Base!$J:$J,Scorecard!$A6),"0")</f>
        <v>0</v>
      </c>
      <c r="BB6" s="39" t="str">
        <f>IFERROR(COUNTIFS(Base!$E:$E,"&gt;"&amp;BB$1,Base!$G:$G,"&lt;"&amp;BB$2,Base!$J:$J,Scorecard!$A6,Base!$T:$T,"COMPLETED")/COUNTIFS(Base!$E:$E,"&gt;"&amp;BB$1,Base!$E:$E,"&lt;"&amp;BB$2,Base!$J:$J,Scorecard!$A6),"0")</f>
        <v>0</v>
      </c>
      <c r="BC6" s="39" t="str">
        <f>IFERROR(COUNTIFS(Base!$E:$E,"&gt;"&amp;BC$1,Base!$G:$G,"&lt;"&amp;BC$2,Base!$J:$J,Scorecard!$A6,Base!$T:$T,"COMPLETED")/COUNTIFS(Base!$E:$E,"&gt;"&amp;BC$1,Base!$E:$E,"&lt;"&amp;BC$2,Base!$J:$J,Scorecard!$A6),"0")</f>
        <v>0</v>
      </c>
      <c r="BD6" s="39" t="str">
        <f>IFERROR(COUNTIFS(Base!$E:$E,"&gt;"&amp;BD$1,Base!$G:$G,"&lt;"&amp;BD$2,Base!$J:$J,Scorecard!$A6,Base!$T:$T,"COMPLETED")/COUNTIFS(Base!$E:$E,"&gt;"&amp;BD$1,Base!$E:$E,"&lt;"&amp;BD$2,Base!$J:$J,Scorecard!$A6),"0")</f>
        <v>0</v>
      </c>
      <c r="BE6" s="39" t="str">
        <f>IFERROR(COUNTIFS(Base!$E:$E,"&gt;"&amp;BE$1,Base!$G:$G,"&lt;"&amp;BE$2,Base!$J:$J,Scorecard!$A6,Base!$T:$T,"COMPLETED")/COUNTIFS(Base!$E:$E,"&gt;"&amp;BE$1,Base!$E:$E,"&lt;"&amp;BE$2,Base!$J:$J,Scorecard!$A6),"0")</f>
        <v>0</v>
      </c>
      <c r="BF6" s="39" t="str">
        <f>IFERROR(COUNTIFS(Base!$E:$E,"&gt;"&amp;BF$1,Base!$G:$G,"&lt;"&amp;BF$2,Base!$J:$J,Scorecard!$A6,Base!$T:$T,"COMPLETED")/COUNTIFS(Base!$E:$E,"&gt;"&amp;BF$1,Base!$E:$E,"&lt;"&amp;BF$2,Base!$J:$J,Scorecard!$A6),"0")</f>
        <v>0</v>
      </c>
      <c r="BG6" s="22">
        <f>IFERROR(AVERAGEIF(AU6:BF6,"&gt;0",AU6:BF6),"-")</f>
        <v>0.70018939393939394</v>
      </c>
      <c r="BH6" s="16">
        <f>IF(BG6="-",0,IF(BG6&lt;Goals!$Q$6,Goals!$R$7,IF(BG6&lt;Goals!$Q$5,Goals!$R$6,IF(BG6&lt;Goals!$Q$4,Goals!$R$5,IF(BG6&lt;Goals!$Q$3,Goals!$R$4,IF(BG6&lt;Goals!$Q$2,Goals!$R$3,Goals!$R$2))))))</f>
        <v>0.5</v>
      </c>
      <c r="BI6" s="26">
        <f>COUNTIFS(Strikes!$A:$A,Scorecard!$A6,Strikes!$C:$C,"&gt;"&amp;Scorecard!BI$1,Strikes!$C:$C,"&lt;"&amp;Scorecard!BI$2)</f>
        <v>0</v>
      </c>
      <c r="BJ6" s="26">
        <f>COUNTIFS(Strikes!$A:$A,Scorecard!$A6,Strikes!$C:$C,"&gt;"&amp;Scorecard!BJ$1,Strikes!$C:$C,"&lt;"&amp;Scorecard!BJ$2)</f>
        <v>0</v>
      </c>
      <c r="BK6" s="26">
        <f>COUNTIFS(Strikes!$A:$A,Scorecard!$A6,Strikes!$C:$C,"&gt;"&amp;Scorecard!BK$1,Strikes!$C:$C,"&lt;"&amp;Scorecard!BK$2)</f>
        <v>0</v>
      </c>
      <c r="BL6" s="26">
        <f>COUNTIFS(Strikes!$A:$A,Scorecard!$A6,Strikes!$C:$C,"&gt;"&amp;Scorecard!BL$1,Strikes!$C:$C,"&lt;"&amp;Scorecard!BL$2)</f>
        <v>0</v>
      </c>
      <c r="BM6" s="26">
        <f>COUNTIFS(Strikes!$A:$A,Scorecard!$A6,Strikes!$C:$C,"&gt;"&amp;Scorecard!BM$1,Strikes!$C:$C,"&lt;"&amp;Scorecard!BM$2)</f>
        <v>0</v>
      </c>
      <c r="BN6" s="26">
        <f>COUNTIFS(Strikes!$A:$A,Scorecard!$A6,Strikes!$C:$C,"&gt;"&amp;Scorecard!BN$1,Strikes!$C:$C,"&lt;"&amp;Scorecard!BN$2)</f>
        <v>0</v>
      </c>
      <c r="BO6" s="26">
        <f>COUNTIFS(Strikes!$A:$A,Scorecard!$A6,Strikes!$C:$C,"&gt;"&amp;Scorecard!BO$1,Strikes!$C:$C,"&lt;"&amp;Scorecard!BO$2)</f>
        <v>0</v>
      </c>
      <c r="BP6" s="26">
        <f>COUNTIFS(Strikes!$A:$A,Scorecard!$A6,Strikes!$C:$C,"&gt;"&amp;Scorecard!BP$1,Strikes!$C:$C,"&lt;"&amp;Scorecard!BP$2)</f>
        <v>0</v>
      </c>
      <c r="BQ6" s="26">
        <f>COUNTIFS(Strikes!$A:$A,Scorecard!$A6,Strikes!$C:$C,"&gt;"&amp;Scorecard!BQ$1,Strikes!$C:$C,"&lt;"&amp;Scorecard!BQ$2)</f>
        <v>0</v>
      </c>
      <c r="BR6" s="26">
        <f>COUNTIFS(Strikes!$A:$A,Scorecard!$A6,Strikes!$C:$C,"&gt;"&amp;Scorecard!BR$1,Strikes!$C:$C,"&lt;"&amp;Scorecard!BR$2)</f>
        <v>0</v>
      </c>
      <c r="BS6" s="26">
        <f>COUNTIFS(Strikes!$A:$A,Scorecard!$A6,Strikes!$C:$C,"&gt;"&amp;Scorecard!BS$1,Strikes!$C:$C,"&lt;"&amp;Scorecard!BS$2)</f>
        <v>0</v>
      </c>
      <c r="BT6" s="26">
        <f>COUNTIFS(Strikes!$A:$A,Scorecard!$A6,Strikes!$C:$C,"&gt;"&amp;Scorecard!BT$1,Strikes!$C:$C,"&lt;"&amp;Scorecard!BT$2)</f>
        <v>0</v>
      </c>
      <c r="BU6" s="41" t="str">
        <f>IFERROR(AVERAGEIF(BI6:BT6,"&gt;0",BI6:BT6),"0")</f>
        <v>0</v>
      </c>
      <c r="BV6" s="16">
        <f>IF(BU6="-",0,IF(BU6=Goals!$H$7,Goals!$I$7,IF(BU6=Goals!$H$6,Goals!$I$6,IF(BU6=Goals!$H$5,Goals!$I$5,IF(BU6=Goals!$H$4,Goals!$I$4,IF(BU6=Goals!$H$3,Goals!$I$3,Goals!$I$2))))))</f>
        <v>1.2</v>
      </c>
      <c r="BW6" s="32">
        <f>IFERROR(COUNTIFS('Survey Q1'!$C:$C,Scorecard!$A6,'Survey Q1'!$F:$F,"1")/O6,"0")</f>
        <v>0.7</v>
      </c>
      <c r="BX6" s="32" t="str">
        <f>IFERROR(COUNTIFS('Survey Q2'!$C:$C,Scorecard!$A6,'Survey Q1'!$F:$F,"1")/P6,"0")</f>
        <v>0</v>
      </c>
      <c r="BY6" s="32" t="str">
        <f>IFERROR(COUNTIFS('Survey Q3'!$C:$C,Scorecard!$A6,'Survey Q1'!$F:$F,"1")/Q6,"0")</f>
        <v>0</v>
      </c>
      <c r="BZ6" s="32" t="str">
        <f>IFERROR(COUNTIFS('Survey Q4'!$C:$C,Scorecard!$A6,'Survey Q1'!$F:$F,"1")/R6,"0")</f>
        <v>0</v>
      </c>
      <c r="CA6" s="32">
        <f t="shared" ref="CA6:CA8" si="2">IFERROR(AVERAGEIF(BW6:BZ6,"&gt;0",BW6:BZ6),"-")</f>
        <v>0.7</v>
      </c>
      <c r="CB6" s="16">
        <f>IF(CA6="-",0,IF(CA6&lt;Goals!$T$6,Goals!$U$7,IF(CA6&lt;Goals!$T$5,Goals!$U$6,IF(CA6&lt;Goals!$T$4,Goals!$U$5,IF(CA6&lt;Goals!$T$3,Goals!$U$4,IF(CA6&lt;Goals!$T$2,Goals!$U$3,Goals!$U$2))))))</f>
        <v>0</v>
      </c>
      <c r="CC6" s="24">
        <f>Scorecard!AF6*Goals!$C$3+Scorecard!AT6*Goals!$D$3+Scorecard!BH6*Goals!$E$3+Scorecard!CB6*Goals!$B$3+BV6*Goals!$F$3</f>
        <v>0.51</v>
      </c>
      <c r="CF6" s="13"/>
      <c r="CG6" s="2"/>
      <c r="CH6" s="20"/>
      <c r="CI6" s="2"/>
      <c r="CJ6" s="10"/>
      <c r="CK6" s="2"/>
      <c r="CL6" s="12"/>
    </row>
    <row r="7" spans="1:93">
      <c r="A7" s="15" t="s">
        <v>37</v>
      </c>
      <c r="B7" s="26">
        <f>COUNTIFS('Sellers Pro'!$F:$F,Scorecard!$A7,'Sellers Pro'!$Q:$Q,"&lt;"&amp;Scorecard!B$2,'Sellers Pro'!$O:$O,"1")</f>
        <v>39</v>
      </c>
      <c r="C7" s="26">
        <f>COUNTIFS('Sellers Pro'!$F:$F,Scorecard!$A7,'Sellers Pro'!$Q:$Q,"&lt;"&amp;Scorecard!C$2,'Sellers Pro'!$O:$O,"1")</f>
        <v>39</v>
      </c>
      <c r="D7" s="26">
        <f>COUNTIFS('Sellers Pro'!$F:$F,Scorecard!$A7,'Sellers Pro'!$Q:$Q,"&lt;"&amp;Scorecard!D$2,'Sellers Pro'!$O:$O,"1")</f>
        <v>39</v>
      </c>
      <c r="E7" s="26">
        <f>COUNTIFS('Sellers Pro'!$F:$F,Scorecard!$A7,'Sellers Pro'!$Q:$Q,"&lt;"&amp;Scorecard!E$2,'Sellers Pro'!$O:$O,"1")</f>
        <v>39</v>
      </c>
      <c r="F7" s="26">
        <f>COUNTIFS('Sellers Pro'!$F:$F,Scorecard!$A7,'Sellers Pro'!$Q:$Q,"&lt;"&amp;Scorecard!F$2,'Sellers Pro'!$O:$O,"1")</f>
        <v>39</v>
      </c>
      <c r="G7" s="26">
        <f>COUNTIFS('Sellers Pro'!$F:$F,Scorecard!$A7,'Sellers Pro'!$Q:$Q,"&lt;"&amp;Scorecard!G$2,'Sellers Pro'!$O:$O,"1")</f>
        <v>39</v>
      </c>
      <c r="H7" s="26">
        <f>COUNTIFS('Sellers Pro'!$F:$F,Scorecard!$A7,'Sellers Pro'!$Q:$Q,"&lt;"&amp;Scorecard!H$2,'Sellers Pro'!$O:$O,"1")</f>
        <v>39</v>
      </c>
      <c r="I7" s="26">
        <f>COUNTIFS('Sellers Pro'!$F:$F,Scorecard!$A7,'Sellers Pro'!$Q:$Q,"&lt;"&amp;Scorecard!I$2,'Sellers Pro'!$O:$O,"1")</f>
        <v>39</v>
      </c>
      <c r="J7" s="26">
        <f>COUNTIFS('Sellers Pro'!$F:$F,Scorecard!$A7,'Sellers Pro'!$Q:$Q,"&lt;"&amp;Scorecard!J$2,'Sellers Pro'!$O:$O,"1")</f>
        <v>39</v>
      </c>
      <c r="K7" s="26">
        <f>COUNTIFS('Sellers Pro'!$F:$F,Scorecard!$A7,'Sellers Pro'!$Q:$Q,"&lt;"&amp;Scorecard!K$2,'Sellers Pro'!$O:$O,"1")</f>
        <v>39</v>
      </c>
      <c r="L7" s="26">
        <f>COUNTIFS('Sellers Pro'!$F:$F,Scorecard!$A7,'Sellers Pro'!$Q:$Q,"&lt;"&amp;Scorecard!L$2,'Sellers Pro'!$O:$O,"1")</f>
        <v>39</v>
      </c>
      <c r="M7" s="26">
        <f>COUNTIFS('Sellers Pro'!$F:$F,Scorecard!$A7,'Sellers Pro'!$Q:$Q,"&lt;"&amp;Scorecard!M$2,'Sellers Pro'!$O:$O,"1")</f>
        <v>39</v>
      </c>
      <c r="N7" s="41">
        <f t="shared" si="0"/>
        <v>39</v>
      </c>
      <c r="O7" s="26">
        <f>COUNTIFS('Survey Q1'!$G:$G,"="&amp;1,'Survey Q1'!$C:$C,Scorecard!$A7)</f>
        <v>19</v>
      </c>
      <c r="P7" s="26">
        <f>COUNTIFS('Survey Q2'!$G:$G,"="&amp;1,'Survey Q1'!$C:$C,Scorecard!$A7)</f>
        <v>0</v>
      </c>
      <c r="Q7" s="26">
        <f>COUNTIFS('Survey Q3'!$G:$G,"="&amp;1,'Survey Q1'!$C:$C,Scorecard!$A7)</f>
        <v>0</v>
      </c>
      <c r="R7" s="26">
        <f>COUNTIFS('Survey Q4'!$G:$G,"="&amp;1,'Survey Q1'!$C:$C,Scorecard!$A7)</f>
        <v>0</v>
      </c>
      <c r="S7" s="22">
        <f>IFERROR(COUNTIFS(Base!$J:$J,Scorecard!$A7,Base!$E:$E,"&gt;"&amp;S$1,Base!$E:$E,"&lt;"&amp;S$2,Base!$AH:$AH,"1",Base!$A:$A,"2026")/$N7,"0")</f>
        <v>0.64102564102564108</v>
      </c>
      <c r="T7" s="22">
        <f>IFERROR(COUNTIFS(Base!$J:$J,Scorecard!$A7,Base!$E:$E,"&gt;"&amp;T$1,Base!$E:$E,"&lt;"&amp;T$2,Base!$AH:$AH,"1",Base!$A:$A,"2026")/$N7,"0")</f>
        <v>0.53846153846153844</v>
      </c>
      <c r="U7" s="22">
        <f>IFERROR(COUNTIFS(Base!$J:$J,Scorecard!$A7,Base!$E:$E,"&gt;"&amp;U$1,Base!$E:$E,"&lt;"&amp;U$2,Base!$AH:$AH,"1",Base!$A:$A,"2026")/$N7,"0")</f>
        <v>0.66666666666666663</v>
      </c>
      <c r="V7" s="22">
        <f>IFERROR(COUNTIFS(Base!$J:$J,Scorecard!$A7,Base!$E:$E,"&gt;"&amp;V$1,Base!$E:$E,"&lt;"&amp;V$2,Base!$AH:$AH,"1",Base!$A:$A,"2026")/$N7,"0")</f>
        <v>0</v>
      </c>
      <c r="W7" s="22">
        <f>IFERROR(COUNTIFS(Base!$J:$J,Scorecard!$A7,Base!$E:$E,"&gt;"&amp;W$1,Base!$E:$E,"&lt;"&amp;W$2,Base!$AH:$AH,"1",Base!$A:$A,"2026")/$N7,"0")</f>
        <v>0</v>
      </c>
      <c r="X7" s="22">
        <f>IFERROR(COUNTIFS(Base!$J:$J,Scorecard!$A7,Base!$E:$E,"&gt;"&amp;X$1,Base!$E:$E,"&lt;"&amp;X$2,Base!$AH:$AH,"1",Base!$A:$A,"2026")/$N7,"0")</f>
        <v>0</v>
      </c>
      <c r="Y7" s="22">
        <f>IFERROR(COUNTIFS(Base!$J:$J,Scorecard!$A7,Base!$E:$E,"&gt;"&amp;Y$1,Base!$E:$E,"&lt;"&amp;Y$2,Base!$AH:$AH,"1",Base!$A:$A,"2026")/$N7,"0")</f>
        <v>0</v>
      </c>
      <c r="Z7" s="22">
        <f>IFERROR(COUNTIFS(Base!$J:$J,Scorecard!$A7,Base!$E:$E,"&gt;"&amp;Z$1,Base!$E:$E,"&lt;"&amp;Z$2,Base!$AH:$AH,"1",Base!$A:$A,"2026")/$N7,"0")</f>
        <v>0</v>
      </c>
      <c r="AA7" s="22">
        <f>IFERROR(COUNTIFS(Base!$J:$J,Scorecard!$A7,Base!$E:$E,"&gt;"&amp;AA$1,Base!$E:$E,"&lt;"&amp;AA$2,Base!$AH:$AH,"1",Base!$A:$A,"2026")/$N7,"0")</f>
        <v>0</v>
      </c>
      <c r="AB7" s="22">
        <f>IFERROR(COUNTIFS(Base!$J:$J,Scorecard!$A7,Base!$E:$E,"&gt;"&amp;AB$1,Base!$E:$E,"&lt;"&amp;AB$2,Base!$AH:$AH,"1",Base!$A:$A,"2026")/$N7,"0")</f>
        <v>0</v>
      </c>
      <c r="AC7" s="22">
        <f>IFERROR(COUNTIFS(Base!$J:$J,Scorecard!$A7,Base!$E:$E,"&gt;"&amp;AC$1,Base!$E:$E,"&lt;"&amp;AC$2,Base!$AH:$AH,"1",Base!$A:$A,"2026")/$N7,"0")</f>
        <v>0</v>
      </c>
      <c r="AD7" s="22">
        <f>IFERROR(COUNTIFS(Base!$J:$J,Scorecard!$A7,Base!$E:$E,"&gt;"&amp;AD$1,Base!$E:$E,"&lt;"&amp;AD$2,Base!$AH:$AH,"1",Base!$A:$A,"2026")/$N7,"0")</f>
        <v>0</v>
      </c>
      <c r="AE7" s="22">
        <f t="shared" si="1"/>
        <v>0.61538461538461542</v>
      </c>
      <c r="AF7" s="16">
        <f>IF(AE7="-",0,IF(AE7&lt;Goals!$K$6,Goals!$L$7,IF(AE7&lt;Goals!$K$5,Goals!$L$6,IF(AE7&lt;Goals!$K$4,Goals!$L$5,IF(AE7&lt;Goals!$K$3,Goals!$L$4,IF(AE7&lt;Goals!$K$2,Goals!$L$3,Goals!$L$2))))))</f>
        <v>0.5</v>
      </c>
      <c r="AG7" s="23">
        <f>IFERROR(AVERAGEIFS(Base!$V:$V,Base!$J:$J,Scorecard!$A7,Base!$E:$E,"&gt;"&amp;AG$1,Base!$G:$G,"&lt;"&amp;AG$2,Base!$V:$V,"&lt;"&amp;$A$2,Base!$V:$V,"&gt;"&amp;0,Base!$A:$A,"2026"),"0")</f>
        <v>3.6944444444444446</v>
      </c>
      <c r="AH7" s="23">
        <f>IFERROR(AVERAGEIFS(Base!$V:$V,Base!$J:$J,Scorecard!$A7,Base!$E:$E,"&gt;"&amp;AH$1,Base!$G:$G,"&lt;"&amp;AH$2,Base!$V:$V,"&lt;"&amp;$A$2,Base!$V:$V,"&gt;"&amp;0,Base!$A:$A,"2026"),"0")</f>
        <v>3.2142857142857144</v>
      </c>
      <c r="AI7" s="23">
        <f>IFERROR(AVERAGEIFS(Base!$V:$V,Base!$J:$J,Scorecard!$A7,Base!$E:$E,"&gt;"&amp;AI$1,Base!$G:$G,"&lt;"&amp;AI$2,Base!$V:$V,"&lt;"&amp;$A$2,Base!$V:$V,"&gt;"&amp;0,Base!$A:$A,"2026"),"0")</f>
        <v>3.0750000000000002</v>
      </c>
      <c r="AJ7" s="23" t="str">
        <f>IFERROR(AVERAGEIFS(Base!$V:$V,Base!$J:$J,Scorecard!$A7,Base!$E:$E,"&gt;"&amp;AJ$1,Base!$G:$G,"&lt;"&amp;AJ$2,Base!$V:$V,"&lt;"&amp;$A$2,Base!$V:$V,"&gt;"&amp;0,Base!$A:$A,"2026"),"0")</f>
        <v>0</v>
      </c>
      <c r="AK7" s="23" t="str">
        <f>IFERROR(AVERAGEIFS(Base!$V:$V,Base!$J:$J,Scorecard!$A7,Base!$E:$E,"&gt;"&amp;AK$1,Base!$G:$G,"&lt;"&amp;AK$2,Base!$V:$V,"&lt;"&amp;$A$2,Base!$V:$V,"&gt;"&amp;0,Base!$A:$A,"2026"),"0")</f>
        <v>0</v>
      </c>
      <c r="AL7" s="23" t="str">
        <f>IFERROR(AVERAGEIFS(Base!$V:$V,Base!$J:$J,Scorecard!$A7,Base!$E:$E,"&gt;"&amp;AL$1,Base!$G:$G,"&lt;"&amp;AL$2,Base!$V:$V,"&lt;"&amp;$A$2,Base!$V:$V,"&gt;"&amp;0,Base!$A:$A,"2026"),"0")</f>
        <v>0</v>
      </c>
      <c r="AM7" s="23" t="str">
        <f>IFERROR(AVERAGEIFS(Base!$V:$V,Base!$J:$J,Scorecard!$A7,Base!$E:$E,"&gt;"&amp;AM$1,Base!$G:$G,"&lt;"&amp;AM$2,Base!$V:$V,"&lt;"&amp;$A$2,Base!$V:$V,"&gt;"&amp;0,Base!$A:$A,"2026"),"0")</f>
        <v>0</v>
      </c>
      <c r="AN7" s="23" t="str">
        <f>IFERROR(AVERAGEIFS(Base!$V:$V,Base!$J:$J,Scorecard!$A7,Base!$E:$E,"&gt;"&amp;AN$1,Base!$G:$G,"&lt;"&amp;AN$2,Base!$V:$V,"&lt;"&amp;$A$2,Base!$V:$V,"&gt;"&amp;0,Base!$A:$A,"2026"),"0")</f>
        <v>0</v>
      </c>
      <c r="AO7" s="23" t="str">
        <f>IFERROR(AVERAGEIFS(Base!$V:$V,Base!$J:$J,Scorecard!$A7,Base!$E:$E,"&gt;"&amp;AO$1,Base!$G:$G,"&lt;"&amp;AO$2,Base!$V:$V,"&lt;"&amp;$A$2,Base!$V:$V,"&gt;"&amp;0,Base!$A:$A,"2026"),"0")</f>
        <v>0</v>
      </c>
      <c r="AP7" s="23" t="str">
        <f>IFERROR(AVERAGEIFS(Base!$V:$V,Base!$J:$J,Scorecard!$A7,Base!$E:$E,"&gt;"&amp;AP$1,Base!$G:$G,"&lt;"&amp;AP$2,Base!$V:$V,"&lt;"&amp;$A$2,Base!$V:$V,"&gt;"&amp;0,Base!$A:$A,"2026"),"0")</f>
        <v>0</v>
      </c>
      <c r="AQ7" s="23" t="str">
        <f>IFERROR(AVERAGEIFS(Base!$V:$V,Base!$J:$J,Scorecard!$A7,Base!$E:$E,"&gt;"&amp;AQ$1,Base!$G:$G,"&lt;"&amp;AQ$2,Base!$V:$V,"&lt;"&amp;$A$2,Base!$V:$V,"&gt;"&amp;0,Base!$A:$A,"2026"),"0")</f>
        <v>0</v>
      </c>
      <c r="AR7" s="23" t="str">
        <f>IFERROR(AVERAGEIFS(Base!$V:$V,Base!$J:$J,Scorecard!$A7,Base!$E:$E,"&gt;"&amp;AR$1,Base!$G:$G,"&lt;"&amp;AR$2,Base!$V:$V,"&lt;"&amp;$A$2,Base!$V:$V,"&gt;"&amp;0,Base!$A:$A,"2026"),"0")</f>
        <v>0</v>
      </c>
      <c r="AS7" s="40">
        <f t="shared" ref="AS7:AS8" si="3">IFERROR(AVERAGEIF(AG7:AR7,"&gt;0",AG7:AR7),"-")</f>
        <v>3.3279100529100529</v>
      </c>
      <c r="AT7" s="16">
        <f>IF(AS7="-",0,IF(AS7&gt;Goals!$N$6,Goals!$O$7,IF(AS7&gt;Goals!$N$5,Goals!$O$6,IF(AS7&gt;Goals!$N$4,Goals!$O$5,IF(AS7&gt;Goals!$N$3,Goals!$O$4,IF(AS7&gt;Goals!$N$2,Goals!$O$3,Goals!$O$2))))))</f>
        <v>0.8</v>
      </c>
      <c r="AU7" s="39">
        <f>IFERROR(COUNTIFS(Base!$E:$E,"&gt;"&amp;AU$1,Base!$G:$G,"&lt;"&amp;AU$2,Base!$J:$J,Scorecard!$A7,Base!$T:$T,"COMPLETED")/COUNTIFS(Base!$E:$E,"&gt;"&amp;AU$1,Base!$E:$E,"&lt;"&amp;AU$2,Base!$J:$J,Scorecard!$A7),"0")</f>
        <v>0.75</v>
      </c>
      <c r="AV7" s="39">
        <f>IFERROR(COUNTIFS(Base!$E:$E,"&gt;"&amp;AV$1,Base!$G:$G,"&lt;"&amp;AV$2,Base!$J:$J,Scorecard!$A7,Base!$T:$T,"COMPLETED")/COUNTIFS(Base!$E:$E,"&gt;"&amp;AV$1,Base!$E:$E,"&lt;"&amp;AV$2,Base!$J:$J,Scorecard!$A7),"0")</f>
        <v>0.72580645161290325</v>
      </c>
      <c r="AW7" s="39">
        <f>IFERROR(COUNTIFS(Base!$E:$E,"&gt;"&amp;AW$1,Base!$G:$G,"&lt;"&amp;AW$2,Base!$J:$J,Scorecard!$A7,Base!$T:$T,"COMPLETED")/COUNTIFS(Base!$E:$E,"&gt;"&amp;AW$1,Base!$E:$E,"&lt;"&amp;AW$2,Base!$J:$J,Scorecard!$A7),"0")</f>
        <v>0.65909090909090906</v>
      </c>
      <c r="AX7" s="39" t="str">
        <f>IFERROR(COUNTIFS(Base!$E:$E,"&gt;"&amp;AX$1,Base!$G:$G,"&lt;"&amp;AX$2,Base!$J:$J,Scorecard!$A7,Base!$T:$T,"COMPLETED")/COUNTIFS(Base!$E:$E,"&gt;"&amp;AX$1,Base!$E:$E,"&lt;"&amp;AX$2,Base!$J:$J,Scorecard!$A7),"0")</f>
        <v>0</v>
      </c>
      <c r="AY7" s="39" t="str">
        <f>IFERROR(COUNTIFS(Base!$E:$E,"&gt;"&amp;AY$1,Base!$G:$G,"&lt;"&amp;AY$2,Base!$J:$J,Scorecard!$A7,Base!$T:$T,"COMPLETED")/COUNTIFS(Base!$E:$E,"&gt;"&amp;AY$1,Base!$E:$E,"&lt;"&amp;AY$2,Base!$J:$J,Scorecard!$A7),"0")</f>
        <v>0</v>
      </c>
      <c r="AZ7" s="39" t="str">
        <f>IFERROR(COUNTIFS(Base!$E:$E,"&gt;"&amp;AZ$1,Base!$G:$G,"&lt;"&amp;AZ$2,Base!$J:$J,Scorecard!$A7,Base!$T:$T,"COMPLETED")/COUNTIFS(Base!$E:$E,"&gt;"&amp;AZ$1,Base!$E:$E,"&lt;"&amp;AZ$2,Base!$J:$J,Scorecard!$A7),"0")</f>
        <v>0</v>
      </c>
      <c r="BA7" s="39" t="str">
        <f>IFERROR(COUNTIFS(Base!$E:$E,"&gt;"&amp;BA$1,Base!$G:$G,"&lt;"&amp;BA$2,Base!$J:$J,Scorecard!$A7,Base!$T:$T,"COMPLETED")/COUNTIFS(Base!$E:$E,"&gt;"&amp;BA$1,Base!$E:$E,"&lt;"&amp;BA$2,Base!$J:$J,Scorecard!$A7),"0")</f>
        <v>0</v>
      </c>
      <c r="BB7" s="39" t="str">
        <f>IFERROR(COUNTIFS(Base!$E:$E,"&gt;"&amp;BB$1,Base!$G:$G,"&lt;"&amp;BB$2,Base!$J:$J,Scorecard!$A7,Base!$T:$T,"COMPLETED")/COUNTIFS(Base!$E:$E,"&gt;"&amp;BB$1,Base!$E:$E,"&lt;"&amp;BB$2,Base!$J:$J,Scorecard!$A7),"0")</f>
        <v>0</v>
      </c>
      <c r="BC7" s="39" t="str">
        <f>IFERROR(COUNTIFS(Base!$E:$E,"&gt;"&amp;BC$1,Base!$G:$G,"&lt;"&amp;BC$2,Base!$J:$J,Scorecard!$A7,Base!$T:$T,"COMPLETED")/COUNTIFS(Base!$E:$E,"&gt;"&amp;BC$1,Base!$E:$E,"&lt;"&amp;BC$2,Base!$J:$J,Scorecard!$A7),"0")</f>
        <v>0</v>
      </c>
      <c r="BD7" s="39" t="str">
        <f>IFERROR(COUNTIFS(Base!$E:$E,"&gt;"&amp;BD$1,Base!$G:$G,"&lt;"&amp;BD$2,Base!$J:$J,Scorecard!$A7,Base!$T:$T,"COMPLETED")/COUNTIFS(Base!$E:$E,"&gt;"&amp;BD$1,Base!$E:$E,"&lt;"&amp;BD$2,Base!$J:$J,Scorecard!$A7),"0")</f>
        <v>0</v>
      </c>
      <c r="BE7" s="39" t="str">
        <f>IFERROR(COUNTIFS(Base!$E:$E,"&gt;"&amp;BE$1,Base!$G:$G,"&lt;"&amp;BE$2,Base!$J:$J,Scorecard!$A7,Base!$T:$T,"COMPLETED")/COUNTIFS(Base!$E:$E,"&gt;"&amp;BE$1,Base!$E:$E,"&lt;"&amp;BE$2,Base!$J:$J,Scorecard!$A7),"0")</f>
        <v>0</v>
      </c>
      <c r="BF7" s="39" t="str">
        <f>IFERROR(COUNTIFS(Base!$E:$E,"&gt;"&amp;BF$1,Base!$G:$G,"&lt;"&amp;BF$2,Base!$J:$J,Scorecard!$A7,Base!$T:$T,"COMPLETED")/COUNTIFS(Base!$E:$E,"&gt;"&amp;BF$1,Base!$E:$E,"&lt;"&amp;BF$2,Base!$J:$J,Scorecard!$A7),"0")</f>
        <v>0</v>
      </c>
      <c r="BG7" s="22">
        <f t="shared" ref="BG7:BG8" si="4">IFERROR(AVERAGEIF(AU7:BF7,"&gt;0",AU7:BF7),"-")</f>
        <v>0.71163245356793736</v>
      </c>
      <c r="BH7" s="16">
        <f>IF(BG7="-",0,IF(BG7&lt;Goals!$Q$6,Goals!$R$7,IF(BG7&lt;Goals!$Q$5,Goals!$R$6,IF(BG7&lt;Goals!$Q$4,Goals!$R$5,IF(BG7&lt;Goals!$Q$3,Goals!$R$4,IF(BG7&lt;Goals!$Q$2,Goals!$R$3,Goals!$R$2))))))</f>
        <v>0.5</v>
      </c>
      <c r="BI7" s="26">
        <f>COUNTIFS(Strikes!$A:$A,Scorecard!$A7,Strikes!$C:$C,"&gt;"&amp;Scorecard!BI$1,Strikes!$C:$C,"&lt;"&amp;Scorecard!BI$2)</f>
        <v>0</v>
      </c>
      <c r="BJ7" s="26">
        <f>COUNTIFS(Strikes!$A:$A,Scorecard!$A7,Strikes!$C:$C,"&gt;"&amp;Scorecard!BJ$1,Strikes!$C:$C,"&lt;"&amp;Scorecard!BJ$2)</f>
        <v>1</v>
      </c>
      <c r="BK7" s="26">
        <f>COUNTIFS(Strikes!$A:$A,Scorecard!$A7,Strikes!$C:$C,"&gt;"&amp;Scorecard!BK$1,Strikes!$C:$C,"&lt;"&amp;Scorecard!BK$2)</f>
        <v>0</v>
      </c>
      <c r="BL7" s="26">
        <f>COUNTIFS(Strikes!$A:$A,Scorecard!$A7,Strikes!$C:$C,"&gt;"&amp;Scorecard!BL$1,Strikes!$C:$C,"&lt;"&amp;Scorecard!BL$2)</f>
        <v>0</v>
      </c>
      <c r="BM7" s="26">
        <f>COUNTIFS(Strikes!$A:$A,Scorecard!$A7,Strikes!$C:$C,"&gt;"&amp;Scorecard!BM$1,Strikes!$C:$C,"&lt;"&amp;Scorecard!BM$2)</f>
        <v>0</v>
      </c>
      <c r="BN7" s="26">
        <f>COUNTIFS(Strikes!$A:$A,Scorecard!$A7,Strikes!$C:$C,"&gt;"&amp;Scorecard!BN$1,Strikes!$C:$C,"&lt;"&amp;Scorecard!BN$2)</f>
        <v>0</v>
      </c>
      <c r="BO7" s="26">
        <f>COUNTIFS(Strikes!$A:$A,Scorecard!$A7,Strikes!$C:$C,"&gt;"&amp;Scorecard!BO$1,Strikes!$C:$C,"&lt;"&amp;Scorecard!BO$2)</f>
        <v>0</v>
      </c>
      <c r="BP7" s="26">
        <f>COUNTIFS(Strikes!$A:$A,Scorecard!$A7,Strikes!$C:$C,"&gt;"&amp;Scorecard!BP$1,Strikes!$C:$C,"&lt;"&amp;Scorecard!BP$2)</f>
        <v>0</v>
      </c>
      <c r="BQ7" s="26">
        <f>COUNTIFS(Strikes!$A:$A,Scorecard!$A7,Strikes!$C:$C,"&gt;"&amp;Scorecard!BQ$1,Strikes!$C:$C,"&lt;"&amp;Scorecard!BQ$2)</f>
        <v>0</v>
      </c>
      <c r="BR7" s="26">
        <f>COUNTIFS(Strikes!$A:$A,Scorecard!$A7,Strikes!$C:$C,"&gt;"&amp;Scorecard!BR$1,Strikes!$C:$C,"&lt;"&amp;Scorecard!BR$2)</f>
        <v>0</v>
      </c>
      <c r="BS7" s="26">
        <f>COUNTIFS(Strikes!$A:$A,Scorecard!$A7,Strikes!$C:$C,"&gt;"&amp;Scorecard!BS$1,Strikes!$C:$C,"&lt;"&amp;Scorecard!BS$2)</f>
        <v>0</v>
      </c>
      <c r="BT7" s="26">
        <f>COUNTIFS(Strikes!$A:$A,Scorecard!$A7,Strikes!$C:$C,"&gt;"&amp;Scorecard!BT$1,Strikes!$C:$C,"&lt;"&amp;Scorecard!BT$2)</f>
        <v>0</v>
      </c>
      <c r="BU7" s="41">
        <f t="shared" ref="BU7:BU8" si="5">IFERROR(AVERAGEIF(BI7:BT7,"&gt;0",BI7:BT7),"0")</f>
        <v>1</v>
      </c>
      <c r="BV7" s="16">
        <f>IF(BU7="-",0,IF(BU7=Goals!$H$7,Goals!$I$7,IF(BU7=Goals!$H$6,Goals!$I$6,IF(BU7=Goals!$H$5,Goals!$I$5,IF(BU7=Goals!$H$4,Goals!$I$4,IF(BU7=Goals!$H$3,Goals!$I$3,Goals!$I$2))))))</f>
        <v>1.2</v>
      </c>
      <c r="BW7" s="32">
        <f>IFERROR(COUNTIFS('Survey Q1'!$C:$C,Scorecard!$A7,'Survey Q1'!$F:$F,"1")/O7,"0")</f>
        <v>0.89473684210526316</v>
      </c>
      <c r="BX7" s="32" t="str">
        <f>IFERROR(COUNTIFS('Survey Q2'!$C:$C,Scorecard!$A7,'Survey Q1'!$F:$F,"1")/P7,"0")</f>
        <v>0</v>
      </c>
      <c r="BY7" s="32" t="str">
        <f>IFERROR(COUNTIFS('Survey Q3'!$C:$C,Scorecard!$A7,'Survey Q1'!$F:$F,"1")/Q7,"0")</f>
        <v>0</v>
      </c>
      <c r="BZ7" s="32" t="str">
        <f>IFERROR(COUNTIFS('Survey Q4'!$C:$C,Scorecard!$A7,'Survey Q1'!$F:$F,"1")/R7,"0")</f>
        <v>0</v>
      </c>
      <c r="CA7" s="32">
        <f t="shared" si="2"/>
        <v>0.89473684210526316</v>
      </c>
      <c r="CB7" s="16">
        <f>IF(CA7="-",0,IF(CA7&lt;Goals!$T$6,Goals!$U$7,IF(CA7&lt;Goals!$T$5,Goals!$U$6,IF(CA7&lt;Goals!$T$4,Goals!$U$5,IF(CA7&lt;Goals!$T$3,Goals!$U$4,IF(CA7&lt;Goals!$T$2,Goals!$U$3,Goals!$U$2))))))</f>
        <v>0.8</v>
      </c>
      <c r="CC7" s="24">
        <f>Scorecard!AF7*Goals!$C$3+Scorecard!AT7*Goals!$D$3+Scorecard!BH7*Goals!$E$3+Scorecard!CB7*Goals!$B$3+BV7*Goals!$F$3</f>
        <v>0.67000000000000015</v>
      </c>
      <c r="CF7" s="13"/>
      <c r="CG7" s="2"/>
      <c r="CH7" s="20"/>
      <c r="CI7" s="2"/>
      <c r="CJ7" s="10"/>
      <c r="CK7" s="2"/>
      <c r="CL7" s="12"/>
    </row>
    <row r="8" spans="1:93">
      <c r="A8" s="25" t="s">
        <v>38</v>
      </c>
      <c r="B8" s="26">
        <f>COUNTIFS('Sellers Pro'!$F:$F,Scorecard!$A8,'Sellers Pro'!$Q:$Q,"&lt;"&amp;Scorecard!B$2,'Sellers Pro'!$O:$O,"1")</f>
        <v>33</v>
      </c>
      <c r="C8" s="26">
        <f>COUNTIFS('Sellers Pro'!$F:$F,Scorecard!$A8,'Sellers Pro'!$Q:$Q,"&lt;"&amp;Scorecard!C$2,'Sellers Pro'!$O:$O,"1")</f>
        <v>33</v>
      </c>
      <c r="D8" s="26">
        <f>COUNTIFS('Sellers Pro'!$F:$F,Scorecard!$A8,'Sellers Pro'!$Q:$Q,"&lt;"&amp;Scorecard!D$2,'Sellers Pro'!$O:$O,"1")</f>
        <v>33</v>
      </c>
      <c r="E8" s="26">
        <f>COUNTIFS('Sellers Pro'!$F:$F,Scorecard!$A8,'Sellers Pro'!$Q:$Q,"&lt;"&amp;Scorecard!E$2,'Sellers Pro'!$O:$O,"1")</f>
        <v>33</v>
      </c>
      <c r="F8" s="26">
        <f>COUNTIFS('Sellers Pro'!$F:$F,Scorecard!$A8,'Sellers Pro'!$Q:$Q,"&lt;"&amp;Scorecard!F$2,'Sellers Pro'!$O:$O,"1")</f>
        <v>33</v>
      </c>
      <c r="G8" s="26">
        <f>COUNTIFS('Sellers Pro'!$F:$F,Scorecard!$A8,'Sellers Pro'!$Q:$Q,"&lt;"&amp;Scorecard!G$2,'Sellers Pro'!$O:$O,"1")</f>
        <v>33</v>
      </c>
      <c r="H8" s="26">
        <f>COUNTIFS('Sellers Pro'!$F:$F,Scorecard!$A8,'Sellers Pro'!$Q:$Q,"&lt;"&amp;Scorecard!H$2,'Sellers Pro'!$O:$O,"1")</f>
        <v>33</v>
      </c>
      <c r="I8" s="26">
        <f>COUNTIFS('Sellers Pro'!$F:$F,Scorecard!$A8,'Sellers Pro'!$Q:$Q,"&lt;"&amp;Scorecard!I$2,'Sellers Pro'!$O:$O,"1")</f>
        <v>33</v>
      </c>
      <c r="J8" s="26">
        <f>COUNTIFS('Sellers Pro'!$F:$F,Scorecard!$A8,'Sellers Pro'!$Q:$Q,"&lt;"&amp;Scorecard!J$2,'Sellers Pro'!$O:$O,"1")</f>
        <v>33</v>
      </c>
      <c r="K8" s="26">
        <f>COUNTIFS('Sellers Pro'!$F:$F,Scorecard!$A8,'Sellers Pro'!$Q:$Q,"&lt;"&amp;Scorecard!K$2,'Sellers Pro'!$O:$O,"1")</f>
        <v>33</v>
      </c>
      <c r="L8" s="26">
        <f>COUNTIFS('Sellers Pro'!$F:$F,Scorecard!$A8,'Sellers Pro'!$Q:$Q,"&lt;"&amp;Scorecard!L$2,'Sellers Pro'!$O:$O,"1")</f>
        <v>33</v>
      </c>
      <c r="M8" s="26">
        <f>COUNTIFS('Sellers Pro'!$F:$F,Scorecard!$A8,'Sellers Pro'!$Q:$Q,"&lt;"&amp;Scorecard!M$2,'Sellers Pro'!$O:$O,"1")</f>
        <v>33</v>
      </c>
      <c r="N8" s="41">
        <f t="shared" si="0"/>
        <v>33</v>
      </c>
      <c r="O8" s="26">
        <f>COUNTIFS('Survey Q1'!$G:$G,"="&amp;1,'Survey Q1'!$C:$C,Scorecard!$A8)</f>
        <v>13</v>
      </c>
      <c r="P8" s="26">
        <f>COUNTIFS('Survey Q2'!$G:$G,"="&amp;1,'Survey Q1'!$C:$C,Scorecard!$A8)</f>
        <v>0</v>
      </c>
      <c r="Q8" s="26">
        <f>COUNTIFS('Survey Q3'!$G:$G,"="&amp;1,'Survey Q1'!$C:$C,Scorecard!$A8)</f>
        <v>0</v>
      </c>
      <c r="R8" s="26">
        <f>COUNTIFS('Survey Q4'!$G:$G,"="&amp;1,'Survey Q1'!$C:$C,Scorecard!$A8)</f>
        <v>0</v>
      </c>
      <c r="S8" s="22">
        <f>IFERROR(COUNTIFS(Base!$J:$J,Scorecard!$A8,Base!$E:$E,"&gt;"&amp;S$1,Base!$E:$E,"&lt;"&amp;S$2,Base!$AH:$AH,"1",Base!$A:$A,"2026")/$N8,"0")</f>
        <v>0.5757575757575758</v>
      </c>
      <c r="T8" s="22">
        <f>IFERROR(COUNTIFS(Base!$J:$J,Scorecard!$A8,Base!$E:$E,"&gt;"&amp;T$1,Base!$E:$E,"&lt;"&amp;T$2,Base!$AH:$AH,"1",Base!$A:$A,"2026")/$N8,"0")</f>
        <v>0.78787878787878785</v>
      </c>
      <c r="U8" s="22">
        <f>IFERROR(COUNTIFS(Base!$J:$J,Scorecard!$A8,Base!$E:$E,"&gt;"&amp;U$1,Base!$E:$E,"&lt;"&amp;U$2,Base!$AH:$AH,"1",Base!$A:$A,"2026")/$N8,"0")</f>
        <v>0.5757575757575758</v>
      </c>
      <c r="V8" s="22">
        <f>IFERROR(COUNTIFS(Base!$J:$J,Scorecard!$A8,Base!$E:$E,"&gt;"&amp;V$1,Base!$E:$E,"&lt;"&amp;V$2,Base!$AH:$AH,"1",Base!$A:$A,"2026")/$N8,"0")</f>
        <v>0</v>
      </c>
      <c r="W8" s="22">
        <f>IFERROR(COUNTIFS(Base!$J:$J,Scorecard!$A8,Base!$E:$E,"&gt;"&amp;W$1,Base!$E:$E,"&lt;"&amp;W$2,Base!$AH:$AH,"1",Base!$A:$A,"2026")/$N8,"0")</f>
        <v>0</v>
      </c>
      <c r="X8" s="22">
        <f>IFERROR(COUNTIFS(Base!$J:$J,Scorecard!$A8,Base!$E:$E,"&gt;"&amp;X$1,Base!$E:$E,"&lt;"&amp;X$2,Base!$AH:$AH,"1",Base!$A:$A,"2026")/$N8,"0")</f>
        <v>0</v>
      </c>
      <c r="Y8" s="22">
        <f>IFERROR(COUNTIFS(Base!$J:$J,Scorecard!$A8,Base!$E:$E,"&gt;"&amp;Y$1,Base!$E:$E,"&lt;"&amp;Y$2,Base!$AH:$AH,"1",Base!$A:$A,"2026")/$N8,"0")</f>
        <v>0</v>
      </c>
      <c r="Z8" s="22">
        <f>IFERROR(COUNTIFS(Base!$J:$J,Scorecard!$A8,Base!$E:$E,"&gt;"&amp;Z$1,Base!$E:$E,"&lt;"&amp;Z$2,Base!$AH:$AH,"1",Base!$A:$A,"2026")/$N8,"0")</f>
        <v>0</v>
      </c>
      <c r="AA8" s="22">
        <f>IFERROR(COUNTIFS(Base!$J:$J,Scorecard!$A8,Base!$E:$E,"&gt;"&amp;AA$1,Base!$E:$E,"&lt;"&amp;AA$2,Base!$AH:$AH,"1",Base!$A:$A,"2026")/$N8,"0")</f>
        <v>0</v>
      </c>
      <c r="AB8" s="22">
        <f>IFERROR(COUNTIFS(Base!$J:$J,Scorecard!$A8,Base!$E:$E,"&gt;"&amp;AB$1,Base!$E:$E,"&lt;"&amp;AB$2,Base!$AH:$AH,"1",Base!$A:$A,"2026")/$N8,"0")</f>
        <v>0</v>
      </c>
      <c r="AC8" s="22">
        <f>IFERROR(COUNTIFS(Base!$J:$J,Scorecard!$A8,Base!$E:$E,"&gt;"&amp;AC$1,Base!$E:$E,"&lt;"&amp;AC$2,Base!$AH:$AH,"1",Base!$A:$A,"2026")/$N8,"0")</f>
        <v>0</v>
      </c>
      <c r="AD8" s="22">
        <f>IFERROR(COUNTIFS(Base!$J:$J,Scorecard!$A8,Base!$E:$E,"&gt;"&amp;AD$1,Base!$E:$E,"&lt;"&amp;AD$2,Base!$AH:$AH,"1",Base!$A:$A,"2026")/$N8,"0")</f>
        <v>0</v>
      </c>
      <c r="AE8" s="22">
        <f t="shared" si="1"/>
        <v>0.64646464646464652</v>
      </c>
      <c r="AF8" s="16">
        <f>IF(AE8="-",0,IF(AE8&lt;Goals!$K$6,Goals!$L$7,IF(AE8&lt;Goals!$K$5,Goals!$L$6,IF(AE8&lt;Goals!$K$4,Goals!$L$5,IF(AE8&lt;Goals!$K$3,Goals!$L$4,IF(AE8&lt;Goals!$K$2,Goals!$L$3,Goals!$L$2))))))</f>
        <v>0.5</v>
      </c>
      <c r="AG8" s="23">
        <f>IFERROR(AVERAGEIFS(Base!$V:$V,Base!$J:$J,Scorecard!$A8,Base!$E:$E,"&gt;"&amp;AG$1,Base!$G:$G,"&lt;"&amp;AG$2,Base!$V:$V,"&lt;"&amp;$A$2,Base!$V:$V,"&gt;"&amp;0,Base!$A:$A,"2026"),"0")</f>
        <v>3.3250000000000002</v>
      </c>
      <c r="AH8" s="23">
        <f>IFERROR(AVERAGEIFS(Base!$V:$V,Base!$J:$J,Scorecard!$A8,Base!$E:$E,"&gt;"&amp;AH$1,Base!$G:$G,"&lt;"&amp;AH$2,Base!$V:$V,"&lt;"&amp;$A$2,Base!$V:$V,"&gt;"&amp;0,Base!$A:$A,"2026"),"0")</f>
        <v>4.1136363636363633</v>
      </c>
      <c r="AI8" s="23">
        <f>IFERROR(AVERAGEIFS(Base!$V:$V,Base!$J:$J,Scorecard!$A8,Base!$E:$E,"&gt;"&amp;AI$1,Base!$G:$G,"&lt;"&amp;AI$2,Base!$V:$V,"&lt;"&amp;$A$2,Base!$V:$V,"&gt;"&amp;0,Base!$A:$A,"2026"),"0")</f>
        <v>3.342857142857143</v>
      </c>
      <c r="AJ8" s="23" t="str">
        <f>IFERROR(AVERAGEIFS(Base!$V:$V,Base!$J:$J,Scorecard!$A8,Base!$E:$E,"&gt;"&amp;AJ$1,Base!$G:$G,"&lt;"&amp;AJ$2,Base!$V:$V,"&lt;"&amp;$A$2,Base!$V:$V,"&gt;"&amp;0,Base!$A:$A,"2026"),"0")</f>
        <v>0</v>
      </c>
      <c r="AK8" s="23" t="str">
        <f>IFERROR(AVERAGEIFS(Base!$V:$V,Base!$J:$J,Scorecard!$A8,Base!$E:$E,"&gt;"&amp;AK$1,Base!$G:$G,"&lt;"&amp;AK$2,Base!$V:$V,"&lt;"&amp;$A$2,Base!$V:$V,"&gt;"&amp;0,Base!$A:$A,"2026"),"0")</f>
        <v>0</v>
      </c>
      <c r="AL8" s="23" t="str">
        <f>IFERROR(AVERAGEIFS(Base!$V:$V,Base!$J:$J,Scorecard!$A8,Base!$E:$E,"&gt;"&amp;AL$1,Base!$G:$G,"&lt;"&amp;AL$2,Base!$V:$V,"&lt;"&amp;$A$2,Base!$V:$V,"&gt;"&amp;0,Base!$A:$A,"2026"),"0")</f>
        <v>0</v>
      </c>
      <c r="AM8" s="23" t="str">
        <f>IFERROR(AVERAGEIFS(Base!$V:$V,Base!$J:$J,Scorecard!$A8,Base!$E:$E,"&gt;"&amp;AM$1,Base!$G:$G,"&lt;"&amp;AM$2,Base!$V:$V,"&lt;"&amp;$A$2,Base!$V:$V,"&gt;"&amp;0,Base!$A:$A,"2026"),"0")</f>
        <v>0</v>
      </c>
      <c r="AN8" s="23" t="str">
        <f>IFERROR(AVERAGEIFS(Base!$V:$V,Base!$J:$J,Scorecard!$A8,Base!$E:$E,"&gt;"&amp;AN$1,Base!$G:$G,"&lt;"&amp;AN$2,Base!$V:$V,"&lt;"&amp;$A$2,Base!$V:$V,"&gt;"&amp;0,Base!$A:$A,"2026"),"0")</f>
        <v>0</v>
      </c>
      <c r="AO8" s="23" t="str">
        <f>IFERROR(AVERAGEIFS(Base!$V:$V,Base!$J:$J,Scorecard!$A8,Base!$E:$E,"&gt;"&amp;AO$1,Base!$G:$G,"&lt;"&amp;AO$2,Base!$V:$V,"&lt;"&amp;$A$2,Base!$V:$V,"&gt;"&amp;0,Base!$A:$A,"2026"),"0")</f>
        <v>0</v>
      </c>
      <c r="AP8" s="23" t="str">
        <f>IFERROR(AVERAGEIFS(Base!$V:$V,Base!$J:$J,Scorecard!$A8,Base!$E:$E,"&gt;"&amp;AP$1,Base!$G:$G,"&lt;"&amp;AP$2,Base!$V:$V,"&lt;"&amp;$A$2,Base!$V:$V,"&gt;"&amp;0,Base!$A:$A,"2026"),"0")</f>
        <v>0</v>
      </c>
      <c r="AQ8" s="23" t="str">
        <f>IFERROR(AVERAGEIFS(Base!$V:$V,Base!$J:$J,Scorecard!$A8,Base!$E:$E,"&gt;"&amp;AQ$1,Base!$G:$G,"&lt;"&amp;AQ$2,Base!$V:$V,"&lt;"&amp;$A$2,Base!$V:$V,"&gt;"&amp;0,Base!$A:$A,"2026"),"0")</f>
        <v>0</v>
      </c>
      <c r="AR8" s="23" t="str">
        <f>IFERROR(AVERAGEIFS(Base!$V:$V,Base!$J:$J,Scorecard!$A8,Base!$E:$E,"&gt;"&amp;AR$1,Base!$G:$G,"&lt;"&amp;AR$2,Base!$V:$V,"&lt;"&amp;$A$2,Base!$V:$V,"&gt;"&amp;0,Base!$A:$A,"2026"),"0")</f>
        <v>0</v>
      </c>
      <c r="AS8" s="40">
        <f t="shared" si="3"/>
        <v>3.5938311688311688</v>
      </c>
      <c r="AT8" s="16">
        <f>IF(AS8="-",0,IF(AS8&gt;Goals!$N$6,Goals!$O$7,IF(AS8&gt;Goals!$N$5,Goals!$O$6,IF(AS8&gt;Goals!$N$4,Goals!$O$5,IF(AS8&gt;Goals!$N$3,Goals!$O$4,IF(AS8&gt;Goals!$N$2,Goals!$O$3,Goals!$O$2))))))</f>
        <v>0.8</v>
      </c>
      <c r="AU8" s="39">
        <f>IFERROR(COUNTIFS(Base!$E:$E,"&gt;"&amp;AU$1,Base!$G:$G,"&lt;"&amp;AU$2,Base!$J:$J,Scorecard!$A8,Base!$T:$T,"COMPLETED")/COUNTIFS(Base!$E:$E,"&gt;"&amp;AU$1,Base!$E:$E,"&lt;"&amp;AU$2,Base!$J:$J,Scorecard!$A8),"0")</f>
        <v>0.82456140350877194</v>
      </c>
      <c r="AV8" s="39">
        <f>IFERROR(COUNTIFS(Base!$E:$E,"&gt;"&amp;AV$1,Base!$G:$G,"&lt;"&amp;AV$2,Base!$J:$J,Scorecard!$A8,Base!$T:$T,"COMPLETED")/COUNTIFS(Base!$E:$E,"&gt;"&amp;AV$1,Base!$E:$E,"&lt;"&amp;AV$2,Base!$J:$J,Scorecard!$A8),"0")</f>
        <v>0.89189189189189189</v>
      </c>
      <c r="AW8" s="39">
        <f>IFERROR(COUNTIFS(Base!$E:$E,"&gt;"&amp;AW$1,Base!$G:$G,"&lt;"&amp;AW$2,Base!$J:$J,Scorecard!$A8,Base!$T:$T,"COMPLETED")/COUNTIFS(Base!$E:$E,"&gt;"&amp;AW$1,Base!$E:$E,"&lt;"&amp;AW$2,Base!$J:$J,Scorecard!$A8),"0")</f>
        <v>0.7857142857142857</v>
      </c>
      <c r="AX8" s="39" t="str">
        <f>IFERROR(COUNTIFS(Base!$E:$E,"&gt;"&amp;AX$1,Base!$G:$G,"&lt;"&amp;AX$2,Base!$J:$J,Scorecard!$A8,Base!$T:$T,"COMPLETED")/COUNTIFS(Base!$E:$E,"&gt;"&amp;AX$1,Base!$E:$E,"&lt;"&amp;AX$2,Base!$J:$J,Scorecard!$A8),"0")</f>
        <v>0</v>
      </c>
      <c r="AY8" s="39" t="str">
        <f>IFERROR(COUNTIFS(Base!$E:$E,"&gt;"&amp;AY$1,Base!$G:$G,"&lt;"&amp;AY$2,Base!$J:$J,Scorecard!$A8,Base!$T:$T,"COMPLETED")/COUNTIFS(Base!$E:$E,"&gt;"&amp;AY$1,Base!$E:$E,"&lt;"&amp;AY$2,Base!$J:$J,Scorecard!$A8),"0")</f>
        <v>0</v>
      </c>
      <c r="AZ8" s="39" t="str">
        <f>IFERROR(COUNTIFS(Base!$E:$E,"&gt;"&amp;AZ$1,Base!$G:$G,"&lt;"&amp;AZ$2,Base!$J:$J,Scorecard!$A8,Base!$T:$T,"COMPLETED")/COUNTIFS(Base!$E:$E,"&gt;"&amp;AZ$1,Base!$E:$E,"&lt;"&amp;AZ$2,Base!$J:$J,Scorecard!$A8),"0")</f>
        <v>0</v>
      </c>
      <c r="BA8" s="39" t="str">
        <f>IFERROR(COUNTIFS(Base!$E:$E,"&gt;"&amp;BA$1,Base!$G:$G,"&lt;"&amp;BA$2,Base!$J:$J,Scorecard!$A8,Base!$T:$T,"COMPLETED")/COUNTIFS(Base!$E:$E,"&gt;"&amp;BA$1,Base!$E:$E,"&lt;"&amp;BA$2,Base!$J:$J,Scorecard!$A8),"0")</f>
        <v>0</v>
      </c>
      <c r="BB8" s="39" t="str">
        <f>IFERROR(COUNTIFS(Base!$E:$E,"&gt;"&amp;BB$1,Base!$G:$G,"&lt;"&amp;BB$2,Base!$J:$J,Scorecard!$A8,Base!$T:$T,"COMPLETED")/COUNTIFS(Base!$E:$E,"&gt;"&amp;BB$1,Base!$E:$E,"&lt;"&amp;BB$2,Base!$J:$J,Scorecard!$A8),"0")</f>
        <v>0</v>
      </c>
      <c r="BC8" s="39" t="str">
        <f>IFERROR(COUNTIFS(Base!$E:$E,"&gt;"&amp;BC$1,Base!$G:$G,"&lt;"&amp;BC$2,Base!$J:$J,Scorecard!$A8,Base!$T:$T,"COMPLETED")/COUNTIFS(Base!$E:$E,"&gt;"&amp;BC$1,Base!$E:$E,"&lt;"&amp;BC$2,Base!$J:$J,Scorecard!$A8),"0")</f>
        <v>0</v>
      </c>
      <c r="BD8" s="39" t="str">
        <f>IFERROR(COUNTIFS(Base!$E:$E,"&gt;"&amp;BD$1,Base!$G:$G,"&lt;"&amp;BD$2,Base!$J:$J,Scorecard!$A8,Base!$T:$T,"COMPLETED")/COUNTIFS(Base!$E:$E,"&gt;"&amp;BD$1,Base!$E:$E,"&lt;"&amp;BD$2,Base!$J:$J,Scorecard!$A8),"0")</f>
        <v>0</v>
      </c>
      <c r="BE8" s="39" t="str">
        <f>IFERROR(COUNTIFS(Base!$E:$E,"&gt;"&amp;BE$1,Base!$G:$G,"&lt;"&amp;BE$2,Base!$J:$J,Scorecard!$A8,Base!$T:$T,"COMPLETED")/COUNTIFS(Base!$E:$E,"&gt;"&amp;BE$1,Base!$E:$E,"&lt;"&amp;BE$2,Base!$J:$J,Scorecard!$A8),"0")</f>
        <v>0</v>
      </c>
      <c r="BF8" s="39" t="str">
        <f>IFERROR(COUNTIFS(Base!$E:$E,"&gt;"&amp;BF$1,Base!$G:$G,"&lt;"&amp;BF$2,Base!$J:$J,Scorecard!$A8,Base!$T:$T,"COMPLETED")/COUNTIFS(Base!$E:$E,"&gt;"&amp;BF$1,Base!$E:$E,"&lt;"&amp;BF$2,Base!$J:$J,Scorecard!$A8),"0")</f>
        <v>0</v>
      </c>
      <c r="BG8" s="22">
        <f t="shared" si="4"/>
        <v>0.8340558603716498</v>
      </c>
      <c r="BH8" s="16">
        <f>IF(BG8="-",0,IF(BG8&lt;Goals!$Q$6,Goals!$R$7,IF(BG8&lt;Goals!$Q$5,Goals!$R$6,IF(BG8&lt;Goals!$Q$4,Goals!$R$5,IF(BG8&lt;Goals!$Q$3,Goals!$R$4,IF(BG8&lt;Goals!$Q$2,Goals!$R$3,Goals!$R$2))))))</f>
        <v>0.6</v>
      </c>
      <c r="BI8" s="26">
        <f>COUNTIFS(Strikes!$A:$A,Scorecard!$A8,Strikes!$C:$C,"&gt;"&amp;Scorecard!BI$1,Strikes!$C:$C,"&lt;"&amp;Scorecard!BI$2)</f>
        <v>0</v>
      </c>
      <c r="BJ8" s="26">
        <f>COUNTIFS(Strikes!$A:$A,Scorecard!$A8,Strikes!$C:$C,"&gt;"&amp;Scorecard!BJ$1,Strikes!$C:$C,"&lt;"&amp;Scorecard!BJ$2)</f>
        <v>0</v>
      </c>
      <c r="BK8" s="26">
        <f>COUNTIFS(Strikes!$A:$A,Scorecard!$A8,Strikes!$C:$C,"&gt;"&amp;Scorecard!BK$1,Strikes!$C:$C,"&lt;"&amp;Scorecard!BK$2)</f>
        <v>0</v>
      </c>
      <c r="BL8" s="26">
        <f>COUNTIFS(Strikes!$A:$A,Scorecard!$A8,Strikes!$C:$C,"&gt;"&amp;Scorecard!BL$1,Strikes!$C:$C,"&lt;"&amp;Scorecard!BL$2)</f>
        <v>0</v>
      </c>
      <c r="BM8" s="26">
        <f>COUNTIFS(Strikes!$A:$A,Scorecard!$A8,Strikes!$C:$C,"&gt;"&amp;Scorecard!BM$1,Strikes!$C:$C,"&lt;"&amp;Scorecard!BM$2)</f>
        <v>0</v>
      </c>
      <c r="BN8" s="26">
        <f>COUNTIFS(Strikes!$A:$A,Scorecard!$A8,Strikes!$C:$C,"&gt;"&amp;Scorecard!BN$1,Strikes!$C:$C,"&lt;"&amp;Scorecard!BN$2)</f>
        <v>0</v>
      </c>
      <c r="BO8" s="26">
        <f>COUNTIFS(Strikes!$A:$A,Scorecard!$A8,Strikes!$C:$C,"&gt;"&amp;Scorecard!BO$1,Strikes!$C:$C,"&lt;"&amp;Scorecard!BO$2)</f>
        <v>0</v>
      </c>
      <c r="BP8" s="26">
        <f>COUNTIFS(Strikes!$A:$A,Scorecard!$A8,Strikes!$C:$C,"&gt;"&amp;Scorecard!BP$1,Strikes!$C:$C,"&lt;"&amp;Scorecard!BP$2)</f>
        <v>0</v>
      </c>
      <c r="BQ8" s="26">
        <f>COUNTIFS(Strikes!$A:$A,Scorecard!$A8,Strikes!$C:$C,"&gt;"&amp;Scorecard!BQ$1,Strikes!$C:$C,"&lt;"&amp;Scorecard!BQ$2)</f>
        <v>0</v>
      </c>
      <c r="BR8" s="26">
        <f>COUNTIFS(Strikes!$A:$A,Scorecard!$A8,Strikes!$C:$C,"&gt;"&amp;Scorecard!BR$1,Strikes!$C:$C,"&lt;"&amp;Scorecard!BR$2)</f>
        <v>0</v>
      </c>
      <c r="BS8" s="26">
        <f>COUNTIFS(Strikes!$A:$A,Scorecard!$A8,Strikes!$C:$C,"&gt;"&amp;Scorecard!BS$1,Strikes!$C:$C,"&lt;"&amp;Scorecard!BS$2)</f>
        <v>0</v>
      </c>
      <c r="BT8" s="26">
        <f>COUNTIFS(Strikes!$A:$A,Scorecard!$A8,Strikes!$C:$C,"&gt;"&amp;Scorecard!BT$1,Strikes!$C:$C,"&lt;"&amp;Scorecard!BT$2)</f>
        <v>0</v>
      </c>
      <c r="BU8" s="41" t="str">
        <f t="shared" si="5"/>
        <v>0</v>
      </c>
      <c r="BV8" s="16">
        <f>IF(BU8="-",0,IF(BU8=Goals!$H$7,Goals!$I$7,IF(BU8=Goals!$H$6,Goals!$I$6,IF(BU8=Goals!$H$5,Goals!$I$5,IF(BU8=Goals!$H$4,Goals!$I$4,IF(BU8=Goals!$H$3,Goals!$I$3,Goals!$I$2))))))</f>
        <v>1.2</v>
      </c>
      <c r="BW8" s="32">
        <f>IFERROR(COUNTIFS('Survey Q1'!$C:$C,Scorecard!$A8,'Survey Q1'!$F:$F,"1")/O8,"0")</f>
        <v>0.84615384615384615</v>
      </c>
      <c r="BX8" s="32" t="str">
        <f>IFERROR(COUNTIFS('Survey Q2'!$C:$C,Scorecard!$A8,'Survey Q1'!$F:$F,"1")/P8,"0")</f>
        <v>0</v>
      </c>
      <c r="BY8" s="32" t="str">
        <f>IFERROR(COUNTIFS('Survey Q3'!$C:$C,Scorecard!$A8,'Survey Q1'!$F:$F,"1")/Q8,"0")</f>
        <v>0</v>
      </c>
      <c r="BZ8" s="32" t="str">
        <f>IFERROR(COUNTIFS('Survey Q4'!$C:$C,Scorecard!$A8,'Survey Q1'!$F:$F,"1")/R8,"0")</f>
        <v>0</v>
      </c>
      <c r="CA8" s="32">
        <f t="shared" si="2"/>
        <v>0.84615384615384615</v>
      </c>
      <c r="CB8" s="16">
        <f>IF(CA8="-",0,IF(CA8&lt;Goals!$T$6,Goals!$U$7,IF(CA8&lt;Goals!$T$5,Goals!$U$6,IF(CA8&lt;Goals!$T$4,Goals!$U$5,IF(CA8&lt;Goals!$T$3,Goals!$U$4,IF(CA8&lt;Goals!$T$2,Goals!$U$3,Goals!$U$2))))))</f>
        <v>0.6</v>
      </c>
      <c r="CC8" s="24">
        <f>Scorecard!AF8*Goals!$C$3+Scorecard!AT8*Goals!$D$3+Scorecard!BH8*Goals!$E$3+Scorecard!CB8*Goals!$B$3+BV8*Goals!$F$3</f>
        <v>0.66000000000000014</v>
      </c>
      <c r="CF8" s="13"/>
      <c r="CG8" s="2"/>
      <c r="CH8" s="20"/>
      <c r="CI8" s="2"/>
      <c r="CJ8" s="10"/>
      <c r="CK8" s="2"/>
      <c r="CL8" s="12"/>
    </row>
    <row r="9" spans="1:93">
      <c r="A9" s="25" t="s">
        <v>39</v>
      </c>
      <c r="B9" s="26">
        <f>COUNTIFS('Sellers Pro'!$F:$F,Scorecard!$A9,'Sellers Pro'!$Q:$Q,"&lt;"&amp;Scorecard!B$2,'Sellers Pro'!$O:$O,"1")</f>
        <v>39</v>
      </c>
      <c r="C9" s="26">
        <f>COUNTIFS('Sellers Pro'!$F:$F,Scorecard!$A9,'Sellers Pro'!$Q:$Q,"&lt;"&amp;Scorecard!C$2,'Sellers Pro'!$O:$O,"1")</f>
        <v>40</v>
      </c>
      <c r="D9" s="26">
        <f>COUNTIFS('Sellers Pro'!$F:$F,Scorecard!$A9,'Sellers Pro'!$Q:$Q,"&lt;"&amp;Scorecard!D$2,'Sellers Pro'!$O:$O,"1")</f>
        <v>41</v>
      </c>
      <c r="E9" s="26">
        <f>COUNTIFS('Sellers Pro'!$F:$F,Scorecard!$A9,'Sellers Pro'!$Q:$Q,"&lt;"&amp;Scorecard!E$2,'Sellers Pro'!$O:$O,"1")</f>
        <v>41</v>
      </c>
      <c r="F9" s="26">
        <f>COUNTIFS('Sellers Pro'!$F:$F,Scorecard!$A9,'Sellers Pro'!$Q:$Q,"&lt;"&amp;Scorecard!F$2,'Sellers Pro'!$O:$O,"1")</f>
        <v>41</v>
      </c>
      <c r="G9" s="26">
        <f>COUNTIFS('Sellers Pro'!$F:$F,Scorecard!$A9,'Sellers Pro'!$Q:$Q,"&lt;"&amp;Scorecard!G$2,'Sellers Pro'!$O:$O,"1")</f>
        <v>41</v>
      </c>
      <c r="H9" s="26">
        <f>COUNTIFS('Sellers Pro'!$F:$F,Scorecard!$A9,'Sellers Pro'!$Q:$Q,"&lt;"&amp;Scorecard!H$2,'Sellers Pro'!$O:$O,"1")</f>
        <v>41</v>
      </c>
      <c r="I9" s="26">
        <f>COUNTIFS('Sellers Pro'!$F:$F,Scorecard!$A9,'Sellers Pro'!$Q:$Q,"&lt;"&amp;Scorecard!I$2,'Sellers Pro'!$O:$O,"1")</f>
        <v>41</v>
      </c>
      <c r="J9" s="26">
        <f>COUNTIFS('Sellers Pro'!$F:$F,Scorecard!$A9,'Sellers Pro'!$Q:$Q,"&lt;"&amp;Scorecard!J$2,'Sellers Pro'!$O:$O,"1")</f>
        <v>41</v>
      </c>
      <c r="K9" s="26">
        <f>COUNTIFS('Sellers Pro'!$F:$F,Scorecard!$A9,'Sellers Pro'!$Q:$Q,"&lt;"&amp;Scorecard!K$2,'Sellers Pro'!$O:$O,"1")</f>
        <v>41</v>
      </c>
      <c r="L9" s="26">
        <f>COUNTIFS('Sellers Pro'!$F:$F,Scorecard!$A9,'Sellers Pro'!$Q:$Q,"&lt;"&amp;Scorecard!L$2,'Sellers Pro'!$O:$O,"1")</f>
        <v>41</v>
      </c>
      <c r="M9" s="26">
        <f>COUNTIFS('Sellers Pro'!$F:$F,Scorecard!$A9,'Sellers Pro'!$Q:$Q,"&lt;"&amp;Scorecard!M$2,'Sellers Pro'!$O:$O,"1")</f>
        <v>41</v>
      </c>
      <c r="N9" s="41">
        <f>IFERROR(AVERAGEIF(B9:M9,"&gt;0",B9:M9),"-")</f>
        <v>40.75</v>
      </c>
      <c r="O9" s="26">
        <f>COUNTIFS('Survey Q1'!$G:$G,"="&amp;1,'Survey Q1'!$C:$C,Scorecard!$A9)</f>
        <v>15</v>
      </c>
      <c r="P9" s="26">
        <f>COUNTIFS('Survey Q2'!$G:$G,"="&amp;1,'Survey Q1'!$C:$C,Scorecard!$A9)</f>
        <v>0</v>
      </c>
      <c r="Q9" s="26">
        <f>COUNTIFS('Survey Q3'!$G:$G,"="&amp;1,'Survey Q1'!$C:$C,Scorecard!$A9)</f>
        <v>0</v>
      </c>
      <c r="R9" s="26">
        <f>COUNTIFS('Survey Q4'!$G:$G,"="&amp;1,'Survey Q1'!$C:$C,Scorecard!$A9)</f>
        <v>0</v>
      </c>
      <c r="S9" s="22">
        <f>IFERROR(COUNTIFS(Base!$J:$J,Scorecard!$A9,Base!$E:$E,"&gt;"&amp;S$1,Base!$E:$E,"&lt;"&amp;S$2,Base!$AH:$AH,"1",Base!$A:$A,"2026")/$N9,"0")</f>
        <v>0.80981595092024539</v>
      </c>
      <c r="T9" s="22">
        <f>IFERROR(COUNTIFS(Base!$J:$J,Scorecard!$A9,Base!$E:$E,"&gt;"&amp;T$1,Base!$E:$E,"&lt;"&amp;T$2,Base!$AH:$AH,"1",Base!$A:$A,"2026")/$N9,"0")</f>
        <v>0.66257668711656437</v>
      </c>
      <c r="U9" s="22">
        <f>IFERROR(COUNTIFS(Base!$J:$J,Scorecard!$A9,Base!$E:$E,"&gt;"&amp;U$1,Base!$E:$E,"&lt;"&amp;U$2,Base!$AH:$AH,"1",Base!$A:$A,"2026")/$N9,"0")</f>
        <v>0.90797546012269936</v>
      </c>
      <c r="V9" s="22">
        <f>IFERROR(COUNTIFS(Base!$J:$J,Scorecard!$A9,Base!$E:$E,"&gt;"&amp;V$1,Base!$E:$E,"&lt;"&amp;V$2,Base!$AH:$AH,"1",Base!$A:$A,"2026")/$N9,"0")</f>
        <v>0</v>
      </c>
      <c r="W9" s="22">
        <f>IFERROR(COUNTIFS(Base!$J:$J,Scorecard!$A9,Base!$E:$E,"&gt;"&amp;W$1,Base!$E:$E,"&lt;"&amp;W$2,Base!$AH:$AH,"1",Base!$A:$A,"2026")/$N9,"0")</f>
        <v>0</v>
      </c>
      <c r="X9" s="22">
        <f>IFERROR(COUNTIFS(Base!$J:$J,Scorecard!$A9,Base!$E:$E,"&gt;"&amp;X$1,Base!$E:$E,"&lt;"&amp;X$2,Base!$AH:$AH,"1",Base!$A:$A,"2026")/$N9,"0")</f>
        <v>0</v>
      </c>
      <c r="Y9" s="22">
        <f>IFERROR(COUNTIFS(Base!$J:$J,Scorecard!$A9,Base!$E:$E,"&gt;"&amp;Y$1,Base!$E:$E,"&lt;"&amp;Y$2,Base!$AH:$AH,"1",Base!$A:$A,"2026")/$N9,"0")</f>
        <v>0</v>
      </c>
      <c r="Z9" s="22">
        <f>IFERROR(COUNTIFS(Base!$J:$J,Scorecard!$A9,Base!$E:$E,"&gt;"&amp;Z$1,Base!$E:$E,"&lt;"&amp;Z$2,Base!$AH:$AH,"1",Base!$A:$A,"2026")/$N9,"0")</f>
        <v>0</v>
      </c>
      <c r="AA9" s="22">
        <f>IFERROR(COUNTIFS(Base!$J:$J,Scorecard!$A9,Base!$E:$E,"&gt;"&amp;AA$1,Base!$E:$E,"&lt;"&amp;AA$2,Base!$AH:$AH,"1",Base!$A:$A,"2026")/$N9,"0")</f>
        <v>0</v>
      </c>
      <c r="AB9" s="22">
        <f>IFERROR(COUNTIFS(Base!$J:$J,Scorecard!$A9,Base!$E:$E,"&gt;"&amp;AB$1,Base!$E:$E,"&lt;"&amp;AB$2,Base!$AH:$AH,"1",Base!$A:$A,"2026")/$N9,"0")</f>
        <v>0</v>
      </c>
      <c r="AC9" s="22">
        <f>IFERROR(COUNTIFS(Base!$J:$J,Scorecard!$A9,Base!$E:$E,"&gt;"&amp;AC$1,Base!$E:$E,"&lt;"&amp;AC$2,Base!$AH:$AH,"1",Base!$A:$A,"2026")/$N9,"0")</f>
        <v>0</v>
      </c>
      <c r="AD9" s="22">
        <f>IFERROR(COUNTIFS(Base!$J:$J,Scorecard!$A9,Base!$E:$E,"&gt;"&amp;AD$1,Base!$E:$E,"&lt;"&amp;AD$2,Base!$AH:$AH,"1",Base!$A:$A,"2026")/$N9,"0")</f>
        <v>0</v>
      </c>
      <c r="AE9" s="22">
        <f t="shared" ref="AE9" si="6">IFERROR(AVERAGEIF(S9:AD9,"&gt;0",S9:AD9),"-")</f>
        <v>0.79345603271983645</v>
      </c>
      <c r="AF9" s="16">
        <f>IF(AE9="-",0,IF(AE9&lt;Goals!$K$6,Goals!$L$7,IF(AE9&lt;Goals!$K$5,Goals!$L$6,IF(AE9&lt;Goals!$K$4,Goals!$L$5,IF(AE9&lt;Goals!$K$3,Goals!$L$4,IF(AE9&lt;Goals!$K$2,Goals!$L$3,Goals!$L$2))))))</f>
        <v>0.8</v>
      </c>
      <c r="AG9" s="23">
        <f>IFERROR(AVERAGEIFS(Base!$V:$V,Base!$J:$J,Scorecard!$A9,Base!$E:$E,"&gt;"&amp;AG$1,Base!$G:$G,"&lt;"&amp;AG$2,Base!$V:$V,"&lt;"&amp;$A$2,Base!$V:$V,"&gt;"&amp;0,Base!$A:$A,"2026"),"0")</f>
        <v>2.3039999999999998</v>
      </c>
      <c r="AH9" s="23">
        <f>IFERROR(AVERAGEIFS(Base!$V:$V,Base!$J:$J,Scorecard!$A9,Base!$E:$E,"&gt;"&amp;AH$1,Base!$G:$G,"&lt;"&amp;AH$2,Base!$V:$V,"&lt;"&amp;$A$2,Base!$V:$V,"&gt;"&amp;0,Base!$A:$A,"2026"),"0")</f>
        <v>3.4432989690721651</v>
      </c>
      <c r="AI9" s="23">
        <f>IFERROR(AVERAGEIFS(Base!$V:$V,Base!$J:$J,Scorecard!$A9,Base!$E:$E,"&gt;"&amp;AI$1,Base!$G:$G,"&lt;"&amp;AI$2,Base!$V:$V,"&lt;"&amp;$A$2,Base!$V:$V,"&gt;"&amp;0,Base!$A:$A,"2026"),"0")</f>
        <v>2.36</v>
      </c>
      <c r="AJ9" s="23" t="str">
        <f>IFERROR(AVERAGEIFS(Base!$V:$V,Base!$J:$J,Scorecard!$A9,Base!$E:$E,"&gt;"&amp;AJ$1,Base!$G:$G,"&lt;"&amp;AJ$2,Base!$V:$V,"&lt;"&amp;$A$2,Base!$V:$V,"&gt;"&amp;0,Base!$A:$A,"2026"),"0")</f>
        <v>0</v>
      </c>
      <c r="AK9" s="23" t="str">
        <f>IFERROR(AVERAGEIFS(Base!$V:$V,Base!$J:$J,Scorecard!$A9,Base!$E:$E,"&gt;"&amp;AK$1,Base!$G:$G,"&lt;"&amp;AK$2,Base!$V:$V,"&lt;"&amp;$A$2,Base!$V:$V,"&gt;"&amp;0,Base!$A:$A,"2026"),"0")</f>
        <v>0</v>
      </c>
      <c r="AL9" s="23" t="str">
        <f>IFERROR(AVERAGEIFS(Base!$V:$V,Base!$J:$J,Scorecard!$A9,Base!$E:$E,"&gt;"&amp;AL$1,Base!$G:$G,"&lt;"&amp;AL$2,Base!$V:$V,"&lt;"&amp;$A$2,Base!$V:$V,"&gt;"&amp;0,Base!$A:$A,"2026"),"0")</f>
        <v>0</v>
      </c>
      <c r="AM9" s="23" t="str">
        <f>IFERROR(AVERAGEIFS(Base!$V:$V,Base!$J:$J,Scorecard!$A9,Base!$E:$E,"&gt;"&amp;AM$1,Base!$G:$G,"&lt;"&amp;AM$2,Base!$V:$V,"&lt;"&amp;$A$2,Base!$V:$V,"&gt;"&amp;0,Base!$A:$A,"2026"),"0")</f>
        <v>0</v>
      </c>
      <c r="AN9" s="23" t="str">
        <f>IFERROR(AVERAGEIFS(Base!$V:$V,Base!$J:$J,Scorecard!$A9,Base!$E:$E,"&gt;"&amp;AN$1,Base!$G:$G,"&lt;"&amp;AN$2,Base!$V:$V,"&lt;"&amp;$A$2,Base!$V:$V,"&gt;"&amp;0,Base!$A:$A,"2026"),"0")</f>
        <v>0</v>
      </c>
      <c r="AO9" s="23" t="str">
        <f>IFERROR(AVERAGEIFS(Base!$V:$V,Base!$J:$J,Scorecard!$A9,Base!$E:$E,"&gt;"&amp;AO$1,Base!$G:$G,"&lt;"&amp;AO$2,Base!$V:$V,"&lt;"&amp;$A$2,Base!$V:$V,"&gt;"&amp;0,Base!$A:$A,"2026"),"0")</f>
        <v>0</v>
      </c>
      <c r="AP9" s="23" t="str">
        <f>IFERROR(AVERAGEIFS(Base!$V:$V,Base!$J:$J,Scorecard!$A9,Base!$E:$E,"&gt;"&amp;AP$1,Base!$G:$G,"&lt;"&amp;AP$2,Base!$V:$V,"&lt;"&amp;$A$2,Base!$V:$V,"&gt;"&amp;0,Base!$A:$A,"2026"),"0")</f>
        <v>0</v>
      </c>
      <c r="AQ9" s="23" t="str">
        <f>IFERROR(AVERAGEIFS(Base!$V:$V,Base!$J:$J,Scorecard!$A9,Base!$E:$E,"&gt;"&amp;AQ$1,Base!$G:$G,"&lt;"&amp;AQ$2,Base!$V:$V,"&lt;"&amp;$A$2,Base!$V:$V,"&gt;"&amp;0,Base!$A:$A,"2026"),"0")</f>
        <v>0</v>
      </c>
      <c r="AR9" s="23" t="str">
        <f>IFERROR(AVERAGEIFS(Base!$V:$V,Base!$J:$J,Scorecard!$A9,Base!$E:$E,"&gt;"&amp;AR$1,Base!$G:$G,"&lt;"&amp;AR$2,Base!$V:$V,"&lt;"&amp;$A$2,Base!$V:$V,"&gt;"&amp;0,Base!$A:$A,"2026"),"0")</f>
        <v>0</v>
      </c>
      <c r="AS9" s="40">
        <f>IFERROR(AVERAGEIF(AG9:AR9,"&gt;0",AG9:AR9),"-")</f>
        <v>2.7024329896907218</v>
      </c>
      <c r="AT9" s="16">
        <f>IF(AS9="-",0,IF(AS9&gt;Goals!$N$6,Goals!$O$7,IF(AS9&gt;Goals!$N$5,Goals!$O$6,IF(AS9&gt;Goals!$N$4,Goals!$O$5,IF(AS9&gt;Goals!$N$3,Goals!$O$4,IF(AS9&gt;Goals!$N$2,Goals!$O$3,Goals!$O$2))))))</f>
        <v>1</v>
      </c>
      <c r="AU9" s="39">
        <f>IFERROR(COUNTIFS(Base!$E:$E,"&gt;"&amp;AU$1,Base!$G:$G,"&lt;"&amp;AU$2,Base!$J:$J,Scorecard!$A9,Base!$T:$T,"COMPLETED")/COUNTIFS(Base!$E:$E,"&gt;"&amp;AU$1,Base!$E:$E,"&lt;"&amp;AU$2,Base!$J:$J,Scorecard!$A9),"0")</f>
        <v>0.85572139303482586</v>
      </c>
      <c r="AV9" s="39">
        <f>IFERROR(COUNTIFS(Base!$E:$E,"&gt;"&amp;AV$1,Base!$G:$G,"&lt;"&amp;AV$2,Base!$J:$J,Scorecard!$A9,Base!$T:$T,"COMPLETED")/COUNTIFS(Base!$E:$E,"&gt;"&amp;AV$1,Base!$E:$E,"&lt;"&amp;AV$2,Base!$J:$J,Scorecard!$A9),"0")</f>
        <v>0.87096774193548387</v>
      </c>
      <c r="AW9" s="39">
        <f>IFERROR(COUNTIFS(Base!$E:$E,"&gt;"&amp;AW$1,Base!$G:$G,"&lt;"&amp;AW$2,Base!$J:$J,Scorecard!$A9,Base!$T:$T,"COMPLETED")/COUNTIFS(Base!$E:$E,"&gt;"&amp;AW$1,Base!$E:$E,"&lt;"&amp;AW$2,Base!$J:$J,Scorecard!$A9),"0")</f>
        <v>0.8</v>
      </c>
      <c r="AX9" s="39" t="str">
        <f>IFERROR(COUNTIFS(Base!$E:$E,"&gt;"&amp;AX$1,Base!$G:$G,"&lt;"&amp;AX$2,Base!$J:$J,Scorecard!$A9,Base!$T:$T,"COMPLETED")/COUNTIFS(Base!$E:$E,"&gt;"&amp;AX$1,Base!$E:$E,"&lt;"&amp;AX$2,Base!$J:$J,Scorecard!$A9),"0")</f>
        <v>0</v>
      </c>
      <c r="AY9" s="39" t="str">
        <f>IFERROR(COUNTIFS(Base!$E:$E,"&gt;"&amp;AY$1,Base!$G:$G,"&lt;"&amp;AY$2,Base!$J:$J,Scorecard!$A9,Base!$T:$T,"COMPLETED")/COUNTIFS(Base!$E:$E,"&gt;"&amp;AY$1,Base!$E:$E,"&lt;"&amp;AY$2,Base!$J:$J,Scorecard!$A9),"0")</f>
        <v>0</v>
      </c>
      <c r="AZ9" s="39" t="str">
        <f>IFERROR(COUNTIFS(Base!$E:$E,"&gt;"&amp;AZ$1,Base!$G:$G,"&lt;"&amp;AZ$2,Base!$J:$J,Scorecard!$A9,Base!$T:$T,"COMPLETED")/COUNTIFS(Base!$E:$E,"&gt;"&amp;AZ$1,Base!$E:$E,"&lt;"&amp;AZ$2,Base!$J:$J,Scorecard!$A9),"0")</f>
        <v>0</v>
      </c>
      <c r="BA9" s="39" t="str">
        <f>IFERROR(COUNTIFS(Base!$E:$E,"&gt;"&amp;BA$1,Base!$G:$G,"&lt;"&amp;BA$2,Base!$J:$J,Scorecard!$A9,Base!$T:$T,"COMPLETED")/COUNTIFS(Base!$E:$E,"&gt;"&amp;BA$1,Base!$E:$E,"&lt;"&amp;BA$2,Base!$J:$J,Scorecard!$A9),"0")</f>
        <v>0</v>
      </c>
      <c r="BB9" s="39" t="str">
        <f>IFERROR(COUNTIFS(Base!$E:$E,"&gt;"&amp;BB$1,Base!$G:$G,"&lt;"&amp;BB$2,Base!$J:$J,Scorecard!$A9,Base!$T:$T,"COMPLETED")/COUNTIFS(Base!$E:$E,"&gt;"&amp;BB$1,Base!$E:$E,"&lt;"&amp;BB$2,Base!$J:$J,Scorecard!$A9),"0")</f>
        <v>0</v>
      </c>
      <c r="BC9" s="39" t="str">
        <f>IFERROR(COUNTIFS(Base!$E:$E,"&gt;"&amp;BC$1,Base!$G:$G,"&lt;"&amp;BC$2,Base!$J:$J,Scorecard!$A9,Base!$T:$T,"COMPLETED")/COUNTIFS(Base!$E:$E,"&gt;"&amp;BC$1,Base!$E:$E,"&lt;"&amp;BC$2,Base!$J:$J,Scorecard!$A9),"0")</f>
        <v>0</v>
      </c>
      <c r="BD9" s="39" t="str">
        <f>IFERROR(COUNTIFS(Base!$E:$E,"&gt;"&amp;BD$1,Base!$G:$G,"&lt;"&amp;BD$2,Base!$J:$J,Scorecard!$A9,Base!$T:$T,"COMPLETED")/COUNTIFS(Base!$E:$E,"&gt;"&amp;BD$1,Base!$E:$E,"&lt;"&amp;BD$2,Base!$J:$J,Scorecard!$A9),"0")</f>
        <v>0</v>
      </c>
      <c r="BE9" s="39" t="str">
        <f>IFERROR(COUNTIFS(Base!$E:$E,"&gt;"&amp;BE$1,Base!$G:$G,"&lt;"&amp;BE$2,Base!$J:$J,Scorecard!$A9,Base!$T:$T,"COMPLETED")/COUNTIFS(Base!$E:$E,"&gt;"&amp;BE$1,Base!$E:$E,"&lt;"&amp;BE$2,Base!$J:$J,Scorecard!$A9),"0")</f>
        <v>0</v>
      </c>
      <c r="BF9" s="39" t="str">
        <f>IFERROR(COUNTIFS(Base!$E:$E,"&gt;"&amp;BF$1,Base!$G:$G,"&lt;"&amp;BF$2,Base!$J:$J,Scorecard!$A9,Base!$T:$T,"COMPLETED")/COUNTIFS(Base!$E:$E,"&gt;"&amp;BF$1,Base!$E:$E,"&lt;"&amp;BF$2,Base!$J:$J,Scorecard!$A9),"0")</f>
        <v>0</v>
      </c>
      <c r="BG9" s="22">
        <f t="shared" ref="BG9" si="7">IFERROR(AVERAGEIF(AU9:BF9,"&gt;0",AU9:BF9),"-")</f>
        <v>0.84222971165676996</v>
      </c>
      <c r="BH9" s="16">
        <f>IF(BG9="-",0,IF(BG9&lt;Goals!$Q$6,Goals!$R$7,IF(BG9&lt;Goals!$Q$5,Goals!$R$6,IF(BG9&lt;Goals!$Q$4,Goals!$R$5,IF(BG9&lt;Goals!$Q$3,Goals!$R$4,IF(BG9&lt;Goals!$Q$2,Goals!$R$3,Goals!$R$2))))))</f>
        <v>0.6</v>
      </c>
      <c r="BI9" s="26">
        <f>COUNTIFS(Strikes!$A:$A,Scorecard!$A9,Strikes!$C:$C,"&gt;"&amp;Scorecard!BI$1,Strikes!$C:$C,"&lt;"&amp;Scorecard!BI$2)</f>
        <v>0</v>
      </c>
      <c r="BJ9" s="26">
        <f>COUNTIFS(Strikes!$A:$A,Scorecard!$A9,Strikes!$C:$C,"&gt;"&amp;Scorecard!BJ$1,Strikes!$C:$C,"&lt;"&amp;Scorecard!BJ$2)</f>
        <v>0</v>
      </c>
      <c r="BK9" s="26">
        <f>COUNTIFS(Strikes!$A:$A,Scorecard!$A9,Strikes!$C:$C,"&gt;"&amp;Scorecard!BK$1,Strikes!$C:$C,"&lt;"&amp;Scorecard!BK$2)</f>
        <v>0</v>
      </c>
      <c r="BL9" s="26">
        <f>COUNTIFS(Strikes!$A:$A,Scorecard!$A9,Strikes!$C:$C,"&gt;"&amp;Scorecard!BL$1,Strikes!$C:$C,"&lt;"&amp;Scorecard!BL$2)</f>
        <v>0</v>
      </c>
      <c r="BM9" s="26">
        <f>COUNTIFS(Strikes!$A:$A,Scorecard!$A9,Strikes!$C:$C,"&gt;"&amp;Scorecard!BM$1,Strikes!$C:$C,"&lt;"&amp;Scorecard!BM$2)</f>
        <v>0</v>
      </c>
      <c r="BN9" s="26">
        <f>COUNTIFS(Strikes!$A:$A,Scorecard!$A9,Strikes!$C:$C,"&gt;"&amp;Scorecard!BN$1,Strikes!$C:$C,"&lt;"&amp;Scorecard!BN$2)</f>
        <v>0</v>
      </c>
      <c r="BO9" s="26">
        <f>COUNTIFS(Strikes!$A:$A,Scorecard!$A9,Strikes!$C:$C,"&gt;"&amp;Scorecard!BO$1,Strikes!$C:$C,"&lt;"&amp;Scorecard!BO$2)</f>
        <v>0</v>
      </c>
      <c r="BP9" s="26">
        <f>COUNTIFS(Strikes!$A:$A,Scorecard!$A9,Strikes!$C:$C,"&gt;"&amp;Scorecard!BP$1,Strikes!$C:$C,"&lt;"&amp;Scorecard!BP$2)</f>
        <v>0</v>
      </c>
      <c r="BQ9" s="26">
        <f>COUNTIFS(Strikes!$A:$A,Scorecard!$A9,Strikes!$C:$C,"&gt;"&amp;Scorecard!BQ$1,Strikes!$C:$C,"&lt;"&amp;Scorecard!BQ$2)</f>
        <v>0</v>
      </c>
      <c r="BR9" s="26">
        <f>COUNTIFS(Strikes!$A:$A,Scorecard!$A9,Strikes!$C:$C,"&gt;"&amp;Scorecard!BR$1,Strikes!$C:$C,"&lt;"&amp;Scorecard!BR$2)</f>
        <v>0</v>
      </c>
      <c r="BS9" s="26">
        <f>COUNTIFS(Strikes!$A:$A,Scorecard!$A9,Strikes!$C:$C,"&gt;"&amp;Scorecard!BS$1,Strikes!$C:$C,"&lt;"&amp;Scorecard!BS$2)</f>
        <v>0</v>
      </c>
      <c r="BT9" s="26">
        <f>COUNTIFS(Strikes!$A:$A,Scorecard!$A9,Strikes!$C:$C,"&gt;"&amp;Scorecard!BT$1,Strikes!$C:$C,"&lt;"&amp;Scorecard!BT$2)</f>
        <v>0</v>
      </c>
      <c r="BU9" s="41" t="str">
        <f>IFERROR(AVERAGEIF(BI9:BT9,"&gt;0",BI9:BT9),"0")</f>
        <v>0</v>
      </c>
      <c r="BV9" s="16">
        <f>IF(BU9="-",0,IF(BU9=Goals!$H$7,Goals!$I$7,IF(BU9=Goals!$H$6,Goals!$I$6,IF(BU9=Goals!$H$5,Goals!$I$5,IF(BU9=Goals!$H$4,Goals!$I$4,IF(BU9=Goals!$H$3,Goals!$I$3,Goals!$I$2))))))</f>
        <v>1.2</v>
      </c>
      <c r="BW9" s="32">
        <f>IFERROR(COUNTIFS('Survey Q1'!$C:$C,Scorecard!$A9,'Survey Q1'!$F:$F,"1")/O9,"0")</f>
        <v>0.8666666666666667</v>
      </c>
      <c r="BX9" s="32" t="str">
        <f>IFERROR(COUNTIFS('Survey Q2'!$C:$C,Scorecard!$A9,'Survey Q1'!$F:$F,"1")/P9,"0")</f>
        <v>0</v>
      </c>
      <c r="BY9" s="32" t="str">
        <f>IFERROR(COUNTIFS('Survey Q3'!$C:$C,Scorecard!$A9,'Survey Q1'!$F:$F,"1")/Q9,"0")</f>
        <v>0</v>
      </c>
      <c r="BZ9" s="32" t="str">
        <f>IFERROR(COUNTIFS('Survey Q4'!$C:$C,Scorecard!$A9,'Survey Q1'!$F:$F,"1")/R9,"0")</f>
        <v>0</v>
      </c>
      <c r="CA9" s="32">
        <f>IFERROR(AVERAGEIF(BW9:BZ9,"&gt;0",BW9:BZ9),"-")</f>
        <v>0.8666666666666667</v>
      </c>
      <c r="CB9" s="16">
        <f>IF(CA9="-",0,IF(CA9&lt;Goals!$T$6,Goals!$U$7,IF(CA9&lt;Goals!$T$5,Goals!$U$6,IF(CA9&lt;Goals!$T$4,Goals!$U$5,IF(CA9&lt;Goals!$T$3,Goals!$U$4,IF(CA9&lt;Goals!$T$2,Goals!$U$3,Goals!$U$2))))))</f>
        <v>0.8</v>
      </c>
      <c r="CC9" s="24">
        <f>Scorecard!AF9*Goals!$C$3+Scorecard!AT9*Goals!$D$3+Scorecard!BH9*Goals!$E$3+Scorecard!CB9*Goals!$B$3+BV9*Goals!$F$3</f>
        <v>0.81</v>
      </c>
      <c r="CF9" s="13"/>
      <c r="CG9" s="2"/>
      <c r="CH9" s="20"/>
      <c r="CI9" s="2"/>
      <c r="CJ9" s="10"/>
      <c r="CK9" s="2"/>
      <c r="CL9" s="12"/>
    </row>
    <row r="10" spans="1:93">
      <c r="A10" s="25" t="s">
        <v>40</v>
      </c>
      <c r="B10" s="26">
        <f>COUNTIFS('Sellers Pro'!$F:$F,Scorecard!$A10,'Sellers Pro'!$Q:$Q,"&lt;"&amp;Scorecard!B$2,'Sellers Pro'!$O:$O,"1")</f>
        <v>33</v>
      </c>
      <c r="C10" s="26">
        <f>COUNTIFS('Sellers Pro'!$F:$F,Scorecard!$A10,'Sellers Pro'!$Q:$Q,"&lt;"&amp;Scorecard!C$2,'Sellers Pro'!$O:$O,"1")</f>
        <v>33</v>
      </c>
      <c r="D10" s="26">
        <f>COUNTIFS('Sellers Pro'!$F:$F,Scorecard!$A10,'Sellers Pro'!$Q:$Q,"&lt;"&amp;Scorecard!D$2,'Sellers Pro'!$O:$O,"1")</f>
        <v>40</v>
      </c>
      <c r="E10" s="26">
        <f>COUNTIFS('Sellers Pro'!$F:$F,Scorecard!$A10,'Sellers Pro'!$Q:$Q,"&lt;"&amp;Scorecard!E$2,'Sellers Pro'!$O:$O,"1")</f>
        <v>40</v>
      </c>
      <c r="F10" s="26">
        <f>COUNTIFS('Sellers Pro'!$F:$F,Scorecard!$A10,'Sellers Pro'!$Q:$Q,"&lt;"&amp;Scorecard!F$2,'Sellers Pro'!$O:$O,"1")</f>
        <v>40</v>
      </c>
      <c r="G10" s="26">
        <f>COUNTIFS('Sellers Pro'!$F:$F,Scorecard!$A10,'Sellers Pro'!$Q:$Q,"&lt;"&amp;Scorecard!G$2,'Sellers Pro'!$O:$O,"1")</f>
        <v>40</v>
      </c>
      <c r="H10" s="26">
        <f>COUNTIFS('Sellers Pro'!$F:$F,Scorecard!$A10,'Sellers Pro'!$Q:$Q,"&lt;"&amp;Scorecard!H$2,'Sellers Pro'!$O:$O,"1")</f>
        <v>40</v>
      </c>
      <c r="I10" s="26">
        <f>COUNTIFS('Sellers Pro'!$F:$F,Scorecard!$A10,'Sellers Pro'!$Q:$Q,"&lt;"&amp;Scorecard!I$2,'Sellers Pro'!$O:$O,"1")</f>
        <v>40</v>
      </c>
      <c r="J10" s="26">
        <f>COUNTIFS('Sellers Pro'!$F:$F,Scorecard!$A10,'Sellers Pro'!$Q:$Q,"&lt;"&amp;Scorecard!J$2,'Sellers Pro'!$O:$O,"1")</f>
        <v>40</v>
      </c>
      <c r="K10" s="26">
        <f>COUNTIFS('Sellers Pro'!$F:$F,Scorecard!$A10,'Sellers Pro'!$Q:$Q,"&lt;"&amp;Scorecard!K$2,'Sellers Pro'!$O:$O,"1")</f>
        <v>40</v>
      </c>
      <c r="L10" s="26">
        <f>COUNTIFS('Sellers Pro'!$F:$F,Scorecard!$A10,'Sellers Pro'!$Q:$Q,"&lt;"&amp;Scorecard!L$2,'Sellers Pro'!$O:$O,"1")</f>
        <v>40</v>
      </c>
      <c r="M10" s="26">
        <f>COUNTIFS('Sellers Pro'!$F:$F,Scorecard!$A10,'Sellers Pro'!$Q:$Q,"&lt;"&amp;Scorecard!M$2,'Sellers Pro'!$O:$O,"1")</f>
        <v>40</v>
      </c>
      <c r="N10" s="41">
        <f>IFERROR(AVERAGEIF(B10:M10,"&gt;0",B10:M10),"-")</f>
        <v>38.833333333333336</v>
      </c>
      <c r="O10" s="26">
        <f>COUNTIFS('Survey Q1'!$G:$G,"="&amp;1,'Survey Q1'!$C:$C,Scorecard!$A10)</f>
        <v>0</v>
      </c>
      <c r="P10" s="26">
        <f>COUNTIFS('Survey Q2'!$G:$G,"="&amp;1,'Survey Q1'!$C:$C,Scorecard!$A10)</f>
        <v>0</v>
      </c>
      <c r="Q10" s="26">
        <f>COUNTIFS('Survey Q3'!$G:$G,"="&amp;1,'Survey Q1'!$C:$C,Scorecard!$A10)</f>
        <v>0</v>
      </c>
      <c r="R10" s="26">
        <f>COUNTIFS('Survey Q4'!$G:$G,"="&amp;1,'Survey Q1'!$C:$C,Scorecard!$A10)</f>
        <v>0</v>
      </c>
      <c r="S10" s="22">
        <f>IFERROR(COUNTIFS(Base!$J:$J,Scorecard!$A10,Base!$E:$E,"&gt;"&amp;S$1,Base!$E:$E,"&lt;"&amp;S$2,Base!$AH:$AH,"1",Base!$A:$A,"2026")/$N10,"0")</f>
        <v>0</v>
      </c>
      <c r="T10" s="22">
        <f>IFERROR(COUNTIFS(Base!$J:$J,Scorecard!$A10,Base!$E:$E,"&gt;"&amp;T$1,Base!$E:$E,"&lt;"&amp;T$2,Base!$AH:$AH,"1",Base!$A:$A,"2026")/$N10,"0")</f>
        <v>0</v>
      </c>
      <c r="U10" s="22">
        <f>IFERROR(COUNTIFS(Base!$J:$J,Scorecard!$A10,Base!$E:$E,"&gt;"&amp;U$1,Base!$E:$E,"&lt;"&amp;U$2,Base!$AH:$AH,"1",Base!$A:$A,"2026")/$N10,"0")</f>
        <v>0</v>
      </c>
      <c r="V10" s="22">
        <f>IFERROR(COUNTIFS(Base!$J:$J,Scorecard!$A10,Base!$E:$E,"&gt;"&amp;V$1,Base!$E:$E,"&lt;"&amp;V$2,Base!$AH:$AH,"1",Base!$A:$A,"2026")/$N10,"0")</f>
        <v>0</v>
      </c>
      <c r="W10" s="22">
        <f>IFERROR(COUNTIFS(Base!$J:$J,Scorecard!$A10,Base!$E:$E,"&gt;"&amp;W$1,Base!$E:$E,"&lt;"&amp;W$2,Base!$AH:$AH,"1",Base!$A:$A,"2026")/$N10,"0")</f>
        <v>0</v>
      </c>
      <c r="X10" s="22">
        <f>IFERROR(COUNTIFS(Base!$J:$J,Scorecard!$A10,Base!$E:$E,"&gt;"&amp;X$1,Base!$E:$E,"&lt;"&amp;X$2,Base!$AH:$AH,"1",Base!$A:$A,"2026")/$N10,"0")</f>
        <v>0</v>
      </c>
      <c r="Y10" s="22">
        <f>IFERROR(COUNTIFS(Base!$J:$J,Scorecard!$A10,Base!$E:$E,"&gt;"&amp;Y$1,Base!$E:$E,"&lt;"&amp;Y$2,Base!$AH:$AH,"1",Base!$A:$A,"2026")/$N10,"0")</f>
        <v>0</v>
      </c>
      <c r="Z10" s="22">
        <f>IFERROR(COUNTIFS(Base!$J:$J,Scorecard!$A10,Base!$E:$E,"&gt;"&amp;Z$1,Base!$E:$E,"&lt;"&amp;Z$2,Base!$AH:$AH,"1",Base!$A:$A,"2026")/$N10,"0")</f>
        <v>0</v>
      </c>
      <c r="AA10" s="22">
        <f>IFERROR(COUNTIFS(Base!$J:$J,Scorecard!$A10,Base!$E:$E,"&gt;"&amp;AA$1,Base!$E:$E,"&lt;"&amp;AA$2,Base!$AH:$AH,"1",Base!$A:$A,"2026")/$N10,"0")</f>
        <v>0</v>
      </c>
      <c r="AB10" s="22">
        <f>IFERROR(COUNTIFS(Base!$J:$J,Scorecard!$A10,Base!$E:$E,"&gt;"&amp;AB$1,Base!$E:$E,"&lt;"&amp;AB$2,Base!$AH:$AH,"1",Base!$A:$A,"2026")/$N10,"0")</f>
        <v>0</v>
      </c>
      <c r="AC10" s="22">
        <f>IFERROR(COUNTIFS(Base!$J:$J,Scorecard!$A10,Base!$E:$E,"&gt;"&amp;AC$1,Base!$E:$E,"&lt;"&amp;AC$2,Base!$AH:$AH,"1",Base!$A:$A,"2026")/$N10,"0")</f>
        <v>0</v>
      </c>
      <c r="AD10" s="22">
        <f>IFERROR(COUNTIFS(Base!$J:$J,Scorecard!$A10,Base!$E:$E,"&gt;"&amp;AD$1,Base!$E:$E,"&lt;"&amp;AD$2,Base!$AH:$AH,"1",Base!$A:$A,"2026")/$N10,"0")</f>
        <v>0</v>
      </c>
      <c r="AE10" s="22" t="str">
        <f>IFERROR(AVERAGEIF(S10:AD10,"&gt;0",S10:AD10),"-")</f>
        <v>-</v>
      </c>
      <c r="AF10" s="16">
        <f>IF(AE10="-",0,IF(AE10&lt;Goals!$K$6,Goals!$L$7,IF(AE10&lt;Goals!$K$5,Goals!$L$6,IF(AE10&lt;Goals!$K$4,Goals!$L$5,IF(AE10&lt;Goals!$K$3,Goals!$L$4,IF(AE10&lt;Goals!$K$2,Goals!$L$3,Goals!$L$2))))))</f>
        <v>0</v>
      </c>
      <c r="AG10" s="23" t="str">
        <f>IFERROR(AVERAGEIFS(Base!$V:$V,Base!$J:$J,Scorecard!$A10,Base!$E:$E,"&gt;"&amp;AG$1,Base!$G:$G,"&lt;"&amp;AG$2,Base!$V:$V,"&lt;"&amp;$A$2,Base!$V:$V,"&gt;"&amp;0,Base!$A:$A,"2026"),"0")</f>
        <v>0</v>
      </c>
      <c r="AH10" s="23" t="str">
        <f>IFERROR(AVERAGEIFS(Base!$V:$V,Base!$J:$J,Scorecard!$A10,Base!$E:$E,"&gt;"&amp;AH$1,Base!$G:$G,"&lt;"&amp;AH$2,Base!$V:$V,"&lt;"&amp;$A$2,Base!$V:$V,"&gt;"&amp;0,Base!$A:$A,"2026"),"0")</f>
        <v>0</v>
      </c>
      <c r="AI10" s="23" t="str">
        <f>IFERROR(AVERAGEIFS(Base!$V:$V,Base!$J:$J,Scorecard!$A10,Base!$E:$E,"&gt;"&amp;AI$1,Base!$G:$G,"&lt;"&amp;AI$2,Base!$V:$V,"&lt;"&amp;$A$2,Base!$V:$V,"&gt;"&amp;0,Base!$A:$A,"2026"),"0")</f>
        <v>0</v>
      </c>
      <c r="AJ10" s="23" t="str">
        <f>IFERROR(AVERAGEIFS(Base!$V:$V,Base!$J:$J,Scorecard!$A10,Base!$E:$E,"&gt;"&amp;AJ$1,Base!$G:$G,"&lt;"&amp;AJ$2,Base!$V:$V,"&lt;"&amp;$A$2,Base!$V:$V,"&gt;"&amp;0,Base!$A:$A,"2026"),"0")</f>
        <v>0</v>
      </c>
      <c r="AK10" s="23" t="str">
        <f>IFERROR(AVERAGEIFS(Base!$V:$V,Base!$J:$J,Scorecard!$A10,Base!$E:$E,"&gt;"&amp;AK$1,Base!$G:$G,"&lt;"&amp;AK$2,Base!$V:$V,"&lt;"&amp;$A$2,Base!$V:$V,"&gt;"&amp;0,Base!$A:$A,"2026"),"0")</f>
        <v>0</v>
      </c>
      <c r="AL10" s="23" t="str">
        <f>IFERROR(AVERAGEIFS(Base!$V:$V,Base!$J:$J,Scorecard!$A10,Base!$E:$E,"&gt;"&amp;AL$1,Base!$G:$G,"&lt;"&amp;AL$2,Base!$V:$V,"&lt;"&amp;$A$2,Base!$V:$V,"&gt;"&amp;0,Base!$A:$A,"2026"),"0")</f>
        <v>0</v>
      </c>
      <c r="AM10" s="23" t="str">
        <f>IFERROR(AVERAGEIFS(Base!$V:$V,Base!$J:$J,Scorecard!$A10,Base!$E:$E,"&gt;"&amp;AM$1,Base!$G:$G,"&lt;"&amp;AM$2,Base!$V:$V,"&lt;"&amp;$A$2,Base!$V:$V,"&gt;"&amp;0,Base!$A:$A,"2026"),"0")</f>
        <v>0</v>
      </c>
      <c r="AN10" s="23" t="str">
        <f>IFERROR(AVERAGEIFS(Base!$V:$V,Base!$J:$J,Scorecard!$A10,Base!$E:$E,"&gt;"&amp;AN$1,Base!$G:$G,"&lt;"&amp;AN$2,Base!$V:$V,"&lt;"&amp;$A$2,Base!$V:$V,"&gt;"&amp;0,Base!$A:$A,"2026"),"0")</f>
        <v>0</v>
      </c>
      <c r="AO10" s="23" t="str">
        <f>IFERROR(AVERAGEIFS(Base!$V:$V,Base!$J:$J,Scorecard!$A10,Base!$E:$E,"&gt;"&amp;AO$1,Base!$G:$G,"&lt;"&amp;AO$2,Base!$V:$V,"&lt;"&amp;$A$2,Base!$V:$V,"&gt;"&amp;0,Base!$A:$A,"2026"),"0")</f>
        <v>0</v>
      </c>
      <c r="AP10" s="23" t="str">
        <f>IFERROR(AVERAGEIFS(Base!$V:$V,Base!$J:$J,Scorecard!$A10,Base!$E:$E,"&gt;"&amp;AP$1,Base!$G:$G,"&lt;"&amp;AP$2,Base!$V:$V,"&lt;"&amp;$A$2,Base!$V:$V,"&gt;"&amp;0,Base!$A:$A,"2026"),"0")</f>
        <v>0</v>
      </c>
      <c r="AQ10" s="23" t="str">
        <f>IFERROR(AVERAGEIFS(Base!$V:$V,Base!$J:$J,Scorecard!$A10,Base!$E:$E,"&gt;"&amp;AQ$1,Base!$G:$G,"&lt;"&amp;AQ$2,Base!$V:$V,"&lt;"&amp;$A$2,Base!$V:$V,"&gt;"&amp;0,Base!$A:$A,"2026"),"0")</f>
        <v>0</v>
      </c>
      <c r="AR10" s="23" t="str">
        <f>IFERROR(AVERAGEIFS(Base!$V:$V,Base!$J:$J,Scorecard!$A10,Base!$E:$E,"&gt;"&amp;AR$1,Base!$G:$G,"&lt;"&amp;AR$2,Base!$V:$V,"&lt;"&amp;$A$2,Base!$V:$V,"&gt;"&amp;0,Base!$A:$A,"2026"),"0")</f>
        <v>0</v>
      </c>
      <c r="AS10" s="40" t="str">
        <f>IFERROR(AVERAGEIF(AG10:AR10,"&gt;0",AG10:AR10),"-")</f>
        <v>-</v>
      </c>
      <c r="AT10" s="16">
        <f>IF(AS10="-",0,IF(AS10&gt;Goals!$N$6,Goals!$O$7,IF(AS10&gt;Goals!$N$5,Goals!$O$6,IF(AS10&gt;Goals!$N$4,Goals!$O$5,IF(AS10&gt;Goals!$N$3,Goals!$O$4,IF(AS10&gt;Goals!$N$2,Goals!$O$3,Goals!$O$2))))))</f>
        <v>0</v>
      </c>
      <c r="AU10" s="39" t="str">
        <f>IFERROR(COUNTIFS(Base!$E:$E,"&gt;"&amp;AU$1,Base!$G:$G,"&lt;"&amp;AU$2,Base!$J:$J,Scorecard!$A10,Base!$T:$T,"COMPLETED")/COUNTIFS(Base!$E:$E,"&gt;"&amp;AU$1,Base!$E:$E,"&lt;"&amp;AU$2,Base!$J:$J,Scorecard!$A10),"0")</f>
        <v>0</v>
      </c>
      <c r="AV10" s="39" t="str">
        <f>IFERROR(COUNTIFS(Base!$E:$E,"&gt;"&amp;AV$1,Base!$G:$G,"&lt;"&amp;AV$2,Base!$J:$J,Scorecard!$A10,Base!$T:$T,"COMPLETED")/COUNTIFS(Base!$E:$E,"&gt;"&amp;AV$1,Base!$E:$E,"&lt;"&amp;AV$2,Base!$J:$J,Scorecard!$A10),"0")</f>
        <v>0</v>
      </c>
      <c r="AW10" s="39" t="str">
        <f>IFERROR(COUNTIFS(Base!$E:$E,"&gt;"&amp;AW$1,Base!$G:$G,"&lt;"&amp;AW$2,Base!$J:$J,Scorecard!$A10,Base!$T:$T,"COMPLETED")/COUNTIFS(Base!$E:$E,"&gt;"&amp;AW$1,Base!$E:$E,"&lt;"&amp;AW$2,Base!$J:$J,Scorecard!$A10),"0")</f>
        <v>0</v>
      </c>
      <c r="AX10" s="39" t="str">
        <f>IFERROR(COUNTIFS(Base!$E:$E,"&gt;"&amp;AX$1,Base!$G:$G,"&lt;"&amp;AX$2,Base!$J:$J,Scorecard!$A10,Base!$T:$T,"COMPLETED")/COUNTIFS(Base!$E:$E,"&gt;"&amp;AX$1,Base!$E:$E,"&lt;"&amp;AX$2,Base!$J:$J,Scorecard!$A10),"0")</f>
        <v>0</v>
      </c>
      <c r="AY10" s="39" t="str">
        <f>IFERROR(COUNTIFS(Base!$E:$E,"&gt;"&amp;AY$1,Base!$G:$G,"&lt;"&amp;AY$2,Base!$J:$J,Scorecard!$A10,Base!$T:$T,"COMPLETED")/COUNTIFS(Base!$E:$E,"&gt;"&amp;AY$1,Base!$E:$E,"&lt;"&amp;AY$2,Base!$J:$J,Scorecard!$A10),"0")</f>
        <v>0</v>
      </c>
      <c r="AZ10" s="39" t="str">
        <f>IFERROR(COUNTIFS(Base!$E:$E,"&gt;"&amp;AZ$1,Base!$G:$G,"&lt;"&amp;AZ$2,Base!$J:$J,Scorecard!$A10,Base!$T:$T,"COMPLETED")/COUNTIFS(Base!$E:$E,"&gt;"&amp;AZ$1,Base!$E:$E,"&lt;"&amp;AZ$2,Base!$J:$J,Scorecard!$A10),"0")</f>
        <v>0</v>
      </c>
      <c r="BA10" s="39" t="str">
        <f>IFERROR(COUNTIFS(Base!$E:$E,"&gt;"&amp;BA$1,Base!$G:$G,"&lt;"&amp;BA$2,Base!$J:$J,Scorecard!$A10,Base!$T:$T,"COMPLETED")/COUNTIFS(Base!$E:$E,"&gt;"&amp;BA$1,Base!$E:$E,"&lt;"&amp;BA$2,Base!$J:$J,Scorecard!$A10),"0")</f>
        <v>0</v>
      </c>
      <c r="BB10" s="39" t="str">
        <f>IFERROR(COUNTIFS(Base!$E:$E,"&gt;"&amp;BB$1,Base!$G:$G,"&lt;"&amp;BB$2,Base!$J:$J,Scorecard!$A10,Base!$T:$T,"COMPLETED")/COUNTIFS(Base!$E:$E,"&gt;"&amp;BB$1,Base!$E:$E,"&lt;"&amp;BB$2,Base!$J:$J,Scorecard!$A10),"0")</f>
        <v>0</v>
      </c>
      <c r="BC10" s="39" t="str">
        <f>IFERROR(COUNTIFS(Base!$E:$E,"&gt;"&amp;BC$1,Base!$G:$G,"&lt;"&amp;BC$2,Base!$J:$J,Scorecard!$A10,Base!$T:$T,"COMPLETED")/COUNTIFS(Base!$E:$E,"&gt;"&amp;BC$1,Base!$E:$E,"&lt;"&amp;BC$2,Base!$J:$J,Scorecard!$A10),"0")</f>
        <v>0</v>
      </c>
      <c r="BD10" s="39" t="str">
        <f>IFERROR(COUNTIFS(Base!$E:$E,"&gt;"&amp;BD$1,Base!$G:$G,"&lt;"&amp;BD$2,Base!$J:$J,Scorecard!$A10,Base!$T:$T,"COMPLETED")/COUNTIFS(Base!$E:$E,"&gt;"&amp;BD$1,Base!$E:$E,"&lt;"&amp;BD$2,Base!$J:$J,Scorecard!$A10),"0")</f>
        <v>0</v>
      </c>
      <c r="BE10" s="39" t="str">
        <f>IFERROR(COUNTIFS(Base!$E:$E,"&gt;"&amp;BE$1,Base!$G:$G,"&lt;"&amp;BE$2,Base!$J:$J,Scorecard!$A10,Base!$T:$T,"COMPLETED")/COUNTIFS(Base!$E:$E,"&gt;"&amp;BE$1,Base!$E:$E,"&lt;"&amp;BE$2,Base!$J:$J,Scorecard!$A10),"0")</f>
        <v>0</v>
      </c>
      <c r="BF10" s="39" t="str">
        <f>IFERROR(COUNTIFS(Base!$E:$E,"&gt;"&amp;BF$1,Base!$G:$G,"&lt;"&amp;BF$2,Base!$J:$J,Scorecard!$A10,Base!$T:$T,"COMPLETED")/COUNTIFS(Base!$E:$E,"&gt;"&amp;BF$1,Base!$E:$E,"&lt;"&amp;BF$2,Base!$J:$J,Scorecard!$A10),"0")</f>
        <v>0</v>
      </c>
      <c r="BG10" s="22" t="str">
        <f>IFERROR(AVERAGEIF(AU10:BF10,"&gt;0",AU10:BF10),"-")</f>
        <v>-</v>
      </c>
      <c r="BH10" s="16">
        <f>IF(BG10="-",0,IF(BG10&lt;Goals!$Q$6,Goals!$R$7,IF(BG10&lt;Goals!$Q$5,Goals!$R$6,IF(BG10&lt;Goals!$Q$4,Goals!$R$5,IF(BG10&lt;Goals!$Q$3,Goals!$R$4,IF(BG10&lt;Goals!$Q$2,Goals!$R$3,Goals!$R$2))))))</f>
        <v>0</v>
      </c>
      <c r="BI10" s="26">
        <f>COUNTIFS(Strikes!$A:$A,Scorecard!$A10,Strikes!$C:$C,"&gt;"&amp;Scorecard!BI$1,Strikes!$C:$C,"&lt;"&amp;Scorecard!BI$2)</f>
        <v>0</v>
      </c>
      <c r="BJ10" s="26">
        <f>COUNTIFS(Strikes!$A:$A,Scorecard!$A10,Strikes!$C:$C,"&gt;"&amp;Scorecard!BJ$1,Strikes!$C:$C,"&lt;"&amp;Scorecard!BJ$2)</f>
        <v>0</v>
      </c>
      <c r="BK10" s="26">
        <f>COUNTIFS(Strikes!$A:$A,Scorecard!$A10,Strikes!$C:$C,"&gt;"&amp;Scorecard!BK$1,Strikes!$C:$C,"&lt;"&amp;Scorecard!BK$2)</f>
        <v>0</v>
      </c>
      <c r="BL10" s="26">
        <f>COUNTIFS(Strikes!$A:$A,Scorecard!$A10,Strikes!$C:$C,"&gt;"&amp;Scorecard!BL$1,Strikes!$C:$C,"&lt;"&amp;Scorecard!BL$2)</f>
        <v>0</v>
      </c>
      <c r="BM10" s="26">
        <f>COUNTIFS(Strikes!$A:$A,Scorecard!$A10,Strikes!$C:$C,"&gt;"&amp;Scorecard!BM$1,Strikes!$C:$C,"&lt;"&amp;Scorecard!BM$2)</f>
        <v>0</v>
      </c>
      <c r="BN10" s="26">
        <f>COUNTIFS(Strikes!$A:$A,Scorecard!$A10,Strikes!$C:$C,"&gt;"&amp;Scorecard!BN$1,Strikes!$C:$C,"&lt;"&amp;Scorecard!BN$2)</f>
        <v>0</v>
      </c>
      <c r="BO10" s="26">
        <f>COUNTIFS(Strikes!$A:$A,Scorecard!$A10,Strikes!$C:$C,"&gt;"&amp;Scorecard!BO$1,Strikes!$C:$C,"&lt;"&amp;Scorecard!BO$2)</f>
        <v>0</v>
      </c>
      <c r="BP10" s="26">
        <f>COUNTIFS(Strikes!$A:$A,Scorecard!$A10,Strikes!$C:$C,"&gt;"&amp;Scorecard!BP$1,Strikes!$C:$C,"&lt;"&amp;Scorecard!BP$2)</f>
        <v>0</v>
      </c>
      <c r="BQ10" s="26">
        <f>COUNTIFS(Strikes!$A:$A,Scorecard!$A10,Strikes!$C:$C,"&gt;"&amp;Scorecard!BQ$1,Strikes!$C:$C,"&lt;"&amp;Scorecard!BQ$2)</f>
        <v>0</v>
      </c>
      <c r="BR10" s="26">
        <f>COUNTIFS(Strikes!$A:$A,Scorecard!$A10,Strikes!$C:$C,"&gt;"&amp;Scorecard!BR$1,Strikes!$C:$C,"&lt;"&amp;Scorecard!BR$2)</f>
        <v>0</v>
      </c>
      <c r="BS10" s="26">
        <f>COUNTIFS(Strikes!$A:$A,Scorecard!$A10,Strikes!$C:$C,"&gt;"&amp;Scorecard!BS$1,Strikes!$C:$C,"&lt;"&amp;Scorecard!BS$2)</f>
        <v>0</v>
      </c>
      <c r="BT10" s="26">
        <f>COUNTIFS(Strikes!$A:$A,Scorecard!$A10,Strikes!$C:$C,"&gt;"&amp;Scorecard!BT$1,Strikes!$C:$C,"&lt;"&amp;Scorecard!BT$2)</f>
        <v>0</v>
      </c>
      <c r="BU10" s="41" t="str">
        <f>IFERROR(AVERAGEIF(BI10:BT10,"&gt;0",BI10:BT10),"0")</f>
        <v>0</v>
      </c>
      <c r="BV10" s="16">
        <f>IF(BU10="-",0,IF(BU10=Goals!$H$7,Goals!$I$7,IF(BU10=Goals!$H$6,Goals!$I$6,IF(BU10=Goals!$H$5,Goals!$I$5,IF(BU10=Goals!$H$4,Goals!$I$4,IF(BU10=Goals!$H$3,Goals!$I$3,Goals!$I$2))))))</f>
        <v>1.2</v>
      </c>
      <c r="BW10" s="32" t="str">
        <f>IFERROR(COUNTIFS('Survey Q1'!$C:$C,Scorecard!$A10,'Survey Q1'!$F:$F,"1")/O10,"0")</f>
        <v>0</v>
      </c>
      <c r="BX10" s="32" t="str">
        <f>IFERROR(COUNTIFS('Survey Q2'!$C:$C,Scorecard!$A10,'Survey Q1'!$F:$F,"1")/P10,"0")</f>
        <v>0</v>
      </c>
      <c r="BY10" s="32" t="str">
        <f>IFERROR(COUNTIFS('Survey Q3'!$C:$C,Scorecard!$A10,'Survey Q1'!$F:$F,"1")/Q10,"0")</f>
        <v>0</v>
      </c>
      <c r="BZ10" s="32" t="str">
        <f>IFERROR(COUNTIFS('Survey Q4'!$C:$C,Scorecard!$A10,'Survey Q1'!$F:$F,"1")/R10,"0")</f>
        <v>0</v>
      </c>
      <c r="CA10" s="32" t="str">
        <f>IFERROR(AVERAGEIF(BW10:BZ10,"&gt;0",BW10:BZ10),"-")</f>
        <v>-</v>
      </c>
      <c r="CB10" s="16">
        <f>IF(CA10="-",0,IF(CA10&lt;Goals!$T$6,Goals!$U$7,IF(CA10&lt;Goals!$T$5,Goals!$U$6,IF(CA10&lt;Goals!$T$4,Goals!$U$5,IF(CA10&lt;Goals!$T$3,Goals!$U$4,IF(CA10&lt;Goals!$T$2,Goals!$U$3,Goals!$U$2))))))</f>
        <v>0</v>
      </c>
      <c r="CC10" s="24">
        <f>Scorecard!AF10*Goals!$C$3+Scorecard!AT10*Goals!$D$3+Scorecard!BH10*Goals!$E$3+Scorecard!CB10*Goals!$B$3+BV10*Goals!$F$3</f>
        <v>0.06</v>
      </c>
      <c r="CF10" s="13"/>
      <c r="CG10" s="2"/>
      <c r="CH10" s="11"/>
      <c r="CI10" s="2"/>
      <c r="CJ10" s="10"/>
      <c r="CK10" s="2"/>
      <c r="CL10" s="12"/>
    </row>
    <row r="12" spans="1:93">
      <c r="A12" s="1"/>
      <c r="B12" s="1"/>
      <c r="C12" s="1"/>
      <c r="D12" s="1"/>
      <c r="E12" s="1"/>
      <c r="F12" s="1"/>
      <c r="G12" s="1"/>
      <c r="H12" s="1"/>
      <c r="I12" s="1"/>
      <c r="J12" s="1"/>
      <c r="K12" s="1"/>
      <c r="L12" s="1"/>
      <c r="M12" s="1"/>
    </row>
    <row r="13" spans="1:93">
      <c r="A13" s="1"/>
      <c r="B13" s="1"/>
      <c r="C13" s="1"/>
      <c r="D13" s="1"/>
      <c r="E13" s="1"/>
      <c r="F13" s="1"/>
      <c r="G13" s="1"/>
      <c r="H13" s="1"/>
      <c r="I13" s="1"/>
      <c r="J13" s="1"/>
      <c r="K13" s="1"/>
      <c r="L13" s="1"/>
      <c r="M13" s="1"/>
    </row>
    <row r="14" spans="1:93">
      <c r="A14" s="1"/>
      <c r="B14" s="1"/>
      <c r="C14" s="1"/>
      <c r="D14" s="1"/>
      <c r="E14" s="1"/>
      <c r="F14" s="1"/>
      <c r="G14" s="1"/>
      <c r="H14" s="1"/>
      <c r="I14" s="1"/>
      <c r="J14" s="1"/>
      <c r="K14" s="1"/>
      <c r="L14" s="1"/>
      <c r="M14" s="1"/>
    </row>
    <row r="15" spans="1:93">
      <c r="A15" s="1"/>
      <c r="B15" s="1"/>
      <c r="C15" s="1"/>
      <c r="D15" s="1"/>
      <c r="E15" s="1"/>
      <c r="F15" s="1"/>
      <c r="G15" s="1"/>
      <c r="H15" s="1"/>
      <c r="I15" s="1"/>
      <c r="J15" s="1"/>
      <c r="K15" s="1"/>
      <c r="L15" s="1"/>
      <c r="M15" s="1"/>
    </row>
    <row r="16" spans="1:93">
      <c r="A16" s="1"/>
      <c r="B16" s="1"/>
      <c r="C16" s="1"/>
      <c r="D16" s="1"/>
      <c r="E16" s="1"/>
      <c r="F16" s="1"/>
      <c r="G16" s="1"/>
      <c r="H16" s="1"/>
      <c r="I16" s="1"/>
      <c r="J16" s="1"/>
      <c r="K16" s="1"/>
      <c r="L16" s="1"/>
      <c r="M16" s="1"/>
    </row>
    <row r="17" spans="1:59">
      <c r="A17" s="1"/>
      <c r="B17" s="1"/>
      <c r="C17" s="1"/>
      <c r="D17" s="1"/>
      <c r="E17" s="1"/>
      <c r="F17" s="1"/>
      <c r="G17" s="1"/>
      <c r="H17" s="1"/>
      <c r="I17" s="1"/>
      <c r="J17" s="1"/>
      <c r="K17" s="1"/>
      <c r="L17" s="1"/>
      <c r="M17" s="1"/>
      <c r="BG17" s="35"/>
    </row>
    <row r="18" spans="1:59">
      <c r="A18" s="1"/>
      <c r="B18" s="1"/>
      <c r="C18" s="1"/>
      <c r="D18" s="1"/>
      <c r="E18" s="1"/>
      <c r="F18" s="1"/>
      <c r="G18" s="1"/>
      <c r="H18" s="1"/>
      <c r="I18" s="1"/>
      <c r="J18" s="1"/>
      <c r="K18" s="1"/>
      <c r="L18" s="1"/>
      <c r="M18" s="1"/>
    </row>
    <row r="19" spans="1:59">
      <c r="A19" s="1"/>
      <c r="B19" s="1"/>
      <c r="C19" s="1"/>
      <c r="D19" s="1"/>
      <c r="E19" s="1"/>
      <c r="F19" s="1"/>
      <c r="G19" s="1"/>
      <c r="H19" s="1"/>
      <c r="I19" s="1"/>
      <c r="J19" s="1"/>
      <c r="K19" s="1"/>
      <c r="L19" s="1"/>
      <c r="M19" s="1"/>
    </row>
    <row r="20" spans="1:59">
      <c r="A20" s="1"/>
      <c r="B20" s="1"/>
      <c r="C20" s="1"/>
      <c r="D20" s="1"/>
      <c r="E20" s="1"/>
      <c r="F20" s="1"/>
      <c r="G20" s="1"/>
      <c r="H20" s="1"/>
      <c r="I20" s="1"/>
      <c r="J20" s="1"/>
      <c r="K20" s="1"/>
      <c r="L20" s="1"/>
      <c r="M20" s="1"/>
    </row>
    <row r="21" spans="1:59">
      <c r="A21" s="1"/>
      <c r="B21" s="1"/>
      <c r="C21" s="1"/>
      <c r="D21" s="1"/>
      <c r="E21" s="1"/>
      <c r="F21" s="1"/>
      <c r="G21" s="1"/>
      <c r="H21" s="1"/>
      <c r="I21" s="1"/>
      <c r="J21" s="1"/>
      <c r="K21" s="1"/>
      <c r="L21" s="1"/>
      <c r="M21" s="1"/>
    </row>
    <row r="22" spans="1:59">
      <c r="A22" s="1"/>
      <c r="B22" s="1"/>
      <c r="C22" s="1"/>
      <c r="D22" s="1"/>
      <c r="E22" s="1"/>
      <c r="F22" s="1"/>
      <c r="G22" s="1"/>
      <c r="H22" s="1"/>
      <c r="I22" s="1"/>
      <c r="J22" s="1"/>
      <c r="K22" s="1"/>
      <c r="L22" s="1"/>
      <c r="M22" s="1"/>
    </row>
    <row r="23" spans="1:59">
      <c r="A23" s="1"/>
      <c r="B23" s="1"/>
      <c r="C23" s="1"/>
      <c r="D23" s="1"/>
      <c r="E23" s="1"/>
      <c r="F23" s="1"/>
      <c r="G23" s="1"/>
      <c r="H23" s="1"/>
      <c r="I23" s="1"/>
      <c r="J23" s="1"/>
      <c r="K23" s="1"/>
      <c r="L23" s="1"/>
      <c r="M23" s="1"/>
    </row>
    <row r="24" spans="1:59">
      <c r="A24" s="1"/>
      <c r="B24" s="1"/>
      <c r="C24" s="1"/>
      <c r="D24" s="1"/>
      <c r="E24" s="1"/>
      <c r="F24" s="1"/>
      <c r="G24" s="1"/>
      <c r="H24" s="1"/>
      <c r="I24" s="1"/>
      <c r="J24" s="1"/>
      <c r="K24" s="1"/>
      <c r="L24" s="1"/>
      <c r="M24" s="1"/>
    </row>
    <row r="25" spans="1:59">
      <c r="A25" s="1"/>
      <c r="B25" s="1"/>
      <c r="C25" s="1"/>
      <c r="D25" s="1"/>
      <c r="E25" s="1"/>
      <c r="F25" s="1"/>
      <c r="G25" s="1"/>
      <c r="H25" s="1"/>
      <c r="I25" s="1"/>
      <c r="J25" s="1"/>
      <c r="K25" s="1"/>
      <c r="L25" s="1"/>
      <c r="M25" s="1"/>
    </row>
    <row r="26" spans="1:59">
      <c r="A26" s="1"/>
      <c r="B26" s="1"/>
      <c r="C26" s="1"/>
      <c r="D26" s="1"/>
      <c r="E26" s="1"/>
      <c r="F26" s="1"/>
      <c r="G26" s="1"/>
      <c r="H26" s="1"/>
      <c r="I26" s="1"/>
      <c r="J26" s="1"/>
      <c r="K26" s="1"/>
      <c r="L26" s="1"/>
      <c r="M26" s="1"/>
    </row>
    <row r="27" spans="1:59">
      <c r="A27" s="1"/>
      <c r="B27" s="1"/>
      <c r="C27" s="1"/>
      <c r="D27" s="1"/>
      <c r="E27" s="1"/>
      <c r="F27" s="1"/>
      <c r="G27" s="1"/>
      <c r="H27" s="1"/>
      <c r="I27" s="1"/>
      <c r="J27" s="1"/>
      <c r="K27" s="1"/>
      <c r="L27" s="1"/>
      <c r="M27" s="1"/>
    </row>
    <row r="28" spans="1:59">
      <c r="A28" s="1"/>
      <c r="B28" s="1"/>
      <c r="C28" s="1"/>
      <c r="D28" s="1"/>
      <c r="E28" s="1"/>
      <c r="F28" s="1"/>
      <c r="G28" s="1"/>
      <c r="H28" s="1"/>
      <c r="I28" s="1"/>
      <c r="J28" s="1"/>
      <c r="K28" s="1"/>
      <c r="L28" s="1"/>
      <c r="M28" s="1"/>
    </row>
    <row r="29" spans="1:59">
      <c r="A29" s="1"/>
      <c r="B29" s="1"/>
      <c r="C29" s="1"/>
      <c r="D29" s="1"/>
      <c r="E29" s="1"/>
      <c r="F29" s="1"/>
      <c r="G29" s="1"/>
      <c r="H29" s="1"/>
      <c r="I29" s="1"/>
      <c r="J29" s="1"/>
      <c r="K29" s="1"/>
      <c r="L29" s="1"/>
      <c r="M29" s="1"/>
    </row>
    <row r="30" spans="1:59">
      <c r="A30" s="1"/>
      <c r="B30" s="1"/>
      <c r="C30" s="1"/>
      <c r="D30" s="1"/>
      <c r="E30" s="1"/>
      <c r="F30" s="1"/>
      <c r="G30" s="1"/>
      <c r="H30" s="1"/>
      <c r="I30" s="1"/>
      <c r="J30" s="1"/>
      <c r="K30" s="1"/>
      <c r="L30" s="1"/>
      <c r="M30" s="1"/>
    </row>
    <row r="31" spans="1:59">
      <c r="A31" s="1"/>
      <c r="B31" s="1"/>
      <c r="C31" s="1"/>
      <c r="D31" s="1"/>
      <c r="E31" s="1"/>
      <c r="F31" s="1"/>
      <c r="G31" s="1"/>
      <c r="H31" s="1"/>
      <c r="I31" s="1"/>
      <c r="J31" s="1"/>
      <c r="K31" s="1"/>
      <c r="L31" s="1"/>
      <c r="M31" s="1"/>
    </row>
    <row r="32" spans="1:59">
      <c r="A32" s="1"/>
      <c r="B32" s="1"/>
      <c r="C32" s="1"/>
      <c r="D32" s="1"/>
      <c r="E32" s="1"/>
      <c r="F32" s="1"/>
      <c r="G32" s="1"/>
      <c r="H32" s="1"/>
      <c r="I32" s="1"/>
      <c r="J32" s="1"/>
      <c r="K32" s="1"/>
      <c r="L32" s="1"/>
      <c r="M32" s="1"/>
    </row>
    <row r="33" spans="1:13">
      <c r="A33" s="1"/>
      <c r="B33" s="1"/>
      <c r="C33" s="1"/>
      <c r="D33" s="1"/>
      <c r="E33" s="1"/>
      <c r="F33" s="1"/>
      <c r="G33" s="1"/>
      <c r="H33" s="1"/>
      <c r="I33" s="1"/>
      <c r="J33" s="1"/>
      <c r="K33" s="1"/>
      <c r="L33" s="1"/>
      <c r="M33" s="1"/>
    </row>
    <row r="34" spans="1:13">
      <c r="A34" s="1"/>
      <c r="B34" s="1"/>
      <c r="C34" s="1"/>
      <c r="D34" s="1"/>
      <c r="E34" s="1"/>
      <c r="F34" s="1"/>
      <c r="G34" s="1"/>
      <c r="H34" s="1"/>
      <c r="I34" s="1"/>
      <c r="J34" s="1"/>
      <c r="K34" s="1"/>
      <c r="L34" s="1"/>
      <c r="M34" s="1"/>
    </row>
    <row r="35" spans="1:13">
      <c r="A35" s="1"/>
      <c r="B35" s="1"/>
      <c r="C35" s="1"/>
      <c r="D35" s="1"/>
      <c r="E35" s="1"/>
      <c r="F35" s="1"/>
      <c r="G35" s="1"/>
      <c r="H35" s="1"/>
      <c r="I35" s="1"/>
      <c r="J35" s="1"/>
      <c r="K35" s="1"/>
      <c r="L35" s="1"/>
      <c r="M35" s="1"/>
    </row>
    <row r="36" spans="1:13">
      <c r="A36" s="1"/>
      <c r="B36" s="1"/>
      <c r="C36" s="1"/>
      <c r="D36" s="1"/>
      <c r="E36" s="1"/>
      <c r="F36" s="1"/>
      <c r="G36" s="1"/>
      <c r="H36" s="1"/>
      <c r="I36" s="1"/>
      <c r="J36" s="1"/>
      <c r="K36" s="1"/>
      <c r="L36" s="1"/>
      <c r="M36" s="1"/>
    </row>
    <row r="37" spans="1:13">
      <c r="A37" s="1"/>
      <c r="B37" s="1"/>
      <c r="C37" s="1"/>
      <c r="D37" s="1"/>
      <c r="E37" s="1"/>
      <c r="F37" s="1"/>
      <c r="G37" s="1"/>
      <c r="H37" s="1"/>
      <c r="I37" s="1"/>
      <c r="J37" s="1"/>
      <c r="K37" s="1"/>
      <c r="L37" s="1"/>
      <c r="M37" s="1"/>
    </row>
    <row r="38" spans="1:13">
      <c r="A38" s="1"/>
      <c r="B38" s="1"/>
      <c r="C38" s="1"/>
      <c r="D38" s="1"/>
      <c r="E38" s="1"/>
      <c r="F38" s="1"/>
      <c r="G38" s="1"/>
      <c r="H38" s="1"/>
      <c r="I38" s="1"/>
      <c r="J38" s="1"/>
      <c r="K38" s="1"/>
      <c r="L38" s="1"/>
      <c r="M38" s="1"/>
    </row>
    <row r="39" spans="1:13">
      <c r="A39" s="1"/>
      <c r="B39" s="1"/>
      <c r="C39" s="1"/>
      <c r="D39" s="1"/>
      <c r="E39" s="1"/>
      <c r="F39" s="1"/>
      <c r="G39" s="1"/>
      <c r="H39" s="1"/>
      <c r="I39" s="1"/>
      <c r="J39" s="1"/>
      <c r="K39" s="1"/>
      <c r="L39" s="1"/>
      <c r="M39" s="1"/>
    </row>
    <row r="40" spans="1:13">
      <c r="A40" s="1"/>
      <c r="B40" s="1"/>
      <c r="C40" s="1"/>
      <c r="D40" s="1"/>
      <c r="E40" s="1"/>
      <c r="F40" s="1"/>
      <c r="G40" s="1"/>
      <c r="H40" s="1"/>
      <c r="I40" s="1"/>
      <c r="J40" s="1"/>
      <c r="K40" s="1"/>
      <c r="L40" s="1"/>
      <c r="M40" s="1"/>
    </row>
    <row r="41" spans="1:13">
      <c r="A41" s="1"/>
      <c r="B41" s="1"/>
      <c r="C41" s="1"/>
      <c r="D41" s="1"/>
      <c r="E41" s="1"/>
      <c r="F41" s="1"/>
      <c r="G41" s="1"/>
      <c r="H41" s="1"/>
      <c r="I41" s="1"/>
      <c r="J41" s="1"/>
      <c r="K41" s="1"/>
      <c r="L41" s="1"/>
      <c r="M41" s="1"/>
    </row>
    <row r="42" spans="1:13">
      <c r="A42" s="1"/>
      <c r="B42" s="1"/>
      <c r="C42" s="1"/>
      <c r="D42" s="1"/>
      <c r="E42" s="1"/>
      <c r="F42" s="1"/>
      <c r="G42" s="1"/>
      <c r="H42" s="1"/>
      <c r="I42" s="1"/>
      <c r="J42" s="1"/>
      <c r="K42" s="1"/>
      <c r="L42" s="1"/>
      <c r="M42" s="1"/>
    </row>
    <row r="43" spans="1:13">
      <c r="A43" s="1"/>
      <c r="B43" s="1"/>
      <c r="C43" s="1"/>
      <c r="D43" s="1"/>
      <c r="E43" s="1"/>
      <c r="F43" s="1"/>
      <c r="G43" s="1"/>
      <c r="H43" s="1"/>
      <c r="I43" s="1"/>
      <c r="J43" s="1"/>
      <c r="K43" s="1"/>
      <c r="L43" s="1"/>
      <c r="M43" s="1"/>
    </row>
    <row r="44" spans="1:13">
      <c r="A44" s="1"/>
      <c r="B44" s="1"/>
      <c r="C44" s="1"/>
      <c r="D44" s="1"/>
      <c r="E44" s="1"/>
      <c r="F44" s="1"/>
      <c r="G44" s="1"/>
      <c r="H44" s="1"/>
      <c r="I44" s="1"/>
      <c r="J44" s="1"/>
      <c r="K44" s="1"/>
      <c r="L44" s="1"/>
      <c r="M44" s="1"/>
    </row>
    <row r="45" spans="1:13">
      <c r="A45" s="1"/>
      <c r="B45" s="1"/>
      <c r="C45" s="1"/>
      <c r="D45" s="1"/>
      <c r="E45" s="1"/>
      <c r="F45" s="1"/>
      <c r="G45" s="1"/>
      <c r="H45" s="1"/>
      <c r="I45" s="1"/>
      <c r="J45" s="1"/>
      <c r="K45" s="1"/>
      <c r="L45" s="1"/>
      <c r="M45" s="1"/>
    </row>
    <row r="46" spans="1:13">
      <c r="A46" s="1"/>
      <c r="B46" s="1"/>
      <c r="C46" s="1"/>
      <c r="D46" s="1"/>
      <c r="E46" s="1"/>
      <c r="F46" s="1"/>
      <c r="G46" s="1"/>
      <c r="H46" s="1"/>
      <c r="I46" s="1"/>
      <c r="J46" s="1"/>
      <c r="K46" s="1"/>
      <c r="L46" s="1"/>
      <c r="M46" s="1"/>
    </row>
    <row r="47" spans="1:13">
      <c r="A47" s="1"/>
      <c r="B47" s="1"/>
      <c r="C47" s="1"/>
      <c r="D47" s="1"/>
      <c r="E47" s="1"/>
      <c r="F47" s="1"/>
      <c r="G47" s="1"/>
      <c r="H47" s="1"/>
      <c r="I47" s="1"/>
      <c r="J47" s="1"/>
      <c r="K47" s="1"/>
      <c r="L47" s="1"/>
      <c r="M47" s="1"/>
    </row>
    <row r="48" spans="1:13">
      <c r="A48" s="1"/>
      <c r="B48" s="1"/>
      <c r="C48" s="1"/>
      <c r="D48" s="1"/>
      <c r="E48" s="1"/>
      <c r="F48" s="1"/>
      <c r="G48" s="1"/>
      <c r="H48" s="1"/>
      <c r="I48" s="1"/>
      <c r="J48" s="1"/>
      <c r="K48" s="1"/>
      <c r="L48" s="1"/>
      <c r="M48" s="1"/>
    </row>
    <row r="49" spans="1:13">
      <c r="A49" s="1"/>
      <c r="B49" s="1"/>
      <c r="C49" s="1"/>
      <c r="D49" s="1"/>
      <c r="E49" s="1"/>
      <c r="F49" s="1"/>
      <c r="G49" s="1"/>
      <c r="H49" s="1"/>
      <c r="I49" s="1"/>
      <c r="J49" s="1"/>
      <c r="K49" s="1"/>
      <c r="L49" s="1"/>
      <c r="M49" s="1"/>
    </row>
    <row r="50" spans="1:13">
      <c r="A50" s="1"/>
      <c r="B50" s="1"/>
      <c r="C50" s="1"/>
      <c r="D50" s="1"/>
      <c r="E50" s="1"/>
      <c r="F50" s="1"/>
      <c r="G50" s="1"/>
      <c r="H50" s="1"/>
      <c r="I50" s="1"/>
      <c r="J50" s="1"/>
      <c r="K50" s="1"/>
      <c r="L50" s="1"/>
      <c r="M50" s="1"/>
    </row>
    <row r="51" spans="1:13">
      <c r="A51" s="1"/>
      <c r="B51" s="1"/>
      <c r="C51" s="1"/>
      <c r="D51" s="1"/>
      <c r="E51" s="1"/>
      <c r="F51" s="1"/>
      <c r="G51" s="1"/>
      <c r="H51" s="1"/>
      <c r="I51" s="1"/>
      <c r="J51" s="1"/>
      <c r="K51" s="1"/>
      <c r="L51" s="1"/>
      <c r="M51" s="1"/>
    </row>
    <row r="52" spans="1:13">
      <c r="A52" s="1"/>
      <c r="B52" s="1"/>
      <c r="C52" s="1"/>
      <c r="D52" s="1"/>
      <c r="E52" s="1"/>
      <c r="F52" s="1"/>
      <c r="G52" s="1"/>
      <c r="H52" s="1"/>
      <c r="I52" s="1"/>
      <c r="J52" s="1"/>
      <c r="K52" s="1"/>
      <c r="L52" s="1"/>
      <c r="M52" s="1"/>
    </row>
    <row r="53" spans="1:13">
      <c r="A53" s="1"/>
      <c r="B53" s="1"/>
      <c r="C53" s="1"/>
      <c r="D53" s="1"/>
      <c r="E53" s="1"/>
      <c r="F53" s="1"/>
      <c r="G53" s="1"/>
      <c r="H53" s="1"/>
      <c r="I53" s="1"/>
      <c r="J53" s="1"/>
      <c r="K53" s="1"/>
      <c r="L53" s="1"/>
      <c r="M53" s="1"/>
    </row>
    <row r="54" spans="1:13">
      <c r="A54" s="1"/>
      <c r="B54" s="1"/>
      <c r="C54" s="1"/>
      <c r="D54" s="1"/>
      <c r="E54" s="1"/>
      <c r="F54" s="1"/>
      <c r="G54" s="1"/>
      <c r="H54" s="1"/>
      <c r="I54" s="1"/>
      <c r="J54" s="1"/>
      <c r="K54" s="1"/>
      <c r="L54" s="1"/>
      <c r="M54" s="1"/>
    </row>
    <row r="55" spans="1:13">
      <c r="A55" s="1"/>
      <c r="B55" s="1"/>
      <c r="C55" s="1"/>
      <c r="D55" s="1"/>
      <c r="E55" s="1"/>
      <c r="F55" s="1"/>
      <c r="G55" s="1"/>
      <c r="H55" s="1"/>
      <c r="I55" s="1"/>
      <c r="J55" s="1"/>
      <c r="K55" s="1"/>
      <c r="L55" s="1"/>
      <c r="M55" s="1"/>
    </row>
    <row r="56" spans="1:13">
      <c r="A56" s="1"/>
      <c r="B56" s="1"/>
      <c r="C56" s="1"/>
      <c r="D56" s="1"/>
      <c r="E56" s="1"/>
      <c r="F56" s="1"/>
      <c r="G56" s="1"/>
      <c r="H56" s="1"/>
      <c r="I56" s="1"/>
      <c r="J56" s="1"/>
      <c r="K56" s="1"/>
      <c r="L56" s="1"/>
      <c r="M56" s="1"/>
    </row>
    <row r="57" spans="1:13">
      <c r="A57" s="1"/>
      <c r="B57" s="1"/>
      <c r="C57" s="1"/>
      <c r="D57" s="1"/>
      <c r="E57" s="1"/>
      <c r="F57" s="1"/>
      <c r="G57" s="1"/>
      <c r="H57" s="1"/>
      <c r="I57" s="1"/>
      <c r="J57" s="1"/>
      <c r="K57" s="1"/>
      <c r="L57" s="1"/>
      <c r="M57" s="1"/>
    </row>
    <row r="58" spans="1:13">
      <c r="A58" s="1"/>
      <c r="B58" s="1"/>
      <c r="C58" s="1"/>
      <c r="D58" s="1"/>
      <c r="E58" s="1"/>
      <c r="F58" s="1"/>
      <c r="G58" s="1"/>
      <c r="H58" s="1"/>
      <c r="I58" s="1"/>
      <c r="J58" s="1"/>
      <c r="K58" s="1"/>
      <c r="L58" s="1"/>
      <c r="M58" s="1"/>
    </row>
    <row r="59" spans="1:13">
      <c r="A59" s="1"/>
      <c r="B59" s="1"/>
      <c r="C59" s="1"/>
      <c r="D59" s="1"/>
      <c r="E59" s="1"/>
      <c r="F59" s="1"/>
      <c r="G59" s="1"/>
      <c r="H59" s="1"/>
      <c r="I59" s="1"/>
      <c r="J59" s="1"/>
      <c r="K59" s="1"/>
      <c r="L59" s="1"/>
      <c r="M59" s="1"/>
    </row>
    <row r="60" spans="1:13">
      <c r="A60" s="1"/>
      <c r="B60" s="1"/>
      <c r="C60" s="1"/>
      <c r="D60" s="1"/>
      <c r="E60" s="1"/>
      <c r="F60" s="1"/>
      <c r="G60" s="1"/>
      <c r="H60" s="1"/>
      <c r="I60" s="1"/>
      <c r="J60" s="1"/>
      <c r="K60" s="1"/>
      <c r="L60" s="1"/>
      <c r="M60" s="1"/>
    </row>
    <row r="61" spans="1:13">
      <c r="A61" s="1"/>
      <c r="B61" s="1"/>
      <c r="C61" s="1"/>
      <c r="D61" s="1"/>
      <c r="E61" s="1"/>
      <c r="F61" s="1"/>
      <c r="G61" s="1"/>
      <c r="H61" s="1"/>
      <c r="I61" s="1"/>
      <c r="J61" s="1"/>
      <c r="K61" s="1"/>
      <c r="L61" s="1"/>
      <c r="M61" s="1"/>
    </row>
    <row r="62" spans="1:13">
      <c r="A62" s="1"/>
      <c r="B62" s="1"/>
      <c r="C62" s="1"/>
      <c r="D62" s="1"/>
      <c r="E62" s="1"/>
      <c r="F62" s="1"/>
      <c r="G62" s="1"/>
      <c r="H62" s="1"/>
      <c r="I62" s="1"/>
      <c r="J62" s="1"/>
      <c r="K62" s="1"/>
      <c r="L62" s="1"/>
      <c r="M62" s="1"/>
    </row>
    <row r="63" spans="1:13">
      <c r="A63" s="1"/>
      <c r="B63" s="1"/>
      <c r="C63" s="1"/>
      <c r="D63" s="1"/>
      <c r="E63" s="1"/>
      <c r="F63" s="1"/>
      <c r="G63" s="1"/>
      <c r="H63" s="1"/>
      <c r="I63" s="1"/>
      <c r="J63" s="1"/>
      <c r="K63" s="1"/>
      <c r="L63" s="1"/>
      <c r="M63" s="1"/>
    </row>
    <row r="64" spans="1:13">
      <c r="A64" s="1"/>
      <c r="B64" s="1"/>
      <c r="C64" s="1"/>
      <c r="D64" s="1"/>
      <c r="E64" s="1"/>
      <c r="F64" s="1"/>
      <c r="G64" s="1"/>
      <c r="H64" s="1"/>
      <c r="I64" s="1"/>
      <c r="J64" s="1"/>
      <c r="K64" s="1"/>
      <c r="L64" s="1"/>
      <c r="M64" s="1"/>
    </row>
    <row r="65" spans="1:13">
      <c r="A65" s="1"/>
      <c r="B65" s="1"/>
      <c r="C65" s="1"/>
      <c r="D65" s="1"/>
      <c r="E65" s="1"/>
      <c r="F65" s="1"/>
      <c r="G65" s="1"/>
      <c r="H65" s="1"/>
      <c r="I65" s="1"/>
      <c r="J65" s="1"/>
      <c r="K65" s="1"/>
      <c r="L65" s="1"/>
      <c r="M65" s="1"/>
    </row>
    <row r="66" spans="1:13">
      <c r="A66" s="1"/>
      <c r="B66" s="1"/>
      <c r="C66" s="1"/>
      <c r="D66" s="1"/>
      <c r="E66" s="1"/>
      <c r="F66" s="1"/>
      <c r="G66" s="1"/>
      <c r="H66" s="1"/>
      <c r="I66" s="1"/>
      <c r="J66" s="1"/>
      <c r="K66" s="1"/>
      <c r="L66" s="1"/>
      <c r="M66" s="1"/>
    </row>
    <row r="67" spans="1:13">
      <c r="A67" s="1"/>
      <c r="B67" s="1"/>
      <c r="C67" s="1"/>
      <c r="D67" s="1"/>
      <c r="E67" s="1"/>
      <c r="F67" s="1"/>
      <c r="G67" s="1"/>
      <c r="H67" s="1"/>
      <c r="I67" s="1"/>
      <c r="J67" s="1"/>
      <c r="K67" s="1"/>
      <c r="L67" s="1"/>
      <c r="M67" s="1"/>
    </row>
    <row r="68" spans="1:13">
      <c r="A68" s="1"/>
      <c r="B68" s="1"/>
      <c r="C68" s="1"/>
      <c r="D68" s="1"/>
      <c r="E68" s="1"/>
      <c r="F68" s="1"/>
      <c r="G68" s="1"/>
      <c r="H68" s="1"/>
      <c r="I68" s="1"/>
      <c r="J68" s="1"/>
      <c r="K68" s="1"/>
      <c r="L68" s="1"/>
      <c r="M68" s="1"/>
    </row>
    <row r="69" spans="1:13">
      <c r="A69" s="1"/>
      <c r="B69" s="1"/>
      <c r="C69" s="1"/>
      <c r="D69" s="1"/>
      <c r="E69" s="1"/>
      <c r="F69" s="1"/>
      <c r="G69" s="1"/>
      <c r="H69" s="1"/>
      <c r="I69" s="1"/>
      <c r="J69" s="1"/>
      <c r="K69" s="1"/>
      <c r="L69" s="1"/>
      <c r="M69" s="1"/>
    </row>
    <row r="70" spans="1:13">
      <c r="A70" s="1"/>
      <c r="B70" s="1"/>
      <c r="C70" s="1"/>
      <c r="D70" s="1"/>
      <c r="E70" s="1"/>
      <c r="F70" s="1"/>
      <c r="G70" s="1"/>
      <c r="H70" s="1"/>
      <c r="I70" s="1"/>
      <c r="J70" s="1"/>
      <c r="K70" s="1"/>
      <c r="L70" s="1"/>
      <c r="M70" s="1"/>
    </row>
    <row r="71" spans="1:13">
      <c r="A71" s="1"/>
      <c r="B71" s="1"/>
      <c r="C71" s="1"/>
      <c r="D71" s="1"/>
      <c r="E71" s="1"/>
      <c r="F71" s="1"/>
      <c r="G71" s="1"/>
      <c r="H71" s="1"/>
      <c r="I71" s="1"/>
      <c r="J71" s="1"/>
      <c r="K71" s="1"/>
      <c r="L71" s="1"/>
      <c r="M71" s="1"/>
    </row>
    <row r="72" spans="1:13">
      <c r="A72" s="1"/>
      <c r="B72" s="1"/>
      <c r="C72" s="1"/>
      <c r="D72" s="1"/>
      <c r="E72" s="1"/>
      <c r="F72" s="1"/>
      <c r="G72" s="1"/>
      <c r="H72" s="1"/>
      <c r="I72" s="1"/>
      <c r="J72" s="1"/>
      <c r="K72" s="1"/>
      <c r="L72" s="1"/>
      <c r="M72" s="1"/>
    </row>
    <row r="73" spans="1:13">
      <c r="A73" s="1"/>
      <c r="B73" s="1"/>
      <c r="C73" s="1"/>
      <c r="D73" s="1"/>
      <c r="E73" s="1"/>
      <c r="F73" s="1"/>
      <c r="G73" s="1"/>
      <c r="H73" s="1"/>
      <c r="I73" s="1"/>
      <c r="J73" s="1"/>
      <c r="K73" s="1"/>
      <c r="L73" s="1"/>
      <c r="M73" s="1"/>
    </row>
    <row r="74" spans="1:13">
      <c r="A74" s="1"/>
      <c r="B74" s="1"/>
      <c r="C74" s="1"/>
      <c r="D74" s="1"/>
      <c r="E74" s="1"/>
      <c r="F74" s="1"/>
      <c r="G74" s="1"/>
      <c r="H74" s="1"/>
      <c r="I74" s="1"/>
      <c r="J74" s="1"/>
      <c r="K74" s="1"/>
      <c r="L74" s="1"/>
      <c r="M74" s="1"/>
    </row>
    <row r="75" spans="1:13">
      <c r="A75" s="1"/>
      <c r="B75" s="1"/>
      <c r="C75" s="1"/>
      <c r="D75" s="1"/>
      <c r="E75" s="1"/>
      <c r="F75" s="1"/>
      <c r="G75" s="1"/>
      <c r="H75" s="1"/>
      <c r="I75" s="1"/>
      <c r="J75" s="1"/>
      <c r="K75" s="1"/>
      <c r="L75" s="1"/>
      <c r="M75" s="1"/>
    </row>
    <row r="76" spans="1:13">
      <c r="A76" s="1"/>
      <c r="B76" s="1"/>
      <c r="C76" s="1"/>
      <c r="D76" s="1"/>
      <c r="E76" s="1"/>
      <c r="F76" s="1"/>
      <c r="G76" s="1"/>
      <c r="H76" s="1"/>
      <c r="I76" s="1"/>
      <c r="J76" s="1"/>
      <c r="K76" s="1"/>
      <c r="L76" s="1"/>
      <c r="M76" s="1"/>
    </row>
    <row r="77" spans="1:13">
      <c r="A77" s="1"/>
      <c r="B77" s="1"/>
      <c r="C77" s="1"/>
      <c r="D77" s="1"/>
      <c r="E77" s="1"/>
      <c r="F77" s="1"/>
      <c r="G77" s="1"/>
      <c r="H77" s="1"/>
      <c r="I77" s="1"/>
      <c r="J77" s="1"/>
      <c r="K77" s="1"/>
      <c r="L77" s="1"/>
      <c r="M77" s="1"/>
    </row>
    <row r="78" spans="1:13">
      <c r="A78" s="1"/>
      <c r="B78" s="1"/>
      <c r="C78" s="1"/>
      <c r="D78" s="1"/>
      <c r="E78" s="1"/>
      <c r="F78" s="1"/>
      <c r="G78" s="1"/>
      <c r="H78" s="1"/>
      <c r="I78" s="1"/>
      <c r="J78" s="1"/>
      <c r="K78" s="1"/>
      <c r="L78" s="1"/>
      <c r="M78" s="1"/>
    </row>
    <row r="79" spans="1:13">
      <c r="A79" s="1"/>
      <c r="B79" s="1"/>
      <c r="C79" s="1"/>
      <c r="D79" s="1"/>
      <c r="E79" s="1"/>
      <c r="F79" s="1"/>
      <c r="G79" s="1"/>
      <c r="H79" s="1"/>
      <c r="I79" s="1"/>
      <c r="J79" s="1"/>
      <c r="K79" s="1"/>
      <c r="L79" s="1"/>
      <c r="M79" s="1"/>
    </row>
    <row r="80" spans="1:13">
      <c r="A80" s="1"/>
      <c r="B80" s="1"/>
      <c r="C80" s="1"/>
      <c r="D80" s="1"/>
      <c r="E80" s="1"/>
      <c r="F80" s="1"/>
      <c r="G80" s="1"/>
      <c r="H80" s="1"/>
      <c r="I80" s="1"/>
      <c r="J80" s="1"/>
      <c r="K80" s="1"/>
      <c r="L80" s="1"/>
      <c r="M80" s="1"/>
    </row>
    <row r="81" spans="1:13">
      <c r="A81" s="1"/>
      <c r="B81" s="1"/>
      <c r="C81" s="1"/>
      <c r="D81" s="1"/>
      <c r="E81" s="1"/>
      <c r="F81" s="1"/>
      <c r="G81" s="1"/>
      <c r="H81" s="1"/>
      <c r="I81" s="1"/>
      <c r="J81" s="1"/>
      <c r="K81" s="1"/>
      <c r="L81" s="1"/>
      <c r="M81" s="1"/>
    </row>
    <row r="82" spans="1:13">
      <c r="A82" s="1"/>
      <c r="B82" s="1"/>
      <c r="C82" s="1"/>
      <c r="D82" s="1"/>
      <c r="E82" s="1"/>
      <c r="F82" s="1"/>
      <c r="G82" s="1"/>
      <c r="H82" s="1"/>
      <c r="I82" s="1"/>
      <c r="J82" s="1"/>
      <c r="K82" s="1"/>
      <c r="L82" s="1"/>
      <c r="M82" s="1"/>
    </row>
    <row r="83" spans="1:13">
      <c r="A83" s="1"/>
      <c r="B83" s="1"/>
      <c r="C83" s="1"/>
      <c r="D83" s="1"/>
      <c r="E83" s="1"/>
      <c r="F83" s="1"/>
      <c r="G83" s="1"/>
      <c r="H83" s="1"/>
      <c r="I83" s="1"/>
      <c r="J83" s="1"/>
      <c r="K83" s="1"/>
      <c r="L83" s="1"/>
      <c r="M83" s="1"/>
    </row>
    <row r="84" spans="1:13">
      <c r="A84" s="1"/>
      <c r="B84" s="1"/>
      <c r="C84" s="1"/>
      <c r="D84" s="1"/>
      <c r="E84" s="1"/>
      <c r="F84" s="1"/>
      <c r="G84" s="1"/>
      <c r="H84" s="1"/>
      <c r="I84" s="1"/>
      <c r="J84" s="1"/>
      <c r="K84" s="1"/>
      <c r="L84" s="1"/>
      <c r="M84" s="1"/>
    </row>
    <row r="85" spans="1:13">
      <c r="A85" s="1"/>
      <c r="B85" s="1"/>
      <c r="C85" s="1"/>
      <c r="D85" s="1"/>
      <c r="E85" s="1"/>
      <c r="F85" s="1"/>
      <c r="G85" s="1"/>
      <c r="H85" s="1"/>
      <c r="I85" s="1"/>
      <c r="J85" s="1"/>
      <c r="K85" s="1"/>
      <c r="L85" s="1"/>
      <c r="M85" s="1"/>
    </row>
    <row r="86" spans="1:13">
      <c r="A86" s="1"/>
      <c r="B86" s="1"/>
      <c r="C86" s="1"/>
      <c r="D86" s="1"/>
      <c r="E86" s="1"/>
      <c r="F86" s="1"/>
      <c r="G86" s="1"/>
      <c r="H86" s="1"/>
      <c r="I86" s="1"/>
      <c r="J86" s="1"/>
      <c r="K86" s="1"/>
      <c r="L86" s="1"/>
      <c r="M86" s="1"/>
    </row>
    <row r="87" spans="1:13">
      <c r="A87" s="1"/>
      <c r="B87" s="1"/>
      <c r="C87" s="1"/>
      <c r="D87" s="1"/>
      <c r="E87" s="1"/>
      <c r="F87" s="1"/>
      <c r="G87" s="1"/>
      <c r="H87" s="1"/>
      <c r="I87" s="1"/>
      <c r="J87" s="1"/>
      <c r="K87" s="1"/>
      <c r="L87" s="1"/>
      <c r="M87" s="1"/>
    </row>
    <row r="88" spans="1:13">
      <c r="A88" s="1"/>
      <c r="B88" s="1"/>
      <c r="C88" s="1"/>
      <c r="D88" s="1"/>
      <c r="E88" s="1"/>
      <c r="F88" s="1"/>
      <c r="G88" s="1"/>
      <c r="H88" s="1"/>
      <c r="I88" s="1"/>
      <c r="J88" s="1"/>
      <c r="K88" s="1"/>
      <c r="L88" s="1"/>
      <c r="M88" s="1"/>
    </row>
    <row r="89" spans="1:13">
      <c r="A89" s="1"/>
      <c r="B89" s="1"/>
      <c r="C89" s="1"/>
      <c r="D89" s="1"/>
      <c r="E89" s="1"/>
      <c r="F89" s="1"/>
      <c r="G89" s="1"/>
      <c r="H89" s="1"/>
      <c r="I89" s="1"/>
      <c r="J89" s="1"/>
      <c r="K89" s="1"/>
      <c r="L89" s="1"/>
      <c r="M89" s="1"/>
    </row>
    <row r="90" spans="1:13">
      <c r="A90" s="1"/>
      <c r="B90" s="1"/>
      <c r="C90" s="1"/>
      <c r="D90" s="1"/>
      <c r="E90" s="1"/>
      <c r="F90" s="1"/>
      <c r="G90" s="1"/>
      <c r="H90" s="1"/>
      <c r="I90" s="1"/>
      <c r="J90" s="1"/>
      <c r="K90" s="1"/>
      <c r="L90" s="1"/>
      <c r="M90" s="1"/>
    </row>
    <row r="91" spans="1:13">
      <c r="A91" s="1"/>
      <c r="B91" s="1"/>
      <c r="C91" s="1"/>
      <c r="D91" s="1"/>
      <c r="E91" s="1"/>
      <c r="F91" s="1"/>
      <c r="G91" s="1"/>
      <c r="H91" s="1"/>
      <c r="I91" s="1"/>
      <c r="J91" s="1"/>
      <c r="K91" s="1"/>
      <c r="L91" s="1"/>
      <c r="M91" s="1"/>
    </row>
    <row r="92" spans="1:13">
      <c r="A92" s="1"/>
      <c r="B92" s="1"/>
      <c r="C92" s="1"/>
      <c r="D92" s="1"/>
      <c r="E92" s="1"/>
      <c r="F92" s="1"/>
      <c r="G92" s="1"/>
      <c r="H92" s="1"/>
      <c r="I92" s="1"/>
      <c r="J92" s="1"/>
      <c r="K92" s="1"/>
      <c r="L92" s="1"/>
      <c r="M92" s="1"/>
    </row>
    <row r="93" spans="1:13">
      <c r="A93" s="1"/>
      <c r="B93" s="1"/>
      <c r="C93" s="1"/>
      <c r="D93" s="1"/>
      <c r="E93" s="1"/>
      <c r="F93" s="1"/>
      <c r="G93" s="1"/>
      <c r="H93" s="1"/>
      <c r="I93" s="1"/>
      <c r="J93" s="1"/>
      <c r="K93" s="1"/>
      <c r="L93" s="1"/>
      <c r="M93" s="1"/>
    </row>
    <row r="94" spans="1:13">
      <c r="A94" s="1"/>
      <c r="B94" s="1"/>
      <c r="C94" s="1"/>
      <c r="D94" s="1"/>
      <c r="E94" s="1"/>
      <c r="F94" s="1"/>
      <c r="G94" s="1"/>
      <c r="H94" s="1"/>
      <c r="I94" s="1"/>
      <c r="J94" s="1"/>
      <c r="K94" s="1"/>
      <c r="L94" s="1"/>
      <c r="M94" s="1"/>
    </row>
    <row r="95" spans="1:13">
      <c r="A95" s="1"/>
      <c r="B95" s="1"/>
      <c r="C95" s="1"/>
      <c r="D95" s="1"/>
      <c r="E95" s="1"/>
      <c r="F95" s="1"/>
      <c r="G95" s="1"/>
      <c r="H95" s="1"/>
      <c r="I95" s="1"/>
      <c r="J95" s="1"/>
      <c r="K95" s="1"/>
      <c r="L95" s="1"/>
      <c r="M95" s="1"/>
    </row>
    <row r="96" spans="1:13">
      <c r="A96" s="1"/>
      <c r="B96" s="1"/>
      <c r="C96" s="1"/>
      <c r="D96" s="1"/>
      <c r="E96" s="1"/>
      <c r="F96" s="1"/>
      <c r="G96" s="1"/>
      <c r="H96" s="1"/>
      <c r="I96" s="1"/>
      <c r="J96" s="1"/>
      <c r="K96" s="1"/>
      <c r="L96" s="1"/>
      <c r="M96" s="1"/>
    </row>
    <row r="97" spans="1:13">
      <c r="A97" s="1"/>
      <c r="B97" s="1"/>
      <c r="C97" s="1"/>
      <c r="D97" s="1"/>
      <c r="E97" s="1"/>
      <c r="F97" s="1"/>
      <c r="G97" s="1"/>
      <c r="H97" s="1"/>
      <c r="I97" s="1"/>
      <c r="J97" s="1"/>
      <c r="K97" s="1"/>
      <c r="L97" s="1"/>
      <c r="M97" s="1"/>
    </row>
    <row r="98" spans="1:13">
      <c r="A98" s="1"/>
      <c r="B98" s="1"/>
      <c r="C98" s="1"/>
      <c r="D98" s="1"/>
      <c r="E98" s="1"/>
      <c r="F98" s="1"/>
      <c r="G98" s="1"/>
      <c r="H98" s="1"/>
      <c r="I98" s="1"/>
      <c r="J98" s="1"/>
      <c r="K98" s="1"/>
      <c r="L98" s="1"/>
      <c r="M98" s="1"/>
    </row>
    <row r="99" spans="1:13">
      <c r="A99" s="1"/>
      <c r="B99" s="1"/>
      <c r="C99" s="1"/>
      <c r="D99" s="1"/>
      <c r="E99" s="1"/>
      <c r="F99" s="1"/>
      <c r="G99" s="1"/>
      <c r="H99" s="1"/>
      <c r="I99" s="1"/>
      <c r="J99" s="1"/>
      <c r="K99" s="1"/>
      <c r="L99" s="1"/>
      <c r="M99" s="1"/>
    </row>
    <row r="100" spans="1:13">
      <c r="A100" s="1"/>
      <c r="B100" s="1"/>
      <c r="C100" s="1"/>
      <c r="D100" s="1"/>
      <c r="E100" s="1"/>
      <c r="F100" s="1"/>
      <c r="G100" s="1"/>
      <c r="H100" s="1"/>
      <c r="I100" s="1"/>
      <c r="J100" s="1"/>
      <c r="K100" s="1"/>
      <c r="L100" s="1"/>
      <c r="M100" s="1"/>
    </row>
    <row r="101" spans="1:13">
      <c r="A101" s="1"/>
      <c r="B101" s="1"/>
      <c r="C101" s="1"/>
      <c r="D101" s="1"/>
      <c r="E101" s="1"/>
      <c r="F101" s="1"/>
      <c r="G101" s="1"/>
      <c r="H101" s="1"/>
      <c r="I101" s="1"/>
      <c r="J101" s="1"/>
      <c r="K101" s="1"/>
      <c r="L101" s="1"/>
      <c r="M101" s="1"/>
    </row>
    <row r="102" spans="1:13">
      <c r="A102" s="1"/>
      <c r="B102" s="1"/>
      <c r="C102" s="1"/>
      <c r="D102" s="1"/>
      <c r="E102" s="1"/>
      <c r="F102" s="1"/>
      <c r="G102" s="1"/>
      <c r="H102" s="1"/>
      <c r="I102" s="1"/>
      <c r="J102" s="1"/>
      <c r="K102" s="1"/>
      <c r="L102" s="1"/>
      <c r="M102" s="1"/>
    </row>
    <row r="103" spans="1:13">
      <c r="A103" s="1"/>
      <c r="B103" s="1"/>
      <c r="C103" s="1"/>
      <c r="D103" s="1"/>
      <c r="E103" s="1"/>
      <c r="F103" s="1"/>
      <c r="G103" s="1"/>
      <c r="H103" s="1"/>
      <c r="I103" s="1"/>
      <c r="J103" s="1"/>
      <c r="K103" s="1"/>
      <c r="L103" s="1"/>
      <c r="M103" s="1"/>
    </row>
    <row r="104" spans="1:13">
      <c r="A104" s="1"/>
      <c r="B104" s="1"/>
      <c r="C104" s="1"/>
      <c r="D104" s="1"/>
      <c r="E104" s="1"/>
      <c r="F104" s="1"/>
      <c r="G104" s="1"/>
      <c r="H104" s="1"/>
      <c r="I104" s="1"/>
      <c r="J104" s="1"/>
      <c r="K104" s="1"/>
      <c r="L104" s="1"/>
      <c r="M104" s="1"/>
    </row>
    <row r="105" spans="1:13">
      <c r="A105" s="1"/>
      <c r="B105" s="1"/>
      <c r="C105" s="1"/>
      <c r="D105" s="1"/>
      <c r="E105" s="1"/>
      <c r="F105" s="1"/>
      <c r="G105" s="1"/>
      <c r="H105" s="1"/>
      <c r="I105" s="1"/>
      <c r="J105" s="1"/>
      <c r="K105" s="1"/>
      <c r="L105" s="1"/>
      <c r="M105" s="1"/>
    </row>
    <row r="106" spans="1:13">
      <c r="A106" s="1"/>
      <c r="B106" s="1"/>
      <c r="C106" s="1"/>
      <c r="D106" s="1"/>
      <c r="E106" s="1"/>
      <c r="F106" s="1"/>
      <c r="G106" s="1"/>
      <c r="H106" s="1"/>
      <c r="I106" s="1"/>
      <c r="J106" s="1"/>
      <c r="K106" s="1"/>
      <c r="L106" s="1"/>
      <c r="M106" s="1"/>
    </row>
    <row r="107" spans="1:13">
      <c r="A107" s="1"/>
      <c r="B107" s="1"/>
      <c r="C107" s="1"/>
      <c r="D107" s="1"/>
      <c r="E107" s="1"/>
      <c r="F107" s="1"/>
      <c r="G107" s="1"/>
      <c r="H107" s="1"/>
      <c r="I107" s="1"/>
      <c r="J107" s="1"/>
      <c r="K107" s="1"/>
      <c r="L107" s="1"/>
      <c r="M107" s="1"/>
    </row>
    <row r="108" spans="1:13">
      <c r="A108" s="1"/>
      <c r="B108" s="1"/>
      <c r="C108" s="1"/>
      <c r="D108" s="1"/>
      <c r="E108" s="1"/>
      <c r="F108" s="1"/>
      <c r="G108" s="1"/>
      <c r="H108" s="1"/>
      <c r="I108" s="1"/>
      <c r="J108" s="1"/>
      <c r="K108" s="1"/>
      <c r="L108" s="1"/>
      <c r="M108" s="1"/>
    </row>
    <row r="109" spans="1:13">
      <c r="A109" s="1"/>
      <c r="B109" s="1"/>
      <c r="C109" s="1"/>
      <c r="D109" s="1"/>
      <c r="E109" s="1"/>
      <c r="F109" s="1"/>
      <c r="G109" s="1"/>
      <c r="H109" s="1"/>
      <c r="I109" s="1"/>
      <c r="J109" s="1"/>
      <c r="K109" s="1"/>
      <c r="L109" s="1"/>
      <c r="M109" s="1"/>
    </row>
    <row r="110" spans="1:13">
      <c r="A110" s="1"/>
      <c r="B110" s="1"/>
      <c r="C110" s="1"/>
      <c r="D110" s="1"/>
      <c r="E110" s="1"/>
      <c r="F110" s="1"/>
      <c r="G110" s="1"/>
      <c r="H110" s="1"/>
      <c r="I110" s="1"/>
      <c r="J110" s="1"/>
      <c r="K110" s="1"/>
      <c r="L110" s="1"/>
      <c r="M110" s="1"/>
    </row>
    <row r="111" spans="1:13">
      <c r="A111" s="1"/>
      <c r="B111" s="1"/>
      <c r="C111" s="1"/>
      <c r="D111" s="1"/>
      <c r="E111" s="1"/>
      <c r="F111" s="1"/>
      <c r="G111" s="1"/>
      <c r="H111" s="1"/>
      <c r="I111" s="1"/>
      <c r="J111" s="1"/>
      <c r="K111" s="1"/>
      <c r="L111" s="1"/>
      <c r="M111" s="1"/>
    </row>
    <row r="112" spans="1:13">
      <c r="A112" s="1"/>
      <c r="B112" s="1"/>
      <c r="C112" s="1"/>
      <c r="D112" s="1"/>
      <c r="E112" s="1"/>
      <c r="F112" s="1"/>
      <c r="G112" s="1"/>
      <c r="H112" s="1"/>
      <c r="I112" s="1"/>
      <c r="J112" s="1"/>
      <c r="K112" s="1"/>
      <c r="L112" s="1"/>
      <c r="M112" s="1"/>
    </row>
    <row r="113" spans="1:13">
      <c r="A113" s="1"/>
      <c r="B113" s="1"/>
      <c r="C113" s="1"/>
      <c r="D113" s="1"/>
      <c r="E113" s="1"/>
      <c r="F113" s="1"/>
      <c r="G113" s="1"/>
      <c r="H113" s="1"/>
      <c r="I113" s="1"/>
      <c r="J113" s="1"/>
      <c r="K113" s="1"/>
      <c r="L113" s="1"/>
      <c r="M113" s="1"/>
    </row>
    <row r="114" spans="1:13">
      <c r="A114" s="1"/>
      <c r="B114" s="1"/>
      <c r="C114" s="1"/>
      <c r="D114" s="1"/>
      <c r="E114" s="1"/>
      <c r="F114" s="1"/>
      <c r="G114" s="1"/>
      <c r="H114" s="1"/>
      <c r="I114" s="1"/>
      <c r="J114" s="1"/>
      <c r="K114" s="1"/>
      <c r="L114" s="1"/>
      <c r="M114" s="1"/>
    </row>
    <row r="115" spans="1:13">
      <c r="A115" s="1"/>
      <c r="B115" s="1"/>
      <c r="C115" s="1"/>
      <c r="D115" s="1"/>
      <c r="E115" s="1"/>
      <c r="F115" s="1"/>
      <c r="G115" s="1"/>
      <c r="H115" s="1"/>
      <c r="I115" s="1"/>
      <c r="J115" s="1"/>
      <c r="K115" s="1"/>
      <c r="L115" s="1"/>
      <c r="M115" s="1"/>
    </row>
    <row r="116" spans="1:13">
      <c r="A116" s="1"/>
      <c r="B116" s="1"/>
      <c r="C116" s="1"/>
      <c r="D116" s="1"/>
      <c r="E116" s="1"/>
      <c r="F116" s="1"/>
      <c r="G116" s="1"/>
      <c r="H116" s="1"/>
      <c r="I116" s="1"/>
      <c r="J116" s="1"/>
      <c r="K116" s="1"/>
      <c r="L116" s="1"/>
      <c r="M116" s="1"/>
    </row>
    <row r="117" spans="1:13">
      <c r="A117" s="1"/>
      <c r="B117" s="1"/>
      <c r="C117" s="1"/>
      <c r="D117" s="1"/>
      <c r="E117" s="1"/>
      <c r="F117" s="1"/>
      <c r="G117" s="1"/>
      <c r="H117" s="1"/>
      <c r="I117" s="1"/>
      <c r="J117" s="1"/>
      <c r="K117" s="1"/>
      <c r="L117" s="1"/>
      <c r="M117" s="1"/>
    </row>
    <row r="118" spans="1:13">
      <c r="A118" s="1"/>
      <c r="B118" s="1"/>
      <c r="C118" s="1"/>
      <c r="D118" s="1"/>
      <c r="E118" s="1"/>
      <c r="F118" s="1"/>
      <c r="G118" s="1"/>
      <c r="H118" s="1"/>
      <c r="I118" s="1"/>
      <c r="J118" s="1"/>
      <c r="K118" s="1"/>
      <c r="L118" s="1"/>
      <c r="M118" s="1"/>
    </row>
    <row r="119" spans="1:13">
      <c r="A119" s="1"/>
      <c r="B119" s="1"/>
      <c r="C119" s="1"/>
      <c r="D119" s="1"/>
      <c r="E119" s="1"/>
      <c r="F119" s="1"/>
      <c r="G119" s="1"/>
      <c r="H119" s="1"/>
      <c r="I119" s="1"/>
      <c r="J119" s="1"/>
      <c r="K119" s="1"/>
      <c r="L119" s="1"/>
      <c r="M119" s="1"/>
    </row>
    <row r="120" spans="1:13">
      <c r="A120" s="1"/>
      <c r="B120" s="1"/>
      <c r="C120" s="1"/>
      <c r="D120" s="1"/>
      <c r="E120" s="1"/>
      <c r="F120" s="1"/>
      <c r="G120" s="1"/>
      <c r="H120" s="1"/>
      <c r="I120" s="1"/>
      <c r="J120" s="1"/>
      <c r="K120" s="1"/>
      <c r="L120" s="1"/>
      <c r="M120" s="1"/>
    </row>
    <row r="121" spans="1:13">
      <c r="A121" s="1"/>
      <c r="B121" s="1"/>
      <c r="C121" s="1"/>
      <c r="D121" s="1"/>
      <c r="E121" s="1"/>
      <c r="F121" s="1"/>
      <c r="G121" s="1"/>
      <c r="H121" s="1"/>
      <c r="I121" s="1"/>
      <c r="J121" s="1"/>
      <c r="K121" s="1"/>
      <c r="L121" s="1"/>
      <c r="M121" s="1"/>
    </row>
    <row r="122" spans="1:13">
      <c r="A122" s="1"/>
      <c r="B122" s="1"/>
      <c r="C122" s="1"/>
      <c r="D122" s="1"/>
      <c r="E122" s="1"/>
      <c r="F122" s="1"/>
      <c r="G122" s="1"/>
      <c r="H122" s="1"/>
      <c r="I122" s="1"/>
      <c r="J122" s="1"/>
      <c r="K122" s="1"/>
      <c r="L122" s="1"/>
      <c r="M122" s="1"/>
    </row>
    <row r="123" spans="1:13">
      <c r="A123" s="1"/>
      <c r="B123" s="1"/>
      <c r="C123" s="1"/>
      <c r="D123" s="1"/>
      <c r="E123" s="1"/>
      <c r="F123" s="1"/>
      <c r="G123" s="1"/>
      <c r="H123" s="1"/>
      <c r="I123" s="1"/>
      <c r="J123" s="1"/>
      <c r="K123" s="1"/>
      <c r="L123" s="1"/>
      <c r="M123" s="1"/>
    </row>
    <row r="124" spans="1:13">
      <c r="A124" s="1"/>
      <c r="B124" s="1"/>
      <c r="C124" s="1"/>
      <c r="D124" s="1"/>
      <c r="E124" s="1"/>
      <c r="F124" s="1"/>
      <c r="G124" s="1"/>
      <c r="H124" s="1"/>
      <c r="I124" s="1"/>
      <c r="J124" s="1"/>
      <c r="K124" s="1"/>
      <c r="L124" s="1"/>
      <c r="M124" s="1"/>
    </row>
    <row r="125" spans="1:13">
      <c r="A125" s="1"/>
      <c r="B125" s="1"/>
      <c r="C125" s="1"/>
      <c r="D125" s="1"/>
      <c r="E125" s="1"/>
      <c r="F125" s="1"/>
      <c r="G125" s="1"/>
      <c r="H125" s="1"/>
      <c r="I125" s="1"/>
      <c r="J125" s="1"/>
      <c r="K125" s="1"/>
      <c r="L125" s="1"/>
      <c r="M125" s="1"/>
    </row>
    <row r="126" spans="1:13">
      <c r="A126" s="1"/>
      <c r="B126" s="1"/>
      <c r="C126" s="1"/>
      <c r="D126" s="1"/>
      <c r="E126" s="1"/>
      <c r="F126" s="1"/>
      <c r="G126" s="1"/>
      <c r="H126" s="1"/>
      <c r="I126" s="1"/>
      <c r="J126" s="1"/>
      <c r="K126" s="1"/>
      <c r="L126" s="1"/>
      <c r="M126" s="1"/>
    </row>
    <row r="127" spans="1:13">
      <c r="A127" s="1"/>
      <c r="B127" s="1"/>
      <c r="C127" s="1"/>
      <c r="D127" s="1"/>
      <c r="E127" s="1"/>
      <c r="F127" s="1"/>
      <c r="G127" s="1"/>
      <c r="H127" s="1"/>
      <c r="I127" s="1"/>
      <c r="J127" s="1"/>
      <c r="K127" s="1"/>
      <c r="L127" s="1"/>
      <c r="M127" s="1"/>
    </row>
    <row r="128" spans="1:13">
      <c r="A128" s="1"/>
      <c r="B128" s="1"/>
      <c r="C128" s="1"/>
      <c r="D128" s="1"/>
      <c r="E128" s="1"/>
      <c r="F128" s="1"/>
      <c r="G128" s="1"/>
      <c r="H128" s="1"/>
      <c r="I128" s="1"/>
      <c r="J128" s="1"/>
      <c r="K128" s="1"/>
      <c r="L128" s="1"/>
      <c r="M128" s="1"/>
    </row>
    <row r="129" spans="1:13">
      <c r="A129" s="1"/>
      <c r="B129" s="1"/>
      <c r="C129" s="1"/>
      <c r="D129" s="1"/>
      <c r="E129" s="1"/>
      <c r="F129" s="1"/>
      <c r="G129" s="1"/>
      <c r="H129" s="1"/>
      <c r="I129" s="1"/>
      <c r="J129" s="1"/>
      <c r="K129" s="1"/>
      <c r="L129" s="1"/>
      <c r="M129" s="1"/>
    </row>
    <row r="130" spans="1:13">
      <c r="A130" s="1"/>
      <c r="B130" s="1"/>
      <c r="C130" s="1"/>
      <c r="D130" s="1"/>
      <c r="E130" s="1"/>
      <c r="F130" s="1"/>
      <c r="G130" s="1"/>
      <c r="H130" s="1"/>
      <c r="I130" s="1"/>
      <c r="J130" s="1"/>
      <c r="K130" s="1"/>
      <c r="L130" s="1"/>
      <c r="M130" s="1"/>
    </row>
    <row r="131" spans="1:13">
      <c r="A131" s="1"/>
      <c r="B131" s="1"/>
      <c r="C131" s="1"/>
      <c r="D131" s="1"/>
      <c r="E131" s="1"/>
      <c r="F131" s="1"/>
      <c r="G131" s="1"/>
      <c r="H131" s="1"/>
      <c r="I131" s="1"/>
      <c r="J131" s="1"/>
      <c r="K131" s="1"/>
      <c r="L131" s="1"/>
      <c r="M131" s="1"/>
    </row>
    <row r="132" spans="1:13">
      <c r="A132" s="1"/>
      <c r="B132" s="1"/>
      <c r="C132" s="1"/>
      <c r="D132" s="1"/>
      <c r="E132" s="1"/>
      <c r="F132" s="1"/>
      <c r="G132" s="1"/>
      <c r="H132" s="1"/>
      <c r="I132" s="1"/>
      <c r="J132" s="1"/>
      <c r="K132" s="1"/>
      <c r="L132" s="1"/>
      <c r="M132" s="1"/>
    </row>
    <row r="133" spans="1:13">
      <c r="A133" s="1"/>
      <c r="B133" s="1"/>
      <c r="C133" s="1"/>
      <c r="D133" s="1"/>
      <c r="E133" s="1"/>
      <c r="F133" s="1"/>
      <c r="G133" s="1"/>
      <c r="H133" s="1"/>
      <c r="I133" s="1"/>
      <c r="J133" s="1"/>
      <c r="K133" s="1"/>
      <c r="L133" s="1"/>
      <c r="M133" s="1"/>
    </row>
    <row r="134" spans="1:13">
      <c r="A134" s="1"/>
      <c r="B134" s="1"/>
      <c r="C134" s="1"/>
      <c r="D134" s="1"/>
      <c r="E134" s="1"/>
      <c r="F134" s="1"/>
      <c r="G134" s="1"/>
      <c r="H134" s="1"/>
      <c r="I134" s="1"/>
      <c r="J134" s="1"/>
      <c r="K134" s="1"/>
      <c r="L134" s="1"/>
      <c r="M134" s="1"/>
    </row>
    <row r="135" spans="1:13">
      <c r="A135" s="1"/>
      <c r="B135" s="1"/>
      <c r="C135" s="1"/>
      <c r="D135" s="1"/>
      <c r="E135" s="1"/>
      <c r="F135" s="1"/>
      <c r="G135" s="1"/>
      <c r="H135" s="1"/>
      <c r="I135" s="1"/>
      <c r="J135" s="1"/>
      <c r="K135" s="1"/>
      <c r="L135" s="1"/>
      <c r="M135" s="1"/>
    </row>
    <row r="136" spans="1:13">
      <c r="A136" s="1"/>
      <c r="B136" s="1"/>
      <c r="C136" s="1"/>
      <c r="D136" s="1"/>
      <c r="E136" s="1"/>
      <c r="F136" s="1"/>
      <c r="G136" s="1"/>
      <c r="H136" s="1"/>
      <c r="I136" s="1"/>
      <c r="J136" s="1"/>
      <c r="K136" s="1"/>
      <c r="L136" s="1"/>
      <c r="M136" s="1"/>
    </row>
    <row r="137" spans="1:13">
      <c r="A137" s="1"/>
      <c r="B137" s="1"/>
      <c r="C137" s="1"/>
      <c r="D137" s="1"/>
      <c r="E137" s="1"/>
      <c r="F137" s="1"/>
      <c r="G137" s="1"/>
      <c r="H137" s="1"/>
      <c r="I137" s="1"/>
      <c r="J137" s="1"/>
      <c r="K137" s="1"/>
      <c r="L137" s="1"/>
      <c r="M137" s="1"/>
    </row>
    <row r="138" spans="1:13">
      <c r="A138" s="1"/>
      <c r="B138" s="1"/>
      <c r="C138" s="1"/>
      <c r="D138" s="1"/>
      <c r="E138" s="1"/>
      <c r="F138" s="1"/>
      <c r="G138" s="1"/>
      <c r="H138" s="1"/>
      <c r="I138" s="1"/>
      <c r="J138" s="1"/>
      <c r="K138" s="1"/>
      <c r="L138" s="1"/>
      <c r="M138" s="1"/>
    </row>
    <row r="139" spans="1:13">
      <c r="A139" s="1"/>
      <c r="B139" s="1"/>
      <c r="C139" s="1"/>
      <c r="D139" s="1"/>
      <c r="E139" s="1"/>
      <c r="F139" s="1"/>
      <c r="G139" s="1"/>
      <c r="H139" s="1"/>
      <c r="I139" s="1"/>
      <c r="J139" s="1"/>
      <c r="K139" s="1"/>
      <c r="L139" s="1"/>
      <c r="M139" s="1"/>
    </row>
    <row r="140" spans="1:13">
      <c r="A140" s="1"/>
      <c r="B140" s="1"/>
      <c r="C140" s="1"/>
      <c r="D140" s="1"/>
      <c r="E140" s="1"/>
      <c r="F140" s="1"/>
      <c r="G140" s="1"/>
      <c r="H140" s="1"/>
      <c r="I140" s="1"/>
      <c r="J140" s="1"/>
      <c r="K140" s="1"/>
      <c r="L140" s="1"/>
      <c r="M140" s="1"/>
    </row>
    <row r="141" spans="1:13">
      <c r="A141" s="1"/>
      <c r="B141" s="1"/>
      <c r="C141" s="1"/>
      <c r="D141" s="1"/>
      <c r="E141" s="1"/>
      <c r="F141" s="1"/>
      <c r="G141" s="1"/>
      <c r="H141" s="1"/>
      <c r="I141" s="1"/>
      <c r="J141" s="1"/>
      <c r="K141" s="1"/>
      <c r="L141" s="1"/>
      <c r="M141" s="1"/>
    </row>
    <row r="142" spans="1:13">
      <c r="A142" s="1"/>
      <c r="B142" s="1"/>
      <c r="C142" s="1"/>
      <c r="D142" s="1"/>
      <c r="E142" s="1"/>
      <c r="F142" s="1"/>
      <c r="G142" s="1"/>
      <c r="H142" s="1"/>
      <c r="I142" s="1"/>
      <c r="J142" s="1"/>
      <c r="K142" s="1"/>
      <c r="L142" s="1"/>
      <c r="M142" s="1"/>
    </row>
    <row r="143" spans="1:13">
      <c r="A143" s="1"/>
      <c r="B143" s="1"/>
      <c r="C143" s="1"/>
      <c r="D143" s="1"/>
      <c r="E143" s="1"/>
      <c r="F143" s="1"/>
      <c r="G143" s="1"/>
      <c r="H143" s="1"/>
      <c r="I143" s="1"/>
      <c r="J143" s="1"/>
      <c r="K143" s="1"/>
      <c r="L143" s="1"/>
      <c r="M143" s="1"/>
    </row>
    <row r="144" spans="1:13">
      <c r="A144" s="1"/>
      <c r="B144" s="1"/>
      <c r="C144" s="1"/>
      <c r="D144" s="1"/>
      <c r="E144" s="1"/>
      <c r="F144" s="1"/>
      <c r="G144" s="1"/>
      <c r="H144" s="1"/>
      <c r="I144" s="1"/>
      <c r="J144" s="1"/>
      <c r="K144" s="1"/>
      <c r="L144" s="1"/>
      <c r="M144" s="1"/>
    </row>
    <row r="145" spans="1:13">
      <c r="A145" s="1"/>
      <c r="B145" s="1"/>
      <c r="C145" s="1"/>
      <c r="D145" s="1"/>
      <c r="E145" s="1"/>
      <c r="F145" s="1"/>
      <c r="G145" s="1"/>
      <c r="H145" s="1"/>
      <c r="I145" s="1"/>
      <c r="J145" s="1"/>
      <c r="K145" s="1"/>
      <c r="L145" s="1"/>
      <c r="M145" s="1"/>
    </row>
    <row r="146" spans="1:13">
      <c r="A146" s="1"/>
      <c r="B146" s="1"/>
      <c r="C146" s="1"/>
      <c r="D146" s="1"/>
      <c r="E146" s="1"/>
      <c r="F146" s="1"/>
      <c r="G146" s="1"/>
      <c r="H146" s="1"/>
      <c r="I146" s="1"/>
      <c r="J146" s="1"/>
      <c r="K146" s="1"/>
      <c r="L146" s="1"/>
      <c r="M146" s="1"/>
    </row>
    <row r="147" spans="1:13">
      <c r="A147" s="1"/>
      <c r="B147" s="1"/>
      <c r="C147" s="1"/>
      <c r="D147" s="1"/>
      <c r="E147" s="1"/>
      <c r="F147" s="1"/>
      <c r="G147" s="1"/>
      <c r="H147" s="1"/>
      <c r="I147" s="1"/>
      <c r="J147" s="1"/>
      <c r="K147" s="1"/>
      <c r="L147" s="1"/>
      <c r="M147" s="1"/>
    </row>
    <row r="148" spans="1:13">
      <c r="A148" s="1"/>
      <c r="B148" s="1"/>
      <c r="C148" s="1"/>
      <c r="D148" s="1"/>
      <c r="E148" s="1"/>
      <c r="F148" s="1"/>
      <c r="G148" s="1"/>
      <c r="H148" s="1"/>
      <c r="I148" s="1"/>
      <c r="J148" s="1"/>
      <c r="K148" s="1"/>
      <c r="L148" s="1"/>
      <c r="M148" s="1"/>
    </row>
    <row r="149" spans="1:13">
      <c r="A149" s="1"/>
      <c r="B149" s="1"/>
      <c r="C149" s="1"/>
      <c r="D149" s="1"/>
      <c r="E149" s="1"/>
      <c r="F149" s="1"/>
      <c r="G149" s="1"/>
      <c r="H149" s="1"/>
      <c r="I149" s="1"/>
      <c r="J149" s="1"/>
      <c r="K149" s="1"/>
      <c r="L149" s="1"/>
      <c r="M149" s="1"/>
    </row>
    <row r="150" spans="1:13">
      <c r="A150" s="1"/>
      <c r="B150" s="1"/>
      <c r="C150" s="1"/>
      <c r="D150" s="1"/>
      <c r="E150" s="1"/>
      <c r="F150" s="1"/>
      <c r="G150" s="1"/>
      <c r="H150" s="1"/>
      <c r="I150" s="1"/>
      <c r="J150" s="1"/>
      <c r="K150" s="1"/>
      <c r="L150" s="1"/>
      <c r="M150" s="1"/>
    </row>
    <row r="151" spans="1:13">
      <c r="A151" s="1"/>
      <c r="B151" s="1"/>
      <c r="C151" s="1"/>
      <c r="D151" s="1"/>
      <c r="E151" s="1"/>
      <c r="F151" s="1"/>
      <c r="G151" s="1"/>
      <c r="H151" s="1"/>
      <c r="I151" s="1"/>
      <c r="J151" s="1"/>
      <c r="K151" s="1"/>
      <c r="L151" s="1"/>
      <c r="M151" s="1"/>
    </row>
    <row r="152" spans="1:13">
      <c r="A152" s="1"/>
      <c r="B152" s="1"/>
      <c r="C152" s="1"/>
      <c r="D152" s="1"/>
      <c r="E152" s="1"/>
      <c r="F152" s="1"/>
      <c r="G152" s="1"/>
      <c r="H152" s="1"/>
      <c r="I152" s="1"/>
      <c r="J152" s="1"/>
      <c r="K152" s="1"/>
      <c r="L152" s="1"/>
      <c r="M152" s="1"/>
    </row>
    <row r="153" spans="1:13">
      <c r="A153" s="1"/>
      <c r="B153" s="1"/>
      <c r="C153" s="1"/>
      <c r="D153" s="1"/>
      <c r="E153" s="1"/>
      <c r="F153" s="1"/>
      <c r="G153" s="1"/>
      <c r="H153" s="1"/>
      <c r="I153" s="1"/>
      <c r="J153" s="1"/>
      <c r="K153" s="1"/>
      <c r="L153" s="1"/>
      <c r="M153" s="1"/>
    </row>
    <row r="154" spans="1:13">
      <c r="A154" s="1"/>
      <c r="B154" s="1"/>
      <c r="C154" s="1"/>
      <c r="D154" s="1"/>
      <c r="E154" s="1"/>
      <c r="F154" s="1"/>
      <c r="G154" s="1"/>
      <c r="H154" s="1"/>
      <c r="I154" s="1"/>
      <c r="J154" s="1"/>
      <c r="K154" s="1"/>
      <c r="L154" s="1"/>
      <c r="M154" s="1"/>
    </row>
    <row r="155" spans="1:13">
      <c r="A155" s="1"/>
      <c r="B155" s="1"/>
      <c r="C155" s="1"/>
      <c r="D155" s="1"/>
      <c r="E155" s="1"/>
      <c r="F155" s="1"/>
      <c r="G155" s="1"/>
      <c r="H155" s="1"/>
      <c r="I155" s="1"/>
      <c r="J155" s="1"/>
      <c r="K155" s="1"/>
      <c r="L155" s="1"/>
      <c r="M155" s="1"/>
    </row>
    <row r="156" spans="1:13">
      <c r="A156" s="1"/>
      <c r="B156" s="1"/>
      <c r="C156" s="1"/>
      <c r="D156" s="1"/>
      <c r="E156" s="1"/>
      <c r="F156" s="1"/>
      <c r="G156" s="1"/>
      <c r="H156" s="1"/>
      <c r="I156" s="1"/>
      <c r="J156" s="1"/>
      <c r="K156" s="1"/>
      <c r="L156" s="1"/>
      <c r="M156" s="1"/>
    </row>
    <row r="157" spans="1:13">
      <c r="A157" s="1"/>
      <c r="B157" s="1"/>
      <c r="C157" s="1"/>
      <c r="D157" s="1"/>
      <c r="E157" s="1"/>
      <c r="F157" s="1"/>
      <c r="G157" s="1"/>
      <c r="H157" s="1"/>
      <c r="I157" s="1"/>
      <c r="J157" s="1"/>
      <c r="K157" s="1"/>
      <c r="L157" s="1"/>
      <c r="M157" s="1"/>
    </row>
    <row r="158" spans="1:13">
      <c r="A158" s="1"/>
      <c r="B158" s="1"/>
      <c r="C158" s="1"/>
      <c r="D158" s="1"/>
      <c r="E158" s="1"/>
      <c r="F158" s="1"/>
      <c r="G158" s="1"/>
      <c r="H158" s="1"/>
      <c r="I158" s="1"/>
      <c r="J158" s="1"/>
      <c r="K158" s="1"/>
      <c r="L158" s="1"/>
      <c r="M158" s="1"/>
    </row>
    <row r="159" spans="1:13">
      <c r="A159" s="1"/>
      <c r="B159" s="1"/>
      <c r="C159" s="1"/>
      <c r="D159" s="1"/>
      <c r="E159" s="1"/>
      <c r="F159" s="1"/>
      <c r="G159" s="1"/>
      <c r="H159" s="1"/>
      <c r="I159" s="1"/>
      <c r="J159" s="1"/>
      <c r="K159" s="1"/>
      <c r="L159" s="1"/>
      <c r="M159" s="1"/>
    </row>
    <row r="160" spans="1:13">
      <c r="A160" s="1"/>
      <c r="B160" s="1"/>
      <c r="C160" s="1"/>
      <c r="D160" s="1"/>
      <c r="E160" s="1"/>
      <c r="F160" s="1"/>
      <c r="G160" s="1"/>
      <c r="H160" s="1"/>
      <c r="I160" s="1"/>
      <c r="J160" s="1"/>
      <c r="K160" s="1"/>
      <c r="L160" s="1"/>
      <c r="M160" s="1"/>
    </row>
    <row r="161" spans="1:13">
      <c r="A161" s="1"/>
      <c r="B161" s="1"/>
      <c r="C161" s="1"/>
      <c r="D161" s="1"/>
      <c r="E161" s="1"/>
      <c r="F161" s="1"/>
      <c r="G161" s="1"/>
      <c r="H161" s="1"/>
      <c r="I161" s="1"/>
      <c r="J161" s="1"/>
      <c r="K161" s="1"/>
      <c r="L161" s="1"/>
      <c r="M161" s="1"/>
    </row>
    <row r="162" spans="1:13">
      <c r="A162" s="1"/>
      <c r="B162" s="1"/>
      <c r="C162" s="1"/>
      <c r="D162" s="1"/>
      <c r="E162" s="1"/>
      <c r="F162" s="1"/>
      <c r="G162" s="1"/>
      <c r="H162" s="1"/>
      <c r="I162" s="1"/>
      <c r="J162" s="1"/>
      <c r="K162" s="1"/>
      <c r="L162" s="1"/>
      <c r="M162" s="1"/>
    </row>
    <row r="163" spans="1:13">
      <c r="A163" s="1"/>
      <c r="B163" s="1"/>
      <c r="C163" s="1"/>
      <c r="D163" s="1"/>
      <c r="E163" s="1"/>
      <c r="F163" s="1"/>
      <c r="G163" s="1"/>
      <c r="H163" s="1"/>
      <c r="I163" s="1"/>
      <c r="J163" s="1"/>
      <c r="K163" s="1"/>
      <c r="L163" s="1"/>
      <c r="M163" s="1"/>
    </row>
    <row r="164" spans="1:13">
      <c r="A164" s="1"/>
      <c r="B164" s="1"/>
      <c r="C164" s="1"/>
      <c r="D164" s="1"/>
      <c r="E164" s="1"/>
      <c r="F164" s="1"/>
      <c r="G164" s="1"/>
      <c r="H164" s="1"/>
      <c r="I164" s="1"/>
      <c r="J164" s="1"/>
      <c r="K164" s="1"/>
      <c r="L164" s="1"/>
      <c r="M164" s="1"/>
    </row>
    <row r="165" spans="1:13">
      <c r="A165" s="1"/>
      <c r="B165" s="1"/>
      <c r="C165" s="1"/>
      <c r="D165" s="1"/>
      <c r="E165" s="1"/>
      <c r="F165" s="1"/>
      <c r="G165" s="1"/>
      <c r="H165" s="1"/>
      <c r="I165" s="1"/>
      <c r="J165" s="1"/>
      <c r="K165" s="1"/>
      <c r="L165" s="1"/>
      <c r="M165" s="1"/>
    </row>
    <row r="166" spans="1:13">
      <c r="A166" s="1"/>
      <c r="B166" s="1"/>
      <c r="C166" s="1"/>
      <c r="D166" s="1"/>
      <c r="E166" s="1"/>
      <c r="F166" s="1"/>
      <c r="G166" s="1"/>
      <c r="H166" s="1"/>
      <c r="I166" s="1"/>
      <c r="J166" s="1"/>
      <c r="K166" s="1"/>
      <c r="L166" s="1"/>
      <c r="M166" s="1"/>
    </row>
    <row r="167" spans="1:13">
      <c r="A167" s="1"/>
      <c r="B167" s="1"/>
      <c r="C167" s="1"/>
      <c r="D167" s="1"/>
      <c r="E167" s="1"/>
      <c r="F167" s="1"/>
      <c r="G167" s="1"/>
      <c r="H167" s="1"/>
      <c r="I167" s="1"/>
      <c r="J167" s="1"/>
      <c r="K167" s="1"/>
      <c r="L167" s="1"/>
      <c r="M167" s="1"/>
    </row>
    <row r="168" spans="1:13">
      <c r="A168" s="1"/>
      <c r="B168" s="1"/>
      <c r="C168" s="1"/>
      <c r="D168" s="1"/>
      <c r="E168" s="1"/>
      <c r="F168" s="1"/>
      <c r="G168" s="1"/>
      <c r="H168" s="1"/>
      <c r="I168" s="1"/>
      <c r="J168" s="1"/>
      <c r="K168" s="1"/>
      <c r="L168" s="1"/>
      <c r="M168" s="1"/>
    </row>
    <row r="169" spans="1:13">
      <c r="A169" s="1"/>
      <c r="B169" s="1"/>
      <c r="C169" s="1"/>
      <c r="D169" s="1"/>
      <c r="E169" s="1"/>
      <c r="F169" s="1"/>
      <c r="G169" s="1"/>
      <c r="H169" s="1"/>
      <c r="I169" s="1"/>
      <c r="J169" s="1"/>
      <c r="K169" s="1"/>
      <c r="L169" s="1"/>
      <c r="M169" s="1"/>
    </row>
    <row r="170" spans="1:13">
      <c r="A170" s="1"/>
      <c r="B170" s="1"/>
      <c r="C170" s="1"/>
      <c r="D170" s="1"/>
      <c r="E170" s="1"/>
      <c r="F170" s="1"/>
      <c r="G170" s="1"/>
      <c r="H170" s="1"/>
      <c r="I170" s="1"/>
      <c r="J170" s="1"/>
      <c r="K170" s="1"/>
      <c r="L170" s="1"/>
      <c r="M170" s="1"/>
    </row>
    <row r="171" spans="1:13">
      <c r="A171" s="1"/>
      <c r="B171" s="1"/>
      <c r="C171" s="1"/>
      <c r="D171" s="1"/>
      <c r="E171" s="1"/>
      <c r="F171" s="1"/>
      <c r="G171" s="1"/>
      <c r="H171" s="1"/>
      <c r="I171" s="1"/>
      <c r="J171" s="1"/>
      <c r="K171" s="1"/>
      <c r="L171" s="1"/>
      <c r="M171" s="1"/>
    </row>
    <row r="172" spans="1:13">
      <c r="A172" s="1"/>
      <c r="B172" s="1"/>
      <c r="C172" s="1"/>
      <c r="D172" s="1"/>
      <c r="E172" s="1"/>
      <c r="F172" s="1"/>
      <c r="G172" s="1"/>
      <c r="H172" s="1"/>
      <c r="I172" s="1"/>
      <c r="J172" s="1"/>
      <c r="K172" s="1"/>
      <c r="L172" s="1"/>
      <c r="M172" s="1"/>
    </row>
    <row r="173" spans="1:13">
      <c r="A173" s="1"/>
      <c r="B173" s="1"/>
      <c r="C173" s="1"/>
      <c r="D173" s="1"/>
      <c r="E173" s="1"/>
      <c r="F173" s="1"/>
      <c r="G173" s="1"/>
      <c r="H173" s="1"/>
      <c r="I173" s="1"/>
      <c r="J173" s="1"/>
      <c r="K173" s="1"/>
      <c r="L173" s="1"/>
      <c r="M173" s="1"/>
    </row>
    <row r="174" spans="1:13">
      <c r="A174" s="1"/>
      <c r="B174" s="1"/>
      <c r="C174" s="1"/>
      <c r="D174" s="1"/>
      <c r="E174" s="1"/>
      <c r="F174" s="1"/>
      <c r="G174" s="1"/>
      <c r="H174" s="1"/>
      <c r="I174" s="1"/>
      <c r="J174" s="1"/>
      <c r="K174" s="1"/>
      <c r="L174" s="1"/>
      <c r="M174" s="1"/>
    </row>
    <row r="175" spans="1:13">
      <c r="A175" s="1"/>
      <c r="B175" s="1"/>
      <c r="C175" s="1"/>
      <c r="D175" s="1"/>
      <c r="E175" s="1"/>
      <c r="F175" s="1"/>
      <c r="G175" s="1"/>
      <c r="H175" s="1"/>
      <c r="I175" s="1"/>
      <c r="J175" s="1"/>
      <c r="K175" s="1"/>
      <c r="L175" s="1"/>
      <c r="M175" s="1"/>
    </row>
    <row r="176" spans="1:13">
      <c r="A176" s="1"/>
      <c r="B176" s="1"/>
      <c r="C176" s="1"/>
      <c r="D176" s="1"/>
      <c r="E176" s="1"/>
      <c r="F176" s="1"/>
      <c r="G176" s="1"/>
      <c r="H176" s="1"/>
      <c r="I176" s="1"/>
      <c r="J176" s="1"/>
      <c r="K176" s="1"/>
      <c r="L176" s="1"/>
      <c r="M176" s="1"/>
    </row>
    <row r="177" spans="1:13">
      <c r="A177" s="1"/>
      <c r="B177" s="1"/>
      <c r="C177" s="1"/>
      <c r="D177" s="1"/>
      <c r="E177" s="1"/>
      <c r="F177" s="1"/>
      <c r="G177" s="1"/>
      <c r="H177" s="1"/>
      <c r="I177" s="1"/>
      <c r="J177" s="1"/>
      <c r="K177" s="1"/>
      <c r="L177" s="1"/>
      <c r="M177" s="1"/>
    </row>
    <row r="178" spans="1:13">
      <c r="A178" s="1"/>
      <c r="B178" s="1"/>
      <c r="C178" s="1"/>
      <c r="D178" s="1"/>
      <c r="E178" s="1"/>
      <c r="F178" s="1"/>
      <c r="G178" s="1"/>
      <c r="H178" s="1"/>
      <c r="I178" s="1"/>
      <c r="J178" s="1"/>
      <c r="K178" s="1"/>
      <c r="L178" s="1"/>
      <c r="M178" s="1"/>
    </row>
    <row r="179" spans="1:13">
      <c r="A179" s="1"/>
      <c r="B179" s="1"/>
      <c r="C179" s="1"/>
      <c r="D179" s="1"/>
      <c r="E179" s="1"/>
      <c r="F179" s="1"/>
      <c r="G179" s="1"/>
      <c r="H179" s="1"/>
      <c r="I179" s="1"/>
      <c r="J179" s="1"/>
      <c r="K179" s="1"/>
      <c r="L179" s="1"/>
      <c r="M179" s="1"/>
    </row>
    <row r="180" spans="1:13">
      <c r="A180" s="1"/>
      <c r="B180" s="1"/>
      <c r="C180" s="1"/>
      <c r="D180" s="1"/>
      <c r="E180" s="1"/>
      <c r="F180" s="1"/>
      <c r="G180" s="1"/>
      <c r="H180" s="1"/>
      <c r="I180" s="1"/>
      <c r="J180" s="1"/>
      <c r="K180" s="1"/>
      <c r="L180" s="1"/>
      <c r="M180" s="1"/>
    </row>
    <row r="181" spans="1:13">
      <c r="A181" s="1"/>
      <c r="B181" s="1"/>
      <c r="C181" s="1"/>
      <c r="D181" s="1"/>
      <c r="E181" s="1"/>
      <c r="F181" s="1"/>
      <c r="G181" s="1"/>
      <c r="H181" s="1"/>
      <c r="I181" s="1"/>
      <c r="J181" s="1"/>
      <c r="K181" s="1"/>
      <c r="L181" s="1"/>
      <c r="M181" s="1"/>
    </row>
    <row r="182" spans="1:13">
      <c r="A182" s="1"/>
      <c r="B182" s="1"/>
      <c r="C182" s="1"/>
      <c r="D182" s="1"/>
      <c r="E182" s="1"/>
      <c r="F182" s="1"/>
      <c r="G182" s="1"/>
      <c r="H182" s="1"/>
      <c r="I182" s="1"/>
      <c r="J182" s="1"/>
      <c r="K182" s="1"/>
      <c r="L182" s="1"/>
      <c r="M182" s="1"/>
    </row>
    <row r="183" spans="1:13">
      <c r="A183" s="1"/>
      <c r="B183" s="1"/>
      <c r="C183" s="1"/>
      <c r="D183" s="1"/>
      <c r="E183" s="1"/>
      <c r="F183" s="1"/>
      <c r="G183" s="1"/>
      <c r="H183" s="1"/>
      <c r="I183" s="1"/>
      <c r="J183" s="1"/>
      <c r="K183" s="1"/>
      <c r="L183" s="1"/>
      <c r="M183" s="1"/>
    </row>
    <row r="184" spans="1:13">
      <c r="A184" s="1"/>
      <c r="B184" s="1"/>
      <c r="C184" s="1"/>
      <c r="D184" s="1"/>
      <c r="E184" s="1"/>
      <c r="F184" s="1"/>
      <c r="G184" s="1"/>
      <c r="H184" s="1"/>
      <c r="I184" s="1"/>
      <c r="J184" s="1"/>
      <c r="K184" s="1"/>
      <c r="L184" s="1"/>
      <c r="M184" s="1"/>
    </row>
    <row r="185" spans="1:13">
      <c r="A185" s="1"/>
      <c r="B185" s="1"/>
      <c r="C185" s="1"/>
      <c r="D185" s="1"/>
      <c r="E185" s="1"/>
      <c r="F185" s="1"/>
      <c r="G185" s="1"/>
      <c r="H185" s="1"/>
      <c r="I185" s="1"/>
      <c r="J185" s="1"/>
      <c r="K185" s="1"/>
      <c r="L185" s="1"/>
      <c r="M185" s="1"/>
    </row>
    <row r="186" spans="1:13">
      <c r="A186" s="1"/>
      <c r="B186" s="1"/>
      <c r="C186" s="1"/>
      <c r="D186" s="1"/>
      <c r="E186" s="1"/>
      <c r="F186" s="1"/>
      <c r="G186" s="1"/>
      <c r="H186" s="1"/>
      <c r="I186" s="1"/>
      <c r="J186" s="1"/>
      <c r="K186" s="1"/>
      <c r="L186" s="1"/>
      <c r="M186" s="1"/>
    </row>
    <row r="187" spans="1:13">
      <c r="A187" s="1"/>
      <c r="B187" s="1"/>
      <c r="C187" s="1"/>
      <c r="D187" s="1"/>
      <c r="E187" s="1"/>
      <c r="F187" s="1"/>
      <c r="G187" s="1"/>
      <c r="H187" s="1"/>
      <c r="I187" s="1"/>
      <c r="J187" s="1"/>
      <c r="K187" s="1"/>
      <c r="L187" s="1"/>
      <c r="M187" s="1"/>
    </row>
    <row r="188" spans="1:13">
      <c r="A188" s="1"/>
      <c r="B188" s="1"/>
      <c r="C188" s="1"/>
      <c r="D188" s="1"/>
      <c r="E188" s="1"/>
      <c r="F188" s="1"/>
      <c r="G188" s="1"/>
      <c r="H188" s="1"/>
      <c r="I188" s="1"/>
      <c r="J188" s="1"/>
      <c r="K188" s="1"/>
      <c r="L188" s="1"/>
      <c r="M188" s="1"/>
    </row>
    <row r="189" spans="1:13">
      <c r="A189" s="1"/>
      <c r="B189" s="1"/>
      <c r="C189" s="1"/>
      <c r="D189" s="1"/>
      <c r="E189" s="1"/>
      <c r="F189" s="1"/>
      <c r="G189" s="1"/>
      <c r="H189" s="1"/>
      <c r="I189" s="1"/>
      <c r="J189" s="1"/>
      <c r="K189" s="1"/>
      <c r="L189" s="1"/>
      <c r="M189" s="1"/>
    </row>
    <row r="190" spans="1:13">
      <c r="A190" s="1"/>
      <c r="B190" s="1"/>
      <c r="C190" s="1"/>
      <c r="D190" s="1"/>
      <c r="E190" s="1"/>
      <c r="F190" s="1"/>
      <c r="G190" s="1"/>
      <c r="H190" s="1"/>
      <c r="I190" s="1"/>
      <c r="J190" s="1"/>
      <c r="K190" s="1"/>
      <c r="L190" s="1"/>
      <c r="M190" s="1"/>
    </row>
    <row r="191" spans="1:13">
      <c r="A191" s="1"/>
      <c r="B191" s="1"/>
      <c r="C191" s="1"/>
      <c r="D191" s="1"/>
      <c r="E191" s="1"/>
      <c r="F191" s="1"/>
      <c r="G191" s="1"/>
      <c r="H191" s="1"/>
      <c r="I191" s="1"/>
      <c r="J191" s="1"/>
      <c r="K191" s="1"/>
      <c r="L191" s="1"/>
      <c r="M191" s="1"/>
    </row>
    <row r="192" spans="1:13">
      <c r="A192" s="1"/>
      <c r="B192" s="1"/>
      <c r="C192" s="1"/>
      <c r="D192" s="1"/>
      <c r="E192" s="1"/>
      <c r="F192" s="1"/>
      <c r="G192" s="1"/>
      <c r="H192" s="1"/>
      <c r="I192" s="1"/>
      <c r="J192" s="1"/>
      <c r="K192" s="1"/>
      <c r="L192" s="1"/>
      <c r="M192" s="1"/>
    </row>
    <row r="193" spans="1:13">
      <c r="A193" s="1"/>
      <c r="B193" s="1"/>
      <c r="C193" s="1"/>
      <c r="D193" s="1"/>
      <c r="E193" s="1"/>
      <c r="F193" s="1"/>
      <c r="G193" s="1"/>
      <c r="H193" s="1"/>
      <c r="I193" s="1"/>
      <c r="J193" s="1"/>
      <c r="K193" s="1"/>
      <c r="L193" s="1"/>
      <c r="M193" s="1"/>
    </row>
    <row r="194" spans="1:13">
      <c r="A194" s="1"/>
      <c r="B194" s="1"/>
      <c r="C194" s="1"/>
      <c r="D194" s="1"/>
      <c r="E194" s="1"/>
      <c r="F194" s="1"/>
      <c r="G194" s="1"/>
      <c r="H194" s="1"/>
      <c r="I194" s="1"/>
      <c r="J194" s="1"/>
      <c r="K194" s="1"/>
      <c r="L194" s="1"/>
      <c r="M194" s="1"/>
    </row>
    <row r="195" spans="1:13">
      <c r="A195" s="1"/>
      <c r="B195" s="1"/>
      <c r="C195" s="1"/>
      <c r="D195" s="1"/>
      <c r="E195" s="1"/>
      <c r="F195" s="1"/>
      <c r="G195" s="1"/>
      <c r="H195" s="1"/>
      <c r="I195" s="1"/>
      <c r="J195" s="1"/>
      <c r="K195" s="1"/>
      <c r="L195" s="1"/>
      <c r="M195" s="1"/>
    </row>
    <row r="196" spans="1:13">
      <c r="A196" s="1"/>
      <c r="B196" s="1"/>
      <c r="C196" s="1"/>
      <c r="D196" s="1"/>
      <c r="E196" s="1"/>
      <c r="F196" s="1"/>
      <c r="G196" s="1"/>
      <c r="H196" s="1"/>
      <c r="I196" s="1"/>
      <c r="J196" s="1"/>
      <c r="K196" s="1"/>
      <c r="L196" s="1"/>
      <c r="M196" s="1"/>
    </row>
    <row r="197" spans="1:13">
      <c r="A197" s="1"/>
      <c r="B197" s="1"/>
      <c r="C197" s="1"/>
      <c r="D197" s="1"/>
      <c r="E197" s="1"/>
      <c r="F197" s="1"/>
      <c r="G197" s="1"/>
      <c r="H197" s="1"/>
      <c r="I197" s="1"/>
      <c r="J197" s="1"/>
      <c r="K197" s="1"/>
      <c r="L197" s="1"/>
      <c r="M197" s="1"/>
    </row>
    <row r="198" spans="1:13">
      <c r="A198" s="1"/>
      <c r="B198" s="1"/>
      <c r="C198" s="1"/>
      <c r="D198" s="1"/>
      <c r="E198" s="1"/>
      <c r="F198" s="1"/>
      <c r="G198" s="1"/>
      <c r="H198" s="1"/>
      <c r="I198" s="1"/>
      <c r="J198" s="1"/>
      <c r="K198" s="1"/>
      <c r="L198" s="1"/>
      <c r="M198" s="1"/>
    </row>
    <row r="199" spans="1:13">
      <c r="A199" s="1"/>
      <c r="B199" s="1"/>
      <c r="C199" s="1"/>
      <c r="D199" s="1"/>
      <c r="E199" s="1"/>
      <c r="F199" s="1"/>
      <c r="G199" s="1"/>
      <c r="H199" s="1"/>
      <c r="I199" s="1"/>
      <c r="J199" s="1"/>
      <c r="K199" s="1"/>
      <c r="L199" s="1"/>
      <c r="M199" s="1"/>
    </row>
    <row r="200" spans="1:13">
      <c r="A200" s="1"/>
      <c r="B200" s="1"/>
      <c r="C200" s="1"/>
      <c r="D200" s="1"/>
      <c r="E200" s="1"/>
      <c r="F200" s="1"/>
      <c r="G200" s="1"/>
      <c r="H200" s="1"/>
      <c r="I200" s="1"/>
      <c r="J200" s="1"/>
      <c r="K200" s="1"/>
      <c r="L200" s="1"/>
      <c r="M200" s="1"/>
    </row>
    <row r="201" spans="1:13">
      <c r="A201" s="1"/>
      <c r="B201" s="1"/>
      <c r="C201" s="1"/>
      <c r="D201" s="1"/>
      <c r="E201" s="1"/>
      <c r="F201" s="1"/>
      <c r="G201" s="1"/>
      <c r="H201" s="1"/>
      <c r="I201" s="1"/>
      <c r="J201" s="1"/>
      <c r="K201" s="1"/>
      <c r="L201" s="1"/>
      <c r="M201" s="1"/>
    </row>
    <row r="202" spans="1:13">
      <c r="A202" s="1"/>
      <c r="B202" s="1"/>
      <c r="C202" s="1"/>
      <c r="D202" s="1"/>
      <c r="E202" s="1"/>
      <c r="F202" s="1"/>
      <c r="G202" s="1"/>
      <c r="H202" s="1"/>
      <c r="I202" s="1"/>
      <c r="J202" s="1"/>
      <c r="K202" s="1"/>
      <c r="L202" s="1"/>
      <c r="M202" s="1"/>
    </row>
    <row r="203" spans="1:13">
      <c r="A203" s="1"/>
      <c r="B203" s="1"/>
      <c r="C203" s="1"/>
      <c r="D203" s="1"/>
      <c r="E203" s="1"/>
      <c r="F203" s="1"/>
      <c r="G203" s="1"/>
      <c r="H203" s="1"/>
      <c r="I203" s="1"/>
      <c r="J203" s="1"/>
      <c r="K203" s="1"/>
      <c r="L203" s="1"/>
      <c r="M203" s="1"/>
    </row>
    <row r="204" spans="1:13">
      <c r="A204" s="1"/>
      <c r="B204" s="1"/>
      <c r="C204" s="1"/>
      <c r="D204" s="1"/>
      <c r="E204" s="1"/>
      <c r="F204" s="1"/>
      <c r="G204" s="1"/>
      <c r="H204" s="1"/>
      <c r="I204" s="1"/>
      <c r="J204" s="1"/>
      <c r="K204" s="1"/>
      <c r="L204" s="1"/>
      <c r="M204" s="1"/>
    </row>
    <row r="205" spans="1:13">
      <c r="A205" s="1"/>
      <c r="B205" s="1"/>
      <c r="C205" s="1"/>
      <c r="D205" s="1"/>
      <c r="E205" s="1"/>
      <c r="F205" s="1"/>
      <c r="G205" s="1"/>
      <c r="H205" s="1"/>
      <c r="I205" s="1"/>
      <c r="J205" s="1"/>
      <c r="K205" s="1"/>
      <c r="L205" s="1"/>
      <c r="M205" s="1"/>
    </row>
    <row r="206" spans="1:13">
      <c r="A206" s="1"/>
      <c r="B206" s="1"/>
      <c r="C206" s="1"/>
      <c r="D206" s="1"/>
      <c r="E206" s="1"/>
      <c r="F206" s="1"/>
      <c r="G206" s="1"/>
      <c r="H206" s="1"/>
      <c r="I206" s="1"/>
      <c r="J206" s="1"/>
      <c r="K206" s="1"/>
      <c r="L206" s="1"/>
      <c r="M206" s="1"/>
    </row>
    <row r="207" spans="1:13">
      <c r="A207" s="1"/>
      <c r="B207" s="1"/>
      <c r="C207" s="1"/>
      <c r="D207" s="1"/>
      <c r="E207" s="1"/>
      <c r="F207" s="1"/>
      <c r="G207" s="1"/>
      <c r="H207" s="1"/>
      <c r="I207" s="1"/>
      <c r="J207" s="1"/>
      <c r="K207" s="1"/>
      <c r="L207" s="1"/>
      <c r="M207" s="1"/>
    </row>
    <row r="208" spans="1:13">
      <c r="A208" s="1"/>
      <c r="B208" s="1"/>
      <c r="C208" s="1"/>
      <c r="D208" s="1"/>
      <c r="E208" s="1"/>
      <c r="F208" s="1"/>
      <c r="G208" s="1"/>
      <c r="H208" s="1"/>
      <c r="I208" s="1"/>
      <c r="J208" s="1"/>
      <c r="K208" s="1"/>
      <c r="L208" s="1"/>
      <c r="M208" s="1"/>
    </row>
    <row r="209" spans="1:13">
      <c r="A209" s="1"/>
      <c r="B209" s="1"/>
      <c r="C209" s="1"/>
      <c r="D209" s="1"/>
      <c r="E209" s="1"/>
      <c r="F209" s="1"/>
      <c r="G209" s="1"/>
      <c r="H209" s="1"/>
      <c r="I209" s="1"/>
      <c r="J209" s="1"/>
      <c r="K209" s="1"/>
      <c r="L209" s="1"/>
      <c r="M209" s="1"/>
    </row>
    <row r="210" spans="1:13">
      <c r="A210" s="1"/>
      <c r="B210" s="1"/>
      <c r="C210" s="1"/>
      <c r="D210" s="1"/>
      <c r="E210" s="1"/>
      <c r="F210" s="1"/>
      <c r="G210" s="1"/>
      <c r="H210" s="1"/>
      <c r="I210" s="1"/>
      <c r="J210" s="1"/>
      <c r="K210" s="1"/>
      <c r="L210" s="1"/>
      <c r="M210" s="1"/>
    </row>
    <row r="211" spans="1:13">
      <c r="A211" s="1"/>
      <c r="B211" s="1"/>
      <c r="C211" s="1"/>
      <c r="D211" s="1"/>
      <c r="E211" s="1"/>
      <c r="F211" s="1"/>
      <c r="G211" s="1"/>
      <c r="H211" s="1"/>
      <c r="I211" s="1"/>
      <c r="J211" s="1"/>
      <c r="K211" s="1"/>
      <c r="L211" s="1"/>
      <c r="M211" s="1"/>
    </row>
    <row r="212" spans="1:13">
      <c r="A212" s="1"/>
      <c r="B212" s="1"/>
      <c r="C212" s="1"/>
      <c r="D212" s="1"/>
      <c r="E212" s="1"/>
      <c r="F212" s="1"/>
      <c r="G212" s="1"/>
      <c r="H212" s="1"/>
      <c r="I212" s="1"/>
      <c r="J212" s="1"/>
      <c r="K212" s="1"/>
      <c r="L212" s="1"/>
      <c r="M212" s="1"/>
    </row>
    <row r="213" spans="1:13">
      <c r="A213" s="1"/>
      <c r="B213" s="1"/>
      <c r="C213" s="1"/>
      <c r="D213" s="1"/>
      <c r="E213" s="1"/>
      <c r="F213" s="1"/>
      <c r="G213" s="1"/>
      <c r="H213" s="1"/>
      <c r="I213" s="1"/>
      <c r="J213" s="1"/>
      <c r="K213" s="1"/>
      <c r="L213" s="1"/>
      <c r="M213" s="1"/>
    </row>
    <row r="214" spans="1:13">
      <c r="A214" s="1"/>
      <c r="B214" s="1"/>
      <c r="C214" s="1"/>
      <c r="D214" s="1"/>
      <c r="E214" s="1"/>
      <c r="F214" s="1"/>
      <c r="G214" s="1"/>
      <c r="H214" s="1"/>
      <c r="I214" s="1"/>
      <c r="J214" s="1"/>
      <c r="K214" s="1"/>
      <c r="L214" s="1"/>
      <c r="M214" s="1"/>
    </row>
    <row r="215" spans="1:13">
      <c r="A215" s="1"/>
      <c r="B215" s="1"/>
      <c r="C215" s="1"/>
      <c r="D215" s="1"/>
      <c r="E215" s="1"/>
      <c r="F215" s="1"/>
      <c r="G215" s="1"/>
      <c r="H215" s="1"/>
      <c r="I215" s="1"/>
      <c r="J215" s="1"/>
      <c r="K215" s="1"/>
      <c r="L215" s="1"/>
      <c r="M215" s="1"/>
    </row>
    <row r="216" spans="1:13">
      <c r="A216" s="1"/>
      <c r="B216" s="1"/>
      <c r="C216" s="1"/>
      <c r="D216" s="1"/>
      <c r="E216" s="1"/>
      <c r="F216" s="1"/>
      <c r="G216" s="1"/>
      <c r="H216" s="1"/>
      <c r="I216" s="1"/>
      <c r="J216" s="1"/>
      <c r="K216" s="1"/>
      <c r="L216" s="1"/>
      <c r="M216" s="1"/>
    </row>
    <row r="217" spans="1:13">
      <c r="A217" s="1"/>
      <c r="B217" s="1"/>
      <c r="C217" s="1"/>
      <c r="D217" s="1"/>
      <c r="E217" s="1"/>
      <c r="F217" s="1"/>
      <c r="G217" s="1"/>
      <c r="H217" s="1"/>
      <c r="I217" s="1"/>
      <c r="J217" s="1"/>
      <c r="K217" s="1"/>
      <c r="L217" s="1"/>
      <c r="M217" s="1"/>
    </row>
    <row r="218" spans="1:13">
      <c r="A218" s="1"/>
      <c r="B218" s="1"/>
      <c r="C218" s="1"/>
      <c r="D218" s="1"/>
      <c r="E218" s="1"/>
      <c r="F218" s="1"/>
      <c r="G218" s="1"/>
      <c r="H218" s="1"/>
      <c r="I218" s="1"/>
      <c r="J218" s="1"/>
      <c r="K218" s="1"/>
      <c r="L218" s="1"/>
      <c r="M218" s="1"/>
    </row>
    <row r="219" spans="1:13">
      <c r="A219" s="1"/>
      <c r="B219" s="1"/>
      <c r="C219" s="1"/>
      <c r="D219" s="1"/>
      <c r="E219" s="1"/>
      <c r="F219" s="1"/>
      <c r="G219" s="1"/>
      <c r="H219" s="1"/>
      <c r="I219" s="1"/>
      <c r="J219" s="1"/>
      <c r="K219" s="1"/>
      <c r="L219" s="1"/>
      <c r="M219" s="1"/>
    </row>
    <row r="220" spans="1:13">
      <c r="A220" s="1"/>
      <c r="B220" s="1"/>
      <c r="C220" s="1"/>
      <c r="D220" s="1"/>
      <c r="E220" s="1"/>
      <c r="F220" s="1"/>
      <c r="G220" s="1"/>
      <c r="H220" s="1"/>
      <c r="I220" s="1"/>
      <c r="J220" s="1"/>
      <c r="K220" s="1"/>
      <c r="L220" s="1"/>
      <c r="M220" s="1"/>
    </row>
    <row r="221" spans="1:13">
      <c r="A221" s="1"/>
      <c r="B221" s="1"/>
      <c r="C221" s="1"/>
      <c r="D221" s="1"/>
      <c r="E221" s="1"/>
      <c r="F221" s="1"/>
      <c r="G221" s="1"/>
      <c r="H221" s="1"/>
      <c r="I221" s="1"/>
      <c r="J221" s="1"/>
      <c r="K221" s="1"/>
      <c r="L221" s="1"/>
      <c r="M221" s="1"/>
    </row>
    <row r="222" spans="1:13">
      <c r="A222" s="1"/>
      <c r="B222" s="1"/>
      <c r="C222" s="1"/>
      <c r="D222" s="1"/>
      <c r="E222" s="1"/>
      <c r="F222" s="1"/>
      <c r="G222" s="1"/>
      <c r="H222" s="1"/>
      <c r="I222" s="1"/>
      <c r="J222" s="1"/>
      <c r="K222" s="1"/>
      <c r="L222" s="1"/>
      <c r="M222" s="1"/>
    </row>
    <row r="223" spans="1:13">
      <c r="A223" s="1"/>
      <c r="B223" s="1"/>
      <c r="C223" s="1"/>
      <c r="D223" s="1"/>
      <c r="E223" s="1"/>
      <c r="F223" s="1"/>
      <c r="G223" s="1"/>
      <c r="H223" s="1"/>
      <c r="I223" s="1"/>
      <c r="J223" s="1"/>
      <c r="K223" s="1"/>
      <c r="L223" s="1"/>
      <c r="M223" s="1"/>
    </row>
    <row r="224" spans="1:13">
      <c r="A224" s="1"/>
      <c r="B224" s="1"/>
      <c r="C224" s="1"/>
      <c r="D224" s="1"/>
      <c r="E224" s="1"/>
      <c r="F224" s="1"/>
      <c r="G224" s="1"/>
      <c r="H224" s="1"/>
      <c r="I224" s="1"/>
      <c r="J224" s="1"/>
      <c r="K224" s="1"/>
      <c r="L224" s="1"/>
      <c r="M224" s="1"/>
    </row>
    <row r="225" spans="1:13">
      <c r="A225" s="1"/>
      <c r="B225" s="1"/>
      <c r="C225" s="1"/>
      <c r="D225" s="1"/>
      <c r="E225" s="1"/>
      <c r="F225" s="1"/>
      <c r="G225" s="1"/>
      <c r="H225" s="1"/>
      <c r="I225" s="1"/>
      <c r="J225" s="1"/>
      <c r="K225" s="1"/>
      <c r="L225" s="1"/>
      <c r="M225" s="1"/>
    </row>
    <row r="226" spans="1:13">
      <c r="A226" s="1"/>
      <c r="B226" s="1"/>
      <c r="C226" s="1"/>
      <c r="D226" s="1"/>
      <c r="E226" s="1"/>
      <c r="F226" s="1"/>
      <c r="G226" s="1"/>
      <c r="H226" s="1"/>
      <c r="I226" s="1"/>
      <c r="J226" s="1"/>
      <c r="K226" s="1"/>
      <c r="L226" s="1"/>
      <c r="M226" s="1"/>
    </row>
    <row r="227" spans="1:13">
      <c r="A227" s="1"/>
      <c r="B227" s="1"/>
      <c r="C227" s="1"/>
      <c r="D227" s="1"/>
      <c r="E227" s="1"/>
      <c r="F227" s="1"/>
      <c r="G227" s="1"/>
      <c r="H227" s="1"/>
      <c r="I227" s="1"/>
      <c r="J227" s="1"/>
      <c r="K227" s="1"/>
      <c r="L227" s="1"/>
      <c r="M227" s="1"/>
    </row>
    <row r="228" spans="1:13">
      <c r="A228" s="1"/>
      <c r="B228" s="1"/>
      <c r="C228" s="1"/>
      <c r="D228" s="1"/>
      <c r="E228" s="1"/>
      <c r="F228" s="1"/>
      <c r="G228" s="1"/>
      <c r="H228" s="1"/>
      <c r="I228" s="1"/>
      <c r="J228" s="1"/>
      <c r="K228" s="1"/>
      <c r="L228" s="1"/>
      <c r="M228" s="1"/>
    </row>
    <row r="229" spans="1:13">
      <c r="A229" s="1"/>
      <c r="B229" s="1"/>
      <c r="C229" s="1"/>
      <c r="D229" s="1"/>
      <c r="E229" s="1"/>
      <c r="F229" s="1"/>
      <c r="G229" s="1"/>
      <c r="H229" s="1"/>
      <c r="I229" s="1"/>
      <c r="J229" s="1"/>
      <c r="K229" s="1"/>
      <c r="L229" s="1"/>
      <c r="M229" s="1"/>
    </row>
    <row r="230" spans="1:13">
      <c r="A230" s="1"/>
      <c r="B230" s="1"/>
      <c r="C230" s="1"/>
      <c r="D230" s="1"/>
      <c r="E230" s="1"/>
      <c r="F230" s="1"/>
      <c r="G230" s="1"/>
      <c r="H230" s="1"/>
      <c r="I230" s="1"/>
      <c r="J230" s="1"/>
      <c r="K230" s="1"/>
      <c r="L230" s="1"/>
      <c r="M230" s="1"/>
    </row>
    <row r="231" spans="1:13">
      <c r="A231" s="1"/>
      <c r="B231" s="1"/>
      <c r="C231" s="1"/>
      <c r="D231" s="1"/>
      <c r="E231" s="1"/>
      <c r="F231" s="1"/>
      <c r="G231" s="1"/>
      <c r="H231" s="1"/>
      <c r="I231" s="1"/>
      <c r="J231" s="1"/>
      <c r="K231" s="1"/>
      <c r="L231" s="1"/>
      <c r="M231" s="1"/>
    </row>
    <row r="232" spans="1:13">
      <c r="A232" s="1"/>
      <c r="B232" s="1"/>
      <c r="C232" s="1"/>
      <c r="D232" s="1"/>
      <c r="E232" s="1"/>
      <c r="F232" s="1"/>
      <c r="G232" s="1"/>
      <c r="H232" s="1"/>
      <c r="I232" s="1"/>
      <c r="J232" s="1"/>
      <c r="K232" s="1"/>
      <c r="L232" s="1"/>
      <c r="M232" s="1"/>
    </row>
    <row r="233" spans="1:13">
      <c r="A233" s="1"/>
      <c r="B233" s="1"/>
      <c r="C233" s="1"/>
      <c r="D233" s="1"/>
      <c r="E233" s="1"/>
      <c r="F233" s="1"/>
      <c r="G233" s="1"/>
      <c r="H233" s="1"/>
      <c r="I233" s="1"/>
      <c r="J233" s="1"/>
      <c r="K233" s="1"/>
      <c r="L233" s="1"/>
      <c r="M233" s="1"/>
    </row>
  </sheetData>
  <mergeCells count="2">
    <mergeCell ref="BW4:CB4"/>
    <mergeCell ref="AE4:BV4"/>
  </mergeCells>
  <conditionalFormatting sqref="CC6:CC10">
    <cfRule type="cellIs" priority="1" operator="equal">
      <formula>"""-"""</formula>
    </cfRule>
    <cfRule type="cellIs" dxfId="9" priority="2" operator="greaterThan">
      <formula>0.9999999</formula>
    </cfRule>
    <cfRule type="cellIs" dxfId="8" priority="3" operator="between">
      <formula>0.9</formula>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12"/>
  <sheetViews>
    <sheetView topLeftCell="C1" zoomScale="145" zoomScaleNormal="145" workbookViewId="0">
      <selection activeCell="R5" sqref="Q5:R5"/>
    </sheetView>
  </sheetViews>
  <sheetFormatPr defaultRowHeight="14.45"/>
  <cols>
    <col min="1" max="1" width="3.125" customWidth="1"/>
    <col min="2" max="2" width="18.875" bestFit="1" customWidth="1"/>
    <col min="6" max="6" width="10.125" bestFit="1" customWidth="1"/>
    <col min="7" max="7" width="5.625" customWidth="1"/>
    <col min="8" max="8" width="40.125" customWidth="1"/>
    <col min="10" max="10" width="5.875" customWidth="1"/>
    <col min="13" max="13" width="6" customWidth="1"/>
    <col min="14" max="14" width="11" customWidth="1"/>
    <col min="16" max="16" width="5.125" customWidth="1"/>
    <col min="17" max="17" width="13.25" bestFit="1" customWidth="1"/>
    <col min="19" max="19" width="4.125" customWidth="1"/>
    <col min="20" max="20" width="16.125" bestFit="1" customWidth="1"/>
    <col min="22" max="22" width="26.75" bestFit="1" customWidth="1"/>
    <col min="23" max="23" width="9.75" bestFit="1" customWidth="1"/>
  </cols>
  <sheetData>
    <row r="1" spans="2:23">
      <c r="B1" s="14" t="s">
        <v>2</v>
      </c>
      <c r="C1" s="59" t="s">
        <v>1</v>
      </c>
      <c r="D1" s="60"/>
      <c r="E1" s="60"/>
      <c r="F1" s="60"/>
      <c r="H1" s="31" t="s">
        <v>41</v>
      </c>
      <c r="I1" s="31" t="s">
        <v>42</v>
      </c>
      <c r="K1" s="31" t="s">
        <v>43</v>
      </c>
      <c r="L1" s="31" t="s">
        <v>42</v>
      </c>
      <c r="M1" s="30"/>
      <c r="N1" s="31" t="s">
        <v>44</v>
      </c>
      <c r="O1" s="31" t="s">
        <v>42</v>
      </c>
      <c r="P1" s="30"/>
      <c r="Q1" s="31" t="s">
        <v>45</v>
      </c>
      <c r="R1" s="31" t="s">
        <v>42</v>
      </c>
      <c r="S1" s="30"/>
      <c r="T1" s="31" t="s">
        <v>46</v>
      </c>
      <c r="U1" s="31" t="s">
        <v>42</v>
      </c>
      <c r="V1" s="31" t="s">
        <v>47</v>
      </c>
      <c r="W1" s="31" t="s">
        <v>42</v>
      </c>
    </row>
    <row r="2" spans="2:23">
      <c r="B2" s="15" t="s">
        <v>48</v>
      </c>
      <c r="C2" s="15" t="s">
        <v>43</v>
      </c>
      <c r="D2" s="15" t="s">
        <v>49</v>
      </c>
      <c r="E2" s="15" t="s">
        <v>50</v>
      </c>
      <c r="F2" s="15" t="s">
        <v>51</v>
      </c>
      <c r="H2" s="15">
        <v>0</v>
      </c>
      <c r="I2" s="16">
        <v>1.2</v>
      </c>
      <c r="K2" s="17">
        <v>0.9</v>
      </c>
      <c r="L2" s="17">
        <v>1.2</v>
      </c>
      <c r="N2" s="19">
        <v>1</v>
      </c>
      <c r="O2" s="17">
        <v>1.2</v>
      </c>
      <c r="Q2" s="17">
        <v>0.98</v>
      </c>
      <c r="R2" s="17">
        <v>1.2</v>
      </c>
      <c r="T2" s="33">
        <v>0.95</v>
      </c>
      <c r="U2" s="17">
        <v>1.2</v>
      </c>
      <c r="V2" s="28" t="s">
        <v>52</v>
      </c>
      <c r="W2" s="61">
        <v>1</v>
      </c>
    </row>
    <row r="3" spans="2:23">
      <c r="B3" s="16">
        <v>0.2</v>
      </c>
      <c r="C3" s="16">
        <v>0.2</v>
      </c>
      <c r="D3" s="16">
        <v>0.25</v>
      </c>
      <c r="E3" s="16">
        <v>0.3</v>
      </c>
      <c r="F3" s="16">
        <v>0.05</v>
      </c>
      <c r="H3" s="26">
        <v>2</v>
      </c>
      <c r="I3" s="16">
        <v>1</v>
      </c>
      <c r="K3" s="17">
        <v>0.8</v>
      </c>
      <c r="L3" s="17">
        <v>1</v>
      </c>
      <c r="N3" s="19">
        <v>3</v>
      </c>
      <c r="O3" s="17">
        <v>1</v>
      </c>
      <c r="Q3" s="17">
        <v>0.95</v>
      </c>
      <c r="R3" s="17">
        <v>1</v>
      </c>
      <c r="T3" s="33">
        <v>0.9</v>
      </c>
      <c r="U3" s="17">
        <v>1</v>
      </c>
      <c r="V3" s="28" t="s">
        <v>53</v>
      </c>
      <c r="W3" s="62"/>
    </row>
    <row r="4" spans="2:23">
      <c r="H4" s="26">
        <v>4</v>
      </c>
      <c r="I4" s="16">
        <v>0.8</v>
      </c>
      <c r="K4" s="17">
        <v>0.7</v>
      </c>
      <c r="L4" s="17">
        <v>0.8</v>
      </c>
      <c r="N4" s="19">
        <v>4</v>
      </c>
      <c r="O4" s="17">
        <v>0.8</v>
      </c>
      <c r="Q4" s="17">
        <v>0.85</v>
      </c>
      <c r="R4" s="17">
        <v>0.8</v>
      </c>
      <c r="T4" s="33">
        <v>0.85</v>
      </c>
      <c r="U4" s="17">
        <v>0.8</v>
      </c>
      <c r="V4" s="28" t="s">
        <v>54</v>
      </c>
      <c r="W4" s="61">
        <v>0</v>
      </c>
    </row>
    <row r="5" spans="2:23">
      <c r="H5" s="26">
        <v>6</v>
      </c>
      <c r="I5" s="16">
        <v>0.6</v>
      </c>
      <c r="K5" s="17">
        <v>0.7</v>
      </c>
      <c r="L5" s="17">
        <v>0.6</v>
      </c>
      <c r="N5" s="19">
        <v>5</v>
      </c>
      <c r="O5" s="17">
        <v>0.6</v>
      </c>
      <c r="Q5" s="17">
        <v>0.75</v>
      </c>
      <c r="R5" s="17">
        <v>0.6</v>
      </c>
      <c r="T5" s="33">
        <v>0.8</v>
      </c>
      <c r="U5" s="17">
        <v>0.6</v>
      </c>
      <c r="V5" s="28" t="s">
        <v>55</v>
      </c>
      <c r="W5" s="63"/>
    </row>
    <row r="6" spans="2:23">
      <c r="H6" s="26">
        <v>7</v>
      </c>
      <c r="I6" s="16">
        <v>0.4</v>
      </c>
      <c r="K6" s="17">
        <v>0.5</v>
      </c>
      <c r="L6" s="17">
        <v>0.5</v>
      </c>
      <c r="N6" s="19">
        <v>6</v>
      </c>
      <c r="O6" s="17">
        <v>0.5</v>
      </c>
      <c r="Q6" s="17">
        <v>0.65</v>
      </c>
      <c r="R6" s="17">
        <v>0.5</v>
      </c>
      <c r="T6" s="33">
        <v>0.75</v>
      </c>
      <c r="U6" s="17">
        <v>0.5</v>
      </c>
      <c r="V6" s="28" t="s">
        <v>56</v>
      </c>
      <c r="W6" s="62"/>
    </row>
    <row r="7" spans="2:23">
      <c r="H7" s="26">
        <v>8</v>
      </c>
      <c r="I7" s="16">
        <v>0</v>
      </c>
      <c r="K7" s="18" t="s">
        <v>57</v>
      </c>
      <c r="L7" s="17">
        <v>0</v>
      </c>
      <c r="N7" s="18">
        <v>7</v>
      </c>
      <c r="O7" s="17">
        <v>0</v>
      </c>
      <c r="Q7" s="18" t="s">
        <v>58</v>
      </c>
      <c r="R7" s="17">
        <v>0</v>
      </c>
      <c r="T7" s="33" t="s">
        <v>59</v>
      </c>
      <c r="U7" s="17">
        <v>0</v>
      </c>
    </row>
    <row r="9" spans="2:23">
      <c r="H9" s="31" t="s">
        <v>60</v>
      </c>
    </row>
    <row r="10" spans="2:23" ht="203.1">
      <c r="H10" s="42" t="s">
        <v>61</v>
      </c>
    </row>
    <row r="11" spans="2:23">
      <c r="H11" s="31" t="s">
        <v>62</v>
      </c>
    </row>
    <row r="12" spans="2:23" ht="231.95">
      <c r="H12" s="42" t="s">
        <v>63</v>
      </c>
    </row>
  </sheetData>
  <mergeCells count="3">
    <mergeCell ref="C1:F1"/>
    <mergeCell ref="W2:W3"/>
    <mergeCell ref="W4:W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73" workbookViewId="0">
      <selection activeCell="C7" sqref="C7"/>
    </sheetView>
  </sheetViews>
  <sheetFormatPr defaultRowHeight="14.45"/>
  <cols>
    <col min="1" max="1" width="21.75" customWidth="1"/>
    <col min="2" max="2" width="27.125" customWidth="1"/>
    <col min="3" max="3" width="24.125" customWidth="1"/>
    <col min="4" max="4" width="6.625" bestFit="1" customWidth="1"/>
    <col min="5" max="5" width="7.375" bestFit="1" customWidth="1"/>
    <col min="6" max="6" width="29.625" customWidth="1"/>
    <col min="7" max="7" width="36.125" customWidth="1"/>
    <col min="8" max="8" width="10.875" bestFit="1" customWidth="1"/>
  </cols>
  <sheetData>
    <row r="1" spans="1:8">
      <c r="A1" s="34" t="s">
        <v>64</v>
      </c>
      <c r="B1" s="34" t="s">
        <v>65</v>
      </c>
      <c r="C1" s="34" t="s">
        <v>66</v>
      </c>
      <c r="D1" s="34" t="s">
        <v>67</v>
      </c>
      <c r="E1" s="34" t="s">
        <v>68</v>
      </c>
      <c r="F1" s="34" t="s">
        <v>69</v>
      </c>
      <c r="G1" s="34" t="s">
        <v>70</v>
      </c>
      <c r="H1" s="34" t="s">
        <v>71</v>
      </c>
    </row>
    <row r="2" spans="1:8" ht="39">
      <c r="A2" s="36" t="s">
        <v>72</v>
      </c>
      <c r="B2" s="36" t="s">
        <v>73</v>
      </c>
      <c r="C2" s="36" t="s">
        <v>74</v>
      </c>
      <c r="D2" s="38">
        <v>0.2</v>
      </c>
      <c r="E2" s="36" t="s">
        <v>75</v>
      </c>
      <c r="F2" s="36" t="s">
        <v>76</v>
      </c>
      <c r="G2" s="36" t="s">
        <v>77</v>
      </c>
      <c r="H2" s="36" t="s">
        <v>78</v>
      </c>
    </row>
    <row r="3" spans="1:8" ht="26.1">
      <c r="A3" s="36" t="s">
        <v>43</v>
      </c>
      <c r="B3" s="36" t="s">
        <v>79</v>
      </c>
      <c r="C3" s="36" t="s">
        <v>80</v>
      </c>
      <c r="D3" s="38">
        <v>0.2</v>
      </c>
      <c r="E3" s="36" t="s">
        <v>75</v>
      </c>
      <c r="F3" s="36" t="s">
        <v>81</v>
      </c>
      <c r="G3" s="36" t="s">
        <v>82</v>
      </c>
      <c r="H3" s="36" t="s">
        <v>83</v>
      </c>
    </row>
    <row r="4" spans="1:8" ht="78">
      <c r="A4" s="36" t="s">
        <v>44</v>
      </c>
      <c r="B4" s="36" t="s">
        <v>84</v>
      </c>
      <c r="C4" s="36" t="s">
        <v>80</v>
      </c>
      <c r="D4" s="38">
        <v>0.25</v>
      </c>
      <c r="E4" s="36" t="s">
        <v>75</v>
      </c>
      <c r="F4" s="36" t="s">
        <v>85</v>
      </c>
      <c r="G4" s="36" t="s">
        <v>86</v>
      </c>
      <c r="H4" s="36" t="s">
        <v>83</v>
      </c>
    </row>
    <row r="5" spans="1:8" ht="51.95">
      <c r="A5" s="36" t="s">
        <v>45</v>
      </c>
      <c r="B5" s="36" t="s">
        <v>87</v>
      </c>
      <c r="C5" s="36" t="s">
        <v>80</v>
      </c>
      <c r="D5" s="38">
        <v>0.3</v>
      </c>
      <c r="E5" s="36" t="s">
        <v>75</v>
      </c>
      <c r="F5" s="36" t="s">
        <v>88</v>
      </c>
      <c r="G5" s="36" t="s">
        <v>89</v>
      </c>
      <c r="H5" s="36" t="s">
        <v>83</v>
      </c>
    </row>
    <row r="6" spans="1:8" ht="78">
      <c r="A6" s="36" t="s">
        <v>90</v>
      </c>
      <c r="B6" s="36" t="s">
        <v>91</v>
      </c>
      <c r="C6" s="36" t="s">
        <v>80</v>
      </c>
      <c r="D6" s="38">
        <v>0.05</v>
      </c>
      <c r="E6" s="36" t="s">
        <v>75</v>
      </c>
      <c r="F6" s="36" t="s">
        <v>92</v>
      </c>
      <c r="G6" s="36" t="s">
        <v>93</v>
      </c>
      <c r="H6" s="36" t="s">
        <v>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C10" sqref="C10"/>
    </sheetView>
  </sheetViews>
  <sheetFormatPr defaultColWidth="9.875" defaultRowHeight="14.45"/>
  <sheetData>
    <row r="1" spans="1:3" ht="15" thickBot="1">
      <c r="A1" s="49" t="s">
        <v>95</v>
      </c>
      <c r="B1" s="49" t="s">
        <v>96</v>
      </c>
      <c r="C1" s="49" t="s">
        <v>97</v>
      </c>
    </row>
    <row r="2" spans="1:3" ht="15" thickBot="1">
      <c r="A2" s="50" t="s">
        <v>39</v>
      </c>
      <c r="B2" s="50" t="s">
        <v>98</v>
      </c>
      <c r="C2" s="51">
        <v>45810</v>
      </c>
    </row>
    <row r="3" spans="1:3" ht="15" thickBot="1">
      <c r="A3" s="50" t="s">
        <v>36</v>
      </c>
      <c r="B3" s="50" t="s">
        <v>99</v>
      </c>
      <c r="C3" s="51">
        <v>45810</v>
      </c>
    </row>
    <row r="4" spans="1:3" ht="29.45" thickBot="1">
      <c r="A4" s="50" t="s">
        <v>100</v>
      </c>
      <c r="B4" s="50" t="s">
        <v>101</v>
      </c>
      <c r="C4" s="51">
        <v>45810</v>
      </c>
    </row>
    <row r="5" spans="1:3" ht="15" thickBot="1">
      <c r="A5" s="50" t="s">
        <v>100</v>
      </c>
      <c r="B5" s="50" t="s">
        <v>102</v>
      </c>
      <c r="C5" s="51">
        <v>45810</v>
      </c>
    </row>
    <row r="6" spans="1:3" ht="15" thickBot="1">
      <c r="A6" s="50" t="s">
        <v>37</v>
      </c>
      <c r="B6" s="50" t="s">
        <v>103</v>
      </c>
      <c r="C6" s="52">
        <v>46080</v>
      </c>
    </row>
    <row r="7" spans="1:3">
      <c r="A7" s="37"/>
      <c r="B7" s="37"/>
      <c r="C7" s="37"/>
    </row>
    <row r="8" spans="1:3">
      <c r="A8" s="37"/>
      <c r="B8" s="37"/>
      <c r="C8" s="37"/>
    </row>
    <row r="9" spans="1:3">
      <c r="A9" s="37"/>
      <c r="B9" s="37"/>
      <c r="C9" s="37"/>
    </row>
    <row r="10" spans="1:3">
      <c r="A10" s="37"/>
      <c r="B10" s="37"/>
      <c r="C10" s="3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23"/>
  <sheetViews>
    <sheetView zoomScale="78" workbookViewId="0">
      <selection activeCell="F26" sqref="F26"/>
    </sheetView>
  </sheetViews>
  <sheetFormatPr defaultRowHeight="14.45"/>
  <cols>
    <col min="1" max="1" width="14.875" customWidth="1"/>
    <col min="2" max="2" width="28" bestFit="1" customWidth="1"/>
    <col min="3" max="3" width="12.5" bestFit="1" customWidth="1"/>
    <col min="5" max="5" width="13" bestFit="1" customWidth="1"/>
    <col min="6" max="6" width="19.875" bestFit="1" customWidth="1"/>
    <col min="7" max="7" width="17.5" customWidth="1"/>
    <col min="8" max="9" width="14.125" bestFit="1" customWidth="1"/>
    <col min="12" max="14" width="8.875" bestFit="1" customWidth="1"/>
    <col min="15" max="15" width="15.25" bestFit="1" customWidth="1"/>
    <col min="21" max="22" width="8.875" bestFit="1" customWidth="1"/>
    <col min="26" max="26" width="11.375" bestFit="1" customWidth="1"/>
  </cols>
  <sheetData>
    <row r="1" spans="1:68">
      <c r="A1" s="4"/>
      <c r="B1" s="4"/>
      <c r="C1" s="4"/>
      <c r="D1" s="5"/>
      <c r="E1" s="5"/>
      <c r="F1" s="5"/>
      <c r="G1" s="5"/>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row>
    <row r="2" spans="1:68">
      <c r="A2" s="7" t="s">
        <v>104</v>
      </c>
      <c r="B2" s="7" t="s">
        <v>105</v>
      </c>
      <c r="C2" s="7" t="s">
        <v>3</v>
      </c>
      <c r="D2" s="8" t="s">
        <v>106</v>
      </c>
      <c r="E2" s="8" t="s">
        <v>107</v>
      </c>
      <c r="F2" s="8" t="s">
        <v>108</v>
      </c>
      <c r="G2" s="8" t="s">
        <v>109</v>
      </c>
      <c r="H2" t="s">
        <v>110</v>
      </c>
      <c r="I2" t="s">
        <v>111</v>
      </c>
      <c r="J2" t="s">
        <v>112</v>
      </c>
      <c r="K2" t="s">
        <v>113</v>
      </c>
      <c r="L2" s="45" t="s">
        <v>114</v>
      </c>
      <c r="M2" t="s">
        <v>115</v>
      </c>
      <c r="N2" t="s">
        <v>116</v>
      </c>
      <c r="O2" t="s">
        <v>117</v>
      </c>
      <c r="P2" t="s">
        <v>118</v>
      </c>
      <c r="Q2" s="46" t="s">
        <v>119</v>
      </c>
      <c r="R2" t="s">
        <v>120</v>
      </c>
      <c r="S2" t="s">
        <v>121</v>
      </c>
      <c r="T2" t="s">
        <v>122</v>
      </c>
      <c r="U2" t="s">
        <v>123</v>
      </c>
      <c r="V2" t="s">
        <v>124</v>
      </c>
      <c r="W2" s="46" t="s">
        <v>125</v>
      </c>
      <c r="X2" t="s">
        <v>126</v>
      </c>
      <c r="Y2" t="s">
        <v>127</v>
      </c>
      <c r="Z2" t="s">
        <v>128</v>
      </c>
      <c r="AA2" t="s">
        <v>129</v>
      </c>
      <c r="AB2" t="s">
        <v>130</v>
      </c>
      <c r="AC2" t="s">
        <v>131</v>
      </c>
      <c r="AD2" t="s">
        <v>132</v>
      </c>
      <c r="AE2" t="s">
        <v>133</v>
      </c>
      <c r="AF2" t="s">
        <v>134</v>
      </c>
      <c r="AG2" t="s">
        <v>135</v>
      </c>
      <c r="AH2" t="s">
        <v>136</v>
      </c>
      <c r="AI2" s="47" t="s">
        <v>137</v>
      </c>
      <c r="AJ2" t="s">
        <v>138</v>
      </c>
      <c r="AK2" s="6" t="s">
        <v>139</v>
      </c>
      <c r="AL2" s="6" t="s">
        <v>140</v>
      </c>
      <c r="AM2" s="6" t="s">
        <v>141</v>
      </c>
      <c r="AN2" s="6" t="s">
        <v>142</v>
      </c>
      <c r="AO2" s="6" t="s">
        <v>143</v>
      </c>
      <c r="AP2" s="6" t="s">
        <v>144</v>
      </c>
      <c r="AQ2" s="6" t="s">
        <v>145</v>
      </c>
      <c r="AR2" s="6" t="s">
        <v>146</v>
      </c>
      <c r="AS2" s="6" t="s">
        <v>147</v>
      </c>
      <c r="AT2" s="6" t="s">
        <v>148</v>
      </c>
      <c r="AU2" s="6" t="s">
        <v>149</v>
      </c>
      <c r="AV2" s="6" t="s">
        <v>150</v>
      </c>
      <c r="AW2" s="6" t="s">
        <v>151</v>
      </c>
      <c r="AX2" s="6" t="s">
        <v>152</v>
      </c>
      <c r="AY2" s="6" t="s">
        <v>153</v>
      </c>
      <c r="AZ2" s="6" t="s">
        <v>154</v>
      </c>
      <c r="BA2" s="6" t="s">
        <v>155</v>
      </c>
      <c r="BB2" s="6" t="s">
        <v>156</v>
      </c>
      <c r="BC2" s="6" t="s">
        <v>157</v>
      </c>
      <c r="BD2" s="6" t="s">
        <v>158</v>
      </c>
      <c r="BE2" s="6" t="s">
        <v>159</v>
      </c>
      <c r="BF2" s="6" t="s">
        <v>160</v>
      </c>
      <c r="BG2" s="6" t="s">
        <v>161</v>
      </c>
      <c r="BH2" s="6" t="s">
        <v>162</v>
      </c>
      <c r="BI2" s="6" t="s">
        <v>163</v>
      </c>
      <c r="BJ2" s="6" t="s">
        <v>164</v>
      </c>
      <c r="BK2" s="6" t="s">
        <v>165</v>
      </c>
      <c r="BL2" s="6" t="s">
        <v>166</v>
      </c>
      <c r="BM2" s="6" t="s">
        <v>167</v>
      </c>
      <c r="BN2" s="6" t="s">
        <v>168</v>
      </c>
      <c r="BO2" s="6" t="s">
        <v>169</v>
      </c>
      <c r="BP2" t="s">
        <v>170</v>
      </c>
    </row>
    <row r="3" spans="1:68">
      <c r="A3" s="4">
        <v>687037975702</v>
      </c>
      <c r="B3" s="4" t="s">
        <v>171</v>
      </c>
      <c r="C3" s="1" t="s">
        <v>37</v>
      </c>
      <c r="D3" s="5" t="str">
        <f t="shared" ref="D3:D34" si="0">IF(C3="","0","1")</f>
        <v>1</v>
      </c>
      <c r="E3" s="5" t="str">
        <f>IFERROR(IF(VLOOKUP(A3,Base!AA:AA,1,0)&gt;0,"1","0"),"0")</f>
        <v>1</v>
      </c>
      <c r="F3" s="5" t="str">
        <f t="shared" ref="F3:F34" si="1">IF(OR(C3="",E3="0"),"-",IF(BC3="","-",IF(OR(BC3="Muito satisfeito",BC3="Satisfeito"),"1","0")))</f>
        <v>1</v>
      </c>
      <c r="G3" s="5" t="str">
        <f t="shared" ref="G3:G34" si="2">IF(BC3="","0","1")</f>
        <v>1</v>
      </c>
      <c r="H3" t="s">
        <v>172</v>
      </c>
      <c r="I3" t="s">
        <v>173</v>
      </c>
      <c r="K3" t="s">
        <v>171</v>
      </c>
      <c r="L3" s="48" t="s">
        <v>174</v>
      </c>
      <c r="M3" t="s">
        <v>175</v>
      </c>
      <c r="N3" t="s">
        <v>176</v>
      </c>
      <c r="O3" t="s">
        <v>177</v>
      </c>
      <c r="P3" t="s">
        <v>178</v>
      </c>
      <c r="Q3" t="s">
        <v>179</v>
      </c>
      <c r="R3" t="s">
        <v>180</v>
      </c>
      <c r="S3" t="s">
        <v>181</v>
      </c>
      <c r="T3" t="s">
        <v>182</v>
      </c>
      <c r="V3" t="s">
        <v>183</v>
      </c>
      <c r="W3" t="s">
        <v>184</v>
      </c>
      <c r="X3" t="s">
        <v>185</v>
      </c>
      <c r="Z3" t="s">
        <v>186</v>
      </c>
      <c r="AA3">
        <v>5</v>
      </c>
      <c r="AC3" t="s">
        <v>186</v>
      </c>
      <c r="AD3">
        <v>4</v>
      </c>
      <c r="AF3" t="s">
        <v>186</v>
      </c>
      <c r="AG3">
        <v>3</v>
      </c>
      <c r="AI3" t="s">
        <v>187</v>
      </c>
      <c r="AK3" s="9" t="s">
        <v>188</v>
      </c>
      <c r="AL3" s="9" t="s">
        <v>189</v>
      </c>
      <c r="AM3" s="9" t="s">
        <v>189</v>
      </c>
      <c r="AN3" s="9"/>
      <c r="AO3" s="9" t="s">
        <v>190</v>
      </c>
      <c r="AP3" s="9" t="s">
        <v>179</v>
      </c>
      <c r="AQ3" s="9" t="s">
        <v>180</v>
      </c>
      <c r="AR3" s="9" t="s">
        <v>180</v>
      </c>
      <c r="AS3" s="9" t="s">
        <v>180</v>
      </c>
      <c r="AT3" s="9" t="s">
        <v>180</v>
      </c>
      <c r="AU3" s="9" t="s">
        <v>180</v>
      </c>
      <c r="AV3" s="9" t="s">
        <v>180</v>
      </c>
      <c r="AW3" s="9" t="s">
        <v>180</v>
      </c>
      <c r="AX3" s="9"/>
      <c r="AY3" s="9" t="s">
        <v>191</v>
      </c>
      <c r="AZ3" s="9" t="s">
        <v>178</v>
      </c>
      <c r="BA3" s="9"/>
      <c r="BB3" s="9" t="s">
        <v>191</v>
      </c>
      <c r="BC3" s="9" t="s">
        <v>178</v>
      </c>
      <c r="BD3" s="9"/>
      <c r="BE3" s="9" t="s">
        <v>192</v>
      </c>
      <c r="BF3" s="9"/>
      <c r="BH3">
        <v>5</v>
      </c>
      <c r="BI3">
        <v>3</v>
      </c>
      <c r="BJ3">
        <v>4</v>
      </c>
      <c r="BK3">
        <v>2</v>
      </c>
      <c r="BL3">
        <v>1</v>
      </c>
      <c r="BM3">
        <v>7</v>
      </c>
      <c r="BN3" s="9">
        <v>6</v>
      </c>
      <c r="BO3" s="9"/>
      <c r="BP3" t="s">
        <v>193</v>
      </c>
    </row>
    <row r="4" spans="1:68">
      <c r="A4" s="4">
        <v>314278248802</v>
      </c>
      <c r="B4" s="4" t="s">
        <v>194</v>
      </c>
      <c r="C4" s="1" t="s">
        <v>38</v>
      </c>
      <c r="D4" s="5" t="str">
        <f t="shared" si="0"/>
        <v>1</v>
      </c>
      <c r="E4" s="5" t="str">
        <f>IFERROR(IF(VLOOKUP(A4,Base!AA:AA,1,0)&gt;0,"1","0"),"0")</f>
        <v>1</v>
      </c>
      <c r="F4" s="5" t="str">
        <f t="shared" si="1"/>
        <v>1</v>
      </c>
      <c r="G4" s="5" t="str">
        <f t="shared" si="2"/>
        <v>1</v>
      </c>
      <c r="H4" t="s">
        <v>195</v>
      </c>
      <c r="I4" t="s">
        <v>196</v>
      </c>
      <c r="K4" t="s">
        <v>197</v>
      </c>
      <c r="L4" s="48" t="s">
        <v>198</v>
      </c>
      <c r="M4" t="s">
        <v>199</v>
      </c>
      <c r="N4" t="s">
        <v>200</v>
      </c>
      <c r="O4" t="s">
        <v>201</v>
      </c>
      <c r="P4" t="s">
        <v>179</v>
      </c>
      <c r="Q4" t="s">
        <v>179</v>
      </c>
      <c r="R4" t="s">
        <v>180</v>
      </c>
      <c r="S4" t="s">
        <v>202</v>
      </c>
      <c r="T4" t="s">
        <v>203</v>
      </c>
      <c r="V4" t="s">
        <v>204</v>
      </c>
      <c r="W4" t="s">
        <v>179</v>
      </c>
      <c r="X4" t="s">
        <v>185</v>
      </c>
      <c r="Z4" t="s">
        <v>205</v>
      </c>
      <c r="AC4" t="s">
        <v>205</v>
      </c>
      <c r="AF4" t="s">
        <v>186</v>
      </c>
      <c r="AG4">
        <v>5</v>
      </c>
      <c r="AI4" t="s">
        <v>206</v>
      </c>
      <c r="AK4" s="9" t="s">
        <v>188</v>
      </c>
      <c r="AL4" s="9" t="s">
        <v>188</v>
      </c>
      <c r="AM4" s="9" t="s">
        <v>188</v>
      </c>
      <c r="AN4" s="9"/>
      <c r="AO4" s="9" t="s">
        <v>207</v>
      </c>
      <c r="AP4" s="9" t="s">
        <v>179</v>
      </c>
      <c r="AQ4" s="9" t="s">
        <v>180</v>
      </c>
      <c r="AR4" s="9" t="s">
        <v>180</v>
      </c>
      <c r="AS4" s="9" t="s">
        <v>180</v>
      </c>
      <c r="AT4" s="9" t="s">
        <v>180</v>
      </c>
      <c r="AU4" s="9" t="s">
        <v>180</v>
      </c>
      <c r="AV4" s="9" t="s">
        <v>180</v>
      </c>
      <c r="AW4" s="9" t="s">
        <v>180</v>
      </c>
      <c r="AX4" s="9"/>
      <c r="AY4" s="9" t="s">
        <v>192</v>
      </c>
      <c r="AZ4" s="9"/>
      <c r="BA4" s="9"/>
      <c r="BB4" s="9" t="s">
        <v>191</v>
      </c>
      <c r="BC4" s="9" t="s">
        <v>179</v>
      </c>
      <c r="BD4" s="9"/>
      <c r="BE4" s="9" t="s">
        <v>191</v>
      </c>
      <c r="BF4" s="9" t="s">
        <v>179</v>
      </c>
      <c r="BH4">
        <v>1</v>
      </c>
      <c r="BI4">
        <v>2</v>
      </c>
      <c r="BJ4">
        <v>3</v>
      </c>
      <c r="BK4">
        <v>4</v>
      </c>
      <c r="BL4">
        <v>5</v>
      </c>
      <c r="BM4">
        <v>6</v>
      </c>
      <c r="BN4" s="9">
        <v>7</v>
      </c>
      <c r="BO4" s="9"/>
      <c r="BP4" t="s">
        <v>193</v>
      </c>
    </row>
    <row r="5" spans="1:68">
      <c r="A5" s="4">
        <v>320035971002</v>
      </c>
      <c r="B5" s="4" t="s">
        <v>208</v>
      </c>
      <c r="C5" s="1" t="s">
        <v>100</v>
      </c>
      <c r="D5" s="5" t="str">
        <f t="shared" si="0"/>
        <v>1</v>
      </c>
      <c r="E5" s="5" t="str">
        <f>IFERROR(IF(VLOOKUP(A5,Base!AA:AA,1,0)&gt;0,"1","0"),"0")</f>
        <v>1</v>
      </c>
      <c r="F5" s="5" t="str">
        <f t="shared" si="1"/>
        <v>-</v>
      </c>
      <c r="G5" s="5" t="str">
        <f t="shared" si="2"/>
        <v>0</v>
      </c>
      <c r="H5" t="s">
        <v>209</v>
      </c>
      <c r="I5" t="s">
        <v>210</v>
      </c>
      <c r="K5" t="s">
        <v>211</v>
      </c>
      <c r="L5" s="48" t="s">
        <v>212</v>
      </c>
      <c r="M5" t="s">
        <v>213</v>
      </c>
      <c r="N5" t="s">
        <v>214</v>
      </c>
      <c r="O5" t="s">
        <v>215</v>
      </c>
      <c r="P5" t="s">
        <v>179</v>
      </c>
      <c r="Q5" t="s">
        <v>179</v>
      </c>
      <c r="R5" t="s">
        <v>180</v>
      </c>
      <c r="S5" t="s">
        <v>181</v>
      </c>
      <c r="T5" t="s">
        <v>216</v>
      </c>
      <c r="U5" t="s">
        <v>217</v>
      </c>
      <c r="V5" t="s">
        <v>190</v>
      </c>
      <c r="W5" t="s">
        <v>179</v>
      </c>
      <c r="X5" t="s">
        <v>185</v>
      </c>
      <c r="Y5" t="s">
        <v>218</v>
      </c>
      <c r="Z5" t="s">
        <v>186</v>
      </c>
      <c r="AA5">
        <v>5</v>
      </c>
      <c r="AC5" t="s">
        <v>186</v>
      </c>
      <c r="AD5">
        <v>5</v>
      </c>
      <c r="AF5" t="s">
        <v>205</v>
      </c>
      <c r="AI5" t="s">
        <v>219</v>
      </c>
      <c r="AK5" s="9" t="s">
        <v>188</v>
      </c>
      <c r="AL5" s="9" t="s">
        <v>188</v>
      </c>
      <c r="AM5" s="9" t="s">
        <v>220</v>
      </c>
      <c r="AN5" s="9"/>
      <c r="AO5" s="9" t="s">
        <v>221</v>
      </c>
      <c r="AP5" s="9" t="s">
        <v>178</v>
      </c>
      <c r="AQ5" s="9" t="s">
        <v>180</v>
      </c>
      <c r="AR5" s="9" t="s">
        <v>180</v>
      </c>
      <c r="AS5" s="9" t="s">
        <v>180</v>
      </c>
      <c r="AT5" s="9" t="s">
        <v>180</v>
      </c>
      <c r="AU5" s="9" t="s">
        <v>180</v>
      </c>
      <c r="AV5" s="9" t="s">
        <v>180</v>
      </c>
      <c r="AW5" s="9" t="s">
        <v>180</v>
      </c>
      <c r="AX5" s="9" t="s">
        <v>222</v>
      </c>
      <c r="AY5" s="9" t="s">
        <v>192</v>
      </c>
      <c r="AZ5" s="9"/>
      <c r="BA5" s="9"/>
      <c r="BB5" s="9" t="s">
        <v>192</v>
      </c>
      <c r="BC5" s="9"/>
      <c r="BD5" s="9"/>
      <c r="BE5" s="9" t="s">
        <v>191</v>
      </c>
      <c r="BF5" s="9" t="s">
        <v>178</v>
      </c>
      <c r="BH5">
        <v>7</v>
      </c>
      <c r="BI5">
        <v>3</v>
      </c>
      <c r="BJ5">
        <v>4</v>
      </c>
      <c r="BK5">
        <v>5</v>
      </c>
      <c r="BL5">
        <v>1</v>
      </c>
      <c r="BM5">
        <v>6</v>
      </c>
      <c r="BN5" s="9">
        <v>2</v>
      </c>
      <c r="BO5" s="9"/>
      <c r="BP5" t="s">
        <v>193</v>
      </c>
    </row>
    <row r="6" spans="1:68">
      <c r="A6" s="4">
        <v>607776398302</v>
      </c>
      <c r="B6" s="4" t="s">
        <v>223</v>
      </c>
      <c r="C6" s="1" t="s">
        <v>38</v>
      </c>
      <c r="D6" s="5" t="str">
        <f t="shared" si="0"/>
        <v>1</v>
      </c>
      <c r="E6" s="5" t="str">
        <f>IFERROR(IF(VLOOKUP(A6,Base!AA:AA,1,0)&gt;0,"1","0"),"0")</f>
        <v>0</v>
      </c>
      <c r="F6" s="5" t="str">
        <f t="shared" si="1"/>
        <v>-</v>
      </c>
      <c r="G6" s="5" t="str">
        <f t="shared" si="2"/>
        <v>0</v>
      </c>
      <c r="H6" t="s">
        <v>224</v>
      </c>
      <c r="I6" t="s">
        <v>225</v>
      </c>
      <c r="K6" t="s">
        <v>226</v>
      </c>
      <c r="L6" s="48" t="s">
        <v>227</v>
      </c>
      <c r="M6" t="s">
        <v>228</v>
      </c>
      <c r="N6" t="s">
        <v>229</v>
      </c>
      <c r="O6" t="s">
        <v>177</v>
      </c>
      <c r="P6" t="s">
        <v>179</v>
      </c>
      <c r="Q6" t="s">
        <v>179</v>
      </c>
      <c r="R6" t="s">
        <v>180</v>
      </c>
      <c r="S6" t="s">
        <v>181</v>
      </c>
      <c r="T6" t="s">
        <v>216</v>
      </c>
      <c r="V6" t="s">
        <v>230</v>
      </c>
      <c r="W6" t="s">
        <v>179</v>
      </c>
      <c r="X6" t="s">
        <v>185</v>
      </c>
      <c r="Z6" t="s">
        <v>186</v>
      </c>
      <c r="AA6">
        <v>5</v>
      </c>
      <c r="AC6" t="s">
        <v>186</v>
      </c>
      <c r="AD6">
        <v>5</v>
      </c>
      <c r="AF6" t="s">
        <v>205</v>
      </c>
      <c r="AI6" t="s">
        <v>231</v>
      </c>
      <c r="AK6" s="9" t="s">
        <v>189</v>
      </c>
      <c r="AL6" s="9" t="s">
        <v>189</v>
      </c>
      <c r="AM6" s="9" t="s">
        <v>189</v>
      </c>
      <c r="AN6" s="9"/>
      <c r="AO6" s="9" t="s">
        <v>190</v>
      </c>
      <c r="AP6" s="9" t="s">
        <v>178</v>
      </c>
      <c r="AQ6" s="9" t="s">
        <v>180</v>
      </c>
      <c r="AR6" s="9" t="s">
        <v>180</v>
      </c>
      <c r="AS6" s="9" t="s">
        <v>180</v>
      </c>
      <c r="AT6" s="9" t="s">
        <v>180</v>
      </c>
      <c r="AU6" s="9" t="s">
        <v>180</v>
      </c>
      <c r="AV6" s="9" t="s">
        <v>180</v>
      </c>
      <c r="AW6" s="9" t="s">
        <v>180</v>
      </c>
      <c r="AX6" s="9" t="s">
        <v>232</v>
      </c>
      <c r="AY6" s="9" t="s">
        <v>191</v>
      </c>
      <c r="AZ6" s="9" t="s">
        <v>178</v>
      </c>
      <c r="BA6" s="9"/>
      <c r="BB6" s="9" t="s">
        <v>192</v>
      </c>
      <c r="BC6" s="9"/>
      <c r="BD6" s="9"/>
      <c r="BE6" s="9" t="s">
        <v>191</v>
      </c>
      <c r="BF6" s="9" t="s">
        <v>54</v>
      </c>
      <c r="BH6">
        <v>1</v>
      </c>
      <c r="BI6">
        <v>6</v>
      </c>
      <c r="BJ6">
        <v>5</v>
      </c>
      <c r="BK6">
        <v>4</v>
      </c>
      <c r="BL6">
        <v>3</v>
      </c>
      <c r="BM6">
        <v>2</v>
      </c>
      <c r="BN6" s="9">
        <v>7</v>
      </c>
      <c r="BO6" s="9" t="s">
        <v>233</v>
      </c>
      <c r="BP6" t="s">
        <v>193</v>
      </c>
    </row>
    <row r="7" spans="1:68">
      <c r="A7" s="4">
        <v>601998582602</v>
      </c>
      <c r="B7" s="4" t="s">
        <v>234</v>
      </c>
      <c r="C7" s="1" t="s">
        <v>100</v>
      </c>
      <c r="D7" s="5" t="str">
        <f t="shared" si="0"/>
        <v>1</v>
      </c>
      <c r="E7" s="5" t="str">
        <f>IFERROR(IF(VLOOKUP(A7,Base!AA:AA,1,0)&gt;0,"1","0"),"0")</f>
        <v>1</v>
      </c>
      <c r="F7" s="5" t="str">
        <f t="shared" si="1"/>
        <v>-</v>
      </c>
      <c r="G7" s="5" t="str">
        <f t="shared" si="2"/>
        <v>0</v>
      </c>
      <c r="H7" t="s">
        <v>235</v>
      </c>
      <c r="I7" t="s">
        <v>236</v>
      </c>
      <c r="K7" t="s">
        <v>234</v>
      </c>
      <c r="L7" s="48" t="s">
        <v>237</v>
      </c>
      <c r="M7" t="s">
        <v>238</v>
      </c>
      <c r="N7" t="s">
        <v>239</v>
      </c>
      <c r="O7" t="s">
        <v>177</v>
      </c>
      <c r="P7" t="s">
        <v>178</v>
      </c>
      <c r="Q7" t="s">
        <v>179</v>
      </c>
      <c r="R7" t="s">
        <v>180</v>
      </c>
      <c r="S7" t="s">
        <v>181</v>
      </c>
      <c r="T7" t="s">
        <v>240</v>
      </c>
      <c r="V7" t="s">
        <v>241</v>
      </c>
      <c r="W7" t="s">
        <v>179</v>
      </c>
      <c r="X7" t="s">
        <v>185</v>
      </c>
      <c r="Z7" t="s">
        <v>186</v>
      </c>
      <c r="AA7">
        <v>5</v>
      </c>
      <c r="AC7" t="s">
        <v>186</v>
      </c>
      <c r="AD7">
        <v>5</v>
      </c>
      <c r="AF7" t="s">
        <v>205</v>
      </c>
      <c r="AI7" t="s">
        <v>242</v>
      </c>
      <c r="AK7" s="9" t="s">
        <v>189</v>
      </c>
      <c r="AL7" s="9" t="s">
        <v>189</v>
      </c>
      <c r="AM7" s="9" t="s">
        <v>189</v>
      </c>
      <c r="AN7" s="9"/>
      <c r="AO7" s="9" t="s">
        <v>243</v>
      </c>
      <c r="AP7" s="9" t="s">
        <v>179</v>
      </c>
      <c r="AQ7" s="9" t="s">
        <v>180</v>
      </c>
      <c r="AR7" s="9" t="s">
        <v>180</v>
      </c>
      <c r="AS7" s="9" t="s">
        <v>180</v>
      </c>
      <c r="AT7" s="9" t="s">
        <v>180</v>
      </c>
      <c r="AU7" s="9" t="s">
        <v>180</v>
      </c>
      <c r="AV7" s="9" t="s">
        <v>180</v>
      </c>
      <c r="AW7" s="9" t="s">
        <v>180</v>
      </c>
      <c r="AX7" s="9"/>
      <c r="AY7" s="9" t="s">
        <v>191</v>
      </c>
      <c r="AZ7" s="9" t="s">
        <v>179</v>
      </c>
      <c r="BA7" s="9"/>
      <c r="BB7" s="9" t="s">
        <v>192</v>
      </c>
      <c r="BC7" s="9"/>
      <c r="BD7" s="9"/>
      <c r="BE7" s="9" t="s">
        <v>191</v>
      </c>
      <c r="BF7" s="9" t="s">
        <v>178</v>
      </c>
      <c r="BH7">
        <v>3</v>
      </c>
      <c r="BI7">
        <v>4</v>
      </c>
      <c r="BJ7">
        <v>6</v>
      </c>
      <c r="BK7">
        <v>5</v>
      </c>
      <c r="BL7">
        <v>1</v>
      </c>
      <c r="BM7">
        <v>2</v>
      </c>
      <c r="BN7" s="9">
        <v>7</v>
      </c>
      <c r="BO7" s="9"/>
      <c r="BP7" t="s">
        <v>193</v>
      </c>
    </row>
    <row r="8" spans="1:68">
      <c r="A8" s="4">
        <v>487573149502</v>
      </c>
      <c r="B8" s="4" t="s">
        <v>244</v>
      </c>
      <c r="C8" s="1" t="s">
        <v>245</v>
      </c>
      <c r="D8" s="5" t="str">
        <f t="shared" si="0"/>
        <v>0</v>
      </c>
      <c r="E8" s="5" t="str">
        <f>IFERROR(IF(VLOOKUP(A8,Base!AA:AA,1,0)&gt;0,"1","0"),"0")</f>
        <v>0</v>
      </c>
      <c r="F8" s="5" t="str">
        <f t="shared" si="1"/>
        <v>-</v>
      </c>
      <c r="G8" s="5" t="str">
        <f t="shared" si="2"/>
        <v>1</v>
      </c>
      <c r="H8" t="s">
        <v>246</v>
      </c>
      <c r="I8" t="s">
        <v>247</v>
      </c>
      <c r="K8" t="s">
        <v>244</v>
      </c>
      <c r="L8" s="48" t="s">
        <v>248</v>
      </c>
      <c r="M8" t="s">
        <v>249</v>
      </c>
      <c r="N8" t="s">
        <v>250</v>
      </c>
      <c r="O8" t="s">
        <v>201</v>
      </c>
      <c r="P8" t="s">
        <v>179</v>
      </c>
      <c r="Q8" t="s">
        <v>179</v>
      </c>
      <c r="R8" t="s">
        <v>180</v>
      </c>
      <c r="S8" t="s">
        <v>181</v>
      </c>
      <c r="T8" t="s">
        <v>216</v>
      </c>
      <c r="V8" t="s">
        <v>241</v>
      </c>
      <c r="W8" t="s">
        <v>179</v>
      </c>
      <c r="X8" t="s">
        <v>185</v>
      </c>
      <c r="Z8" t="s">
        <v>205</v>
      </c>
      <c r="AC8" t="s">
        <v>205</v>
      </c>
      <c r="AF8" t="s">
        <v>205</v>
      </c>
      <c r="AI8" t="s">
        <v>251</v>
      </c>
      <c r="AK8" s="9" t="s">
        <v>188</v>
      </c>
      <c r="AL8" s="9" t="s">
        <v>188</v>
      </c>
      <c r="AM8" s="9" t="s">
        <v>252</v>
      </c>
      <c r="AN8" s="9" t="s">
        <v>253</v>
      </c>
      <c r="AO8" s="9" t="s">
        <v>183</v>
      </c>
      <c r="AP8" s="9" t="s">
        <v>179</v>
      </c>
      <c r="AQ8" s="9" t="s">
        <v>254</v>
      </c>
      <c r="AR8" s="9" t="s">
        <v>180</v>
      </c>
      <c r="AS8" s="9" t="s">
        <v>180</v>
      </c>
      <c r="AT8" s="9" t="s">
        <v>180</v>
      </c>
      <c r="AU8" s="9" t="s">
        <v>254</v>
      </c>
      <c r="AV8" s="9" t="s">
        <v>180</v>
      </c>
      <c r="AW8" s="9" t="s">
        <v>180</v>
      </c>
      <c r="AX8" s="9"/>
      <c r="AY8" s="9" t="s">
        <v>191</v>
      </c>
      <c r="AZ8" s="9" t="s">
        <v>178</v>
      </c>
      <c r="BA8" s="9" t="s">
        <v>255</v>
      </c>
      <c r="BB8" s="9" t="s">
        <v>191</v>
      </c>
      <c r="BC8" s="9" t="s">
        <v>179</v>
      </c>
      <c r="BD8" s="9"/>
      <c r="BE8" s="9" t="s">
        <v>191</v>
      </c>
      <c r="BF8" s="9" t="s">
        <v>178</v>
      </c>
      <c r="BG8" t="s">
        <v>256</v>
      </c>
      <c r="BH8">
        <v>7</v>
      </c>
      <c r="BI8">
        <v>3</v>
      </c>
      <c r="BJ8">
        <v>6</v>
      </c>
      <c r="BK8">
        <v>4</v>
      </c>
      <c r="BL8">
        <v>1</v>
      </c>
      <c r="BM8">
        <v>2</v>
      </c>
      <c r="BN8" s="9">
        <v>5</v>
      </c>
      <c r="BO8" s="9" t="s">
        <v>257</v>
      </c>
      <c r="BP8" t="s">
        <v>193</v>
      </c>
    </row>
    <row r="9" spans="1:68">
      <c r="A9" s="4">
        <v>481703768002</v>
      </c>
      <c r="B9" s="4" t="s">
        <v>258</v>
      </c>
      <c r="C9" s="1" t="s">
        <v>38</v>
      </c>
      <c r="D9" s="5" t="str">
        <f t="shared" si="0"/>
        <v>1</v>
      </c>
      <c r="E9" s="5" t="str">
        <f>IFERROR(IF(VLOOKUP(A9,Base!AA:AA,1,0)&gt;0,"1","0"),"0")</f>
        <v>1</v>
      </c>
      <c r="F9" s="5" t="str">
        <f t="shared" si="1"/>
        <v>-</v>
      </c>
      <c r="G9" s="5" t="str">
        <f t="shared" si="2"/>
        <v>0</v>
      </c>
      <c r="H9" t="s">
        <v>259</v>
      </c>
      <c r="I9" t="s">
        <v>260</v>
      </c>
      <c r="K9" t="s">
        <v>261</v>
      </c>
      <c r="L9" s="48" t="s">
        <v>262</v>
      </c>
      <c r="M9" t="s">
        <v>263</v>
      </c>
      <c r="N9" t="s">
        <v>264</v>
      </c>
      <c r="O9" t="s">
        <v>177</v>
      </c>
      <c r="P9" t="s">
        <v>178</v>
      </c>
      <c r="Q9" t="s">
        <v>178</v>
      </c>
      <c r="R9" t="s">
        <v>180</v>
      </c>
      <c r="S9" t="s">
        <v>202</v>
      </c>
      <c r="T9" t="s">
        <v>265</v>
      </c>
      <c r="V9" t="s">
        <v>266</v>
      </c>
      <c r="W9" t="s">
        <v>184</v>
      </c>
      <c r="X9" t="s">
        <v>267</v>
      </c>
      <c r="Z9" t="s">
        <v>205</v>
      </c>
      <c r="AC9" t="s">
        <v>205</v>
      </c>
      <c r="AF9" t="s">
        <v>205</v>
      </c>
      <c r="AI9" t="s">
        <v>268</v>
      </c>
      <c r="AK9" s="9" t="s">
        <v>252</v>
      </c>
      <c r="AL9" s="9" t="s">
        <v>252</v>
      </c>
      <c r="AM9" s="9" t="s">
        <v>189</v>
      </c>
      <c r="AN9" s="9"/>
      <c r="AO9" s="9" t="s">
        <v>269</v>
      </c>
      <c r="AP9" s="9" t="s">
        <v>179</v>
      </c>
      <c r="AQ9" s="9" t="s">
        <v>180</v>
      </c>
      <c r="AR9" s="9" t="s">
        <v>180</v>
      </c>
      <c r="AS9" s="9" t="s">
        <v>180</v>
      </c>
      <c r="AT9" s="9" t="s">
        <v>180</v>
      </c>
      <c r="AU9" s="9" t="s">
        <v>180</v>
      </c>
      <c r="AV9" s="9" t="s">
        <v>180</v>
      </c>
      <c r="AW9" s="9" t="s">
        <v>180</v>
      </c>
      <c r="AX9" s="9"/>
      <c r="AY9" s="9" t="s">
        <v>191</v>
      </c>
      <c r="AZ9" s="9" t="s">
        <v>54</v>
      </c>
      <c r="BA9" s="9"/>
      <c r="BB9" s="9" t="s">
        <v>192</v>
      </c>
      <c r="BC9" s="9"/>
      <c r="BD9" s="9"/>
      <c r="BE9" s="9" t="s">
        <v>191</v>
      </c>
      <c r="BF9" s="9" t="s">
        <v>54</v>
      </c>
      <c r="BH9">
        <v>7</v>
      </c>
      <c r="BI9">
        <v>6</v>
      </c>
      <c r="BJ9">
        <v>5</v>
      </c>
      <c r="BK9">
        <v>2</v>
      </c>
      <c r="BL9">
        <v>3</v>
      </c>
      <c r="BM9">
        <v>1</v>
      </c>
      <c r="BN9" s="9">
        <v>4</v>
      </c>
      <c r="BO9" s="9"/>
      <c r="BP9" t="s">
        <v>193</v>
      </c>
    </row>
    <row r="10" spans="1:68">
      <c r="A10" s="4">
        <v>247227556102</v>
      </c>
      <c r="B10" s="4" t="s">
        <v>270</v>
      </c>
      <c r="C10" s="1" t="s">
        <v>100</v>
      </c>
      <c r="D10" s="5" t="str">
        <f t="shared" si="0"/>
        <v>1</v>
      </c>
      <c r="E10" s="5" t="str">
        <f>IFERROR(IF(VLOOKUP(A10,Base!AA:AA,1,0)&gt;0,"1","0"),"0")</f>
        <v>1</v>
      </c>
      <c r="F10" s="5" t="str">
        <f t="shared" si="1"/>
        <v>1</v>
      </c>
      <c r="G10" s="5" t="str">
        <f t="shared" si="2"/>
        <v>1</v>
      </c>
      <c r="H10" t="s">
        <v>271</v>
      </c>
      <c r="I10" t="s">
        <v>272</v>
      </c>
      <c r="K10" t="s">
        <v>270</v>
      </c>
      <c r="L10" t="s">
        <v>273</v>
      </c>
      <c r="M10" t="s">
        <v>274</v>
      </c>
      <c r="N10" t="s">
        <v>275</v>
      </c>
      <c r="O10" t="s">
        <v>201</v>
      </c>
      <c r="P10" t="s">
        <v>179</v>
      </c>
      <c r="Q10" t="s">
        <v>179</v>
      </c>
      <c r="R10" t="s">
        <v>180</v>
      </c>
      <c r="S10" t="s">
        <v>181</v>
      </c>
      <c r="T10" t="s">
        <v>276</v>
      </c>
      <c r="V10" t="s">
        <v>190</v>
      </c>
      <c r="W10" t="s">
        <v>179</v>
      </c>
      <c r="X10" t="s">
        <v>185</v>
      </c>
      <c r="Z10" t="s">
        <v>186</v>
      </c>
      <c r="AA10">
        <v>5</v>
      </c>
      <c r="AC10" t="s">
        <v>186</v>
      </c>
      <c r="AD10">
        <v>5</v>
      </c>
      <c r="AE10" t="s">
        <v>277</v>
      </c>
      <c r="AF10" t="s">
        <v>186</v>
      </c>
      <c r="AG10">
        <v>5</v>
      </c>
      <c r="AH10" t="s">
        <v>278</v>
      </c>
      <c r="AI10" t="s">
        <v>279</v>
      </c>
      <c r="AJ10" t="s">
        <v>280</v>
      </c>
      <c r="AK10" s="9" t="s">
        <v>189</v>
      </c>
      <c r="AL10" s="9" t="s">
        <v>189</v>
      </c>
      <c r="AM10" s="9" t="s">
        <v>189</v>
      </c>
      <c r="AN10" s="9" t="s">
        <v>281</v>
      </c>
      <c r="AO10" s="9" t="s">
        <v>282</v>
      </c>
      <c r="AP10" s="9" t="s">
        <v>179</v>
      </c>
      <c r="AQ10" s="9" t="s">
        <v>180</v>
      </c>
      <c r="AR10" s="9" t="s">
        <v>180</v>
      </c>
      <c r="AS10" s="9" t="s">
        <v>180</v>
      </c>
      <c r="AT10" s="9" t="s">
        <v>180</v>
      </c>
      <c r="AU10" s="9" t="s">
        <v>180</v>
      </c>
      <c r="AV10" s="9" t="s">
        <v>180</v>
      </c>
      <c r="AW10" s="9" t="s">
        <v>180</v>
      </c>
      <c r="AX10" s="9" t="s">
        <v>283</v>
      </c>
      <c r="AY10" s="9" t="s">
        <v>191</v>
      </c>
      <c r="AZ10" s="9" t="s">
        <v>179</v>
      </c>
      <c r="BA10" s="9"/>
      <c r="BB10" s="9" t="s">
        <v>191</v>
      </c>
      <c r="BC10" s="9" t="s">
        <v>179</v>
      </c>
      <c r="BD10" s="9"/>
      <c r="BE10" s="9" t="s">
        <v>191</v>
      </c>
      <c r="BF10" s="9" t="s">
        <v>179</v>
      </c>
      <c r="BH10">
        <v>3</v>
      </c>
      <c r="BI10">
        <v>5</v>
      </c>
      <c r="BJ10">
        <v>6</v>
      </c>
      <c r="BK10">
        <v>7</v>
      </c>
      <c r="BL10">
        <v>2</v>
      </c>
      <c r="BM10">
        <v>1</v>
      </c>
      <c r="BN10" s="9">
        <v>4</v>
      </c>
      <c r="BO10" s="9"/>
      <c r="BP10" t="s">
        <v>193</v>
      </c>
    </row>
    <row r="11" spans="1:68">
      <c r="A11" s="4">
        <v>351067276502</v>
      </c>
      <c r="B11" s="4" t="s">
        <v>284</v>
      </c>
      <c r="C11" s="1" t="s">
        <v>39</v>
      </c>
      <c r="D11" s="5" t="str">
        <f t="shared" si="0"/>
        <v>1</v>
      </c>
      <c r="E11" s="5" t="str">
        <f>IFERROR(IF(VLOOKUP(A11,Base!AA:AA,1,0)&gt;0,"1","0"),"0")</f>
        <v>1</v>
      </c>
      <c r="F11" s="5" t="str">
        <f t="shared" si="1"/>
        <v>-</v>
      </c>
      <c r="G11" s="5" t="str">
        <f t="shared" si="2"/>
        <v>0</v>
      </c>
      <c r="H11" t="s">
        <v>285</v>
      </c>
      <c r="I11" t="s">
        <v>286</v>
      </c>
      <c r="K11" t="s">
        <v>284</v>
      </c>
      <c r="L11" t="s">
        <v>287</v>
      </c>
      <c r="M11" t="s">
        <v>288</v>
      </c>
      <c r="N11" t="s">
        <v>289</v>
      </c>
      <c r="O11" t="s">
        <v>177</v>
      </c>
      <c r="P11" t="s">
        <v>178</v>
      </c>
      <c r="Q11" t="s">
        <v>178</v>
      </c>
      <c r="R11" t="s">
        <v>180</v>
      </c>
      <c r="S11" t="s">
        <v>202</v>
      </c>
      <c r="T11" t="s">
        <v>290</v>
      </c>
      <c r="U11" t="s">
        <v>291</v>
      </c>
      <c r="V11" t="s">
        <v>292</v>
      </c>
      <c r="W11" t="s">
        <v>179</v>
      </c>
      <c r="X11" t="s">
        <v>293</v>
      </c>
      <c r="Y11" t="s">
        <v>294</v>
      </c>
      <c r="Z11" t="s">
        <v>205</v>
      </c>
      <c r="AC11" t="s">
        <v>186</v>
      </c>
      <c r="AD11">
        <v>4</v>
      </c>
      <c r="AE11" t="s">
        <v>295</v>
      </c>
      <c r="AF11" t="s">
        <v>205</v>
      </c>
      <c r="AI11" t="s">
        <v>296</v>
      </c>
      <c r="AK11" s="9" t="s">
        <v>189</v>
      </c>
      <c r="AL11" s="9" t="s">
        <v>189</v>
      </c>
      <c r="AM11" s="9" t="s">
        <v>189</v>
      </c>
      <c r="AN11" s="9" t="s">
        <v>297</v>
      </c>
      <c r="AO11" s="9" t="s">
        <v>204</v>
      </c>
      <c r="AP11" s="9" t="s">
        <v>178</v>
      </c>
      <c r="AQ11" s="9" t="s">
        <v>180</v>
      </c>
      <c r="AR11" s="9" t="s">
        <v>180</v>
      </c>
      <c r="AS11" s="9" t="s">
        <v>180</v>
      </c>
      <c r="AT11" s="9" t="s">
        <v>254</v>
      </c>
      <c r="AU11" s="9" t="s">
        <v>254</v>
      </c>
      <c r="AV11" s="9" t="s">
        <v>254</v>
      </c>
      <c r="AW11" s="9" t="s">
        <v>254</v>
      </c>
      <c r="AX11" s="9" t="s">
        <v>298</v>
      </c>
      <c r="AY11" s="9" t="s">
        <v>191</v>
      </c>
      <c r="AZ11" s="9" t="s">
        <v>179</v>
      </c>
      <c r="BA11" s="9" t="s">
        <v>299</v>
      </c>
      <c r="BB11" s="9" t="s">
        <v>192</v>
      </c>
      <c r="BC11" s="9"/>
      <c r="BD11" s="9"/>
      <c r="BE11" s="9" t="s">
        <v>192</v>
      </c>
      <c r="BF11" s="9"/>
      <c r="BH11">
        <v>2</v>
      </c>
      <c r="BI11">
        <v>4</v>
      </c>
      <c r="BJ11">
        <v>7</v>
      </c>
      <c r="BK11">
        <v>1</v>
      </c>
      <c r="BL11">
        <v>3</v>
      </c>
      <c r="BM11">
        <v>5</v>
      </c>
      <c r="BN11" s="9">
        <v>6</v>
      </c>
      <c r="BO11" s="9" t="s">
        <v>300</v>
      </c>
      <c r="BP11" t="s">
        <v>193</v>
      </c>
    </row>
    <row r="12" spans="1:68">
      <c r="A12" s="4">
        <v>639370275302</v>
      </c>
      <c r="B12" s="4" t="s">
        <v>301</v>
      </c>
      <c r="C12" s="1" t="s">
        <v>38</v>
      </c>
      <c r="D12" s="5" t="str">
        <f t="shared" si="0"/>
        <v>1</v>
      </c>
      <c r="E12" s="5" t="str">
        <f>IFERROR(IF(VLOOKUP(A12,Base!AA:AA,1,0)&gt;0,"1","0"),"0")</f>
        <v>1</v>
      </c>
      <c r="F12" s="5" t="str">
        <f t="shared" si="1"/>
        <v>1</v>
      </c>
      <c r="G12" s="5" t="str">
        <f t="shared" si="2"/>
        <v>1</v>
      </c>
      <c r="H12" t="s">
        <v>302</v>
      </c>
      <c r="I12" t="s">
        <v>303</v>
      </c>
      <c r="K12" t="s">
        <v>301</v>
      </c>
      <c r="L12" t="s">
        <v>304</v>
      </c>
      <c r="M12" t="s">
        <v>305</v>
      </c>
      <c r="N12" t="s">
        <v>306</v>
      </c>
      <c r="O12" t="s">
        <v>215</v>
      </c>
      <c r="P12" t="s">
        <v>179</v>
      </c>
      <c r="Q12" t="s">
        <v>179</v>
      </c>
      <c r="R12" t="s">
        <v>180</v>
      </c>
      <c r="S12" t="s">
        <v>202</v>
      </c>
      <c r="T12" t="s">
        <v>307</v>
      </c>
      <c r="U12" t="s">
        <v>308</v>
      </c>
      <c r="V12" t="s">
        <v>309</v>
      </c>
      <c r="W12" t="s">
        <v>179</v>
      </c>
      <c r="X12" t="s">
        <v>185</v>
      </c>
      <c r="Z12" t="s">
        <v>186</v>
      </c>
      <c r="AA12">
        <v>5</v>
      </c>
      <c r="AC12" t="s">
        <v>186</v>
      </c>
      <c r="AD12">
        <v>5</v>
      </c>
      <c r="AF12" t="s">
        <v>205</v>
      </c>
      <c r="AI12" t="s">
        <v>310</v>
      </c>
      <c r="AK12" s="9" t="s">
        <v>189</v>
      </c>
      <c r="AL12" s="9" t="s">
        <v>189</v>
      </c>
      <c r="AM12" s="9" t="s">
        <v>189</v>
      </c>
      <c r="AN12" s="9"/>
      <c r="AO12" s="9" t="s">
        <v>311</v>
      </c>
      <c r="AP12" s="9" t="s">
        <v>179</v>
      </c>
      <c r="AQ12" s="9" t="s">
        <v>180</v>
      </c>
      <c r="AR12" s="9" t="s">
        <v>180</v>
      </c>
      <c r="AS12" s="9" t="s">
        <v>180</v>
      </c>
      <c r="AT12" s="9" t="s">
        <v>180</v>
      </c>
      <c r="AU12" s="9" t="s">
        <v>180</v>
      </c>
      <c r="AV12" s="9" t="s">
        <v>180</v>
      </c>
      <c r="AW12" s="9" t="s">
        <v>180</v>
      </c>
      <c r="AX12" s="9"/>
      <c r="AY12" s="9" t="s">
        <v>191</v>
      </c>
      <c r="AZ12" s="9" t="s">
        <v>178</v>
      </c>
      <c r="BA12" s="9"/>
      <c r="BB12" s="9" t="s">
        <v>191</v>
      </c>
      <c r="BC12" s="9" t="s">
        <v>178</v>
      </c>
      <c r="BD12" s="9"/>
      <c r="BE12" s="9" t="s">
        <v>191</v>
      </c>
      <c r="BF12" s="9" t="s">
        <v>55</v>
      </c>
      <c r="BH12">
        <v>7</v>
      </c>
      <c r="BI12">
        <v>5</v>
      </c>
      <c r="BJ12">
        <v>6</v>
      </c>
      <c r="BK12">
        <v>1</v>
      </c>
      <c r="BL12">
        <v>2</v>
      </c>
      <c r="BM12">
        <v>3</v>
      </c>
      <c r="BN12" s="9">
        <v>4</v>
      </c>
      <c r="BO12" s="9"/>
      <c r="BP12" t="s">
        <v>193</v>
      </c>
    </row>
    <row r="13" spans="1:68">
      <c r="A13" s="4">
        <v>655945459902</v>
      </c>
      <c r="B13" s="4" t="s">
        <v>312</v>
      </c>
      <c r="C13" s="1" t="s">
        <v>100</v>
      </c>
      <c r="D13" s="5" t="str">
        <f t="shared" si="0"/>
        <v>1</v>
      </c>
      <c r="E13" s="5" t="str">
        <f>IFERROR(IF(VLOOKUP(A13,Base!AA:AA,1,0)&gt;0,"1","0"),"0")</f>
        <v>1</v>
      </c>
      <c r="F13" s="5" t="str">
        <f t="shared" si="1"/>
        <v>-</v>
      </c>
      <c r="G13" s="5" t="str">
        <f t="shared" si="2"/>
        <v>0</v>
      </c>
      <c r="H13" t="s">
        <v>313</v>
      </c>
      <c r="I13" t="s">
        <v>314</v>
      </c>
      <c r="K13" t="s">
        <v>315</v>
      </c>
      <c r="L13" t="s">
        <v>316</v>
      </c>
      <c r="M13" t="s">
        <v>317</v>
      </c>
      <c r="N13" t="s">
        <v>318</v>
      </c>
      <c r="O13" t="s">
        <v>201</v>
      </c>
      <c r="P13" t="s">
        <v>178</v>
      </c>
      <c r="Q13" t="s">
        <v>179</v>
      </c>
      <c r="R13" t="s">
        <v>180</v>
      </c>
      <c r="S13" t="s">
        <v>181</v>
      </c>
      <c r="T13" t="s">
        <v>319</v>
      </c>
      <c r="U13" t="s">
        <v>320</v>
      </c>
      <c r="V13" t="s">
        <v>321</v>
      </c>
      <c r="W13" t="s">
        <v>179</v>
      </c>
      <c r="X13" t="s">
        <v>322</v>
      </c>
      <c r="Y13" t="s">
        <v>323</v>
      </c>
      <c r="Z13" t="s">
        <v>186</v>
      </c>
      <c r="AA13">
        <v>5</v>
      </c>
      <c r="AB13" t="s">
        <v>324</v>
      </c>
      <c r="AC13" t="s">
        <v>186</v>
      </c>
      <c r="AD13">
        <v>5</v>
      </c>
      <c r="AE13" t="s">
        <v>325</v>
      </c>
      <c r="AF13" t="s">
        <v>186</v>
      </c>
      <c r="AG13">
        <v>1</v>
      </c>
      <c r="AH13" t="s">
        <v>326</v>
      </c>
      <c r="AI13" t="s">
        <v>327</v>
      </c>
      <c r="AJ13" t="s">
        <v>328</v>
      </c>
      <c r="AK13" s="9" t="s">
        <v>189</v>
      </c>
      <c r="AL13" s="9" t="s">
        <v>189</v>
      </c>
      <c r="AM13" s="9" t="s">
        <v>189</v>
      </c>
      <c r="AN13" s="9"/>
      <c r="AO13" s="9" t="s">
        <v>243</v>
      </c>
      <c r="AP13" s="9" t="s">
        <v>179</v>
      </c>
      <c r="AQ13" s="9" t="s">
        <v>180</v>
      </c>
      <c r="AR13" s="9" t="s">
        <v>180</v>
      </c>
      <c r="AS13" s="9" t="s">
        <v>180</v>
      </c>
      <c r="AT13" s="9" t="s">
        <v>180</v>
      </c>
      <c r="AU13" s="9" t="s">
        <v>180</v>
      </c>
      <c r="AV13" s="9" t="s">
        <v>180</v>
      </c>
      <c r="AW13" s="9" t="s">
        <v>180</v>
      </c>
      <c r="AX13" s="9"/>
      <c r="AY13" s="9" t="s">
        <v>191</v>
      </c>
      <c r="AZ13" s="9" t="s">
        <v>179</v>
      </c>
      <c r="BA13" s="9"/>
      <c r="BB13" s="9" t="s">
        <v>192</v>
      </c>
      <c r="BC13" s="9"/>
      <c r="BD13" s="9"/>
      <c r="BE13" s="9" t="s">
        <v>192</v>
      </c>
      <c r="BF13" s="9"/>
      <c r="BH13">
        <v>5</v>
      </c>
      <c r="BI13">
        <v>7</v>
      </c>
      <c r="BJ13">
        <v>3</v>
      </c>
      <c r="BK13">
        <v>4</v>
      </c>
      <c r="BL13">
        <v>2</v>
      </c>
      <c r="BM13">
        <v>1</v>
      </c>
      <c r="BN13" s="9">
        <v>6</v>
      </c>
      <c r="BO13" s="9"/>
      <c r="BP13" t="s">
        <v>193</v>
      </c>
    </row>
    <row r="14" spans="1:68">
      <c r="A14" s="4">
        <v>10369153302</v>
      </c>
      <c r="B14" s="4" t="s">
        <v>329</v>
      </c>
      <c r="C14" s="1" t="s">
        <v>39</v>
      </c>
      <c r="D14" s="5" t="str">
        <f t="shared" si="0"/>
        <v>1</v>
      </c>
      <c r="E14" s="5" t="str">
        <f>IFERROR(IF(VLOOKUP(A14,Base!AA:AA,1,0)&gt;0,"1","0"),"0")</f>
        <v>1</v>
      </c>
      <c r="F14" s="5" t="str">
        <f t="shared" si="1"/>
        <v>-</v>
      </c>
      <c r="G14" s="5" t="str">
        <f t="shared" si="2"/>
        <v>0</v>
      </c>
      <c r="H14" t="s">
        <v>330</v>
      </c>
      <c r="I14" t="s">
        <v>331</v>
      </c>
      <c r="K14" t="s">
        <v>329</v>
      </c>
      <c r="L14" t="s">
        <v>332</v>
      </c>
      <c r="M14" t="s">
        <v>333</v>
      </c>
      <c r="N14" t="s">
        <v>334</v>
      </c>
      <c r="O14" t="s">
        <v>215</v>
      </c>
      <c r="P14" t="s">
        <v>179</v>
      </c>
      <c r="Q14" t="s">
        <v>179</v>
      </c>
      <c r="R14" t="s">
        <v>180</v>
      </c>
      <c r="S14" t="s">
        <v>181</v>
      </c>
      <c r="T14" t="s">
        <v>216</v>
      </c>
      <c r="V14" t="s">
        <v>282</v>
      </c>
      <c r="W14" t="s">
        <v>179</v>
      </c>
      <c r="X14" t="s">
        <v>185</v>
      </c>
      <c r="Y14" t="s">
        <v>335</v>
      </c>
      <c r="Z14" t="s">
        <v>186</v>
      </c>
      <c r="AA14">
        <v>5</v>
      </c>
      <c r="AC14" t="s">
        <v>186</v>
      </c>
      <c r="AD14">
        <v>4</v>
      </c>
      <c r="AE14" t="s">
        <v>336</v>
      </c>
      <c r="AF14" t="s">
        <v>186</v>
      </c>
      <c r="AG14">
        <v>4</v>
      </c>
      <c r="AI14" t="s">
        <v>337</v>
      </c>
      <c r="AK14" s="9" t="s">
        <v>189</v>
      </c>
      <c r="AL14" s="9" t="s">
        <v>189</v>
      </c>
      <c r="AM14" s="9" t="s">
        <v>189</v>
      </c>
      <c r="AN14" s="9" t="s">
        <v>338</v>
      </c>
      <c r="AO14" s="9" t="s">
        <v>311</v>
      </c>
      <c r="AP14" s="9" t="s">
        <v>179</v>
      </c>
      <c r="AQ14" s="9" t="s">
        <v>180</v>
      </c>
      <c r="AR14" s="9" t="s">
        <v>180</v>
      </c>
      <c r="AS14" s="9" t="s">
        <v>180</v>
      </c>
      <c r="AT14" s="9" t="s">
        <v>180</v>
      </c>
      <c r="AU14" s="9" t="s">
        <v>180</v>
      </c>
      <c r="AV14" s="9" t="s">
        <v>180</v>
      </c>
      <c r="AW14" s="9" t="s">
        <v>180</v>
      </c>
      <c r="AX14" s="9" t="s">
        <v>339</v>
      </c>
      <c r="AY14" s="9" t="s">
        <v>191</v>
      </c>
      <c r="AZ14" s="9" t="s">
        <v>179</v>
      </c>
      <c r="BA14" s="9" t="s">
        <v>340</v>
      </c>
      <c r="BB14" s="9" t="s">
        <v>192</v>
      </c>
      <c r="BC14" s="9"/>
      <c r="BD14" s="9"/>
      <c r="BE14" s="9" t="s">
        <v>191</v>
      </c>
      <c r="BF14" s="9" t="s">
        <v>54</v>
      </c>
      <c r="BG14" t="s">
        <v>341</v>
      </c>
      <c r="BH14">
        <v>3</v>
      </c>
      <c r="BI14">
        <v>7</v>
      </c>
      <c r="BJ14">
        <v>5</v>
      </c>
      <c r="BK14">
        <v>4</v>
      </c>
      <c r="BL14">
        <v>1</v>
      </c>
      <c r="BM14">
        <v>6</v>
      </c>
      <c r="BN14" s="9">
        <v>2</v>
      </c>
      <c r="BO14" s="9" t="s">
        <v>342</v>
      </c>
      <c r="BP14" t="s">
        <v>193</v>
      </c>
    </row>
    <row r="15" spans="1:68">
      <c r="A15" s="4">
        <v>97596278102</v>
      </c>
      <c r="B15" s="4" t="s">
        <v>343</v>
      </c>
      <c r="C15" s="1" t="s">
        <v>36</v>
      </c>
      <c r="D15" s="5" t="str">
        <f t="shared" si="0"/>
        <v>1</v>
      </c>
      <c r="E15" s="5" t="str">
        <f>IFERROR(IF(VLOOKUP(A15,Base!AA:AA,1,0)&gt;0,"1","0"),"0")</f>
        <v>1</v>
      </c>
      <c r="F15" s="5" t="str">
        <f t="shared" si="1"/>
        <v>1</v>
      </c>
      <c r="G15" s="5" t="str">
        <f t="shared" si="2"/>
        <v>1</v>
      </c>
      <c r="H15" t="s">
        <v>344</v>
      </c>
      <c r="I15" t="s">
        <v>345</v>
      </c>
      <c r="K15" t="s">
        <v>346</v>
      </c>
      <c r="L15" t="s">
        <v>347</v>
      </c>
      <c r="M15" t="s">
        <v>348</v>
      </c>
      <c r="N15" t="s">
        <v>349</v>
      </c>
      <c r="O15" t="s">
        <v>201</v>
      </c>
      <c r="P15" t="s">
        <v>179</v>
      </c>
      <c r="Q15" t="s">
        <v>178</v>
      </c>
      <c r="R15" t="s">
        <v>180</v>
      </c>
      <c r="S15" t="s">
        <v>202</v>
      </c>
      <c r="T15" t="s">
        <v>203</v>
      </c>
      <c r="V15" t="s">
        <v>311</v>
      </c>
      <c r="W15" t="s">
        <v>179</v>
      </c>
      <c r="X15" t="s">
        <v>350</v>
      </c>
      <c r="Z15" t="s">
        <v>186</v>
      </c>
      <c r="AA15">
        <v>4</v>
      </c>
      <c r="AC15" t="s">
        <v>186</v>
      </c>
      <c r="AD15">
        <v>5</v>
      </c>
      <c r="AF15" t="s">
        <v>186</v>
      </c>
      <c r="AG15">
        <v>3</v>
      </c>
      <c r="AI15" t="s">
        <v>351</v>
      </c>
      <c r="AK15" s="9" t="s">
        <v>189</v>
      </c>
      <c r="AL15" s="9" t="s">
        <v>220</v>
      </c>
      <c r="AM15" s="9" t="s">
        <v>220</v>
      </c>
      <c r="AN15" s="9" t="s">
        <v>352</v>
      </c>
      <c r="AO15" s="9" t="s">
        <v>353</v>
      </c>
      <c r="AP15" s="9" t="s">
        <v>54</v>
      </c>
      <c r="AQ15" s="9" t="s">
        <v>354</v>
      </c>
      <c r="AR15" s="9" t="s">
        <v>254</v>
      </c>
      <c r="AS15" s="9" t="s">
        <v>354</v>
      </c>
      <c r="AT15" s="9" t="s">
        <v>354</v>
      </c>
      <c r="AU15" s="9" t="s">
        <v>355</v>
      </c>
      <c r="AV15" s="9" t="s">
        <v>355</v>
      </c>
      <c r="AW15" s="9" t="s">
        <v>254</v>
      </c>
      <c r="AX15" s="9" t="s">
        <v>356</v>
      </c>
      <c r="AY15" s="9" t="s">
        <v>191</v>
      </c>
      <c r="AZ15" s="9" t="s">
        <v>54</v>
      </c>
      <c r="BA15" s="9"/>
      <c r="BB15" s="9" t="s">
        <v>191</v>
      </c>
      <c r="BC15" s="9" t="s">
        <v>178</v>
      </c>
      <c r="BD15" s="9"/>
      <c r="BE15" s="9" t="s">
        <v>192</v>
      </c>
      <c r="BF15" s="9"/>
      <c r="BH15">
        <v>5</v>
      </c>
      <c r="BI15">
        <v>6</v>
      </c>
      <c r="BJ15">
        <v>7</v>
      </c>
      <c r="BK15">
        <v>4</v>
      </c>
      <c r="BL15">
        <v>1</v>
      </c>
      <c r="BM15">
        <v>3</v>
      </c>
      <c r="BN15" s="9">
        <v>2</v>
      </c>
      <c r="BO15" s="9"/>
      <c r="BP15" t="s">
        <v>193</v>
      </c>
    </row>
    <row r="16" spans="1:68">
      <c r="A16" s="4">
        <v>795323312102</v>
      </c>
      <c r="B16" s="4" t="s">
        <v>357</v>
      </c>
      <c r="C16" s="1" t="s">
        <v>100</v>
      </c>
      <c r="D16" s="5" t="str">
        <f t="shared" si="0"/>
        <v>1</v>
      </c>
      <c r="E16" s="5" t="str">
        <f>IFERROR(IF(VLOOKUP(A16,Base!AA:AA,1,0)&gt;0,"1","0"),"0")</f>
        <v>1</v>
      </c>
      <c r="F16" s="5" t="str">
        <f t="shared" si="1"/>
        <v>-</v>
      </c>
      <c r="G16" s="5" t="str">
        <f t="shared" si="2"/>
        <v>0</v>
      </c>
      <c r="H16" t="s">
        <v>358</v>
      </c>
      <c r="I16" t="s">
        <v>359</v>
      </c>
      <c r="K16" t="s">
        <v>357</v>
      </c>
      <c r="L16" t="s">
        <v>360</v>
      </c>
      <c r="M16" t="s">
        <v>361</v>
      </c>
      <c r="N16" t="s">
        <v>362</v>
      </c>
      <c r="O16" t="s">
        <v>177</v>
      </c>
      <c r="P16" t="s">
        <v>178</v>
      </c>
      <c r="Q16" t="s">
        <v>178</v>
      </c>
      <c r="R16" t="s">
        <v>254</v>
      </c>
      <c r="S16" t="s">
        <v>181</v>
      </c>
      <c r="T16" t="s">
        <v>216</v>
      </c>
      <c r="V16" t="s">
        <v>241</v>
      </c>
      <c r="W16" t="s">
        <v>184</v>
      </c>
      <c r="X16" t="s">
        <v>185</v>
      </c>
      <c r="Z16" t="s">
        <v>186</v>
      </c>
      <c r="AA16">
        <v>5</v>
      </c>
      <c r="AC16" t="s">
        <v>186</v>
      </c>
      <c r="AD16">
        <v>5</v>
      </c>
      <c r="AF16" t="s">
        <v>186</v>
      </c>
      <c r="AG16">
        <v>5</v>
      </c>
      <c r="AI16" t="s">
        <v>363</v>
      </c>
      <c r="AK16" s="9" t="s">
        <v>189</v>
      </c>
      <c r="AL16" s="9" t="s">
        <v>188</v>
      </c>
      <c r="AM16" s="9" t="s">
        <v>252</v>
      </c>
      <c r="AN16" s="9"/>
      <c r="AO16" s="9" t="s">
        <v>364</v>
      </c>
      <c r="AP16" s="9" t="s">
        <v>179</v>
      </c>
      <c r="AQ16" s="9" t="s">
        <v>180</v>
      </c>
      <c r="AR16" s="9" t="s">
        <v>254</v>
      </c>
      <c r="AS16" s="9" t="s">
        <v>180</v>
      </c>
      <c r="AT16" s="9" t="s">
        <v>254</v>
      </c>
      <c r="AU16" s="9" t="s">
        <v>180</v>
      </c>
      <c r="AV16" s="9" t="s">
        <v>180</v>
      </c>
      <c r="AW16" s="9" t="s">
        <v>180</v>
      </c>
      <c r="AX16" s="9"/>
      <c r="AY16" s="9" t="s">
        <v>192</v>
      </c>
      <c r="AZ16" s="9"/>
      <c r="BA16" s="9"/>
      <c r="BB16" s="9" t="s">
        <v>192</v>
      </c>
      <c r="BC16" s="9"/>
      <c r="BD16" s="9"/>
      <c r="BE16" s="9" t="s">
        <v>191</v>
      </c>
      <c r="BF16" s="9" t="s">
        <v>179</v>
      </c>
      <c r="BH16">
        <v>5</v>
      </c>
      <c r="BI16">
        <v>4</v>
      </c>
      <c r="BJ16">
        <v>7</v>
      </c>
      <c r="BK16">
        <v>1</v>
      </c>
      <c r="BL16">
        <v>6</v>
      </c>
      <c r="BM16">
        <v>2</v>
      </c>
      <c r="BN16" s="9">
        <v>3</v>
      </c>
      <c r="BO16" s="9" t="s">
        <v>365</v>
      </c>
      <c r="BP16" t="s">
        <v>193</v>
      </c>
    </row>
    <row r="17" spans="1:68">
      <c r="A17" s="4">
        <v>30887912302</v>
      </c>
      <c r="B17" s="4" t="s">
        <v>366</v>
      </c>
      <c r="C17" s="1" t="s">
        <v>100</v>
      </c>
      <c r="D17" s="5" t="str">
        <f t="shared" si="0"/>
        <v>1</v>
      </c>
      <c r="E17" s="5" t="str">
        <f>IFERROR(IF(VLOOKUP(A17,Base!AA:AA,1,0)&gt;0,"1","0"),"0")</f>
        <v>1</v>
      </c>
      <c r="F17" s="5" t="str">
        <f t="shared" si="1"/>
        <v>-</v>
      </c>
      <c r="G17" s="5" t="str">
        <f t="shared" si="2"/>
        <v>0</v>
      </c>
      <c r="H17" t="s">
        <v>367</v>
      </c>
      <c r="I17" t="s">
        <v>368</v>
      </c>
      <c r="K17" t="s">
        <v>366</v>
      </c>
      <c r="L17" t="s">
        <v>369</v>
      </c>
      <c r="M17" t="s">
        <v>370</v>
      </c>
      <c r="N17" t="s">
        <v>371</v>
      </c>
      <c r="O17" t="s">
        <v>201</v>
      </c>
      <c r="P17" t="s">
        <v>178</v>
      </c>
      <c r="Q17" t="s">
        <v>179</v>
      </c>
      <c r="R17" t="s">
        <v>180</v>
      </c>
      <c r="S17" t="s">
        <v>181</v>
      </c>
      <c r="T17" t="s">
        <v>216</v>
      </c>
      <c r="U17" t="s">
        <v>324</v>
      </c>
      <c r="V17" t="s">
        <v>372</v>
      </c>
      <c r="W17" t="s">
        <v>179</v>
      </c>
      <c r="X17" t="s">
        <v>185</v>
      </c>
      <c r="Y17" t="s">
        <v>324</v>
      </c>
      <c r="Z17" t="s">
        <v>205</v>
      </c>
      <c r="AC17" t="s">
        <v>186</v>
      </c>
      <c r="AD17">
        <v>5</v>
      </c>
      <c r="AF17" t="s">
        <v>205</v>
      </c>
      <c r="AI17" t="s">
        <v>373</v>
      </c>
      <c r="AJ17" t="s">
        <v>374</v>
      </c>
      <c r="AK17" s="9" t="s">
        <v>189</v>
      </c>
      <c r="AL17" s="9" t="s">
        <v>189</v>
      </c>
      <c r="AM17" s="9" t="s">
        <v>189</v>
      </c>
      <c r="AN17" s="9"/>
      <c r="AO17" s="9" t="s">
        <v>311</v>
      </c>
      <c r="AP17" s="9" t="s">
        <v>179</v>
      </c>
      <c r="AQ17" s="9" t="s">
        <v>375</v>
      </c>
      <c r="AR17" s="9" t="s">
        <v>375</v>
      </c>
      <c r="AS17" s="9" t="s">
        <v>375</v>
      </c>
      <c r="AT17" s="9" t="s">
        <v>375</v>
      </c>
      <c r="AU17" s="9" t="s">
        <v>375</v>
      </c>
      <c r="AV17" s="9" t="s">
        <v>375</v>
      </c>
      <c r="AW17" s="9" t="s">
        <v>375</v>
      </c>
      <c r="AX17" s="9"/>
      <c r="AY17" s="9" t="s">
        <v>191</v>
      </c>
      <c r="AZ17" s="9" t="s">
        <v>178</v>
      </c>
      <c r="BA17" s="9"/>
      <c r="BB17" s="9" t="s">
        <v>192</v>
      </c>
      <c r="BC17" s="9"/>
      <c r="BD17" s="9"/>
      <c r="BE17" s="9" t="s">
        <v>191</v>
      </c>
      <c r="BF17" s="9" t="s">
        <v>179</v>
      </c>
      <c r="BH17">
        <v>1</v>
      </c>
      <c r="BI17">
        <v>5</v>
      </c>
      <c r="BJ17">
        <v>6</v>
      </c>
      <c r="BK17">
        <v>7</v>
      </c>
      <c r="BL17">
        <v>4</v>
      </c>
      <c r="BM17">
        <v>2</v>
      </c>
      <c r="BN17" s="9">
        <v>3</v>
      </c>
      <c r="BO17" s="9"/>
      <c r="BP17" t="s">
        <v>193</v>
      </c>
    </row>
    <row r="18" spans="1:68">
      <c r="A18" s="4">
        <v>755841394202</v>
      </c>
      <c r="B18" s="4" t="s">
        <v>376</v>
      </c>
      <c r="C18" s="1" t="s">
        <v>38</v>
      </c>
      <c r="D18" s="5" t="str">
        <f t="shared" si="0"/>
        <v>1</v>
      </c>
      <c r="E18" s="5" t="str">
        <f>IFERROR(IF(VLOOKUP(A18,Base!AA:AA,1,0)&gt;0,"1","0"),"0")</f>
        <v>1</v>
      </c>
      <c r="F18" s="5" t="str">
        <f t="shared" si="1"/>
        <v>1</v>
      </c>
      <c r="G18" s="5" t="str">
        <f t="shared" si="2"/>
        <v>1</v>
      </c>
      <c r="H18" t="s">
        <v>377</v>
      </c>
      <c r="I18" t="s">
        <v>378</v>
      </c>
      <c r="K18" t="s">
        <v>379</v>
      </c>
      <c r="L18" t="s">
        <v>380</v>
      </c>
      <c r="M18" t="s">
        <v>381</v>
      </c>
      <c r="N18" t="s">
        <v>382</v>
      </c>
      <c r="O18" t="s">
        <v>201</v>
      </c>
      <c r="P18" t="s">
        <v>179</v>
      </c>
      <c r="Q18" t="s">
        <v>179</v>
      </c>
      <c r="R18" t="s">
        <v>180</v>
      </c>
      <c r="S18" t="s">
        <v>181</v>
      </c>
      <c r="T18" t="s">
        <v>216</v>
      </c>
      <c r="U18" t="s">
        <v>383</v>
      </c>
      <c r="V18" t="s">
        <v>309</v>
      </c>
      <c r="W18" t="s">
        <v>179</v>
      </c>
      <c r="X18" t="s">
        <v>185</v>
      </c>
      <c r="Y18" t="s">
        <v>384</v>
      </c>
      <c r="Z18" t="s">
        <v>186</v>
      </c>
      <c r="AA18">
        <v>5</v>
      </c>
      <c r="AB18" t="s">
        <v>324</v>
      </c>
      <c r="AC18" t="s">
        <v>186</v>
      </c>
      <c r="AD18">
        <v>5</v>
      </c>
      <c r="AE18" t="s">
        <v>385</v>
      </c>
      <c r="AF18" t="s">
        <v>186</v>
      </c>
      <c r="AG18">
        <v>3</v>
      </c>
      <c r="AH18" t="s">
        <v>386</v>
      </c>
      <c r="AI18" t="s">
        <v>387</v>
      </c>
      <c r="AJ18" t="s">
        <v>388</v>
      </c>
      <c r="AK18" s="9" t="s">
        <v>188</v>
      </c>
      <c r="AL18" s="9" t="s">
        <v>188</v>
      </c>
      <c r="AM18" s="9" t="s">
        <v>188</v>
      </c>
      <c r="AN18" s="9"/>
      <c r="AO18" s="9" t="s">
        <v>389</v>
      </c>
      <c r="AP18" s="9" t="s">
        <v>179</v>
      </c>
      <c r="AQ18" s="9" t="s">
        <v>254</v>
      </c>
      <c r="AR18" s="9" t="s">
        <v>180</v>
      </c>
      <c r="AS18" s="9" t="s">
        <v>254</v>
      </c>
      <c r="AT18" s="9" t="s">
        <v>180</v>
      </c>
      <c r="AU18" s="9" t="s">
        <v>180</v>
      </c>
      <c r="AV18" s="9" t="s">
        <v>180</v>
      </c>
      <c r="AW18" s="9" t="s">
        <v>180</v>
      </c>
      <c r="AX18" s="9"/>
      <c r="AY18" s="9" t="s">
        <v>192</v>
      </c>
      <c r="AZ18" s="9"/>
      <c r="BA18" s="9"/>
      <c r="BB18" s="9" t="s">
        <v>191</v>
      </c>
      <c r="BC18" s="9" t="s">
        <v>178</v>
      </c>
      <c r="BD18" s="9"/>
      <c r="BE18" s="9" t="s">
        <v>191</v>
      </c>
      <c r="BF18" s="9" t="s">
        <v>178</v>
      </c>
      <c r="BH18">
        <v>1</v>
      </c>
      <c r="BI18">
        <v>5</v>
      </c>
      <c r="BJ18">
        <v>7</v>
      </c>
      <c r="BK18">
        <v>4</v>
      </c>
      <c r="BL18">
        <v>6</v>
      </c>
      <c r="BM18">
        <v>2</v>
      </c>
      <c r="BN18" s="9">
        <v>3</v>
      </c>
      <c r="BO18" s="9"/>
      <c r="BP18" t="s">
        <v>193</v>
      </c>
    </row>
    <row r="19" spans="1:68">
      <c r="A19" s="4">
        <v>128837707402</v>
      </c>
      <c r="B19" s="4" t="s">
        <v>390</v>
      </c>
      <c r="C19" s="1" t="s">
        <v>100</v>
      </c>
      <c r="D19" s="5" t="str">
        <f t="shared" si="0"/>
        <v>1</v>
      </c>
      <c r="E19" s="5" t="str">
        <f>IFERROR(IF(VLOOKUP(A19,Base!AA:AA,1,0)&gt;0,"1","0"),"0")</f>
        <v>1</v>
      </c>
      <c r="F19" s="5" t="str">
        <f t="shared" si="1"/>
        <v>-</v>
      </c>
      <c r="G19" s="5" t="str">
        <f t="shared" si="2"/>
        <v>0</v>
      </c>
      <c r="H19" t="s">
        <v>391</v>
      </c>
      <c r="I19" t="s">
        <v>392</v>
      </c>
      <c r="K19" t="s">
        <v>393</v>
      </c>
      <c r="L19" t="s">
        <v>394</v>
      </c>
      <c r="M19" t="s">
        <v>395</v>
      </c>
      <c r="N19" t="s">
        <v>396</v>
      </c>
      <c r="O19" t="s">
        <v>177</v>
      </c>
      <c r="P19" t="s">
        <v>178</v>
      </c>
      <c r="Q19" t="s">
        <v>179</v>
      </c>
      <c r="R19" t="s">
        <v>180</v>
      </c>
      <c r="S19" t="s">
        <v>181</v>
      </c>
      <c r="T19" t="s">
        <v>216</v>
      </c>
      <c r="V19" t="s">
        <v>321</v>
      </c>
      <c r="W19" t="s">
        <v>179</v>
      </c>
      <c r="X19" t="s">
        <v>185</v>
      </c>
      <c r="Z19" t="s">
        <v>186</v>
      </c>
      <c r="AA19">
        <v>4</v>
      </c>
      <c r="AC19" t="s">
        <v>186</v>
      </c>
      <c r="AD19">
        <v>4</v>
      </c>
      <c r="AF19" t="s">
        <v>205</v>
      </c>
      <c r="AI19" t="s">
        <v>397</v>
      </c>
      <c r="AK19" s="9" t="s">
        <v>189</v>
      </c>
      <c r="AL19" s="9" t="s">
        <v>189</v>
      </c>
      <c r="AM19" s="9" t="s">
        <v>252</v>
      </c>
      <c r="AN19" s="9"/>
      <c r="AO19" s="9" t="s">
        <v>243</v>
      </c>
      <c r="AP19" s="9" t="s">
        <v>179</v>
      </c>
      <c r="AQ19" s="9" t="s">
        <v>180</v>
      </c>
      <c r="AR19" s="9" t="s">
        <v>180</v>
      </c>
      <c r="AS19" s="9" t="s">
        <v>180</v>
      </c>
      <c r="AT19" s="9" t="s">
        <v>180</v>
      </c>
      <c r="AU19" s="9" t="s">
        <v>180</v>
      </c>
      <c r="AV19" s="9" t="s">
        <v>180</v>
      </c>
      <c r="AW19" s="9" t="s">
        <v>180</v>
      </c>
      <c r="AX19" s="9"/>
      <c r="AY19" s="9" t="s">
        <v>191</v>
      </c>
      <c r="AZ19" s="9" t="s">
        <v>179</v>
      </c>
      <c r="BA19" s="9"/>
      <c r="BB19" s="9" t="s">
        <v>192</v>
      </c>
      <c r="BC19" s="9"/>
      <c r="BD19" s="9"/>
      <c r="BE19" s="9" t="s">
        <v>192</v>
      </c>
      <c r="BF19" s="9"/>
      <c r="BH19">
        <v>7</v>
      </c>
      <c r="BI19">
        <v>3</v>
      </c>
      <c r="BJ19">
        <v>6</v>
      </c>
      <c r="BK19">
        <v>5</v>
      </c>
      <c r="BL19">
        <v>1</v>
      </c>
      <c r="BM19">
        <v>2</v>
      </c>
      <c r="BN19" s="9">
        <v>4</v>
      </c>
      <c r="BO19" s="9"/>
      <c r="BP19" t="s">
        <v>193</v>
      </c>
    </row>
    <row r="20" spans="1:68">
      <c r="A20" s="4">
        <v>244366726002</v>
      </c>
      <c r="B20" s="4" t="s">
        <v>398</v>
      </c>
      <c r="C20" s="1" t="s">
        <v>38</v>
      </c>
      <c r="D20" s="5" t="str">
        <f t="shared" si="0"/>
        <v>1</v>
      </c>
      <c r="E20" s="5" t="str">
        <f>IFERROR(IF(VLOOKUP(A20,Base!AA:AA,1,0)&gt;0,"1","0"),"0")</f>
        <v>1</v>
      </c>
      <c r="F20" s="5" t="str">
        <f t="shared" si="1"/>
        <v>1</v>
      </c>
      <c r="G20" s="5" t="str">
        <f t="shared" si="2"/>
        <v>1</v>
      </c>
      <c r="H20" t="s">
        <v>399</v>
      </c>
      <c r="I20" t="s">
        <v>400</v>
      </c>
      <c r="K20" t="s">
        <v>401</v>
      </c>
      <c r="L20" t="s">
        <v>402</v>
      </c>
      <c r="M20" t="s">
        <v>403</v>
      </c>
      <c r="N20" t="s">
        <v>404</v>
      </c>
      <c r="O20" t="s">
        <v>177</v>
      </c>
      <c r="P20" t="s">
        <v>54</v>
      </c>
      <c r="Q20" t="s">
        <v>178</v>
      </c>
      <c r="R20" t="s">
        <v>254</v>
      </c>
      <c r="S20" t="s">
        <v>405</v>
      </c>
      <c r="T20" t="s">
        <v>406</v>
      </c>
      <c r="U20" t="s">
        <v>407</v>
      </c>
      <c r="V20" t="s">
        <v>204</v>
      </c>
      <c r="W20" t="s">
        <v>184</v>
      </c>
      <c r="X20" t="s">
        <v>408</v>
      </c>
      <c r="Y20" t="s">
        <v>409</v>
      </c>
      <c r="Z20" t="s">
        <v>186</v>
      </c>
      <c r="AA20">
        <v>4</v>
      </c>
      <c r="AB20" t="s">
        <v>410</v>
      </c>
      <c r="AC20" t="s">
        <v>186</v>
      </c>
      <c r="AD20">
        <v>4</v>
      </c>
      <c r="AE20" t="s">
        <v>411</v>
      </c>
      <c r="AF20" t="s">
        <v>186</v>
      </c>
      <c r="AG20">
        <v>3</v>
      </c>
      <c r="AH20" t="s">
        <v>412</v>
      </c>
      <c r="AI20" t="s">
        <v>413</v>
      </c>
      <c r="AK20" s="9" t="s">
        <v>189</v>
      </c>
      <c r="AL20" s="9" t="s">
        <v>189</v>
      </c>
      <c r="AM20" s="9" t="s">
        <v>189</v>
      </c>
      <c r="AN20" s="9"/>
      <c r="AO20" s="9" t="s">
        <v>269</v>
      </c>
      <c r="AP20" s="9" t="s">
        <v>179</v>
      </c>
      <c r="AQ20" s="9" t="s">
        <v>180</v>
      </c>
      <c r="AR20" s="9" t="s">
        <v>180</v>
      </c>
      <c r="AS20" s="9" t="s">
        <v>180</v>
      </c>
      <c r="AT20" s="9" t="s">
        <v>180</v>
      </c>
      <c r="AU20" s="9" t="s">
        <v>180</v>
      </c>
      <c r="AV20" s="9" t="s">
        <v>180</v>
      </c>
      <c r="AW20" s="9" t="s">
        <v>180</v>
      </c>
      <c r="AX20" s="9"/>
      <c r="AY20" s="9" t="s">
        <v>191</v>
      </c>
      <c r="AZ20" s="9" t="s">
        <v>179</v>
      </c>
      <c r="BA20" s="9"/>
      <c r="BB20" s="9" t="s">
        <v>191</v>
      </c>
      <c r="BC20" s="9" t="s">
        <v>179</v>
      </c>
      <c r="BD20" s="9"/>
      <c r="BE20" s="9" t="s">
        <v>192</v>
      </c>
      <c r="BF20" s="9"/>
      <c r="BH20">
        <v>4</v>
      </c>
      <c r="BI20">
        <v>6</v>
      </c>
      <c r="BJ20">
        <v>5</v>
      </c>
      <c r="BK20">
        <v>7</v>
      </c>
      <c r="BL20">
        <v>1</v>
      </c>
      <c r="BM20">
        <v>2</v>
      </c>
      <c r="BN20" s="9">
        <v>3</v>
      </c>
      <c r="BO20" s="9"/>
      <c r="BP20" t="s">
        <v>193</v>
      </c>
    </row>
    <row r="21" spans="1:68">
      <c r="A21" s="4">
        <v>685488901302</v>
      </c>
      <c r="B21" s="4" t="s">
        <v>414</v>
      </c>
      <c r="C21" s="1" t="s">
        <v>36</v>
      </c>
      <c r="D21" s="5" t="str">
        <f t="shared" si="0"/>
        <v>1</v>
      </c>
      <c r="E21" s="5" t="str">
        <f>IFERROR(IF(VLOOKUP(A21,Base!AA:AA,1,0)&gt;0,"1","0"),"0")</f>
        <v>1</v>
      </c>
      <c r="F21" s="5" t="str">
        <f t="shared" si="1"/>
        <v>1</v>
      </c>
      <c r="G21" s="5" t="str">
        <f t="shared" si="2"/>
        <v>1</v>
      </c>
      <c r="H21" t="s">
        <v>415</v>
      </c>
      <c r="I21" t="s">
        <v>416</v>
      </c>
      <c r="K21" t="s">
        <v>417</v>
      </c>
      <c r="L21" t="s">
        <v>418</v>
      </c>
      <c r="M21" t="s">
        <v>419</v>
      </c>
      <c r="N21" t="s">
        <v>420</v>
      </c>
      <c r="O21" t="s">
        <v>215</v>
      </c>
      <c r="P21" t="s">
        <v>179</v>
      </c>
      <c r="Q21" t="s">
        <v>179</v>
      </c>
      <c r="R21" t="s">
        <v>180</v>
      </c>
      <c r="S21" t="s">
        <v>181</v>
      </c>
      <c r="T21" t="s">
        <v>319</v>
      </c>
      <c r="V21" t="s">
        <v>311</v>
      </c>
      <c r="W21" t="s">
        <v>179</v>
      </c>
      <c r="X21" t="s">
        <v>293</v>
      </c>
      <c r="Z21" t="s">
        <v>205</v>
      </c>
      <c r="AC21" t="s">
        <v>186</v>
      </c>
      <c r="AD21">
        <v>4</v>
      </c>
      <c r="AF21" t="s">
        <v>205</v>
      </c>
      <c r="AI21" t="s">
        <v>421</v>
      </c>
      <c r="AK21" s="9" t="s">
        <v>188</v>
      </c>
      <c r="AL21" s="9" t="s">
        <v>188</v>
      </c>
      <c r="AM21" s="9" t="s">
        <v>188</v>
      </c>
      <c r="AN21" s="9" t="s">
        <v>422</v>
      </c>
      <c r="AO21" s="9" t="s">
        <v>423</v>
      </c>
      <c r="AP21" s="9" t="s">
        <v>179</v>
      </c>
      <c r="AQ21" s="9" t="s">
        <v>375</v>
      </c>
      <c r="AR21" s="9" t="s">
        <v>375</v>
      </c>
      <c r="AS21" s="9" t="s">
        <v>375</v>
      </c>
      <c r="AT21" s="9" t="s">
        <v>375</v>
      </c>
      <c r="AU21" s="9" t="s">
        <v>375</v>
      </c>
      <c r="AV21" s="9" t="s">
        <v>375</v>
      </c>
      <c r="AW21" s="9" t="s">
        <v>375</v>
      </c>
      <c r="AX21" s="9" t="s">
        <v>424</v>
      </c>
      <c r="AY21" s="9" t="s">
        <v>191</v>
      </c>
      <c r="AZ21" s="9" t="s">
        <v>179</v>
      </c>
      <c r="BA21" s="9" t="s">
        <v>424</v>
      </c>
      <c r="BB21" s="9" t="s">
        <v>191</v>
      </c>
      <c r="BC21" s="9" t="s">
        <v>179</v>
      </c>
      <c r="BD21" s="9" t="s">
        <v>425</v>
      </c>
      <c r="BE21" s="9" t="s">
        <v>191</v>
      </c>
      <c r="BF21" s="9" t="s">
        <v>179</v>
      </c>
      <c r="BG21" t="s">
        <v>425</v>
      </c>
      <c r="BH21">
        <v>6</v>
      </c>
      <c r="BI21">
        <v>2</v>
      </c>
      <c r="BJ21">
        <v>5</v>
      </c>
      <c r="BK21">
        <v>3</v>
      </c>
      <c r="BL21">
        <v>1</v>
      </c>
      <c r="BM21">
        <v>7</v>
      </c>
      <c r="BN21" s="9">
        <v>4</v>
      </c>
      <c r="BO21" s="9" t="s">
        <v>426</v>
      </c>
      <c r="BP21" t="s">
        <v>193</v>
      </c>
    </row>
    <row r="22" spans="1:68">
      <c r="A22" s="4">
        <v>20068852602</v>
      </c>
      <c r="B22" s="4" t="s">
        <v>427</v>
      </c>
      <c r="C22" s="1" t="s">
        <v>36</v>
      </c>
      <c r="D22" s="5" t="str">
        <f t="shared" si="0"/>
        <v>1</v>
      </c>
      <c r="E22" s="5" t="str">
        <f>IFERROR(IF(VLOOKUP(A22,Base!AA:AA,1,0)&gt;0,"1","0"),"0")</f>
        <v>1</v>
      </c>
      <c r="F22" s="5" t="str">
        <f t="shared" si="1"/>
        <v>-</v>
      </c>
      <c r="G22" s="5" t="str">
        <f t="shared" si="2"/>
        <v>0</v>
      </c>
      <c r="H22" t="s">
        <v>428</v>
      </c>
      <c r="I22" t="s">
        <v>429</v>
      </c>
      <c r="K22" t="s">
        <v>207</v>
      </c>
      <c r="L22" t="s">
        <v>430</v>
      </c>
      <c r="M22" t="s">
        <v>431</v>
      </c>
      <c r="N22" t="s">
        <v>432</v>
      </c>
      <c r="O22" t="s">
        <v>177</v>
      </c>
      <c r="P22" t="s">
        <v>179</v>
      </c>
      <c r="Q22" t="s">
        <v>179</v>
      </c>
      <c r="R22" t="s">
        <v>180</v>
      </c>
      <c r="S22" t="s">
        <v>181</v>
      </c>
      <c r="T22" t="s">
        <v>216</v>
      </c>
      <c r="V22" t="s">
        <v>433</v>
      </c>
      <c r="W22" t="s">
        <v>179</v>
      </c>
      <c r="X22" t="s">
        <v>185</v>
      </c>
      <c r="Z22" t="s">
        <v>186</v>
      </c>
      <c r="AA22">
        <v>5</v>
      </c>
      <c r="AC22" t="s">
        <v>186</v>
      </c>
      <c r="AD22">
        <v>5</v>
      </c>
      <c r="AF22" t="s">
        <v>186</v>
      </c>
      <c r="AG22">
        <v>5</v>
      </c>
      <c r="AI22" t="s">
        <v>434</v>
      </c>
      <c r="AK22" s="9" t="s">
        <v>189</v>
      </c>
      <c r="AL22" s="9" t="s">
        <v>189</v>
      </c>
      <c r="AM22" s="9" t="s">
        <v>189</v>
      </c>
      <c r="AN22" s="9"/>
      <c r="AO22" s="9" t="s">
        <v>309</v>
      </c>
      <c r="AP22" s="9" t="s">
        <v>179</v>
      </c>
      <c r="AQ22" s="9" t="s">
        <v>375</v>
      </c>
      <c r="AR22" s="9" t="s">
        <v>375</v>
      </c>
      <c r="AS22" s="9" t="s">
        <v>375</v>
      </c>
      <c r="AT22" s="9" t="s">
        <v>375</v>
      </c>
      <c r="AU22" s="9" t="s">
        <v>375</v>
      </c>
      <c r="AV22" s="9" t="s">
        <v>375</v>
      </c>
      <c r="AW22" s="9" t="s">
        <v>375</v>
      </c>
      <c r="AX22" s="9" t="s">
        <v>435</v>
      </c>
      <c r="AY22" s="9" t="s">
        <v>191</v>
      </c>
      <c r="AZ22" s="9" t="s">
        <v>178</v>
      </c>
      <c r="BA22" s="9"/>
      <c r="BB22" s="9" t="s">
        <v>192</v>
      </c>
      <c r="BC22" s="9"/>
      <c r="BD22" s="9"/>
      <c r="BE22" s="9" t="s">
        <v>191</v>
      </c>
      <c r="BF22" s="9" t="s">
        <v>179</v>
      </c>
      <c r="BG22" t="s">
        <v>436</v>
      </c>
      <c r="BH22">
        <v>3</v>
      </c>
      <c r="BI22">
        <v>4</v>
      </c>
      <c r="BJ22">
        <v>7</v>
      </c>
      <c r="BK22">
        <v>2</v>
      </c>
      <c r="BL22">
        <v>1</v>
      </c>
      <c r="BM22">
        <v>6</v>
      </c>
      <c r="BN22" s="9">
        <v>5</v>
      </c>
      <c r="BO22" s="9"/>
      <c r="BP22" t="s">
        <v>193</v>
      </c>
    </row>
    <row r="23" spans="1:68">
      <c r="A23" s="4">
        <v>549848560202</v>
      </c>
      <c r="B23" s="4" t="s">
        <v>437</v>
      </c>
      <c r="C23" s="1" t="s">
        <v>100</v>
      </c>
      <c r="D23" s="5" t="str">
        <f t="shared" si="0"/>
        <v>1</v>
      </c>
      <c r="E23" s="5" t="str">
        <f>IFERROR(IF(VLOOKUP(A23,Base!AA:AA,1,0)&gt;0,"1","0"),"0")</f>
        <v>1</v>
      </c>
      <c r="F23" s="5" t="str">
        <f t="shared" si="1"/>
        <v>-</v>
      </c>
      <c r="G23" s="5" t="str">
        <f t="shared" si="2"/>
        <v>0</v>
      </c>
      <c r="H23" t="s">
        <v>438</v>
      </c>
      <c r="I23" t="s">
        <v>439</v>
      </c>
      <c r="K23" t="s">
        <v>440</v>
      </c>
      <c r="L23" t="s">
        <v>441</v>
      </c>
      <c r="M23" t="s">
        <v>442</v>
      </c>
      <c r="N23" t="s">
        <v>443</v>
      </c>
      <c r="O23" t="s">
        <v>177</v>
      </c>
      <c r="P23" t="s">
        <v>179</v>
      </c>
      <c r="Q23" t="s">
        <v>179</v>
      </c>
      <c r="R23" t="s">
        <v>180</v>
      </c>
      <c r="S23" t="s">
        <v>181</v>
      </c>
      <c r="T23" t="s">
        <v>216</v>
      </c>
      <c r="V23" t="s">
        <v>444</v>
      </c>
      <c r="W23" t="s">
        <v>179</v>
      </c>
      <c r="X23" t="s">
        <v>185</v>
      </c>
      <c r="Z23" t="s">
        <v>186</v>
      </c>
      <c r="AA23">
        <v>5</v>
      </c>
      <c r="AC23" t="s">
        <v>186</v>
      </c>
      <c r="AD23">
        <v>5</v>
      </c>
      <c r="AF23" t="s">
        <v>205</v>
      </c>
      <c r="AI23" t="s">
        <v>445</v>
      </c>
      <c r="AJ23" t="s">
        <v>446</v>
      </c>
      <c r="AK23" s="9" t="s">
        <v>189</v>
      </c>
      <c r="AL23" s="9" t="s">
        <v>189</v>
      </c>
      <c r="AM23" s="9" t="s">
        <v>189</v>
      </c>
      <c r="AN23" s="9"/>
      <c r="AO23" s="9" t="s">
        <v>447</v>
      </c>
      <c r="AP23" s="9" t="s">
        <v>178</v>
      </c>
      <c r="AQ23" s="9" t="s">
        <v>254</v>
      </c>
      <c r="AR23" s="9" t="s">
        <v>254</v>
      </c>
      <c r="AS23" s="9" t="s">
        <v>254</v>
      </c>
      <c r="AT23" s="9" t="s">
        <v>254</v>
      </c>
      <c r="AU23" s="9" t="s">
        <v>254</v>
      </c>
      <c r="AV23" s="9" t="s">
        <v>254</v>
      </c>
      <c r="AW23" s="9" t="s">
        <v>254</v>
      </c>
      <c r="AX23" s="9"/>
      <c r="AY23" s="9" t="s">
        <v>192</v>
      </c>
      <c r="AZ23" s="9"/>
      <c r="BA23" s="9"/>
      <c r="BB23" s="9" t="s">
        <v>192</v>
      </c>
      <c r="BC23" s="9"/>
      <c r="BD23" s="9"/>
      <c r="BE23" s="9" t="s">
        <v>192</v>
      </c>
      <c r="BF23" s="9"/>
      <c r="BH23">
        <v>1</v>
      </c>
      <c r="BI23">
        <v>3</v>
      </c>
      <c r="BJ23">
        <v>7</v>
      </c>
      <c r="BK23">
        <v>5</v>
      </c>
      <c r="BL23">
        <v>2</v>
      </c>
      <c r="BM23">
        <v>4</v>
      </c>
      <c r="BN23" s="9">
        <v>6</v>
      </c>
      <c r="BO23" s="9"/>
      <c r="BP23" t="s">
        <v>193</v>
      </c>
    </row>
    <row r="24" spans="1:68">
      <c r="A24" s="4">
        <v>542325043802</v>
      </c>
      <c r="B24" s="4" t="s">
        <v>448</v>
      </c>
      <c r="C24" s="1" t="s">
        <v>36</v>
      </c>
      <c r="D24" s="5" t="str">
        <f t="shared" si="0"/>
        <v>1</v>
      </c>
      <c r="E24" s="5" t="str">
        <f>IFERROR(IF(VLOOKUP(A24,Base!AA:AA,1,0)&gt;0,"1","0"),"0")</f>
        <v>1</v>
      </c>
      <c r="F24" s="5" t="str">
        <f t="shared" si="1"/>
        <v>-</v>
      </c>
      <c r="G24" s="5" t="str">
        <f t="shared" si="2"/>
        <v>0</v>
      </c>
      <c r="H24" t="s">
        <v>449</v>
      </c>
      <c r="I24" t="s">
        <v>450</v>
      </c>
      <c r="K24" t="s">
        <v>451</v>
      </c>
      <c r="L24" t="s">
        <v>452</v>
      </c>
      <c r="M24" t="s">
        <v>453</v>
      </c>
      <c r="N24" t="s">
        <v>454</v>
      </c>
      <c r="O24" t="s">
        <v>201</v>
      </c>
      <c r="P24" t="s">
        <v>179</v>
      </c>
      <c r="Q24" t="s">
        <v>179</v>
      </c>
      <c r="R24" t="s">
        <v>180</v>
      </c>
      <c r="S24" t="s">
        <v>181</v>
      </c>
      <c r="T24" t="s">
        <v>455</v>
      </c>
      <c r="U24" t="s">
        <v>456</v>
      </c>
      <c r="V24" t="s">
        <v>207</v>
      </c>
      <c r="W24" t="s">
        <v>184</v>
      </c>
      <c r="X24" t="s">
        <v>185</v>
      </c>
      <c r="Y24" t="s">
        <v>457</v>
      </c>
      <c r="Z24" t="s">
        <v>186</v>
      </c>
      <c r="AA24">
        <v>5</v>
      </c>
      <c r="AB24" t="s">
        <v>324</v>
      </c>
      <c r="AC24" t="s">
        <v>186</v>
      </c>
      <c r="AD24">
        <v>5</v>
      </c>
      <c r="AE24" t="s">
        <v>324</v>
      </c>
      <c r="AF24" t="s">
        <v>186</v>
      </c>
      <c r="AG24">
        <v>5</v>
      </c>
      <c r="AH24" t="s">
        <v>458</v>
      </c>
      <c r="AI24" t="s">
        <v>459</v>
      </c>
      <c r="AJ24" t="s">
        <v>460</v>
      </c>
      <c r="AK24" s="9" t="s">
        <v>189</v>
      </c>
      <c r="AL24" s="9" t="s">
        <v>189</v>
      </c>
      <c r="AM24" s="9" t="s">
        <v>189</v>
      </c>
      <c r="AN24" s="9"/>
      <c r="AO24" s="9" t="s">
        <v>243</v>
      </c>
      <c r="AP24" s="9" t="s">
        <v>179</v>
      </c>
      <c r="AQ24" s="9" t="s">
        <v>180</v>
      </c>
      <c r="AR24" s="9" t="s">
        <v>180</v>
      </c>
      <c r="AS24" s="9" t="s">
        <v>180</v>
      </c>
      <c r="AT24" s="9" t="s">
        <v>180</v>
      </c>
      <c r="AU24" s="9" t="s">
        <v>180</v>
      </c>
      <c r="AV24" s="9" t="s">
        <v>180</v>
      </c>
      <c r="AW24" s="9" t="s">
        <v>180</v>
      </c>
      <c r="AX24" s="9"/>
      <c r="AY24" s="9" t="s">
        <v>191</v>
      </c>
      <c r="AZ24" s="9" t="s">
        <v>179</v>
      </c>
      <c r="BA24" s="9"/>
      <c r="BB24" s="9" t="s">
        <v>192</v>
      </c>
      <c r="BC24" s="9"/>
      <c r="BD24" s="9"/>
      <c r="BE24" s="9" t="s">
        <v>192</v>
      </c>
      <c r="BF24" s="9"/>
      <c r="BH24">
        <v>4</v>
      </c>
      <c r="BI24">
        <v>6</v>
      </c>
      <c r="BJ24">
        <v>7</v>
      </c>
      <c r="BK24">
        <v>2</v>
      </c>
      <c r="BL24">
        <v>5</v>
      </c>
      <c r="BM24">
        <v>1</v>
      </c>
      <c r="BN24" s="9">
        <v>3</v>
      </c>
      <c r="BO24" s="9"/>
      <c r="BP24" t="s">
        <v>193</v>
      </c>
    </row>
    <row r="25" spans="1:68">
      <c r="A25" s="4">
        <v>56744200802</v>
      </c>
      <c r="B25" s="4" t="s">
        <v>461</v>
      </c>
      <c r="C25" s="1" t="s">
        <v>245</v>
      </c>
      <c r="D25" s="5" t="str">
        <f t="shared" si="0"/>
        <v>0</v>
      </c>
      <c r="E25" s="5" t="str">
        <f>IFERROR(IF(VLOOKUP(A25,Base!AA:AA,1,0)&gt;0,"1","0"),"0")</f>
        <v>0</v>
      </c>
      <c r="F25" s="5" t="str">
        <f t="shared" si="1"/>
        <v>-</v>
      </c>
      <c r="G25" s="5" t="str">
        <f t="shared" si="2"/>
        <v>0</v>
      </c>
      <c r="H25" t="s">
        <v>462</v>
      </c>
      <c r="I25" t="s">
        <v>463</v>
      </c>
      <c r="K25" t="s">
        <v>464</v>
      </c>
      <c r="L25" t="s">
        <v>465</v>
      </c>
      <c r="M25" t="s">
        <v>466</v>
      </c>
      <c r="N25" t="s">
        <v>467</v>
      </c>
      <c r="O25" t="s">
        <v>201</v>
      </c>
      <c r="P25" t="s">
        <v>179</v>
      </c>
      <c r="Q25" t="s">
        <v>179</v>
      </c>
      <c r="R25" t="s">
        <v>254</v>
      </c>
      <c r="S25" t="s">
        <v>181</v>
      </c>
      <c r="T25" t="s">
        <v>468</v>
      </c>
      <c r="V25" t="s">
        <v>469</v>
      </c>
      <c r="W25" t="s">
        <v>179</v>
      </c>
      <c r="X25" t="s">
        <v>185</v>
      </c>
      <c r="Z25" t="s">
        <v>186</v>
      </c>
      <c r="AA25">
        <v>4</v>
      </c>
      <c r="AC25" t="s">
        <v>205</v>
      </c>
      <c r="AF25" t="s">
        <v>205</v>
      </c>
      <c r="AI25" t="s">
        <v>470</v>
      </c>
      <c r="AJ25" t="s">
        <v>471</v>
      </c>
      <c r="AK25" s="9" t="s">
        <v>188</v>
      </c>
      <c r="AL25" s="9" t="s">
        <v>188</v>
      </c>
      <c r="AM25" s="9" t="s">
        <v>188</v>
      </c>
      <c r="AN25" s="9"/>
      <c r="AO25" s="9" t="s">
        <v>472</v>
      </c>
      <c r="AP25" s="9" t="s">
        <v>178</v>
      </c>
      <c r="AQ25" s="9" t="s">
        <v>355</v>
      </c>
      <c r="AR25" s="9" t="s">
        <v>355</v>
      </c>
      <c r="AS25" s="9" t="s">
        <v>355</v>
      </c>
      <c r="AT25" s="9" t="s">
        <v>355</v>
      </c>
      <c r="AU25" s="9" t="s">
        <v>254</v>
      </c>
      <c r="AV25" s="9" t="s">
        <v>355</v>
      </c>
      <c r="AW25" s="9" t="s">
        <v>254</v>
      </c>
      <c r="AX25" s="9"/>
      <c r="AY25" s="9" t="s">
        <v>192</v>
      </c>
      <c r="AZ25" s="9"/>
      <c r="BA25" s="9"/>
      <c r="BB25" s="9" t="s">
        <v>192</v>
      </c>
      <c r="BC25" s="9"/>
      <c r="BD25" s="9"/>
      <c r="BE25" s="9" t="s">
        <v>191</v>
      </c>
      <c r="BF25" s="9" t="s">
        <v>178</v>
      </c>
      <c r="BH25">
        <v>6</v>
      </c>
      <c r="BI25">
        <v>5</v>
      </c>
      <c r="BJ25">
        <v>7</v>
      </c>
      <c r="BK25">
        <v>4</v>
      </c>
      <c r="BL25">
        <v>2</v>
      </c>
      <c r="BM25">
        <v>3</v>
      </c>
      <c r="BN25" s="9">
        <v>1</v>
      </c>
      <c r="BO25" s="9" t="s">
        <v>473</v>
      </c>
      <c r="BP25" t="s">
        <v>193</v>
      </c>
    </row>
    <row r="26" spans="1:68">
      <c r="A26" s="4">
        <v>1045128782102</v>
      </c>
      <c r="B26" s="4" t="s">
        <v>474</v>
      </c>
      <c r="C26" s="1" t="s">
        <v>37</v>
      </c>
      <c r="D26" s="5" t="str">
        <f t="shared" si="0"/>
        <v>1</v>
      </c>
      <c r="E26" s="5" t="str">
        <f>IFERROR(IF(VLOOKUP(A26,Base!AA:AA,1,0)&gt;0,"1","0"),"0")</f>
        <v>1</v>
      </c>
      <c r="F26" s="5" t="str">
        <f t="shared" si="1"/>
        <v>1</v>
      </c>
      <c r="G26" s="5" t="str">
        <f t="shared" si="2"/>
        <v>1</v>
      </c>
      <c r="H26" t="s">
        <v>475</v>
      </c>
      <c r="I26" t="s">
        <v>476</v>
      </c>
      <c r="K26" t="s">
        <v>477</v>
      </c>
      <c r="L26" t="s">
        <v>478</v>
      </c>
      <c r="M26" t="s">
        <v>479</v>
      </c>
      <c r="N26" t="s">
        <v>480</v>
      </c>
      <c r="O26" t="s">
        <v>201</v>
      </c>
      <c r="P26" t="s">
        <v>179</v>
      </c>
      <c r="Q26" t="s">
        <v>179</v>
      </c>
      <c r="R26" t="s">
        <v>180</v>
      </c>
      <c r="S26" t="s">
        <v>181</v>
      </c>
      <c r="T26" t="s">
        <v>481</v>
      </c>
      <c r="V26" t="s">
        <v>269</v>
      </c>
      <c r="W26" t="s">
        <v>179</v>
      </c>
      <c r="X26" t="s">
        <v>185</v>
      </c>
      <c r="Z26" t="s">
        <v>186</v>
      </c>
      <c r="AA26">
        <v>5</v>
      </c>
      <c r="AC26" t="s">
        <v>186</v>
      </c>
      <c r="AD26">
        <v>5</v>
      </c>
      <c r="AF26" t="s">
        <v>205</v>
      </c>
      <c r="AI26" t="s">
        <v>482</v>
      </c>
      <c r="AK26" s="9" t="s">
        <v>189</v>
      </c>
      <c r="AL26" s="9" t="s">
        <v>189</v>
      </c>
      <c r="AM26" s="9" t="s">
        <v>252</v>
      </c>
      <c r="AN26" s="9" t="s">
        <v>483</v>
      </c>
      <c r="AO26" s="9" t="s">
        <v>484</v>
      </c>
      <c r="AP26" s="9" t="s">
        <v>178</v>
      </c>
      <c r="AQ26" s="9" t="s">
        <v>180</v>
      </c>
      <c r="AR26" s="9" t="s">
        <v>180</v>
      </c>
      <c r="AS26" s="9" t="s">
        <v>254</v>
      </c>
      <c r="AT26" s="9" t="s">
        <v>180</v>
      </c>
      <c r="AU26" s="9" t="s">
        <v>180</v>
      </c>
      <c r="AV26" s="9" t="s">
        <v>180</v>
      </c>
      <c r="AW26" s="9" t="s">
        <v>180</v>
      </c>
      <c r="AX26" s="9"/>
      <c r="AY26" s="9" t="s">
        <v>191</v>
      </c>
      <c r="AZ26" s="9" t="s">
        <v>179</v>
      </c>
      <c r="BA26" s="9" t="s">
        <v>485</v>
      </c>
      <c r="BB26" s="9" t="s">
        <v>191</v>
      </c>
      <c r="BC26" s="9" t="s">
        <v>178</v>
      </c>
      <c r="BD26" s="9"/>
      <c r="BE26" s="9" t="s">
        <v>191</v>
      </c>
      <c r="BF26" s="9" t="s">
        <v>178</v>
      </c>
      <c r="BH26">
        <v>5</v>
      </c>
      <c r="BI26">
        <v>6</v>
      </c>
      <c r="BJ26">
        <v>7</v>
      </c>
      <c r="BK26">
        <v>4</v>
      </c>
      <c r="BL26">
        <v>1</v>
      </c>
      <c r="BM26">
        <v>2</v>
      </c>
      <c r="BN26" s="9">
        <v>3</v>
      </c>
      <c r="BO26" s="9"/>
      <c r="BP26" t="s">
        <v>193</v>
      </c>
    </row>
    <row r="27" spans="1:68">
      <c r="A27" s="4">
        <v>368561207102</v>
      </c>
      <c r="B27" s="4" t="s">
        <v>486</v>
      </c>
      <c r="C27" s="1" t="s">
        <v>37</v>
      </c>
      <c r="D27" s="5" t="str">
        <f t="shared" si="0"/>
        <v>1</v>
      </c>
      <c r="E27" s="5" t="str">
        <f>IFERROR(IF(VLOOKUP(A27,Base!AA:AA,1,0)&gt;0,"1","0"),"0")</f>
        <v>0</v>
      </c>
      <c r="F27" s="5" t="str">
        <f t="shared" si="1"/>
        <v>-</v>
      </c>
      <c r="G27" s="5" t="str">
        <f t="shared" si="2"/>
        <v>1</v>
      </c>
      <c r="H27" t="s">
        <v>487</v>
      </c>
      <c r="I27" t="s">
        <v>488</v>
      </c>
      <c r="K27" t="s">
        <v>486</v>
      </c>
      <c r="L27" t="s">
        <v>489</v>
      </c>
      <c r="M27" t="s">
        <v>490</v>
      </c>
      <c r="N27" t="s">
        <v>491</v>
      </c>
      <c r="O27" t="s">
        <v>215</v>
      </c>
      <c r="P27" t="s">
        <v>178</v>
      </c>
      <c r="Q27" t="s">
        <v>179</v>
      </c>
      <c r="R27" t="s">
        <v>180</v>
      </c>
      <c r="S27" t="s">
        <v>202</v>
      </c>
      <c r="T27" t="s">
        <v>216</v>
      </c>
      <c r="U27" t="s">
        <v>492</v>
      </c>
      <c r="V27" t="s">
        <v>493</v>
      </c>
      <c r="W27" t="s">
        <v>179</v>
      </c>
      <c r="X27" t="s">
        <v>185</v>
      </c>
      <c r="Y27" t="s">
        <v>494</v>
      </c>
      <c r="Z27" t="s">
        <v>186</v>
      </c>
      <c r="AA27">
        <v>3</v>
      </c>
      <c r="AC27" t="s">
        <v>186</v>
      </c>
      <c r="AD27">
        <v>3</v>
      </c>
      <c r="AF27" t="s">
        <v>186</v>
      </c>
      <c r="AG27">
        <v>4</v>
      </c>
      <c r="AH27" t="s">
        <v>495</v>
      </c>
      <c r="AI27" t="s">
        <v>496</v>
      </c>
      <c r="AK27" s="9" t="s">
        <v>189</v>
      </c>
      <c r="AL27" s="9" t="s">
        <v>189</v>
      </c>
      <c r="AM27" s="9" t="s">
        <v>189</v>
      </c>
      <c r="AN27" s="9" t="s">
        <v>497</v>
      </c>
      <c r="AO27" s="9" t="s">
        <v>498</v>
      </c>
      <c r="AP27" s="9" t="s">
        <v>179</v>
      </c>
      <c r="AQ27" s="9" t="s">
        <v>375</v>
      </c>
      <c r="AR27" s="9" t="s">
        <v>375</v>
      </c>
      <c r="AS27" s="9" t="s">
        <v>375</v>
      </c>
      <c r="AT27" s="9" t="s">
        <v>375</v>
      </c>
      <c r="AU27" s="9" t="s">
        <v>375</v>
      </c>
      <c r="AV27" s="9" t="s">
        <v>375</v>
      </c>
      <c r="AW27" s="9" t="s">
        <v>375</v>
      </c>
      <c r="AX27" s="9" t="s">
        <v>497</v>
      </c>
      <c r="AY27" s="9" t="s">
        <v>191</v>
      </c>
      <c r="AZ27" s="9" t="s">
        <v>179</v>
      </c>
      <c r="BA27" s="9" t="s">
        <v>497</v>
      </c>
      <c r="BB27" s="9" t="s">
        <v>191</v>
      </c>
      <c r="BC27" s="9" t="s">
        <v>179</v>
      </c>
      <c r="BD27" s="9" t="s">
        <v>497</v>
      </c>
      <c r="BE27" s="9" t="s">
        <v>191</v>
      </c>
      <c r="BF27" s="9" t="s">
        <v>179</v>
      </c>
      <c r="BG27" t="s">
        <v>497</v>
      </c>
      <c r="BH27">
        <v>5</v>
      </c>
      <c r="BI27">
        <v>6</v>
      </c>
      <c r="BJ27">
        <v>7</v>
      </c>
      <c r="BK27">
        <v>1</v>
      </c>
      <c r="BL27">
        <v>3</v>
      </c>
      <c r="BM27">
        <v>2</v>
      </c>
      <c r="BN27" s="9">
        <v>4</v>
      </c>
      <c r="BO27" s="9" t="s">
        <v>497</v>
      </c>
      <c r="BP27" t="s">
        <v>193</v>
      </c>
    </row>
    <row r="28" spans="1:68">
      <c r="A28" s="4">
        <v>188325185102</v>
      </c>
      <c r="B28" s="4" t="s">
        <v>499</v>
      </c>
      <c r="C28" s="1" t="s">
        <v>245</v>
      </c>
      <c r="D28" s="5" t="str">
        <f t="shared" si="0"/>
        <v>0</v>
      </c>
      <c r="E28" s="5" t="str">
        <f>IFERROR(IF(VLOOKUP(A28,Base!AA:AA,1,0)&gt;0,"1","0"),"0")</f>
        <v>0</v>
      </c>
      <c r="F28" s="5" t="str">
        <f t="shared" si="1"/>
        <v>-</v>
      </c>
      <c r="G28" s="5" t="str">
        <f t="shared" si="2"/>
        <v>0</v>
      </c>
      <c r="H28" t="s">
        <v>500</v>
      </c>
      <c r="I28" t="s">
        <v>501</v>
      </c>
      <c r="K28" t="s">
        <v>499</v>
      </c>
      <c r="L28" t="s">
        <v>502</v>
      </c>
      <c r="M28" t="s">
        <v>503</v>
      </c>
      <c r="N28" t="s">
        <v>504</v>
      </c>
      <c r="O28" t="s">
        <v>215</v>
      </c>
      <c r="P28" t="s">
        <v>56</v>
      </c>
      <c r="Q28" t="s">
        <v>56</v>
      </c>
      <c r="R28" t="s">
        <v>180</v>
      </c>
      <c r="S28" t="s">
        <v>181</v>
      </c>
      <c r="T28" t="s">
        <v>216</v>
      </c>
      <c r="V28" t="s">
        <v>321</v>
      </c>
      <c r="W28" t="s">
        <v>179</v>
      </c>
      <c r="X28" t="s">
        <v>185</v>
      </c>
      <c r="Z28" t="s">
        <v>186</v>
      </c>
      <c r="AA28">
        <v>5</v>
      </c>
      <c r="AC28" t="s">
        <v>205</v>
      </c>
      <c r="AF28" t="s">
        <v>186</v>
      </c>
      <c r="AG28">
        <v>1</v>
      </c>
      <c r="AH28" t="s">
        <v>505</v>
      </c>
      <c r="AI28" t="s">
        <v>506</v>
      </c>
      <c r="AK28" s="9" t="s">
        <v>189</v>
      </c>
      <c r="AL28" s="9" t="s">
        <v>189</v>
      </c>
      <c r="AM28" s="9" t="s">
        <v>189</v>
      </c>
      <c r="AN28" s="9" t="s">
        <v>507</v>
      </c>
      <c r="AO28" s="9" t="s">
        <v>508</v>
      </c>
      <c r="AP28" s="9" t="s">
        <v>56</v>
      </c>
      <c r="AQ28" s="9" t="s">
        <v>355</v>
      </c>
      <c r="AR28" s="9" t="s">
        <v>375</v>
      </c>
      <c r="AS28" s="9" t="s">
        <v>355</v>
      </c>
      <c r="AT28" s="9" t="s">
        <v>375</v>
      </c>
      <c r="AU28" s="9" t="s">
        <v>254</v>
      </c>
      <c r="AV28" s="9" t="s">
        <v>375</v>
      </c>
      <c r="AW28" s="9" t="s">
        <v>355</v>
      </c>
      <c r="AX28" s="9" t="s">
        <v>509</v>
      </c>
      <c r="AY28" s="9" t="s">
        <v>192</v>
      </c>
      <c r="AZ28" s="9"/>
      <c r="BA28" s="9"/>
      <c r="BB28" s="9" t="s">
        <v>192</v>
      </c>
      <c r="BC28" s="9"/>
      <c r="BD28" s="9"/>
      <c r="BE28" s="9" t="s">
        <v>191</v>
      </c>
      <c r="BF28" s="9" t="s">
        <v>56</v>
      </c>
      <c r="BG28" t="s">
        <v>510</v>
      </c>
      <c r="BH28">
        <v>1</v>
      </c>
      <c r="BI28">
        <v>2</v>
      </c>
      <c r="BJ28">
        <v>6</v>
      </c>
      <c r="BK28">
        <v>3</v>
      </c>
      <c r="BL28">
        <v>5</v>
      </c>
      <c r="BM28">
        <v>4</v>
      </c>
      <c r="BN28" s="9">
        <v>7</v>
      </c>
      <c r="BO28" s="9" t="s">
        <v>511</v>
      </c>
      <c r="BP28" t="s">
        <v>193</v>
      </c>
    </row>
    <row r="29" spans="1:68">
      <c r="A29" s="4">
        <v>779493596402</v>
      </c>
      <c r="B29" s="4" t="s">
        <v>512</v>
      </c>
      <c r="C29" s="1" t="s">
        <v>245</v>
      </c>
      <c r="D29" s="5" t="str">
        <f t="shared" si="0"/>
        <v>0</v>
      </c>
      <c r="E29" s="5" t="str">
        <f>IFERROR(IF(VLOOKUP(A29,Base!AA:AA,1,0)&gt;0,"1","0"),"0")</f>
        <v>1</v>
      </c>
      <c r="F29" s="5" t="str">
        <f t="shared" si="1"/>
        <v>-</v>
      </c>
      <c r="G29" s="5" t="str">
        <f t="shared" si="2"/>
        <v>0</v>
      </c>
      <c r="H29" t="s">
        <v>513</v>
      </c>
      <c r="I29" t="s">
        <v>514</v>
      </c>
      <c r="K29" t="s">
        <v>512</v>
      </c>
      <c r="L29" t="s">
        <v>515</v>
      </c>
      <c r="M29" t="s">
        <v>516</v>
      </c>
      <c r="N29" t="s">
        <v>517</v>
      </c>
      <c r="O29" t="s">
        <v>215</v>
      </c>
      <c r="P29" t="s">
        <v>179</v>
      </c>
      <c r="Q29" t="s">
        <v>179</v>
      </c>
      <c r="R29" t="s">
        <v>180</v>
      </c>
      <c r="S29" t="s">
        <v>202</v>
      </c>
      <c r="T29" t="s">
        <v>518</v>
      </c>
      <c r="U29" t="s">
        <v>519</v>
      </c>
      <c r="V29" t="s">
        <v>472</v>
      </c>
      <c r="W29" t="s">
        <v>179</v>
      </c>
      <c r="X29" t="s">
        <v>185</v>
      </c>
      <c r="Y29" t="s">
        <v>520</v>
      </c>
      <c r="Z29" t="s">
        <v>205</v>
      </c>
      <c r="AC29" t="s">
        <v>205</v>
      </c>
      <c r="AF29" t="s">
        <v>205</v>
      </c>
      <c r="AI29" t="s">
        <v>521</v>
      </c>
      <c r="AJ29" t="s">
        <v>522</v>
      </c>
      <c r="AK29" s="9" t="s">
        <v>188</v>
      </c>
      <c r="AL29" s="9" t="s">
        <v>188</v>
      </c>
      <c r="AM29" s="9" t="s">
        <v>220</v>
      </c>
      <c r="AN29" s="9"/>
      <c r="AO29" s="9" t="s">
        <v>523</v>
      </c>
      <c r="AP29" s="9" t="s">
        <v>179</v>
      </c>
      <c r="AQ29" s="9" t="s">
        <v>254</v>
      </c>
      <c r="AR29" s="9" t="s">
        <v>254</v>
      </c>
      <c r="AS29" s="9" t="s">
        <v>254</v>
      </c>
      <c r="AT29" s="9" t="s">
        <v>254</v>
      </c>
      <c r="AU29" s="9" t="s">
        <v>254</v>
      </c>
      <c r="AV29" s="9" t="s">
        <v>254</v>
      </c>
      <c r="AW29" s="9" t="s">
        <v>254</v>
      </c>
      <c r="AX29" s="9"/>
      <c r="AY29" s="9" t="s">
        <v>192</v>
      </c>
      <c r="AZ29" s="9"/>
      <c r="BA29" s="9"/>
      <c r="BB29" s="9" t="s">
        <v>192</v>
      </c>
      <c r="BC29" s="9"/>
      <c r="BD29" s="9"/>
      <c r="BE29" s="9" t="s">
        <v>192</v>
      </c>
      <c r="BF29" s="9"/>
      <c r="BH29">
        <v>4</v>
      </c>
      <c r="BI29">
        <v>6</v>
      </c>
      <c r="BJ29">
        <v>2</v>
      </c>
      <c r="BK29">
        <v>3</v>
      </c>
      <c r="BL29">
        <v>1</v>
      </c>
      <c r="BM29">
        <v>7</v>
      </c>
      <c r="BN29" s="9">
        <v>5</v>
      </c>
      <c r="BO29" s="9"/>
      <c r="BP29" t="s">
        <v>193</v>
      </c>
    </row>
    <row r="30" spans="1:68">
      <c r="A30" s="4">
        <v>20025747402</v>
      </c>
      <c r="B30" s="4" t="s">
        <v>524</v>
      </c>
      <c r="C30" s="1" t="s">
        <v>100</v>
      </c>
      <c r="D30" s="5" t="str">
        <f t="shared" si="0"/>
        <v>1</v>
      </c>
      <c r="E30" s="5" t="str">
        <f>IFERROR(IF(VLOOKUP(A30,Base!AA:AA,1,0)&gt;0,"1","0"),"0")</f>
        <v>1</v>
      </c>
      <c r="F30" s="5" t="str">
        <f t="shared" si="1"/>
        <v>-</v>
      </c>
      <c r="G30" s="5" t="str">
        <f t="shared" si="2"/>
        <v>0</v>
      </c>
      <c r="H30" t="s">
        <v>525</v>
      </c>
      <c r="I30" t="s">
        <v>526</v>
      </c>
      <c r="K30" t="s">
        <v>527</v>
      </c>
      <c r="L30" t="s">
        <v>528</v>
      </c>
      <c r="M30" t="s">
        <v>529</v>
      </c>
      <c r="N30" t="s">
        <v>530</v>
      </c>
      <c r="O30" t="s">
        <v>177</v>
      </c>
      <c r="P30" t="s">
        <v>178</v>
      </c>
      <c r="Q30" t="s">
        <v>178</v>
      </c>
      <c r="R30" t="s">
        <v>180</v>
      </c>
      <c r="S30" t="s">
        <v>181</v>
      </c>
      <c r="T30" t="s">
        <v>216</v>
      </c>
      <c r="U30" t="s">
        <v>531</v>
      </c>
      <c r="V30" t="s">
        <v>372</v>
      </c>
      <c r="W30" t="s">
        <v>184</v>
      </c>
      <c r="X30" t="s">
        <v>532</v>
      </c>
      <c r="Y30" t="s">
        <v>533</v>
      </c>
      <c r="Z30" t="s">
        <v>186</v>
      </c>
      <c r="AA30">
        <v>4</v>
      </c>
      <c r="AB30" t="s">
        <v>534</v>
      </c>
      <c r="AC30" t="s">
        <v>186</v>
      </c>
      <c r="AD30">
        <v>4</v>
      </c>
      <c r="AE30" t="s">
        <v>535</v>
      </c>
      <c r="AF30" t="s">
        <v>205</v>
      </c>
      <c r="AI30" t="s">
        <v>536</v>
      </c>
      <c r="AJ30" t="s">
        <v>537</v>
      </c>
      <c r="AK30" s="9" t="s">
        <v>188</v>
      </c>
      <c r="AL30" s="9" t="s">
        <v>188</v>
      </c>
      <c r="AM30" s="9" t="s">
        <v>189</v>
      </c>
      <c r="AN30" s="9" t="s">
        <v>538</v>
      </c>
      <c r="AO30" s="9" t="s">
        <v>183</v>
      </c>
      <c r="AP30" s="9" t="s">
        <v>179</v>
      </c>
      <c r="AQ30" s="9" t="s">
        <v>180</v>
      </c>
      <c r="AR30" s="9" t="s">
        <v>180</v>
      </c>
      <c r="AS30" s="9" t="s">
        <v>180</v>
      </c>
      <c r="AT30" s="9" t="s">
        <v>180</v>
      </c>
      <c r="AU30" s="9" t="s">
        <v>180</v>
      </c>
      <c r="AV30" s="9" t="s">
        <v>180</v>
      </c>
      <c r="AW30" s="9" t="s">
        <v>180</v>
      </c>
      <c r="AX30" s="9" t="s">
        <v>539</v>
      </c>
      <c r="AY30" s="9" t="s">
        <v>191</v>
      </c>
      <c r="AZ30" s="9" t="s">
        <v>178</v>
      </c>
      <c r="BA30" s="9"/>
      <c r="BB30" s="9" t="s">
        <v>192</v>
      </c>
      <c r="BC30" s="9"/>
      <c r="BD30" s="9"/>
      <c r="BE30" s="9" t="s">
        <v>192</v>
      </c>
      <c r="BF30" s="9"/>
      <c r="BH30">
        <v>1</v>
      </c>
      <c r="BI30">
        <v>4</v>
      </c>
      <c r="BJ30">
        <v>7</v>
      </c>
      <c r="BK30">
        <v>2</v>
      </c>
      <c r="BL30">
        <v>3</v>
      </c>
      <c r="BM30">
        <v>5</v>
      </c>
      <c r="BN30" s="9">
        <v>6</v>
      </c>
      <c r="BO30" s="9"/>
      <c r="BP30" t="s">
        <v>193</v>
      </c>
    </row>
    <row r="31" spans="1:68">
      <c r="A31" s="4">
        <v>24558652202</v>
      </c>
      <c r="B31" s="4" t="s">
        <v>102</v>
      </c>
      <c r="C31" s="1" t="s">
        <v>100</v>
      </c>
      <c r="D31" s="5" t="str">
        <f t="shared" si="0"/>
        <v>1</v>
      </c>
      <c r="E31" s="5" t="str">
        <f>IFERROR(IF(VLOOKUP(A31,Base!AA:AA,1,0)&gt;0,"1","0"),"0")</f>
        <v>1</v>
      </c>
      <c r="F31" s="5" t="str">
        <f t="shared" si="1"/>
        <v>-</v>
      </c>
      <c r="G31" s="5" t="str">
        <f t="shared" si="2"/>
        <v>0</v>
      </c>
      <c r="H31" t="s">
        <v>540</v>
      </c>
      <c r="I31" t="s">
        <v>541</v>
      </c>
      <c r="K31" t="s">
        <v>542</v>
      </c>
      <c r="L31">
        <v>727234475902</v>
      </c>
      <c r="M31" t="s">
        <v>543</v>
      </c>
      <c r="N31" t="s">
        <v>544</v>
      </c>
      <c r="O31" t="s">
        <v>177</v>
      </c>
      <c r="P31" t="s">
        <v>179</v>
      </c>
      <c r="Q31" t="s">
        <v>179</v>
      </c>
      <c r="R31" t="s">
        <v>180</v>
      </c>
      <c r="S31" t="s">
        <v>202</v>
      </c>
      <c r="T31" t="s">
        <v>216</v>
      </c>
      <c r="V31" t="s">
        <v>444</v>
      </c>
      <c r="W31" t="s">
        <v>179</v>
      </c>
      <c r="X31" t="s">
        <v>185</v>
      </c>
      <c r="Z31" t="s">
        <v>186</v>
      </c>
      <c r="AA31">
        <v>5</v>
      </c>
      <c r="AB31" t="s">
        <v>545</v>
      </c>
      <c r="AC31" t="s">
        <v>186</v>
      </c>
      <c r="AD31">
        <v>4</v>
      </c>
      <c r="AE31" t="s">
        <v>546</v>
      </c>
      <c r="AF31" t="s">
        <v>186</v>
      </c>
      <c r="AG31">
        <v>3</v>
      </c>
      <c r="AH31" t="s">
        <v>547</v>
      </c>
      <c r="AI31" t="s">
        <v>548</v>
      </c>
      <c r="AK31" s="9" t="s">
        <v>188</v>
      </c>
      <c r="AL31" s="9" t="s">
        <v>188</v>
      </c>
      <c r="AM31" s="9" t="s">
        <v>188</v>
      </c>
      <c r="AN31" s="9" t="s">
        <v>549</v>
      </c>
      <c r="AO31" s="9" t="s">
        <v>550</v>
      </c>
      <c r="AP31" s="9" t="s">
        <v>54</v>
      </c>
      <c r="AQ31" s="9" t="s">
        <v>355</v>
      </c>
      <c r="AR31" s="9" t="s">
        <v>355</v>
      </c>
      <c r="AS31" s="9" t="s">
        <v>355</v>
      </c>
      <c r="AT31" s="9" t="s">
        <v>355</v>
      </c>
      <c r="AU31" s="9" t="s">
        <v>355</v>
      </c>
      <c r="AV31" s="9" t="s">
        <v>355</v>
      </c>
      <c r="AW31" s="9" t="s">
        <v>355</v>
      </c>
      <c r="AX31" s="9"/>
      <c r="AY31" s="9" t="s">
        <v>192</v>
      </c>
      <c r="AZ31" s="9"/>
      <c r="BA31" s="9"/>
      <c r="BB31" s="9" t="s">
        <v>192</v>
      </c>
      <c r="BC31" s="9"/>
      <c r="BD31" s="9"/>
      <c r="BE31" s="9" t="s">
        <v>192</v>
      </c>
      <c r="BF31" s="9"/>
      <c r="BH31">
        <v>4</v>
      </c>
      <c r="BI31">
        <v>1</v>
      </c>
      <c r="BJ31">
        <v>7</v>
      </c>
      <c r="BK31">
        <v>5</v>
      </c>
      <c r="BL31">
        <v>2</v>
      </c>
      <c r="BM31">
        <v>3</v>
      </c>
      <c r="BN31" s="9">
        <v>6</v>
      </c>
      <c r="BO31" s="9"/>
      <c r="BP31" t="s">
        <v>193</v>
      </c>
    </row>
    <row r="32" spans="1:68">
      <c r="A32" s="4">
        <v>24674493302</v>
      </c>
      <c r="B32" s="4" t="s">
        <v>551</v>
      </c>
      <c r="C32" s="1" t="s">
        <v>38</v>
      </c>
      <c r="D32" s="5" t="str">
        <f t="shared" si="0"/>
        <v>1</v>
      </c>
      <c r="E32" s="5" t="str">
        <f>IFERROR(IF(VLOOKUP(A32,Base!AA:AA,1,0)&gt;0,"1","0"),"0")</f>
        <v>1</v>
      </c>
      <c r="F32" s="5" t="str">
        <f t="shared" si="1"/>
        <v>1</v>
      </c>
      <c r="G32" s="5" t="str">
        <f t="shared" si="2"/>
        <v>1</v>
      </c>
      <c r="H32" t="s">
        <v>552</v>
      </c>
      <c r="I32" t="s">
        <v>553</v>
      </c>
      <c r="K32" t="s">
        <v>554</v>
      </c>
      <c r="L32" t="s">
        <v>555</v>
      </c>
      <c r="M32" t="s">
        <v>556</v>
      </c>
      <c r="N32" t="s">
        <v>557</v>
      </c>
      <c r="O32" t="s">
        <v>201</v>
      </c>
      <c r="P32" t="s">
        <v>178</v>
      </c>
      <c r="Q32" t="s">
        <v>178</v>
      </c>
      <c r="R32" t="s">
        <v>180</v>
      </c>
      <c r="S32" t="s">
        <v>181</v>
      </c>
      <c r="T32" t="s">
        <v>216</v>
      </c>
      <c r="V32" t="s">
        <v>309</v>
      </c>
      <c r="W32" t="s">
        <v>179</v>
      </c>
      <c r="X32" t="s">
        <v>558</v>
      </c>
      <c r="Y32" t="s">
        <v>559</v>
      </c>
      <c r="Z32" t="s">
        <v>186</v>
      </c>
      <c r="AA32">
        <v>5</v>
      </c>
      <c r="AC32" t="s">
        <v>205</v>
      </c>
      <c r="AF32" t="s">
        <v>205</v>
      </c>
      <c r="AI32" t="s">
        <v>560</v>
      </c>
      <c r="AK32" s="9" t="s">
        <v>189</v>
      </c>
      <c r="AL32" s="9" t="s">
        <v>189</v>
      </c>
      <c r="AM32" s="9" t="s">
        <v>189</v>
      </c>
      <c r="AN32" s="9"/>
      <c r="AO32" s="9" t="s">
        <v>493</v>
      </c>
      <c r="AP32" s="9" t="s">
        <v>179</v>
      </c>
      <c r="AQ32" s="9" t="s">
        <v>180</v>
      </c>
      <c r="AR32" s="9" t="s">
        <v>180</v>
      </c>
      <c r="AS32" s="9" t="s">
        <v>180</v>
      </c>
      <c r="AT32" s="9" t="s">
        <v>180</v>
      </c>
      <c r="AU32" s="9" t="s">
        <v>180</v>
      </c>
      <c r="AV32" s="9" t="s">
        <v>180</v>
      </c>
      <c r="AW32" s="9" t="s">
        <v>180</v>
      </c>
      <c r="AX32" s="9"/>
      <c r="AY32" s="9" t="s">
        <v>191</v>
      </c>
      <c r="AZ32" s="9" t="s">
        <v>179</v>
      </c>
      <c r="BA32" s="9"/>
      <c r="BB32" s="9" t="s">
        <v>191</v>
      </c>
      <c r="BC32" s="9" t="s">
        <v>179</v>
      </c>
      <c r="BD32" s="9"/>
      <c r="BE32" s="9" t="s">
        <v>192</v>
      </c>
      <c r="BF32" s="9"/>
      <c r="BH32">
        <v>1</v>
      </c>
      <c r="BI32">
        <v>2</v>
      </c>
      <c r="BJ32">
        <v>3</v>
      </c>
      <c r="BK32">
        <v>4</v>
      </c>
      <c r="BL32">
        <v>5</v>
      </c>
      <c r="BM32">
        <v>6</v>
      </c>
      <c r="BN32" s="9">
        <v>7</v>
      </c>
      <c r="BO32" s="9"/>
      <c r="BP32" t="s">
        <v>193</v>
      </c>
    </row>
    <row r="33" spans="1:68">
      <c r="A33" s="4">
        <v>56875076002</v>
      </c>
      <c r="B33" s="4" t="s">
        <v>561</v>
      </c>
      <c r="C33" s="1" t="s">
        <v>245</v>
      </c>
      <c r="D33" s="5" t="str">
        <f t="shared" si="0"/>
        <v>0</v>
      </c>
      <c r="E33" s="5" t="str">
        <f>IFERROR(IF(VLOOKUP(A33,Base!AA:AA,1,0)&gt;0,"1","0"),"0")</f>
        <v>0</v>
      </c>
      <c r="F33" s="5" t="str">
        <f t="shared" si="1"/>
        <v>-</v>
      </c>
      <c r="G33" s="5" t="str">
        <f t="shared" si="2"/>
        <v>1</v>
      </c>
      <c r="H33" t="s">
        <v>562</v>
      </c>
      <c r="I33" t="s">
        <v>563</v>
      </c>
      <c r="K33" t="s">
        <v>561</v>
      </c>
      <c r="L33">
        <v>56875076002</v>
      </c>
      <c r="M33" t="s">
        <v>564</v>
      </c>
      <c r="N33" t="s">
        <v>565</v>
      </c>
      <c r="O33" t="s">
        <v>201</v>
      </c>
      <c r="P33" t="s">
        <v>54</v>
      </c>
      <c r="Q33" t="s">
        <v>178</v>
      </c>
      <c r="R33" t="s">
        <v>180</v>
      </c>
      <c r="S33" t="s">
        <v>202</v>
      </c>
      <c r="T33" t="s">
        <v>566</v>
      </c>
      <c r="U33" t="s">
        <v>567</v>
      </c>
      <c r="V33" t="s">
        <v>241</v>
      </c>
      <c r="W33" t="s">
        <v>184</v>
      </c>
      <c r="X33" t="s">
        <v>185</v>
      </c>
      <c r="Y33" t="s">
        <v>568</v>
      </c>
      <c r="Z33" t="s">
        <v>205</v>
      </c>
      <c r="AC33" t="s">
        <v>205</v>
      </c>
      <c r="AF33" t="s">
        <v>205</v>
      </c>
      <c r="AI33" t="s">
        <v>569</v>
      </c>
      <c r="AJ33" t="s">
        <v>570</v>
      </c>
      <c r="AK33" s="9" t="s">
        <v>189</v>
      </c>
      <c r="AL33" s="9" t="s">
        <v>189</v>
      </c>
      <c r="AM33" s="9" t="s">
        <v>189</v>
      </c>
      <c r="AN33" s="9" t="s">
        <v>571</v>
      </c>
      <c r="AO33" s="9" t="s">
        <v>493</v>
      </c>
      <c r="AP33" s="9" t="s">
        <v>179</v>
      </c>
      <c r="AQ33" s="9" t="s">
        <v>375</v>
      </c>
      <c r="AR33" s="9" t="s">
        <v>375</v>
      </c>
      <c r="AS33" s="9" t="s">
        <v>375</v>
      </c>
      <c r="AT33" s="9" t="s">
        <v>375</v>
      </c>
      <c r="AU33" s="9" t="s">
        <v>354</v>
      </c>
      <c r="AV33" s="9" t="s">
        <v>354</v>
      </c>
      <c r="AW33" s="9" t="s">
        <v>354</v>
      </c>
      <c r="AX33" s="9"/>
      <c r="AY33" s="9" t="s">
        <v>191</v>
      </c>
      <c r="AZ33" s="9" t="s">
        <v>178</v>
      </c>
      <c r="BA33" s="9"/>
      <c r="BB33" s="9" t="s">
        <v>191</v>
      </c>
      <c r="BC33" s="9" t="s">
        <v>178</v>
      </c>
      <c r="BD33" s="9"/>
      <c r="BE33" s="9" t="s">
        <v>191</v>
      </c>
      <c r="BF33" s="9" t="s">
        <v>54</v>
      </c>
      <c r="BG33" t="s">
        <v>572</v>
      </c>
      <c r="BH33">
        <v>1</v>
      </c>
      <c r="BI33">
        <v>4</v>
      </c>
      <c r="BJ33">
        <v>5</v>
      </c>
      <c r="BK33">
        <v>3</v>
      </c>
      <c r="BL33">
        <v>2</v>
      </c>
      <c r="BM33">
        <v>7</v>
      </c>
      <c r="BN33" s="9">
        <v>6</v>
      </c>
      <c r="BO33" s="9"/>
      <c r="BP33" t="s">
        <v>193</v>
      </c>
    </row>
    <row r="34" spans="1:68">
      <c r="A34" s="4">
        <v>22445894402</v>
      </c>
      <c r="B34" s="4" t="s">
        <v>573</v>
      </c>
      <c r="C34" s="1" t="s">
        <v>38</v>
      </c>
      <c r="D34" s="5" t="str">
        <f t="shared" si="0"/>
        <v>1</v>
      </c>
      <c r="E34" s="5" t="str">
        <f>IFERROR(IF(VLOOKUP(A34,Base!AA:AA,1,0)&gt;0,"1","0"),"0")</f>
        <v>1</v>
      </c>
      <c r="F34" s="5" t="str">
        <f t="shared" si="1"/>
        <v>1</v>
      </c>
      <c r="G34" s="5" t="str">
        <f t="shared" si="2"/>
        <v>1</v>
      </c>
      <c r="H34" t="s">
        <v>574</v>
      </c>
      <c r="I34" t="s">
        <v>575</v>
      </c>
      <c r="K34" t="s">
        <v>576</v>
      </c>
      <c r="L34" t="s">
        <v>577</v>
      </c>
      <c r="M34" t="s">
        <v>578</v>
      </c>
      <c r="N34" t="s">
        <v>579</v>
      </c>
      <c r="O34" t="s">
        <v>215</v>
      </c>
      <c r="P34" t="s">
        <v>178</v>
      </c>
      <c r="Q34" t="s">
        <v>178</v>
      </c>
      <c r="R34" t="s">
        <v>180</v>
      </c>
      <c r="S34" t="s">
        <v>181</v>
      </c>
      <c r="T34" t="s">
        <v>216</v>
      </c>
      <c r="U34" t="s">
        <v>580</v>
      </c>
      <c r="V34" t="s">
        <v>581</v>
      </c>
      <c r="W34" t="s">
        <v>179</v>
      </c>
      <c r="X34" t="s">
        <v>185</v>
      </c>
      <c r="Y34" t="s">
        <v>582</v>
      </c>
      <c r="Z34" t="s">
        <v>186</v>
      </c>
      <c r="AA34">
        <v>5</v>
      </c>
      <c r="AB34" t="s">
        <v>580</v>
      </c>
      <c r="AC34" t="s">
        <v>205</v>
      </c>
      <c r="AF34" t="s">
        <v>186</v>
      </c>
      <c r="AG34">
        <v>3</v>
      </c>
      <c r="AH34" t="s">
        <v>583</v>
      </c>
      <c r="AI34" t="s">
        <v>536</v>
      </c>
      <c r="AK34" s="9" t="s">
        <v>189</v>
      </c>
      <c r="AL34" s="9" t="s">
        <v>189</v>
      </c>
      <c r="AM34" s="9" t="s">
        <v>189</v>
      </c>
      <c r="AN34" s="9"/>
      <c r="AO34" s="9" t="s">
        <v>183</v>
      </c>
      <c r="AP34" s="9" t="s">
        <v>179</v>
      </c>
      <c r="AQ34" s="9" t="s">
        <v>375</v>
      </c>
      <c r="AR34" s="9" t="s">
        <v>375</v>
      </c>
      <c r="AS34" s="9" t="s">
        <v>375</v>
      </c>
      <c r="AT34" s="9" t="s">
        <v>375</v>
      </c>
      <c r="AU34" s="9" t="s">
        <v>375</v>
      </c>
      <c r="AV34" s="9" t="s">
        <v>375</v>
      </c>
      <c r="AW34" s="9" t="s">
        <v>375</v>
      </c>
      <c r="AX34" s="9"/>
      <c r="AY34" s="9" t="s">
        <v>191</v>
      </c>
      <c r="AZ34" s="9" t="s">
        <v>179</v>
      </c>
      <c r="BA34" s="9"/>
      <c r="BB34" s="9" t="s">
        <v>191</v>
      </c>
      <c r="BC34" s="9" t="s">
        <v>179</v>
      </c>
      <c r="BD34" s="9"/>
      <c r="BE34" s="9" t="s">
        <v>191</v>
      </c>
      <c r="BF34" s="9" t="s">
        <v>179</v>
      </c>
      <c r="BH34">
        <v>4</v>
      </c>
      <c r="BI34">
        <v>7</v>
      </c>
      <c r="BJ34">
        <v>5</v>
      </c>
      <c r="BK34">
        <v>6</v>
      </c>
      <c r="BL34">
        <v>3</v>
      </c>
      <c r="BM34">
        <v>1</v>
      </c>
      <c r="BN34" s="9">
        <v>2</v>
      </c>
      <c r="BO34" s="9"/>
      <c r="BP34" t="s">
        <v>193</v>
      </c>
    </row>
    <row r="35" spans="1:68">
      <c r="A35" s="4">
        <v>743495001802</v>
      </c>
      <c r="B35" s="4" t="s">
        <v>584</v>
      </c>
      <c r="C35" s="1" t="s">
        <v>245</v>
      </c>
      <c r="D35" s="5" t="str">
        <f t="shared" ref="D35:D66" si="3">IF(C35="","0","1")</f>
        <v>0</v>
      </c>
      <c r="E35" s="5" t="str">
        <f>IFERROR(IF(VLOOKUP(A35,Base!AA:AA,1,0)&gt;0,"1","0"),"0")</f>
        <v>0</v>
      </c>
      <c r="F35" s="5" t="str">
        <f t="shared" ref="F35:F66" si="4">IF(OR(C35="",E35="0"),"-",IF(BC35="","-",IF(OR(BC35="Muito satisfeito",BC35="Satisfeito"),"1","0")))</f>
        <v>-</v>
      </c>
      <c r="G35" s="5" t="str">
        <f t="shared" ref="G35:G66" si="5">IF(BC35="","0","1")</f>
        <v>0</v>
      </c>
      <c r="H35" t="s">
        <v>585</v>
      </c>
      <c r="I35" t="s">
        <v>586</v>
      </c>
      <c r="K35" t="s">
        <v>587</v>
      </c>
      <c r="L35" t="s">
        <v>588</v>
      </c>
      <c r="M35" t="s">
        <v>589</v>
      </c>
      <c r="N35" t="s">
        <v>590</v>
      </c>
      <c r="O35" t="s">
        <v>201</v>
      </c>
      <c r="P35" t="s">
        <v>179</v>
      </c>
      <c r="Q35" t="s">
        <v>178</v>
      </c>
      <c r="R35" t="s">
        <v>254</v>
      </c>
      <c r="S35" t="s">
        <v>202</v>
      </c>
      <c r="T35" t="s">
        <v>591</v>
      </c>
      <c r="U35" t="s">
        <v>592</v>
      </c>
      <c r="V35" t="s">
        <v>593</v>
      </c>
      <c r="W35" t="s">
        <v>594</v>
      </c>
      <c r="X35" t="s">
        <v>595</v>
      </c>
      <c r="Z35" t="s">
        <v>205</v>
      </c>
      <c r="AC35" t="s">
        <v>205</v>
      </c>
      <c r="AF35" t="s">
        <v>205</v>
      </c>
      <c r="AI35" t="s">
        <v>596</v>
      </c>
      <c r="AJ35" t="s">
        <v>597</v>
      </c>
      <c r="AK35" s="9" t="s">
        <v>189</v>
      </c>
      <c r="AL35" s="9" t="s">
        <v>189</v>
      </c>
      <c r="AM35" s="9" t="s">
        <v>188</v>
      </c>
      <c r="AN35" s="9"/>
      <c r="AO35" s="9" t="s">
        <v>493</v>
      </c>
      <c r="AP35" s="9" t="s">
        <v>179</v>
      </c>
      <c r="AQ35" s="9" t="s">
        <v>180</v>
      </c>
      <c r="AR35" s="9" t="s">
        <v>180</v>
      </c>
      <c r="AS35" s="9" t="s">
        <v>180</v>
      </c>
      <c r="AT35" s="9" t="s">
        <v>180</v>
      </c>
      <c r="AU35" s="9" t="s">
        <v>180</v>
      </c>
      <c r="AV35" s="9" t="s">
        <v>180</v>
      </c>
      <c r="AW35" s="9" t="s">
        <v>180</v>
      </c>
      <c r="AX35" s="9" t="s">
        <v>598</v>
      </c>
      <c r="AY35" s="9" t="s">
        <v>191</v>
      </c>
      <c r="AZ35" s="9" t="s">
        <v>178</v>
      </c>
      <c r="BA35" s="9"/>
      <c r="BB35" s="9" t="s">
        <v>192</v>
      </c>
      <c r="BC35" s="9"/>
      <c r="BD35" s="9"/>
      <c r="BE35" s="9" t="s">
        <v>191</v>
      </c>
      <c r="BF35" s="9" t="s">
        <v>179</v>
      </c>
      <c r="BH35">
        <v>6</v>
      </c>
      <c r="BI35">
        <v>5</v>
      </c>
      <c r="BJ35">
        <v>3</v>
      </c>
      <c r="BK35">
        <v>2</v>
      </c>
      <c r="BL35">
        <v>4</v>
      </c>
      <c r="BM35">
        <v>1</v>
      </c>
      <c r="BN35" s="9">
        <v>7</v>
      </c>
      <c r="BO35" s="9" t="s">
        <v>599</v>
      </c>
      <c r="BP35" t="s">
        <v>193</v>
      </c>
    </row>
    <row r="36" spans="1:68">
      <c r="A36" s="4">
        <v>89297765302</v>
      </c>
      <c r="B36" s="4" t="s">
        <v>600</v>
      </c>
      <c r="C36" s="1" t="s">
        <v>245</v>
      </c>
      <c r="D36" s="5" t="str">
        <f t="shared" si="3"/>
        <v>0</v>
      </c>
      <c r="E36" s="5" t="str">
        <f>IFERROR(IF(VLOOKUP(A36,Base!AA:AA,1,0)&gt;0,"1","0"),"0")</f>
        <v>0</v>
      </c>
      <c r="F36" s="5" t="str">
        <f t="shared" si="4"/>
        <v>-</v>
      </c>
      <c r="G36" s="5" t="str">
        <f t="shared" si="5"/>
        <v>0</v>
      </c>
      <c r="H36" t="s">
        <v>601</v>
      </c>
      <c r="I36" t="s">
        <v>602</v>
      </c>
      <c r="K36" t="s">
        <v>603</v>
      </c>
      <c r="L36" t="s">
        <v>604</v>
      </c>
      <c r="M36" t="s">
        <v>605</v>
      </c>
      <c r="N36" t="s">
        <v>606</v>
      </c>
      <c r="O36" t="s">
        <v>215</v>
      </c>
      <c r="P36" t="s">
        <v>178</v>
      </c>
      <c r="Q36" t="s">
        <v>178</v>
      </c>
      <c r="R36" t="s">
        <v>254</v>
      </c>
      <c r="S36" t="s">
        <v>181</v>
      </c>
      <c r="T36" t="s">
        <v>607</v>
      </c>
      <c r="U36" t="s">
        <v>608</v>
      </c>
      <c r="V36" t="s">
        <v>472</v>
      </c>
      <c r="W36" t="s">
        <v>179</v>
      </c>
      <c r="X36" t="s">
        <v>609</v>
      </c>
      <c r="Z36" t="s">
        <v>186</v>
      </c>
      <c r="AA36">
        <v>4</v>
      </c>
      <c r="AC36" t="s">
        <v>186</v>
      </c>
      <c r="AD36">
        <v>4</v>
      </c>
      <c r="AF36" t="s">
        <v>186</v>
      </c>
      <c r="AG36">
        <v>4</v>
      </c>
      <c r="AI36" t="s">
        <v>610</v>
      </c>
      <c r="AJ36" t="s">
        <v>611</v>
      </c>
      <c r="AK36" s="9" t="s">
        <v>189</v>
      </c>
      <c r="AL36" s="9" t="s">
        <v>189</v>
      </c>
      <c r="AM36" s="9" t="s">
        <v>189</v>
      </c>
      <c r="AN36" s="9" t="s">
        <v>612</v>
      </c>
      <c r="AO36" s="9" t="s">
        <v>493</v>
      </c>
      <c r="AP36" s="9" t="s">
        <v>178</v>
      </c>
      <c r="AQ36" s="9" t="s">
        <v>254</v>
      </c>
      <c r="AR36" s="9" t="s">
        <v>180</v>
      </c>
      <c r="AS36" s="9" t="s">
        <v>254</v>
      </c>
      <c r="AT36" s="9" t="s">
        <v>180</v>
      </c>
      <c r="AU36" s="9" t="s">
        <v>180</v>
      </c>
      <c r="AV36" s="9" t="s">
        <v>180</v>
      </c>
      <c r="AW36" s="9" t="s">
        <v>180</v>
      </c>
      <c r="AX36" s="9" t="s">
        <v>613</v>
      </c>
      <c r="AY36" s="9" t="s">
        <v>191</v>
      </c>
      <c r="AZ36" s="9" t="s">
        <v>178</v>
      </c>
      <c r="BA36" s="9" t="s">
        <v>614</v>
      </c>
      <c r="BB36" s="9" t="s">
        <v>192</v>
      </c>
      <c r="BC36" s="9"/>
      <c r="BD36" s="9"/>
      <c r="BE36" s="9" t="s">
        <v>192</v>
      </c>
      <c r="BF36" s="9"/>
      <c r="BH36">
        <v>4</v>
      </c>
      <c r="BI36">
        <v>6</v>
      </c>
      <c r="BJ36">
        <v>5</v>
      </c>
      <c r="BK36">
        <v>1</v>
      </c>
      <c r="BL36">
        <v>2</v>
      </c>
      <c r="BM36">
        <v>3</v>
      </c>
      <c r="BN36" s="9">
        <v>7</v>
      </c>
      <c r="BO36" s="9" t="s">
        <v>615</v>
      </c>
      <c r="BP36" t="s">
        <v>193</v>
      </c>
    </row>
    <row r="37" spans="1:68">
      <c r="A37" s="4">
        <v>1026263719202</v>
      </c>
      <c r="B37" s="4" t="s">
        <v>616</v>
      </c>
      <c r="C37" s="1" t="s">
        <v>36</v>
      </c>
      <c r="D37" s="5" t="str">
        <f t="shared" si="3"/>
        <v>1</v>
      </c>
      <c r="E37" s="5" t="str">
        <f>IFERROR(IF(VLOOKUP(A37,Base!AA:AA,1,0)&gt;0,"1","0"),"0")</f>
        <v>1</v>
      </c>
      <c r="F37" s="5" t="str">
        <f t="shared" si="4"/>
        <v>-</v>
      </c>
      <c r="G37" s="5" t="str">
        <f t="shared" si="5"/>
        <v>0</v>
      </c>
      <c r="H37" t="s">
        <v>617</v>
      </c>
      <c r="I37" t="s">
        <v>618</v>
      </c>
      <c r="K37" t="s">
        <v>619</v>
      </c>
      <c r="L37" t="s">
        <v>620</v>
      </c>
      <c r="M37" t="s">
        <v>621</v>
      </c>
      <c r="N37" t="s">
        <v>622</v>
      </c>
      <c r="O37" t="s">
        <v>201</v>
      </c>
      <c r="P37" t="s">
        <v>179</v>
      </c>
      <c r="Q37" t="s">
        <v>179</v>
      </c>
      <c r="R37" t="s">
        <v>180</v>
      </c>
      <c r="S37" t="s">
        <v>181</v>
      </c>
      <c r="T37" t="s">
        <v>216</v>
      </c>
      <c r="V37" t="s">
        <v>623</v>
      </c>
      <c r="W37" t="s">
        <v>179</v>
      </c>
      <c r="X37" t="s">
        <v>185</v>
      </c>
      <c r="Z37" t="s">
        <v>205</v>
      </c>
      <c r="AC37" t="s">
        <v>186</v>
      </c>
      <c r="AD37">
        <v>5</v>
      </c>
      <c r="AF37" t="s">
        <v>205</v>
      </c>
      <c r="AI37" t="s">
        <v>624</v>
      </c>
      <c r="AK37" s="9" t="s">
        <v>189</v>
      </c>
      <c r="AL37" s="9" t="s">
        <v>189</v>
      </c>
      <c r="AM37" s="9" t="s">
        <v>188</v>
      </c>
      <c r="AN37" s="9" t="s">
        <v>625</v>
      </c>
      <c r="AO37" s="9" t="s">
        <v>207</v>
      </c>
      <c r="AP37" s="9" t="s">
        <v>178</v>
      </c>
      <c r="AQ37" s="9" t="s">
        <v>180</v>
      </c>
      <c r="AR37" s="9" t="s">
        <v>180</v>
      </c>
      <c r="AS37" s="9" t="s">
        <v>180</v>
      </c>
      <c r="AT37" s="9" t="s">
        <v>180</v>
      </c>
      <c r="AU37" s="9" t="s">
        <v>254</v>
      </c>
      <c r="AV37" s="9" t="s">
        <v>254</v>
      </c>
      <c r="AW37" s="9" t="s">
        <v>180</v>
      </c>
      <c r="AX37" s="9" t="s">
        <v>626</v>
      </c>
      <c r="AY37" s="9" t="s">
        <v>191</v>
      </c>
      <c r="AZ37" s="9" t="s">
        <v>178</v>
      </c>
      <c r="BA37" s="9" t="s">
        <v>627</v>
      </c>
      <c r="BB37" s="9" t="s">
        <v>192</v>
      </c>
      <c r="BC37" s="9"/>
      <c r="BD37" s="9"/>
      <c r="BE37" s="9" t="s">
        <v>192</v>
      </c>
      <c r="BF37" s="9"/>
      <c r="BH37">
        <v>4</v>
      </c>
      <c r="BI37">
        <v>3</v>
      </c>
      <c r="BJ37">
        <v>7</v>
      </c>
      <c r="BK37">
        <v>5</v>
      </c>
      <c r="BL37">
        <v>2</v>
      </c>
      <c r="BM37">
        <v>1</v>
      </c>
      <c r="BN37" s="9">
        <v>6</v>
      </c>
      <c r="BO37" s="9"/>
      <c r="BP37" t="s">
        <v>193</v>
      </c>
    </row>
    <row r="38" spans="1:68">
      <c r="A38" s="4">
        <v>241419664602</v>
      </c>
      <c r="B38" s="4" t="s">
        <v>628</v>
      </c>
      <c r="C38" s="1" t="s">
        <v>36</v>
      </c>
      <c r="D38" s="5" t="str">
        <f t="shared" si="3"/>
        <v>1</v>
      </c>
      <c r="E38" s="5" t="str">
        <f>IFERROR(IF(VLOOKUP(A38,Base!AA:AA,1,0)&gt;0,"1","0"),"0")</f>
        <v>1</v>
      </c>
      <c r="F38" s="5" t="str">
        <f t="shared" si="4"/>
        <v>0</v>
      </c>
      <c r="G38" s="5" t="str">
        <f t="shared" si="5"/>
        <v>1</v>
      </c>
      <c r="H38" t="s">
        <v>629</v>
      </c>
      <c r="I38" t="s">
        <v>630</v>
      </c>
      <c r="K38" t="s">
        <v>631</v>
      </c>
      <c r="L38" t="s">
        <v>632</v>
      </c>
      <c r="M38" t="s">
        <v>633</v>
      </c>
      <c r="N38" t="s">
        <v>634</v>
      </c>
      <c r="O38" t="s">
        <v>201</v>
      </c>
      <c r="P38" t="s">
        <v>179</v>
      </c>
      <c r="Q38" t="s">
        <v>179</v>
      </c>
      <c r="R38" t="s">
        <v>180</v>
      </c>
      <c r="S38" t="s">
        <v>181</v>
      </c>
      <c r="T38" t="s">
        <v>216</v>
      </c>
      <c r="U38" t="s">
        <v>635</v>
      </c>
      <c r="V38" t="s">
        <v>623</v>
      </c>
      <c r="W38" t="s">
        <v>179</v>
      </c>
      <c r="X38" t="s">
        <v>185</v>
      </c>
      <c r="Y38" t="s">
        <v>636</v>
      </c>
      <c r="Z38" t="s">
        <v>186</v>
      </c>
      <c r="AA38">
        <v>5</v>
      </c>
      <c r="AB38" t="s">
        <v>637</v>
      </c>
      <c r="AC38" t="s">
        <v>186</v>
      </c>
      <c r="AD38">
        <v>5</v>
      </c>
      <c r="AF38" t="s">
        <v>186</v>
      </c>
      <c r="AG38">
        <v>4</v>
      </c>
      <c r="AH38" t="s">
        <v>638</v>
      </c>
      <c r="AI38" t="s">
        <v>639</v>
      </c>
      <c r="AJ38" t="s">
        <v>640</v>
      </c>
      <c r="AK38" s="9" t="s">
        <v>188</v>
      </c>
      <c r="AL38" s="9" t="s">
        <v>188</v>
      </c>
      <c r="AM38" s="9" t="s">
        <v>188</v>
      </c>
      <c r="AN38" s="9" t="s">
        <v>641</v>
      </c>
      <c r="AO38" s="9" t="s">
        <v>311</v>
      </c>
      <c r="AP38" s="9" t="s">
        <v>178</v>
      </c>
      <c r="AQ38" s="9" t="s">
        <v>254</v>
      </c>
      <c r="AR38" s="9" t="s">
        <v>254</v>
      </c>
      <c r="AS38" s="9" t="s">
        <v>180</v>
      </c>
      <c r="AT38" s="9" t="s">
        <v>180</v>
      </c>
      <c r="AU38" s="9" t="s">
        <v>180</v>
      </c>
      <c r="AV38" s="9" t="s">
        <v>180</v>
      </c>
      <c r="AW38" s="9" t="s">
        <v>180</v>
      </c>
      <c r="AX38" s="9" t="s">
        <v>642</v>
      </c>
      <c r="AY38" s="9" t="s">
        <v>192</v>
      </c>
      <c r="AZ38" s="9"/>
      <c r="BA38" s="9"/>
      <c r="BB38" s="9" t="s">
        <v>191</v>
      </c>
      <c r="BC38" s="9" t="s">
        <v>54</v>
      </c>
      <c r="BD38" s="9" t="s">
        <v>643</v>
      </c>
      <c r="BE38" s="9" t="s">
        <v>192</v>
      </c>
      <c r="BF38" s="9"/>
      <c r="BH38">
        <v>3</v>
      </c>
      <c r="BI38">
        <v>6</v>
      </c>
      <c r="BJ38">
        <v>7</v>
      </c>
      <c r="BK38">
        <v>5</v>
      </c>
      <c r="BL38">
        <v>2</v>
      </c>
      <c r="BM38">
        <v>1</v>
      </c>
      <c r="BN38" s="9">
        <v>4</v>
      </c>
      <c r="BO38" s="9" t="s">
        <v>644</v>
      </c>
      <c r="BP38" t="s">
        <v>193</v>
      </c>
    </row>
    <row r="39" spans="1:68">
      <c r="A39" s="4">
        <v>92771955402</v>
      </c>
      <c r="B39" s="4" t="s">
        <v>645</v>
      </c>
      <c r="C39" s="1" t="s">
        <v>39</v>
      </c>
      <c r="D39" s="5" t="str">
        <f t="shared" si="3"/>
        <v>1</v>
      </c>
      <c r="E39" s="5" t="str">
        <f>IFERROR(IF(VLOOKUP(A39,Base!AA:AA,1,0)&gt;0,"1","0"),"0")</f>
        <v>1</v>
      </c>
      <c r="F39" s="5" t="str">
        <f t="shared" si="4"/>
        <v>-</v>
      </c>
      <c r="G39" s="5" t="str">
        <f t="shared" si="5"/>
        <v>0</v>
      </c>
      <c r="H39" t="s">
        <v>646</v>
      </c>
      <c r="I39" t="s">
        <v>647</v>
      </c>
      <c r="K39" t="s">
        <v>648</v>
      </c>
      <c r="L39" t="s">
        <v>649</v>
      </c>
      <c r="M39" t="s">
        <v>650</v>
      </c>
      <c r="N39" t="s">
        <v>651</v>
      </c>
      <c r="O39" t="s">
        <v>177</v>
      </c>
      <c r="P39" t="s">
        <v>179</v>
      </c>
      <c r="Q39" t="s">
        <v>179</v>
      </c>
      <c r="R39" t="s">
        <v>180</v>
      </c>
      <c r="S39" t="s">
        <v>181</v>
      </c>
      <c r="T39" t="s">
        <v>652</v>
      </c>
      <c r="V39" t="s">
        <v>243</v>
      </c>
      <c r="W39" t="s">
        <v>179</v>
      </c>
      <c r="X39" t="s">
        <v>185</v>
      </c>
      <c r="Z39" t="s">
        <v>186</v>
      </c>
      <c r="AA39">
        <v>5</v>
      </c>
      <c r="AC39" t="s">
        <v>186</v>
      </c>
      <c r="AD39">
        <v>5</v>
      </c>
      <c r="AF39" t="s">
        <v>186</v>
      </c>
      <c r="AG39">
        <v>5</v>
      </c>
      <c r="AI39" t="s">
        <v>653</v>
      </c>
      <c r="AK39" s="9" t="s">
        <v>189</v>
      </c>
      <c r="AL39" s="9" t="s">
        <v>189</v>
      </c>
      <c r="AM39" s="9" t="s">
        <v>189</v>
      </c>
      <c r="AN39" s="9" t="s">
        <v>654</v>
      </c>
      <c r="AO39" s="9" t="s">
        <v>243</v>
      </c>
      <c r="AP39" s="9" t="s">
        <v>179</v>
      </c>
      <c r="AQ39" s="9" t="s">
        <v>180</v>
      </c>
      <c r="AR39" s="9" t="s">
        <v>180</v>
      </c>
      <c r="AS39" s="9" t="s">
        <v>180</v>
      </c>
      <c r="AT39" s="9" t="s">
        <v>180</v>
      </c>
      <c r="AU39" s="9" t="s">
        <v>180</v>
      </c>
      <c r="AV39" s="9" t="s">
        <v>180</v>
      </c>
      <c r="AW39" s="9" t="s">
        <v>180</v>
      </c>
      <c r="AX39" s="9" t="s">
        <v>655</v>
      </c>
      <c r="AY39" s="9" t="s">
        <v>191</v>
      </c>
      <c r="AZ39" s="9" t="s">
        <v>179</v>
      </c>
      <c r="BA39" s="9" t="s">
        <v>656</v>
      </c>
      <c r="BB39" s="9" t="s">
        <v>192</v>
      </c>
      <c r="BC39" s="9"/>
      <c r="BD39" s="9"/>
      <c r="BE39" s="9" t="s">
        <v>192</v>
      </c>
      <c r="BF39" s="9"/>
      <c r="BH39">
        <v>2</v>
      </c>
      <c r="BI39">
        <v>7</v>
      </c>
      <c r="BJ39">
        <v>5</v>
      </c>
      <c r="BK39">
        <v>3</v>
      </c>
      <c r="BL39">
        <v>1</v>
      </c>
      <c r="BM39">
        <v>4</v>
      </c>
      <c r="BN39" s="9">
        <v>6</v>
      </c>
      <c r="BO39" s="9" t="s">
        <v>657</v>
      </c>
      <c r="BP39" t="s">
        <v>193</v>
      </c>
    </row>
    <row r="40" spans="1:68">
      <c r="A40" s="4">
        <v>453606604502</v>
      </c>
      <c r="B40" s="4" t="s">
        <v>658</v>
      </c>
      <c r="C40" s="1" t="s">
        <v>38</v>
      </c>
      <c r="D40" s="5" t="str">
        <f t="shared" si="3"/>
        <v>1</v>
      </c>
      <c r="E40" s="5" t="str">
        <f>IFERROR(IF(VLOOKUP(A40,Base!AA:AA,1,0)&gt;0,"1","0"),"0")</f>
        <v>0</v>
      </c>
      <c r="F40" s="5" t="str">
        <f t="shared" si="4"/>
        <v>-</v>
      </c>
      <c r="G40" s="5" t="str">
        <f t="shared" si="5"/>
        <v>1</v>
      </c>
      <c r="H40" t="s">
        <v>659</v>
      </c>
      <c r="I40" t="s">
        <v>660</v>
      </c>
      <c r="K40" t="s">
        <v>661</v>
      </c>
      <c r="L40" t="s">
        <v>662</v>
      </c>
      <c r="M40" t="s">
        <v>663</v>
      </c>
      <c r="N40" t="s">
        <v>664</v>
      </c>
      <c r="O40" t="s">
        <v>215</v>
      </c>
      <c r="P40" t="s">
        <v>179</v>
      </c>
      <c r="Q40" t="s">
        <v>179</v>
      </c>
      <c r="R40" t="s">
        <v>180</v>
      </c>
      <c r="S40" t="s">
        <v>181</v>
      </c>
      <c r="T40" t="s">
        <v>216</v>
      </c>
      <c r="V40" t="s">
        <v>266</v>
      </c>
      <c r="W40" t="s">
        <v>179</v>
      </c>
      <c r="X40" t="s">
        <v>185</v>
      </c>
      <c r="Z40" t="s">
        <v>186</v>
      </c>
      <c r="AA40">
        <v>5</v>
      </c>
      <c r="AC40" t="s">
        <v>186</v>
      </c>
      <c r="AD40">
        <v>5</v>
      </c>
      <c r="AF40" t="s">
        <v>186</v>
      </c>
      <c r="AG40">
        <v>5</v>
      </c>
      <c r="AI40" t="s">
        <v>665</v>
      </c>
      <c r="AK40" s="9" t="s">
        <v>189</v>
      </c>
      <c r="AL40" s="9" t="s">
        <v>189</v>
      </c>
      <c r="AM40" s="9" t="s">
        <v>189</v>
      </c>
      <c r="AN40" s="9"/>
      <c r="AO40" s="9" t="s">
        <v>243</v>
      </c>
      <c r="AP40" s="9" t="s">
        <v>179</v>
      </c>
      <c r="AQ40" s="9" t="s">
        <v>180</v>
      </c>
      <c r="AR40" s="9" t="s">
        <v>180</v>
      </c>
      <c r="AS40" s="9" t="s">
        <v>180</v>
      </c>
      <c r="AT40" s="9" t="s">
        <v>180</v>
      </c>
      <c r="AU40" s="9" t="s">
        <v>180</v>
      </c>
      <c r="AV40" s="9" t="s">
        <v>180</v>
      </c>
      <c r="AW40" s="9" t="s">
        <v>180</v>
      </c>
      <c r="AX40" s="9"/>
      <c r="AY40" s="9" t="s">
        <v>191</v>
      </c>
      <c r="AZ40" s="9" t="s">
        <v>179</v>
      </c>
      <c r="BA40" s="9" t="s">
        <v>666</v>
      </c>
      <c r="BB40" s="9" t="s">
        <v>191</v>
      </c>
      <c r="BC40" s="9" t="s">
        <v>55</v>
      </c>
      <c r="BD40" s="9" t="s">
        <v>667</v>
      </c>
      <c r="BE40" s="9" t="s">
        <v>191</v>
      </c>
      <c r="BF40" s="9" t="s">
        <v>178</v>
      </c>
      <c r="BH40">
        <v>6</v>
      </c>
      <c r="BI40">
        <v>2</v>
      </c>
      <c r="BJ40">
        <v>5</v>
      </c>
      <c r="BK40">
        <v>3</v>
      </c>
      <c r="BL40">
        <v>1</v>
      </c>
      <c r="BM40">
        <v>7</v>
      </c>
      <c r="BN40" s="9">
        <v>4</v>
      </c>
      <c r="BO40" s="9"/>
      <c r="BP40" t="s">
        <v>193</v>
      </c>
    </row>
    <row r="41" spans="1:68">
      <c r="A41" s="4">
        <v>125288528002</v>
      </c>
      <c r="B41" s="4" t="s">
        <v>668</v>
      </c>
      <c r="C41" s="1" t="s">
        <v>37</v>
      </c>
      <c r="D41" s="5" t="str">
        <f t="shared" si="3"/>
        <v>1</v>
      </c>
      <c r="E41" s="5" t="str">
        <f>IFERROR(IF(VLOOKUP(A41,Base!AA:AA,1,0)&gt;0,"1","0"),"0")</f>
        <v>1</v>
      </c>
      <c r="F41" s="5" t="str">
        <f t="shared" si="4"/>
        <v>1</v>
      </c>
      <c r="G41" s="5" t="str">
        <f t="shared" si="5"/>
        <v>1</v>
      </c>
      <c r="H41" t="s">
        <v>669</v>
      </c>
      <c r="I41" t="s">
        <v>670</v>
      </c>
      <c r="K41" t="s">
        <v>671</v>
      </c>
      <c r="L41" t="s">
        <v>672</v>
      </c>
      <c r="M41" t="s">
        <v>673</v>
      </c>
      <c r="N41" t="s">
        <v>674</v>
      </c>
      <c r="O41" t="s">
        <v>215</v>
      </c>
      <c r="P41" t="s">
        <v>179</v>
      </c>
      <c r="Q41" t="s">
        <v>179</v>
      </c>
      <c r="R41" t="s">
        <v>180</v>
      </c>
      <c r="S41" t="s">
        <v>181</v>
      </c>
      <c r="T41" t="s">
        <v>675</v>
      </c>
      <c r="V41" t="s">
        <v>364</v>
      </c>
      <c r="W41" t="s">
        <v>179</v>
      </c>
      <c r="X41" t="s">
        <v>185</v>
      </c>
      <c r="Z41" t="s">
        <v>186</v>
      </c>
      <c r="AA41">
        <v>4</v>
      </c>
      <c r="AC41" t="s">
        <v>186</v>
      </c>
      <c r="AD41">
        <v>4</v>
      </c>
      <c r="AF41" t="s">
        <v>186</v>
      </c>
      <c r="AG41">
        <v>5</v>
      </c>
      <c r="AI41" t="s">
        <v>676</v>
      </c>
      <c r="AJ41" t="s">
        <v>677</v>
      </c>
      <c r="AK41" t="s">
        <v>189</v>
      </c>
      <c r="AL41" t="s">
        <v>189</v>
      </c>
      <c r="AM41" t="s">
        <v>189</v>
      </c>
      <c r="AN41" t="s">
        <v>678</v>
      </c>
      <c r="AO41" t="s">
        <v>679</v>
      </c>
      <c r="AP41" t="s">
        <v>179</v>
      </c>
      <c r="AQ41" t="s">
        <v>180</v>
      </c>
      <c r="AR41" t="s">
        <v>180</v>
      </c>
      <c r="AS41" t="s">
        <v>180</v>
      </c>
      <c r="AT41" t="s">
        <v>180</v>
      </c>
      <c r="AU41" t="s">
        <v>180</v>
      </c>
      <c r="AV41" t="s">
        <v>180</v>
      </c>
      <c r="AW41" t="s">
        <v>180</v>
      </c>
      <c r="AX41" t="s">
        <v>680</v>
      </c>
      <c r="AY41" t="s">
        <v>191</v>
      </c>
      <c r="AZ41" t="s">
        <v>178</v>
      </c>
      <c r="BA41" t="s">
        <v>681</v>
      </c>
      <c r="BB41" t="s">
        <v>191</v>
      </c>
      <c r="BC41" t="s">
        <v>178</v>
      </c>
      <c r="BE41" t="s">
        <v>191</v>
      </c>
      <c r="BF41" t="s">
        <v>55</v>
      </c>
      <c r="BG41" t="s">
        <v>682</v>
      </c>
      <c r="BH41">
        <v>6</v>
      </c>
      <c r="BI41">
        <v>4</v>
      </c>
      <c r="BJ41">
        <v>7</v>
      </c>
      <c r="BK41">
        <v>3</v>
      </c>
      <c r="BL41">
        <v>1</v>
      </c>
      <c r="BM41">
        <v>2</v>
      </c>
      <c r="BN41">
        <v>5</v>
      </c>
      <c r="BP41" t="s">
        <v>193</v>
      </c>
    </row>
    <row r="42" spans="1:68">
      <c r="A42" s="4">
        <v>658814193902</v>
      </c>
      <c r="B42" s="4" t="s">
        <v>683</v>
      </c>
      <c r="C42" s="1" t="s">
        <v>100</v>
      </c>
      <c r="D42" s="5" t="str">
        <f t="shared" si="3"/>
        <v>1</v>
      </c>
      <c r="E42" s="5" t="str">
        <f>IFERROR(IF(VLOOKUP(A42,Base!AA:AA,1,0)&gt;0,"1","0"),"0")</f>
        <v>1</v>
      </c>
      <c r="F42" s="5" t="str">
        <f t="shared" si="4"/>
        <v>-</v>
      </c>
      <c r="G42" s="5" t="str">
        <f t="shared" si="5"/>
        <v>0</v>
      </c>
      <c r="H42" t="s">
        <v>684</v>
      </c>
      <c r="I42" t="s">
        <v>685</v>
      </c>
      <c r="K42" t="s">
        <v>686</v>
      </c>
      <c r="L42" t="s">
        <v>687</v>
      </c>
      <c r="M42" t="s">
        <v>688</v>
      </c>
      <c r="N42" t="s">
        <v>689</v>
      </c>
      <c r="O42" t="s">
        <v>215</v>
      </c>
      <c r="P42" t="s">
        <v>178</v>
      </c>
      <c r="Q42" t="s">
        <v>178</v>
      </c>
      <c r="R42" t="s">
        <v>180</v>
      </c>
      <c r="S42" t="s">
        <v>181</v>
      </c>
      <c r="T42" t="s">
        <v>690</v>
      </c>
      <c r="V42" t="s">
        <v>190</v>
      </c>
      <c r="W42" t="s">
        <v>179</v>
      </c>
      <c r="X42" t="s">
        <v>185</v>
      </c>
      <c r="Z42" t="s">
        <v>186</v>
      </c>
      <c r="AA42">
        <v>5</v>
      </c>
      <c r="AC42" t="s">
        <v>186</v>
      </c>
      <c r="AD42">
        <v>5</v>
      </c>
      <c r="AF42" t="s">
        <v>205</v>
      </c>
      <c r="AI42" t="s">
        <v>691</v>
      </c>
      <c r="AK42" t="s">
        <v>189</v>
      </c>
      <c r="AL42" t="s">
        <v>189</v>
      </c>
      <c r="AM42" t="s">
        <v>189</v>
      </c>
      <c r="AN42" t="s">
        <v>692</v>
      </c>
      <c r="AO42" t="s">
        <v>693</v>
      </c>
      <c r="AP42" t="s">
        <v>54</v>
      </c>
      <c r="AQ42" t="s">
        <v>355</v>
      </c>
      <c r="AR42" t="s">
        <v>355</v>
      </c>
      <c r="AS42" t="s">
        <v>355</v>
      </c>
      <c r="AT42" t="s">
        <v>355</v>
      </c>
      <c r="AU42" t="s">
        <v>355</v>
      </c>
      <c r="AV42" t="s">
        <v>355</v>
      </c>
      <c r="AW42" t="s">
        <v>355</v>
      </c>
      <c r="AX42" t="s">
        <v>694</v>
      </c>
      <c r="AY42" t="s">
        <v>192</v>
      </c>
      <c r="BB42" t="s">
        <v>192</v>
      </c>
      <c r="BE42" t="s">
        <v>192</v>
      </c>
      <c r="BH42">
        <v>4</v>
      </c>
      <c r="BI42">
        <v>3</v>
      </c>
      <c r="BJ42">
        <v>1</v>
      </c>
      <c r="BK42">
        <v>5</v>
      </c>
      <c r="BL42">
        <v>2</v>
      </c>
      <c r="BM42">
        <v>6</v>
      </c>
      <c r="BN42">
        <v>7</v>
      </c>
      <c r="BO42" t="s">
        <v>695</v>
      </c>
      <c r="BP42" t="s">
        <v>193</v>
      </c>
    </row>
    <row r="43" spans="1:68">
      <c r="A43" s="4">
        <v>25545596202</v>
      </c>
      <c r="B43" s="4" t="s">
        <v>696</v>
      </c>
      <c r="C43" s="1" t="s">
        <v>245</v>
      </c>
      <c r="D43" s="5" t="str">
        <f t="shared" si="3"/>
        <v>0</v>
      </c>
      <c r="E43" s="5" t="str">
        <f>IFERROR(IF(VLOOKUP(A43,Base!AA:AA,1,0)&gt;0,"1","0"),"0")</f>
        <v>0</v>
      </c>
      <c r="F43" s="5" t="str">
        <f t="shared" si="4"/>
        <v>-</v>
      </c>
      <c r="G43" s="5" t="str">
        <f t="shared" si="5"/>
        <v>0</v>
      </c>
      <c r="H43" t="s">
        <v>697</v>
      </c>
      <c r="I43" t="s">
        <v>698</v>
      </c>
      <c r="K43" t="s">
        <v>696</v>
      </c>
      <c r="L43" t="s">
        <v>699</v>
      </c>
      <c r="M43" t="s">
        <v>700</v>
      </c>
      <c r="N43" t="s">
        <v>701</v>
      </c>
      <c r="O43" t="s">
        <v>177</v>
      </c>
      <c r="P43" t="s">
        <v>179</v>
      </c>
      <c r="Q43" t="s">
        <v>179</v>
      </c>
      <c r="R43" t="s">
        <v>180</v>
      </c>
      <c r="S43" t="s">
        <v>181</v>
      </c>
      <c r="T43" t="s">
        <v>203</v>
      </c>
      <c r="V43" t="s">
        <v>364</v>
      </c>
      <c r="W43" t="s">
        <v>179</v>
      </c>
      <c r="X43" t="s">
        <v>185</v>
      </c>
      <c r="Z43" t="s">
        <v>205</v>
      </c>
      <c r="AC43" t="s">
        <v>205</v>
      </c>
      <c r="AF43" t="s">
        <v>186</v>
      </c>
      <c r="AG43">
        <v>4</v>
      </c>
      <c r="AI43" t="s">
        <v>702</v>
      </c>
      <c r="AK43" t="s">
        <v>188</v>
      </c>
      <c r="AL43" t="s">
        <v>188</v>
      </c>
      <c r="AM43" t="s">
        <v>252</v>
      </c>
      <c r="AN43" t="s">
        <v>703</v>
      </c>
      <c r="AO43" t="s">
        <v>704</v>
      </c>
      <c r="AP43" t="s">
        <v>178</v>
      </c>
      <c r="AQ43" t="s">
        <v>254</v>
      </c>
      <c r="AR43" t="s">
        <v>254</v>
      </c>
      <c r="AS43" t="s">
        <v>180</v>
      </c>
      <c r="AT43" t="s">
        <v>355</v>
      </c>
      <c r="AU43" t="s">
        <v>254</v>
      </c>
      <c r="AV43" t="s">
        <v>355</v>
      </c>
      <c r="AW43" t="s">
        <v>180</v>
      </c>
      <c r="AX43" t="s">
        <v>705</v>
      </c>
      <c r="AY43" t="s">
        <v>191</v>
      </c>
      <c r="AZ43" t="s">
        <v>178</v>
      </c>
      <c r="BB43" t="s">
        <v>192</v>
      </c>
      <c r="BE43" t="s">
        <v>192</v>
      </c>
      <c r="BH43">
        <v>6</v>
      </c>
      <c r="BI43">
        <v>5</v>
      </c>
      <c r="BJ43">
        <v>4</v>
      </c>
      <c r="BK43">
        <v>7</v>
      </c>
      <c r="BL43">
        <v>1</v>
      </c>
      <c r="BM43">
        <v>2</v>
      </c>
      <c r="BN43">
        <v>3</v>
      </c>
      <c r="BO43" t="s">
        <v>706</v>
      </c>
      <c r="BP43" t="s">
        <v>193</v>
      </c>
    </row>
    <row r="44" spans="1:68">
      <c r="A44" s="4">
        <v>72695582302</v>
      </c>
      <c r="B44" s="4" t="s">
        <v>707</v>
      </c>
      <c r="C44" s="1" t="s">
        <v>36</v>
      </c>
      <c r="D44" s="5" t="str">
        <f t="shared" si="3"/>
        <v>1</v>
      </c>
      <c r="E44" s="5" t="str">
        <f>IFERROR(IF(VLOOKUP(A44,Base!AA:AA,1,0)&gt;0,"1","0"),"0")</f>
        <v>1</v>
      </c>
      <c r="F44" s="5" t="str">
        <f t="shared" si="4"/>
        <v>1</v>
      </c>
      <c r="G44" s="5" t="str">
        <f t="shared" si="5"/>
        <v>1</v>
      </c>
      <c r="H44" t="s">
        <v>708</v>
      </c>
      <c r="I44" t="s">
        <v>709</v>
      </c>
      <c r="K44" t="s">
        <v>707</v>
      </c>
      <c r="L44" t="s">
        <v>710</v>
      </c>
      <c r="M44" t="s">
        <v>711</v>
      </c>
      <c r="N44" t="s">
        <v>712</v>
      </c>
      <c r="O44" t="s">
        <v>215</v>
      </c>
      <c r="P44" t="s">
        <v>178</v>
      </c>
      <c r="Q44" t="s">
        <v>178</v>
      </c>
      <c r="R44" t="s">
        <v>180</v>
      </c>
      <c r="S44" t="s">
        <v>202</v>
      </c>
      <c r="T44" t="s">
        <v>607</v>
      </c>
      <c r="U44" t="s">
        <v>713</v>
      </c>
      <c r="V44" t="s">
        <v>623</v>
      </c>
      <c r="W44" t="s">
        <v>179</v>
      </c>
      <c r="X44" t="s">
        <v>185</v>
      </c>
      <c r="Y44" t="s">
        <v>714</v>
      </c>
      <c r="Z44" t="s">
        <v>186</v>
      </c>
      <c r="AA44">
        <v>4</v>
      </c>
      <c r="AB44" t="s">
        <v>715</v>
      </c>
      <c r="AC44" t="s">
        <v>186</v>
      </c>
      <c r="AD44">
        <v>4</v>
      </c>
      <c r="AE44" t="s">
        <v>716</v>
      </c>
      <c r="AF44" t="s">
        <v>205</v>
      </c>
      <c r="AI44" t="s">
        <v>717</v>
      </c>
      <c r="AJ44" t="s">
        <v>718</v>
      </c>
      <c r="AK44" t="s">
        <v>189</v>
      </c>
      <c r="AL44" t="s">
        <v>189</v>
      </c>
      <c r="AM44" t="s">
        <v>189</v>
      </c>
      <c r="AN44" t="s">
        <v>719</v>
      </c>
      <c r="AO44" t="s">
        <v>720</v>
      </c>
      <c r="AP44" t="s">
        <v>179</v>
      </c>
      <c r="AQ44" t="s">
        <v>180</v>
      </c>
      <c r="AR44" t="s">
        <v>180</v>
      </c>
      <c r="AS44" t="s">
        <v>180</v>
      </c>
      <c r="AT44" t="s">
        <v>180</v>
      </c>
      <c r="AU44" t="s">
        <v>180</v>
      </c>
      <c r="AV44" t="s">
        <v>180</v>
      </c>
      <c r="AW44" t="s">
        <v>180</v>
      </c>
      <c r="AX44" t="s">
        <v>721</v>
      </c>
      <c r="AY44" t="s">
        <v>191</v>
      </c>
      <c r="AZ44" t="s">
        <v>179</v>
      </c>
      <c r="BA44" t="s">
        <v>722</v>
      </c>
      <c r="BB44" t="s">
        <v>191</v>
      </c>
      <c r="BC44" t="s">
        <v>178</v>
      </c>
      <c r="BD44" t="s">
        <v>723</v>
      </c>
      <c r="BE44" t="s">
        <v>191</v>
      </c>
      <c r="BF44" t="s">
        <v>178</v>
      </c>
      <c r="BG44" t="s">
        <v>724</v>
      </c>
      <c r="BH44">
        <v>3</v>
      </c>
      <c r="BI44">
        <v>5</v>
      </c>
      <c r="BJ44">
        <v>7</v>
      </c>
      <c r="BK44">
        <v>6</v>
      </c>
      <c r="BL44">
        <v>1</v>
      </c>
      <c r="BM44">
        <v>4</v>
      </c>
      <c r="BN44">
        <v>2</v>
      </c>
      <c r="BO44" t="s">
        <v>725</v>
      </c>
      <c r="BP44" t="s">
        <v>193</v>
      </c>
    </row>
    <row r="45" spans="1:68">
      <c r="A45" s="4">
        <v>1041281178802</v>
      </c>
      <c r="B45" s="4" t="s">
        <v>726</v>
      </c>
      <c r="C45" s="1" t="s">
        <v>39</v>
      </c>
      <c r="D45" s="5" t="str">
        <f t="shared" si="3"/>
        <v>1</v>
      </c>
      <c r="E45" s="5" t="str">
        <f>IFERROR(IF(VLOOKUP(A45,Base!AA:AA,1,0)&gt;0,"1","0"),"0")</f>
        <v>1</v>
      </c>
      <c r="F45" s="5" t="str">
        <f t="shared" si="4"/>
        <v>-</v>
      </c>
      <c r="G45" s="5" t="str">
        <f t="shared" si="5"/>
        <v>0</v>
      </c>
      <c r="H45" t="s">
        <v>727</v>
      </c>
      <c r="I45" t="s">
        <v>728</v>
      </c>
      <c r="K45" t="s">
        <v>729</v>
      </c>
      <c r="L45" t="s">
        <v>730</v>
      </c>
      <c r="M45" t="s">
        <v>731</v>
      </c>
      <c r="N45" t="s">
        <v>732</v>
      </c>
      <c r="O45" t="s">
        <v>215</v>
      </c>
      <c r="P45" t="s">
        <v>179</v>
      </c>
      <c r="Q45" t="s">
        <v>179</v>
      </c>
      <c r="R45" t="s">
        <v>180</v>
      </c>
      <c r="S45" t="s">
        <v>202</v>
      </c>
      <c r="T45" t="s">
        <v>216</v>
      </c>
      <c r="V45" t="s">
        <v>243</v>
      </c>
      <c r="W45" t="s">
        <v>179</v>
      </c>
      <c r="X45" t="s">
        <v>185</v>
      </c>
      <c r="Z45" t="s">
        <v>186</v>
      </c>
      <c r="AA45">
        <v>5</v>
      </c>
      <c r="AC45" t="s">
        <v>186</v>
      </c>
      <c r="AD45">
        <v>5</v>
      </c>
      <c r="AF45" t="s">
        <v>205</v>
      </c>
      <c r="AI45" t="s">
        <v>733</v>
      </c>
      <c r="AK45" t="s">
        <v>189</v>
      </c>
      <c r="AL45" t="s">
        <v>188</v>
      </c>
      <c r="AM45" t="s">
        <v>188</v>
      </c>
      <c r="AN45" t="s">
        <v>734</v>
      </c>
      <c r="AO45" t="s">
        <v>243</v>
      </c>
      <c r="AP45" t="s">
        <v>179</v>
      </c>
      <c r="AQ45" t="s">
        <v>180</v>
      </c>
      <c r="AR45" t="s">
        <v>180</v>
      </c>
      <c r="AS45" t="s">
        <v>180</v>
      </c>
      <c r="AT45" t="s">
        <v>180</v>
      </c>
      <c r="AU45" t="s">
        <v>180</v>
      </c>
      <c r="AV45" t="s">
        <v>180</v>
      </c>
      <c r="AW45" t="s">
        <v>180</v>
      </c>
      <c r="AX45" t="s">
        <v>735</v>
      </c>
      <c r="AY45" t="s">
        <v>192</v>
      </c>
      <c r="BB45" t="s">
        <v>192</v>
      </c>
      <c r="BE45" t="s">
        <v>191</v>
      </c>
      <c r="BF45" t="s">
        <v>55</v>
      </c>
      <c r="BG45" t="s">
        <v>736</v>
      </c>
      <c r="BH45">
        <v>4</v>
      </c>
      <c r="BI45">
        <v>6</v>
      </c>
      <c r="BJ45">
        <v>7</v>
      </c>
      <c r="BK45">
        <v>5</v>
      </c>
      <c r="BL45">
        <v>1</v>
      </c>
      <c r="BM45">
        <v>3</v>
      </c>
      <c r="BN45">
        <v>2</v>
      </c>
      <c r="BP45" t="s">
        <v>193</v>
      </c>
    </row>
    <row r="46" spans="1:68">
      <c r="A46" s="4">
        <v>277711423902</v>
      </c>
      <c r="B46" s="4" t="s">
        <v>737</v>
      </c>
      <c r="C46" s="1" t="s">
        <v>37</v>
      </c>
      <c r="D46" s="5" t="str">
        <f t="shared" si="3"/>
        <v>1</v>
      </c>
      <c r="E46" s="5" t="str">
        <f>IFERROR(IF(VLOOKUP(A46,Base!AA:AA,1,0)&gt;0,"1","0"),"0")</f>
        <v>1</v>
      </c>
      <c r="F46" s="5" t="str">
        <f t="shared" si="4"/>
        <v>1</v>
      </c>
      <c r="G46" s="5" t="str">
        <f t="shared" si="5"/>
        <v>1</v>
      </c>
      <c r="H46" t="s">
        <v>738</v>
      </c>
      <c r="I46" t="s">
        <v>739</v>
      </c>
      <c r="K46" t="s">
        <v>737</v>
      </c>
      <c r="L46" t="s">
        <v>740</v>
      </c>
      <c r="M46" t="s">
        <v>741</v>
      </c>
      <c r="N46" t="s">
        <v>742</v>
      </c>
      <c r="O46" t="s">
        <v>177</v>
      </c>
      <c r="P46" t="s">
        <v>179</v>
      </c>
      <c r="Q46" t="s">
        <v>179</v>
      </c>
      <c r="R46" t="s">
        <v>180</v>
      </c>
      <c r="S46" t="s">
        <v>181</v>
      </c>
      <c r="T46" t="s">
        <v>743</v>
      </c>
      <c r="V46" t="s">
        <v>389</v>
      </c>
      <c r="W46" t="s">
        <v>179</v>
      </c>
      <c r="X46" t="s">
        <v>185</v>
      </c>
      <c r="Z46" t="s">
        <v>186</v>
      </c>
      <c r="AA46">
        <v>5</v>
      </c>
      <c r="AC46" t="s">
        <v>186</v>
      </c>
      <c r="AD46">
        <v>5</v>
      </c>
      <c r="AF46" t="s">
        <v>186</v>
      </c>
      <c r="AG46">
        <v>5</v>
      </c>
      <c r="AI46" t="s">
        <v>744</v>
      </c>
      <c r="AK46" t="s">
        <v>189</v>
      </c>
      <c r="AL46" t="s">
        <v>188</v>
      </c>
      <c r="AM46" t="s">
        <v>188</v>
      </c>
      <c r="AO46" t="s">
        <v>523</v>
      </c>
      <c r="AP46" t="s">
        <v>178</v>
      </c>
      <c r="AQ46" t="s">
        <v>254</v>
      </c>
      <c r="AR46" t="s">
        <v>254</v>
      </c>
      <c r="AS46" t="s">
        <v>355</v>
      </c>
      <c r="AT46" t="s">
        <v>254</v>
      </c>
      <c r="AU46" t="s">
        <v>180</v>
      </c>
      <c r="AV46" t="s">
        <v>180</v>
      </c>
      <c r="AW46" t="s">
        <v>180</v>
      </c>
      <c r="AY46" t="s">
        <v>192</v>
      </c>
      <c r="BB46" t="s">
        <v>191</v>
      </c>
      <c r="BC46" t="s">
        <v>178</v>
      </c>
      <c r="BE46" t="s">
        <v>191</v>
      </c>
      <c r="BF46" t="s">
        <v>55</v>
      </c>
      <c r="BG46" t="s">
        <v>745</v>
      </c>
      <c r="BH46">
        <v>6</v>
      </c>
      <c r="BI46">
        <v>3</v>
      </c>
      <c r="BJ46">
        <v>5</v>
      </c>
      <c r="BK46">
        <v>4</v>
      </c>
      <c r="BL46">
        <v>1</v>
      </c>
      <c r="BM46">
        <v>2</v>
      </c>
      <c r="BN46">
        <v>7</v>
      </c>
      <c r="BP46" t="s">
        <v>193</v>
      </c>
    </row>
    <row r="47" spans="1:68">
      <c r="A47" s="4">
        <v>101837981602</v>
      </c>
      <c r="B47" s="4" t="s">
        <v>746</v>
      </c>
      <c r="C47" s="1" t="s">
        <v>37</v>
      </c>
      <c r="D47" s="5" t="str">
        <f t="shared" si="3"/>
        <v>1</v>
      </c>
      <c r="E47" s="5" t="str">
        <f>IFERROR(IF(VLOOKUP(A47,Base!AA:AA,1,0)&gt;0,"1","0"),"0")</f>
        <v>1</v>
      </c>
      <c r="F47" s="5" t="str">
        <f t="shared" si="4"/>
        <v>1</v>
      </c>
      <c r="G47" s="5" t="str">
        <f t="shared" si="5"/>
        <v>1</v>
      </c>
      <c r="H47" t="s">
        <v>747</v>
      </c>
      <c r="I47" t="s">
        <v>748</v>
      </c>
      <c r="K47" t="s">
        <v>103</v>
      </c>
      <c r="L47" t="s">
        <v>749</v>
      </c>
      <c r="M47" t="s">
        <v>750</v>
      </c>
      <c r="N47" t="s">
        <v>751</v>
      </c>
      <c r="O47" t="s">
        <v>201</v>
      </c>
      <c r="P47" t="s">
        <v>54</v>
      </c>
      <c r="Q47" t="s">
        <v>178</v>
      </c>
      <c r="R47" t="s">
        <v>254</v>
      </c>
      <c r="S47" t="s">
        <v>202</v>
      </c>
      <c r="T47" t="s">
        <v>752</v>
      </c>
      <c r="U47" t="s">
        <v>753</v>
      </c>
      <c r="V47" t="s">
        <v>472</v>
      </c>
      <c r="W47" t="s">
        <v>184</v>
      </c>
      <c r="X47" t="s">
        <v>754</v>
      </c>
      <c r="Z47" t="s">
        <v>205</v>
      </c>
      <c r="AC47" t="s">
        <v>205</v>
      </c>
      <c r="AF47" t="s">
        <v>186</v>
      </c>
      <c r="AG47">
        <v>4</v>
      </c>
      <c r="AI47" t="s">
        <v>755</v>
      </c>
      <c r="AK47" t="s">
        <v>189</v>
      </c>
      <c r="AL47" t="s">
        <v>189</v>
      </c>
      <c r="AM47" t="s">
        <v>189</v>
      </c>
      <c r="AO47" t="s">
        <v>292</v>
      </c>
      <c r="AP47" t="s">
        <v>179</v>
      </c>
      <c r="AQ47" t="s">
        <v>180</v>
      </c>
      <c r="AR47" t="s">
        <v>180</v>
      </c>
      <c r="AS47" t="s">
        <v>180</v>
      </c>
      <c r="AT47" t="s">
        <v>180</v>
      </c>
      <c r="AU47" t="s">
        <v>180</v>
      </c>
      <c r="AV47" t="s">
        <v>180</v>
      </c>
      <c r="AW47" t="s">
        <v>180</v>
      </c>
      <c r="AY47" t="s">
        <v>191</v>
      </c>
      <c r="AZ47" t="s">
        <v>179</v>
      </c>
      <c r="BB47" t="s">
        <v>191</v>
      </c>
      <c r="BC47" t="s">
        <v>178</v>
      </c>
      <c r="BE47" t="s">
        <v>191</v>
      </c>
      <c r="BF47" t="s">
        <v>178</v>
      </c>
      <c r="BH47">
        <v>1</v>
      </c>
      <c r="BI47">
        <v>2</v>
      </c>
      <c r="BJ47">
        <v>3</v>
      </c>
      <c r="BK47">
        <v>4</v>
      </c>
      <c r="BL47">
        <v>5</v>
      </c>
      <c r="BM47">
        <v>7</v>
      </c>
      <c r="BN47">
        <v>6</v>
      </c>
      <c r="BP47" t="s">
        <v>193</v>
      </c>
    </row>
    <row r="48" spans="1:68">
      <c r="A48" s="4">
        <v>136831572602</v>
      </c>
      <c r="B48" s="4" t="s">
        <v>756</v>
      </c>
      <c r="C48" s="1" t="s">
        <v>245</v>
      </c>
      <c r="D48" s="5" t="str">
        <f t="shared" si="3"/>
        <v>0</v>
      </c>
      <c r="E48" s="5" t="str">
        <f>IFERROR(IF(VLOOKUP(A48,Base!AA:AA,1,0)&gt;0,"1","0"),"0")</f>
        <v>0</v>
      </c>
      <c r="F48" s="5" t="str">
        <f t="shared" si="4"/>
        <v>-</v>
      </c>
      <c r="G48" s="5" t="str">
        <f t="shared" si="5"/>
        <v>1</v>
      </c>
      <c r="H48" t="s">
        <v>757</v>
      </c>
      <c r="I48" t="s">
        <v>758</v>
      </c>
      <c r="K48" t="s">
        <v>759</v>
      </c>
      <c r="L48" t="s">
        <v>760</v>
      </c>
      <c r="M48" t="s">
        <v>761</v>
      </c>
      <c r="N48" t="s">
        <v>762</v>
      </c>
      <c r="O48" t="s">
        <v>177</v>
      </c>
      <c r="P48" t="s">
        <v>54</v>
      </c>
      <c r="Q48" t="s">
        <v>178</v>
      </c>
      <c r="R48" t="s">
        <v>180</v>
      </c>
      <c r="S48" t="s">
        <v>202</v>
      </c>
      <c r="T48" t="s">
        <v>182</v>
      </c>
      <c r="V48" t="s">
        <v>763</v>
      </c>
      <c r="W48" t="s">
        <v>179</v>
      </c>
      <c r="X48" t="s">
        <v>764</v>
      </c>
      <c r="Y48" t="s">
        <v>765</v>
      </c>
      <c r="Z48" t="s">
        <v>186</v>
      </c>
      <c r="AA48">
        <v>4</v>
      </c>
      <c r="AC48" t="s">
        <v>205</v>
      </c>
      <c r="AF48" t="s">
        <v>205</v>
      </c>
      <c r="AI48" t="s">
        <v>766</v>
      </c>
      <c r="AK48" t="s">
        <v>189</v>
      </c>
      <c r="AL48" t="s">
        <v>189</v>
      </c>
      <c r="AM48" t="s">
        <v>189</v>
      </c>
      <c r="AO48" t="s">
        <v>767</v>
      </c>
      <c r="AP48" t="s">
        <v>179</v>
      </c>
      <c r="AQ48" t="s">
        <v>180</v>
      </c>
      <c r="AR48" t="s">
        <v>180</v>
      </c>
      <c r="AS48" t="s">
        <v>180</v>
      </c>
      <c r="AT48" t="s">
        <v>180</v>
      </c>
      <c r="AU48" t="s">
        <v>180</v>
      </c>
      <c r="AV48" t="s">
        <v>180</v>
      </c>
      <c r="AW48" t="s">
        <v>180</v>
      </c>
      <c r="AY48" t="s">
        <v>192</v>
      </c>
      <c r="BB48" t="s">
        <v>191</v>
      </c>
      <c r="BC48" t="s">
        <v>179</v>
      </c>
      <c r="BE48" t="s">
        <v>192</v>
      </c>
      <c r="BH48">
        <v>5</v>
      </c>
      <c r="BI48">
        <v>6</v>
      </c>
      <c r="BJ48">
        <v>7</v>
      </c>
      <c r="BK48">
        <v>4</v>
      </c>
      <c r="BL48">
        <v>1</v>
      </c>
      <c r="BM48">
        <v>3</v>
      </c>
      <c r="BN48">
        <v>2</v>
      </c>
      <c r="BP48" t="s">
        <v>193</v>
      </c>
    </row>
    <row r="49" spans="1:68">
      <c r="A49" s="4">
        <v>191336978502</v>
      </c>
      <c r="B49" s="4" t="s">
        <v>768</v>
      </c>
      <c r="C49" s="1" t="s">
        <v>37</v>
      </c>
      <c r="D49" s="5" t="str">
        <f t="shared" si="3"/>
        <v>1</v>
      </c>
      <c r="E49" s="5" t="str">
        <f>IFERROR(IF(VLOOKUP(A49,Base!AA:AA,1,0)&gt;0,"1","0"),"0")</f>
        <v>1</v>
      </c>
      <c r="F49" s="5" t="str">
        <f t="shared" si="4"/>
        <v>1</v>
      </c>
      <c r="G49" s="5" t="str">
        <f t="shared" si="5"/>
        <v>1</v>
      </c>
      <c r="H49" t="s">
        <v>769</v>
      </c>
      <c r="I49" t="s">
        <v>770</v>
      </c>
      <c r="K49" t="s">
        <v>768</v>
      </c>
      <c r="L49" t="s">
        <v>771</v>
      </c>
      <c r="M49" t="s">
        <v>772</v>
      </c>
      <c r="N49" t="s">
        <v>773</v>
      </c>
      <c r="O49" t="s">
        <v>201</v>
      </c>
      <c r="P49" t="s">
        <v>179</v>
      </c>
      <c r="Q49" t="s">
        <v>179</v>
      </c>
      <c r="R49" t="s">
        <v>180</v>
      </c>
      <c r="S49" t="s">
        <v>181</v>
      </c>
      <c r="T49" t="s">
        <v>216</v>
      </c>
      <c r="V49" t="s">
        <v>364</v>
      </c>
      <c r="W49" t="s">
        <v>179</v>
      </c>
      <c r="X49" t="s">
        <v>185</v>
      </c>
      <c r="Z49" t="s">
        <v>186</v>
      </c>
      <c r="AA49">
        <v>5</v>
      </c>
      <c r="AC49" t="s">
        <v>186</v>
      </c>
      <c r="AD49">
        <v>5</v>
      </c>
      <c r="AF49" t="s">
        <v>186</v>
      </c>
      <c r="AG49">
        <v>5</v>
      </c>
      <c r="AI49" t="s">
        <v>774</v>
      </c>
      <c r="AK49" t="s">
        <v>189</v>
      </c>
      <c r="AL49" t="s">
        <v>189</v>
      </c>
      <c r="AM49" t="s">
        <v>189</v>
      </c>
      <c r="AN49" t="s">
        <v>775</v>
      </c>
      <c r="AO49" t="s">
        <v>269</v>
      </c>
      <c r="AP49" t="s">
        <v>179</v>
      </c>
      <c r="AQ49" t="s">
        <v>180</v>
      </c>
      <c r="AR49" t="s">
        <v>180</v>
      </c>
      <c r="AS49" t="s">
        <v>180</v>
      </c>
      <c r="AT49" t="s">
        <v>180</v>
      </c>
      <c r="AU49" t="s">
        <v>180</v>
      </c>
      <c r="AV49" t="s">
        <v>180</v>
      </c>
      <c r="AW49" t="s">
        <v>180</v>
      </c>
      <c r="AX49" t="s">
        <v>776</v>
      </c>
      <c r="AY49" t="s">
        <v>191</v>
      </c>
      <c r="AZ49" t="s">
        <v>179</v>
      </c>
      <c r="BA49" t="s">
        <v>777</v>
      </c>
      <c r="BB49" t="s">
        <v>191</v>
      </c>
      <c r="BC49" t="s">
        <v>179</v>
      </c>
      <c r="BD49" t="s">
        <v>778</v>
      </c>
      <c r="BE49" t="s">
        <v>191</v>
      </c>
      <c r="BF49" t="s">
        <v>179</v>
      </c>
      <c r="BG49" t="s">
        <v>779</v>
      </c>
      <c r="BH49">
        <v>5</v>
      </c>
      <c r="BI49">
        <v>4</v>
      </c>
      <c r="BJ49">
        <v>6</v>
      </c>
      <c r="BK49">
        <v>7</v>
      </c>
      <c r="BL49">
        <v>1</v>
      </c>
      <c r="BM49">
        <v>3</v>
      </c>
      <c r="BN49">
        <v>2</v>
      </c>
      <c r="BO49" t="s">
        <v>780</v>
      </c>
      <c r="BP49" t="s">
        <v>193</v>
      </c>
    </row>
    <row r="50" spans="1:68">
      <c r="A50" s="4">
        <v>193343155102</v>
      </c>
      <c r="B50" s="4" t="s">
        <v>781</v>
      </c>
      <c r="C50" s="1" t="s">
        <v>100</v>
      </c>
      <c r="D50" s="5" t="str">
        <f t="shared" si="3"/>
        <v>1</v>
      </c>
      <c r="E50" s="5" t="str">
        <f>IFERROR(IF(VLOOKUP(A50,Base!AA:AA,1,0)&gt;0,"1","0"),"0")</f>
        <v>1</v>
      </c>
      <c r="F50" s="5" t="str">
        <f t="shared" si="4"/>
        <v>1</v>
      </c>
      <c r="G50" s="5" t="str">
        <f t="shared" si="5"/>
        <v>1</v>
      </c>
      <c r="H50" t="s">
        <v>782</v>
      </c>
      <c r="I50" t="s">
        <v>783</v>
      </c>
      <c r="K50" t="s">
        <v>784</v>
      </c>
      <c r="L50" t="s">
        <v>785</v>
      </c>
      <c r="M50" t="s">
        <v>786</v>
      </c>
      <c r="N50" t="s">
        <v>787</v>
      </c>
      <c r="O50" t="s">
        <v>201</v>
      </c>
      <c r="P50" t="s">
        <v>56</v>
      </c>
      <c r="Q50" t="s">
        <v>179</v>
      </c>
      <c r="R50" t="s">
        <v>180</v>
      </c>
      <c r="S50" t="s">
        <v>181</v>
      </c>
      <c r="T50" t="s">
        <v>788</v>
      </c>
      <c r="U50" t="s">
        <v>789</v>
      </c>
      <c r="V50" t="s">
        <v>790</v>
      </c>
      <c r="W50" t="s">
        <v>179</v>
      </c>
      <c r="X50" t="s">
        <v>185</v>
      </c>
      <c r="Y50" t="s">
        <v>791</v>
      </c>
      <c r="Z50" t="s">
        <v>186</v>
      </c>
      <c r="AA50">
        <v>1</v>
      </c>
      <c r="AB50" t="s">
        <v>792</v>
      </c>
      <c r="AC50" t="s">
        <v>186</v>
      </c>
      <c r="AD50">
        <v>2</v>
      </c>
      <c r="AE50" t="s">
        <v>793</v>
      </c>
      <c r="AF50" t="s">
        <v>205</v>
      </c>
      <c r="AI50" t="s">
        <v>744</v>
      </c>
      <c r="AK50" t="s">
        <v>188</v>
      </c>
      <c r="AL50" t="s">
        <v>220</v>
      </c>
      <c r="AM50" t="s">
        <v>220</v>
      </c>
      <c r="AN50" t="s">
        <v>794</v>
      </c>
      <c r="AO50" t="s">
        <v>269</v>
      </c>
      <c r="AP50" t="s">
        <v>179</v>
      </c>
      <c r="AQ50" t="s">
        <v>180</v>
      </c>
      <c r="AR50" t="s">
        <v>180</v>
      </c>
      <c r="AS50" t="s">
        <v>180</v>
      </c>
      <c r="AT50" t="s">
        <v>180</v>
      </c>
      <c r="AU50" t="s">
        <v>180</v>
      </c>
      <c r="AV50" t="s">
        <v>180</v>
      </c>
      <c r="AW50" t="s">
        <v>180</v>
      </c>
      <c r="AX50" t="s">
        <v>795</v>
      </c>
      <c r="AY50" t="s">
        <v>192</v>
      </c>
      <c r="BB50" t="s">
        <v>191</v>
      </c>
      <c r="BC50" t="s">
        <v>178</v>
      </c>
      <c r="BD50" t="s">
        <v>796</v>
      </c>
      <c r="BE50" t="s">
        <v>192</v>
      </c>
      <c r="BH50">
        <v>4</v>
      </c>
      <c r="BI50">
        <v>6</v>
      </c>
      <c r="BJ50">
        <v>3</v>
      </c>
      <c r="BK50">
        <v>2</v>
      </c>
      <c r="BL50">
        <v>1</v>
      </c>
      <c r="BM50">
        <v>5</v>
      </c>
      <c r="BN50">
        <v>7</v>
      </c>
      <c r="BO50" t="s">
        <v>797</v>
      </c>
      <c r="BP50" t="s">
        <v>193</v>
      </c>
    </row>
    <row r="51" spans="1:68">
      <c r="A51" s="4">
        <v>114045214402</v>
      </c>
      <c r="B51" s="4" t="s">
        <v>798</v>
      </c>
      <c r="C51" s="1" t="s">
        <v>245</v>
      </c>
      <c r="D51" s="5" t="str">
        <f t="shared" si="3"/>
        <v>0</v>
      </c>
      <c r="E51" s="5" t="str">
        <f>IFERROR(IF(VLOOKUP(A51,Base!AA:AA,1,0)&gt;0,"1","0"),"0")</f>
        <v>0</v>
      </c>
      <c r="F51" s="5" t="str">
        <f t="shared" si="4"/>
        <v>-</v>
      </c>
      <c r="G51" s="5" t="str">
        <f t="shared" si="5"/>
        <v>0</v>
      </c>
      <c r="H51" t="s">
        <v>799</v>
      </c>
      <c r="I51" t="s">
        <v>800</v>
      </c>
      <c r="K51" t="s">
        <v>798</v>
      </c>
      <c r="L51" t="s">
        <v>801</v>
      </c>
      <c r="M51" t="s">
        <v>802</v>
      </c>
      <c r="N51" t="s">
        <v>803</v>
      </c>
      <c r="O51" t="s">
        <v>201</v>
      </c>
      <c r="P51" t="s">
        <v>179</v>
      </c>
      <c r="Q51" t="s">
        <v>179</v>
      </c>
      <c r="R51" t="s">
        <v>254</v>
      </c>
      <c r="S51" t="s">
        <v>202</v>
      </c>
      <c r="T51" t="s">
        <v>804</v>
      </c>
      <c r="U51" t="s">
        <v>805</v>
      </c>
      <c r="V51" t="s">
        <v>364</v>
      </c>
      <c r="W51" t="s">
        <v>179</v>
      </c>
      <c r="X51" t="s">
        <v>806</v>
      </c>
      <c r="Y51" t="s">
        <v>807</v>
      </c>
      <c r="Z51" t="s">
        <v>205</v>
      </c>
      <c r="AC51" t="s">
        <v>205</v>
      </c>
      <c r="AF51" t="s">
        <v>205</v>
      </c>
      <c r="AI51" t="s">
        <v>808</v>
      </c>
      <c r="AJ51" t="s">
        <v>809</v>
      </c>
      <c r="AK51" t="s">
        <v>189</v>
      </c>
      <c r="AL51" t="s">
        <v>188</v>
      </c>
      <c r="AM51" t="s">
        <v>189</v>
      </c>
      <c r="AO51" t="s">
        <v>444</v>
      </c>
      <c r="AP51" t="s">
        <v>179</v>
      </c>
      <c r="AQ51" t="s">
        <v>180</v>
      </c>
      <c r="AR51" t="s">
        <v>180</v>
      </c>
      <c r="AS51" t="s">
        <v>254</v>
      </c>
      <c r="AT51" t="s">
        <v>180</v>
      </c>
      <c r="AU51" t="s">
        <v>180</v>
      </c>
      <c r="AV51" t="s">
        <v>180</v>
      </c>
      <c r="AW51" t="s">
        <v>180</v>
      </c>
      <c r="AY51" t="s">
        <v>191</v>
      </c>
      <c r="AZ51" t="s">
        <v>179</v>
      </c>
      <c r="BB51" t="s">
        <v>192</v>
      </c>
      <c r="BE51" t="s">
        <v>191</v>
      </c>
      <c r="BF51" t="s">
        <v>178</v>
      </c>
      <c r="BH51">
        <v>1</v>
      </c>
      <c r="BI51">
        <v>6</v>
      </c>
      <c r="BJ51">
        <v>5</v>
      </c>
      <c r="BK51">
        <v>3</v>
      </c>
      <c r="BL51">
        <v>2</v>
      </c>
      <c r="BM51">
        <v>4</v>
      </c>
      <c r="BN51">
        <v>7</v>
      </c>
      <c r="BP51" t="s">
        <v>193</v>
      </c>
    </row>
    <row r="52" spans="1:68">
      <c r="A52" s="4">
        <v>1030040901202</v>
      </c>
      <c r="B52" s="4" t="s">
        <v>810</v>
      </c>
      <c r="C52" s="1" t="s">
        <v>37</v>
      </c>
      <c r="D52" s="5" t="str">
        <f t="shared" si="3"/>
        <v>1</v>
      </c>
      <c r="E52" s="5" t="str">
        <f>IFERROR(IF(VLOOKUP(A52,Base!AA:AA,1,0)&gt;0,"1","0"),"0")</f>
        <v>1</v>
      </c>
      <c r="F52" s="5" t="str">
        <f t="shared" si="4"/>
        <v>1</v>
      </c>
      <c r="G52" s="5" t="str">
        <f t="shared" si="5"/>
        <v>1</v>
      </c>
      <c r="H52" t="s">
        <v>811</v>
      </c>
      <c r="I52" t="s">
        <v>812</v>
      </c>
      <c r="K52" t="s">
        <v>813</v>
      </c>
      <c r="L52" t="s">
        <v>814</v>
      </c>
      <c r="M52" t="s">
        <v>815</v>
      </c>
      <c r="N52" t="s">
        <v>816</v>
      </c>
      <c r="O52" t="s">
        <v>201</v>
      </c>
      <c r="P52" t="s">
        <v>179</v>
      </c>
      <c r="Q52" t="s">
        <v>178</v>
      </c>
      <c r="R52" t="s">
        <v>180</v>
      </c>
      <c r="S52" t="s">
        <v>181</v>
      </c>
      <c r="T52" t="s">
        <v>216</v>
      </c>
      <c r="V52" t="s">
        <v>269</v>
      </c>
      <c r="W52" t="s">
        <v>179</v>
      </c>
      <c r="X52" t="s">
        <v>185</v>
      </c>
      <c r="Z52" t="s">
        <v>186</v>
      </c>
      <c r="AA52">
        <v>5</v>
      </c>
      <c r="AC52" t="s">
        <v>186</v>
      </c>
      <c r="AD52">
        <v>5</v>
      </c>
      <c r="AF52" t="s">
        <v>186</v>
      </c>
      <c r="AG52">
        <v>5</v>
      </c>
      <c r="AI52" t="s">
        <v>653</v>
      </c>
      <c r="AK52" t="s">
        <v>189</v>
      </c>
      <c r="AL52" t="s">
        <v>189</v>
      </c>
      <c r="AM52" t="s">
        <v>189</v>
      </c>
      <c r="AO52" t="s">
        <v>817</v>
      </c>
      <c r="AP52" t="s">
        <v>179</v>
      </c>
      <c r="AQ52" t="s">
        <v>375</v>
      </c>
      <c r="AR52" t="s">
        <v>375</v>
      </c>
      <c r="AS52" t="s">
        <v>375</v>
      </c>
      <c r="AT52" t="s">
        <v>375</v>
      </c>
      <c r="AU52" t="s">
        <v>375</v>
      </c>
      <c r="AV52" t="s">
        <v>375</v>
      </c>
      <c r="AW52" t="s">
        <v>375</v>
      </c>
      <c r="AX52" t="s">
        <v>818</v>
      </c>
      <c r="AY52" t="s">
        <v>191</v>
      </c>
      <c r="AZ52" t="s">
        <v>179</v>
      </c>
      <c r="BB52" t="s">
        <v>191</v>
      </c>
      <c r="BC52" t="s">
        <v>179</v>
      </c>
      <c r="BE52" t="s">
        <v>192</v>
      </c>
      <c r="BH52">
        <v>4</v>
      </c>
      <c r="BI52">
        <v>6</v>
      </c>
      <c r="BJ52">
        <v>7</v>
      </c>
      <c r="BK52">
        <v>2</v>
      </c>
      <c r="BL52">
        <v>1</v>
      </c>
      <c r="BM52">
        <v>5</v>
      </c>
      <c r="BN52">
        <v>3</v>
      </c>
      <c r="BO52" t="s">
        <v>819</v>
      </c>
      <c r="BP52" t="s">
        <v>193</v>
      </c>
    </row>
    <row r="53" spans="1:68">
      <c r="A53" s="4">
        <v>28945506502</v>
      </c>
      <c r="B53" s="4" t="s">
        <v>820</v>
      </c>
      <c r="C53" s="1" t="s">
        <v>38</v>
      </c>
      <c r="D53" s="5" t="str">
        <f t="shared" si="3"/>
        <v>1</v>
      </c>
      <c r="E53" s="5" t="str">
        <f>IFERROR(IF(VLOOKUP(A53,Base!AA:AA,1,0)&gt;0,"1","0"),"0")</f>
        <v>1</v>
      </c>
      <c r="F53" s="5" t="str">
        <f t="shared" si="4"/>
        <v>-</v>
      </c>
      <c r="G53" s="5" t="str">
        <f t="shared" si="5"/>
        <v>0</v>
      </c>
      <c r="H53" t="s">
        <v>821</v>
      </c>
      <c r="I53" t="s">
        <v>822</v>
      </c>
      <c r="K53" t="s">
        <v>820</v>
      </c>
      <c r="L53" t="s">
        <v>823</v>
      </c>
      <c r="M53" t="s">
        <v>824</v>
      </c>
      <c r="N53" t="s">
        <v>825</v>
      </c>
      <c r="O53" t="s">
        <v>201</v>
      </c>
      <c r="P53" t="s">
        <v>178</v>
      </c>
      <c r="Q53" t="s">
        <v>178</v>
      </c>
      <c r="R53" t="s">
        <v>180</v>
      </c>
      <c r="S53" t="s">
        <v>202</v>
      </c>
      <c r="T53" t="s">
        <v>607</v>
      </c>
      <c r="V53" t="s">
        <v>309</v>
      </c>
      <c r="W53" t="s">
        <v>179</v>
      </c>
      <c r="X53" t="s">
        <v>350</v>
      </c>
      <c r="Z53" t="s">
        <v>186</v>
      </c>
      <c r="AA53">
        <v>4</v>
      </c>
      <c r="AC53" t="s">
        <v>186</v>
      </c>
      <c r="AD53">
        <v>5</v>
      </c>
      <c r="AF53" t="s">
        <v>205</v>
      </c>
      <c r="AI53" t="s">
        <v>826</v>
      </c>
      <c r="AK53" t="s">
        <v>189</v>
      </c>
      <c r="AL53" t="s">
        <v>189</v>
      </c>
      <c r="AM53" t="s">
        <v>189</v>
      </c>
      <c r="AO53" t="s">
        <v>827</v>
      </c>
      <c r="AP53" t="s">
        <v>179</v>
      </c>
      <c r="AQ53" t="s">
        <v>180</v>
      </c>
      <c r="AR53" t="s">
        <v>180</v>
      </c>
      <c r="AS53" t="s">
        <v>180</v>
      </c>
      <c r="AT53" t="s">
        <v>180</v>
      </c>
      <c r="AU53" t="s">
        <v>180</v>
      </c>
      <c r="AV53" t="s">
        <v>180</v>
      </c>
      <c r="AW53" t="s">
        <v>180</v>
      </c>
      <c r="AY53" t="s">
        <v>192</v>
      </c>
      <c r="BB53" t="s">
        <v>192</v>
      </c>
      <c r="BE53" t="s">
        <v>191</v>
      </c>
      <c r="BF53" t="s">
        <v>179</v>
      </c>
      <c r="BH53">
        <v>1</v>
      </c>
      <c r="BI53">
        <v>2</v>
      </c>
      <c r="BJ53">
        <v>3</v>
      </c>
      <c r="BK53">
        <v>4</v>
      </c>
      <c r="BL53">
        <v>5</v>
      </c>
      <c r="BM53">
        <v>6</v>
      </c>
      <c r="BN53">
        <v>7</v>
      </c>
      <c r="BP53" t="s">
        <v>193</v>
      </c>
    </row>
    <row r="54" spans="1:68">
      <c r="A54" s="4">
        <v>619747148002</v>
      </c>
      <c r="B54" s="4" t="s">
        <v>828</v>
      </c>
      <c r="C54" s="1" t="s">
        <v>37</v>
      </c>
      <c r="D54" s="5" t="str">
        <f t="shared" si="3"/>
        <v>1</v>
      </c>
      <c r="E54" s="5" t="str">
        <f>IFERROR(IF(VLOOKUP(A54,Base!AA:AA,1,0)&gt;0,"1","0"),"0")</f>
        <v>1</v>
      </c>
      <c r="F54" s="5" t="str">
        <f t="shared" si="4"/>
        <v>1</v>
      </c>
      <c r="G54" s="5" t="str">
        <f t="shared" si="5"/>
        <v>1</v>
      </c>
      <c r="H54" t="s">
        <v>829</v>
      </c>
      <c r="I54" t="s">
        <v>830</v>
      </c>
      <c r="K54" t="s">
        <v>831</v>
      </c>
      <c r="L54" t="s">
        <v>832</v>
      </c>
      <c r="M54" t="s">
        <v>833</v>
      </c>
      <c r="N54" t="s">
        <v>834</v>
      </c>
      <c r="O54" t="s">
        <v>215</v>
      </c>
      <c r="P54" t="s">
        <v>179</v>
      </c>
      <c r="Q54" t="s">
        <v>179</v>
      </c>
      <c r="R54" t="s">
        <v>180</v>
      </c>
      <c r="S54" t="s">
        <v>181</v>
      </c>
      <c r="T54" t="s">
        <v>240</v>
      </c>
      <c r="U54" t="s">
        <v>835</v>
      </c>
      <c r="V54" t="s">
        <v>269</v>
      </c>
      <c r="W54" t="s">
        <v>179</v>
      </c>
      <c r="X54" t="s">
        <v>185</v>
      </c>
      <c r="Y54" t="s">
        <v>836</v>
      </c>
      <c r="Z54" t="s">
        <v>186</v>
      </c>
      <c r="AA54">
        <v>4</v>
      </c>
      <c r="AB54" t="s">
        <v>837</v>
      </c>
      <c r="AC54" t="s">
        <v>186</v>
      </c>
      <c r="AD54">
        <v>4</v>
      </c>
      <c r="AE54" t="s">
        <v>837</v>
      </c>
      <c r="AF54" t="s">
        <v>205</v>
      </c>
      <c r="AI54" t="s">
        <v>838</v>
      </c>
      <c r="AK54" t="s">
        <v>189</v>
      </c>
      <c r="AL54" t="s">
        <v>189</v>
      </c>
      <c r="AM54" t="s">
        <v>189</v>
      </c>
      <c r="AO54" t="s">
        <v>309</v>
      </c>
      <c r="AP54" t="s">
        <v>179</v>
      </c>
      <c r="AQ54" t="s">
        <v>375</v>
      </c>
      <c r="AR54" t="s">
        <v>375</v>
      </c>
      <c r="AS54" t="s">
        <v>375</v>
      </c>
      <c r="AT54" t="s">
        <v>375</v>
      </c>
      <c r="AU54" t="s">
        <v>375</v>
      </c>
      <c r="AV54" t="s">
        <v>375</v>
      </c>
      <c r="AW54" t="s">
        <v>375</v>
      </c>
      <c r="AY54" t="s">
        <v>191</v>
      </c>
      <c r="AZ54" t="s">
        <v>179</v>
      </c>
      <c r="BB54" t="s">
        <v>191</v>
      </c>
      <c r="BC54" t="s">
        <v>179</v>
      </c>
      <c r="BE54" t="s">
        <v>192</v>
      </c>
      <c r="BH54">
        <v>5</v>
      </c>
      <c r="BI54">
        <v>6</v>
      </c>
      <c r="BJ54">
        <v>7</v>
      </c>
      <c r="BK54">
        <v>4</v>
      </c>
      <c r="BL54">
        <v>2</v>
      </c>
      <c r="BM54">
        <v>1</v>
      </c>
      <c r="BN54">
        <v>3</v>
      </c>
      <c r="BP54" t="s">
        <v>193</v>
      </c>
    </row>
    <row r="55" spans="1:68">
      <c r="A55" s="4">
        <v>46733383915</v>
      </c>
      <c r="B55" s="4" t="s">
        <v>839</v>
      </c>
      <c r="C55" s="1" t="s">
        <v>39</v>
      </c>
      <c r="D55" s="5" t="str">
        <f t="shared" si="3"/>
        <v>1</v>
      </c>
      <c r="E55" s="5" t="str">
        <f>IFERROR(IF(VLOOKUP(A55,Base!AA:AA,1,0)&gt;0,"1","0"),"0")</f>
        <v>1</v>
      </c>
      <c r="F55" s="5" t="str">
        <f t="shared" si="4"/>
        <v>1</v>
      </c>
      <c r="G55" s="5" t="str">
        <f t="shared" si="5"/>
        <v>1</v>
      </c>
      <c r="H55" t="s">
        <v>840</v>
      </c>
      <c r="I55" t="s">
        <v>841</v>
      </c>
      <c r="K55" t="s">
        <v>839</v>
      </c>
      <c r="L55" t="s">
        <v>842</v>
      </c>
      <c r="M55" t="s">
        <v>843</v>
      </c>
      <c r="N55" t="s">
        <v>844</v>
      </c>
      <c r="O55" t="s">
        <v>177</v>
      </c>
      <c r="P55" t="s">
        <v>179</v>
      </c>
      <c r="Q55" t="s">
        <v>179</v>
      </c>
      <c r="R55" t="s">
        <v>180</v>
      </c>
      <c r="S55" t="s">
        <v>405</v>
      </c>
      <c r="T55" t="s">
        <v>216</v>
      </c>
      <c r="U55" t="s">
        <v>845</v>
      </c>
      <c r="V55" t="s">
        <v>846</v>
      </c>
      <c r="W55" t="s">
        <v>179</v>
      </c>
      <c r="X55" t="s">
        <v>185</v>
      </c>
      <c r="Z55" t="s">
        <v>205</v>
      </c>
      <c r="AC55" t="s">
        <v>186</v>
      </c>
      <c r="AD55">
        <v>5</v>
      </c>
      <c r="AF55" t="s">
        <v>186</v>
      </c>
      <c r="AG55">
        <v>3</v>
      </c>
      <c r="AH55" t="s">
        <v>847</v>
      </c>
      <c r="AI55" t="s">
        <v>848</v>
      </c>
      <c r="AJ55" t="s">
        <v>849</v>
      </c>
      <c r="AK55" t="s">
        <v>189</v>
      </c>
      <c r="AL55" t="s">
        <v>189</v>
      </c>
      <c r="AM55" t="s">
        <v>189</v>
      </c>
      <c r="AO55" t="s">
        <v>523</v>
      </c>
      <c r="AP55" t="s">
        <v>179</v>
      </c>
      <c r="AQ55" t="s">
        <v>180</v>
      </c>
      <c r="AR55" t="s">
        <v>180</v>
      </c>
      <c r="AS55" t="s">
        <v>180</v>
      </c>
      <c r="AT55" t="s">
        <v>180</v>
      </c>
      <c r="AU55" t="s">
        <v>180</v>
      </c>
      <c r="AV55" t="s">
        <v>180</v>
      </c>
      <c r="AW55" t="s">
        <v>180</v>
      </c>
      <c r="AY55" t="s">
        <v>191</v>
      </c>
      <c r="AZ55" t="s">
        <v>179</v>
      </c>
      <c r="BB55" t="s">
        <v>191</v>
      </c>
      <c r="BC55" t="s">
        <v>179</v>
      </c>
      <c r="BD55" t="s">
        <v>850</v>
      </c>
      <c r="BE55" t="s">
        <v>191</v>
      </c>
      <c r="BF55" t="s">
        <v>179</v>
      </c>
      <c r="BH55">
        <v>2</v>
      </c>
      <c r="BI55">
        <v>4</v>
      </c>
      <c r="BJ55">
        <v>5</v>
      </c>
      <c r="BK55">
        <v>1</v>
      </c>
      <c r="BL55">
        <v>3</v>
      </c>
      <c r="BM55">
        <v>6</v>
      </c>
      <c r="BN55">
        <v>7</v>
      </c>
      <c r="BP55" t="s">
        <v>193</v>
      </c>
    </row>
    <row r="56" spans="1:68">
      <c r="A56" s="4">
        <v>653060435802</v>
      </c>
      <c r="B56" s="4" t="s">
        <v>851</v>
      </c>
      <c r="C56" s="1" t="s">
        <v>38</v>
      </c>
      <c r="D56" s="5" t="str">
        <f t="shared" si="3"/>
        <v>1</v>
      </c>
      <c r="E56" s="5" t="str">
        <f>IFERROR(IF(VLOOKUP(A56,Base!AA:AA,1,0)&gt;0,"1","0"),"0")</f>
        <v>1</v>
      </c>
      <c r="F56" s="5" t="str">
        <f t="shared" si="4"/>
        <v>1</v>
      </c>
      <c r="G56" s="5" t="str">
        <f t="shared" si="5"/>
        <v>1</v>
      </c>
      <c r="H56" t="s">
        <v>852</v>
      </c>
      <c r="I56" t="s">
        <v>853</v>
      </c>
      <c r="K56" t="s">
        <v>854</v>
      </c>
      <c r="L56" t="s">
        <v>855</v>
      </c>
      <c r="M56" t="s">
        <v>856</v>
      </c>
      <c r="N56" t="s">
        <v>857</v>
      </c>
      <c r="O56" t="s">
        <v>177</v>
      </c>
      <c r="P56" t="s">
        <v>179</v>
      </c>
      <c r="Q56" t="s">
        <v>179</v>
      </c>
      <c r="R56" t="s">
        <v>254</v>
      </c>
      <c r="S56" t="s">
        <v>405</v>
      </c>
      <c r="T56" t="s">
        <v>468</v>
      </c>
      <c r="V56" t="s">
        <v>204</v>
      </c>
      <c r="W56" t="s">
        <v>179</v>
      </c>
      <c r="X56" t="s">
        <v>185</v>
      </c>
      <c r="Z56" t="s">
        <v>186</v>
      </c>
      <c r="AA56">
        <v>4</v>
      </c>
      <c r="AC56" t="s">
        <v>186</v>
      </c>
      <c r="AD56">
        <v>5</v>
      </c>
      <c r="AF56" t="s">
        <v>205</v>
      </c>
      <c r="AI56" t="s">
        <v>858</v>
      </c>
      <c r="AK56" t="s">
        <v>189</v>
      </c>
      <c r="AL56" t="s">
        <v>189</v>
      </c>
      <c r="AM56" t="s">
        <v>189</v>
      </c>
      <c r="AO56" t="s">
        <v>292</v>
      </c>
      <c r="AP56" t="s">
        <v>179</v>
      </c>
      <c r="AQ56" t="s">
        <v>180</v>
      </c>
      <c r="AR56" t="s">
        <v>180</v>
      </c>
      <c r="AS56" t="s">
        <v>180</v>
      </c>
      <c r="AT56" t="s">
        <v>180</v>
      </c>
      <c r="AU56" t="s">
        <v>180</v>
      </c>
      <c r="AV56" t="s">
        <v>180</v>
      </c>
      <c r="AW56" t="s">
        <v>180</v>
      </c>
      <c r="AX56" t="s">
        <v>859</v>
      </c>
      <c r="AY56" t="s">
        <v>191</v>
      </c>
      <c r="AZ56" t="s">
        <v>179</v>
      </c>
      <c r="BB56" t="s">
        <v>191</v>
      </c>
      <c r="BC56" t="s">
        <v>179</v>
      </c>
      <c r="BE56" t="s">
        <v>191</v>
      </c>
      <c r="BF56" t="s">
        <v>178</v>
      </c>
      <c r="BH56">
        <v>5</v>
      </c>
      <c r="BI56">
        <v>6</v>
      </c>
      <c r="BJ56">
        <v>7</v>
      </c>
      <c r="BK56">
        <v>3</v>
      </c>
      <c r="BL56">
        <v>1</v>
      </c>
      <c r="BM56">
        <v>2</v>
      </c>
      <c r="BN56">
        <v>4</v>
      </c>
      <c r="BP56" t="s">
        <v>193</v>
      </c>
    </row>
    <row r="57" spans="1:68">
      <c r="A57" s="4">
        <v>653955892602</v>
      </c>
      <c r="B57" s="4" t="s">
        <v>860</v>
      </c>
      <c r="C57" s="1" t="s">
        <v>38</v>
      </c>
      <c r="D57" s="5" t="str">
        <f t="shared" si="3"/>
        <v>1</v>
      </c>
      <c r="E57" s="5" t="str">
        <f>IFERROR(IF(VLOOKUP(A57,Base!AA:AA,1,0)&gt;0,"1","0"),"0")</f>
        <v>1</v>
      </c>
      <c r="F57" s="5" t="str">
        <f t="shared" si="4"/>
        <v>-</v>
      </c>
      <c r="G57" s="5" t="str">
        <f t="shared" si="5"/>
        <v>0</v>
      </c>
      <c r="H57" t="s">
        <v>861</v>
      </c>
      <c r="I57" t="s">
        <v>862</v>
      </c>
      <c r="K57" t="s">
        <v>860</v>
      </c>
      <c r="L57" t="s">
        <v>863</v>
      </c>
      <c r="M57" t="s">
        <v>856</v>
      </c>
      <c r="N57" t="s">
        <v>857</v>
      </c>
      <c r="O57" t="s">
        <v>215</v>
      </c>
      <c r="P57" t="s">
        <v>179</v>
      </c>
      <c r="Q57" t="s">
        <v>179</v>
      </c>
      <c r="R57" t="s">
        <v>254</v>
      </c>
      <c r="S57" t="s">
        <v>181</v>
      </c>
      <c r="T57" t="s">
        <v>216</v>
      </c>
      <c r="V57" t="s">
        <v>204</v>
      </c>
      <c r="W57" t="s">
        <v>179</v>
      </c>
      <c r="X57" t="s">
        <v>185</v>
      </c>
      <c r="Z57" t="s">
        <v>186</v>
      </c>
      <c r="AA57">
        <v>5</v>
      </c>
      <c r="AC57" t="s">
        <v>186</v>
      </c>
      <c r="AD57">
        <v>5</v>
      </c>
      <c r="AF57" t="s">
        <v>205</v>
      </c>
      <c r="AI57" t="s">
        <v>858</v>
      </c>
      <c r="AK57" t="s">
        <v>188</v>
      </c>
      <c r="AL57" t="s">
        <v>188</v>
      </c>
      <c r="AM57" t="s">
        <v>188</v>
      </c>
      <c r="AN57" t="s">
        <v>864</v>
      </c>
      <c r="AO57" t="s">
        <v>292</v>
      </c>
      <c r="AP57" t="s">
        <v>179</v>
      </c>
      <c r="AQ57" t="s">
        <v>180</v>
      </c>
      <c r="AR57" t="s">
        <v>254</v>
      </c>
      <c r="AS57" t="s">
        <v>180</v>
      </c>
      <c r="AT57" t="s">
        <v>180</v>
      </c>
      <c r="AU57" t="s">
        <v>180</v>
      </c>
      <c r="AV57" t="s">
        <v>180</v>
      </c>
      <c r="AW57" t="s">
        <v>180</v>
      </c>
      <c r="AX57" t="s">
        <v>865</v>
      </c>
      <c r="AY57" t="s">
        <v>191</v>
      </c>
      <c r="AZ57" t="s">
        <v>179</v>
      </c>
      <c r="BB57" t="s">
        <v>192</v>
      </c>
      <c r="BE57" t="s">
        <v>192</v>
      </c>
      <c r="BH57">
        <v>6</v>
      </c>
      <c r="BI57">
        <v>7</v>
      </c>
      <c r="BJ57">
        <v>3</v>
      </c>
      <c r="BK57">
        <v>5</v>
      </c>
      <c r="BL57">
        <v>2</v>
      </c>
      <c r="BM57">
        <v>1</v>
      </c>
      <c r="BN57">
        <v>4</v>
      </c>
      <c r="BP57" t="s">
        <v>193</v>
      </c>
    </row>
    <row r="58" spans="1:68">
      <c r="A58" s="4">
        <v>40274588502</v>
      </c>
      <c r="B58" s="4" t="s">
        <v>866</v>
      </c>
      <c r="C58" s="1" t="s">
        <v>39</v>
      </c>
      <c r="D58" s="5" t="str">
        <f t="shared" si="3"/>
        <v>1</v>
      </c>
      <c r="E58" s="5" t="str">
        <f>IFERROR(IF(VLOOKUP(A58,Base!AA:AA,1,0)&gt;0,"1","0"),"0")</f>
        <v>1</v>
      </c>
      <c r="F58" s="5" t="str">
        <f t="shared" si="4"/>
        <v>-</v>
      </c>
      <c r="G58" s="5" t="str">
        <f t="shared" si="5"/>
        <v>0</v>
      </c>
      <c r="H58" t="s">
        <v>867</v>
      </c>
      <c r="I58" t="s">
        <v>868</v>
      </c>
      <c r="K58" t="s">
        <v>866</v>
      </c>
      <c r="L58" t="s">
        <v>869</v>
      </c>
      <c r="M58" t="s">
        <v>870</v>
      </c>
      <c r="N58" t="s">
        <v>871</v>
      </c>
      <c r="O58" t="s">
        <v>201</v>
      </c>
      <c r="P58" t="s">
        <v>178</v>
      </c>
      <c r="Q58" t="s">
        <v>179</v>
      </c>
      <c r="R58" t="s">
        <v>180</v>
      </c>
      <c r="S58" t="s">
        <v>202</v>
      </c>
      <c r="T58" t="s">
        <v>607</v>
      </c>
      <c r="U58" t="s">
        <v>872</v>
      </c>
      <c r="V58" t="s">
        <v>243</v>
      </c>
      <c r="W58" t="s">
        <v>179</v>
      </c>
      <c r="X58" t="s">
        <v>185</v>
      </c>
      <c r="Y58" t="s">
        <v>873</v>
      </c>
      <c r="Z58" t="s">
        <v>186</v>
      </c>
      <c r="AA58">
        <v>4</v>
      </c>
      <c r="AB58" t="s">
        <v>874</v>
      </c>
      <c r="AC58" t="s">
        <v>205</v>
      </c>
      <c r="AF58" t="s">
        <v>205</v>
      </c>
      <c r="AI58" t="s">
        <v>875</v>
      </c>
      <c r="AK58" t="s">
        <v>188</v>
      </c>
      <c r="AL58" t="s">
        <v>188</v>
      </c>
      <c r="AM58" t="s">
        <v>220</v>
      </c>
      <c r="AO58" t="s">
        <v>266</v>
      </c>
      <c r="AP58" t="s">
        <v>178</v>
      </c>
      <c r="AQ58" t="s">
        <v>180</v>
      </c>
      <c r="AR58" t="s">
        <v>180</v>
      </c>
      <c r="AS58" t="s">
        <v>180</v>
      </c>
      <c r="AT58" t="s">
        <v>254</v>
      </c>
      <c r="AU58" t="s">
        <v>254</v>
      </c>
      <c r="AV58" t="s">
        <v>254</v>
      </c>
      <c r="AW58" t="s">
        <v>180</v>
      </c>
      <c r="AY58" t="s">
        <v>191</v>
      </c>
      <c r="AZ58" t="s">
        <v>178</v>
      </c>
      <c r="BB58" t="s">
        <v>192</v>
      </c>
      <c r="BE58" t="s">
        <v>192</v>
      </c>
      <c r="BH58">
        <v>5</v>
      </c>
      <c r="BI58">
        <v>6</v>
      </c>
      <c r="BJ58">
        <v>7</v>
      </c>
      <c r="BK58">
        <v>3</v>
      </c>
      <c r="BL58">
        <v>1</v>
      </c>
      <c r="BM58">
        <v>2</v>
      </c>
      <c r="BN58">
        <v>4</v>
      </c>
      <c r="BP58" t="s">
        <v>193</v>
      </c>
    </row>
    <row r="59" spans="1:68">
      <c r="A59" s="4">
        <v>117086860802</v>
      </c>
      <c r="B59" s="4" t="s">
        <v>876</v>
      </c>
      <c r="C59" s="1" t="s">
        <v>37</v>
      </c>
      <c r="D59" s="5" t="str">
        <f t="shared" si="3"/>
        <v>1</v>
      </c>
      <c r="E59" s="5" t="str">
        <f>IFERROR(IF(VLOOKUP(A59,Base!AA:AA,1,0)&gt;0,"1","0"),"0")</f>
        <v>1</v>
      </c>
      <c r="F59" s="5" t="str">
        <f t="shared" si="4"/>
        <v>1</v>
      </c>
      <c r="G59" s="5" t="str">
        <f t="shared" si="5"/>
        <v>1</v>
      </c>
      <c r="H59" t="s">
        <v>877</v>
      </c>
      <c r="I59" t="s">
        <v>878</v>
      </c>
      <c r="K59" t="s">
        <v>876</v>
      </c>
      <c r="L59" t="s">
        <v>879</v>
      </c>
      <c r="M59" t="s">
        <v>880</v>
      </c>
      <c r="N59" t="s">
        <v>881</v>
      </c>
      <c r="O59" t="s">
        <v>177</v>
      </c>
      <c r="P59" t="s">
        <v>178</v>
      </c>
      <c r="Q59" t="s">
        <v>179</v>
      </c>
      <c r="R59" t="s">
        <v>180</v>
      </c>
      <c r="S59" t="s">
        <v>181</v>
      </c>
      <c r="T59" t="s">
        <v>882</v>
      </c>
      <c r="V59" t="s">
        <v>269</v>
      </c>
      <c r="W59" t="s">
        <v>179</v>
      </c>
      <c r="X59" t="s">
        <v>185</v>
      </c>
      <c r="Z59" t="s">
        <v>186</v>
      </c>
      <c r="AA59">
        <v>5</v>
      </c>
      <c r="AC59" t="s">
        <v>186</v>
      </c>
      <c r="AD59">
        <v>5</v>
      </c>
      <c r="AF59" t="s">
        <v>186</v>
      </c>
      <c r="AG59">
        <v>5</v>
      </c>
      <c r="AI59" t="s">
        <v>883</v>
      </c>
      <c r="AK59" t="s">
        <v>188</v>
      </c>
      <c r="AL59" t="s">
        <v>188</v>
      </c>
      <c r="AM59" t="s">
        <v>188</v>
      </c>
      <c r="AO59" t="s">
        <v>269</v>
      </c>
      <c r="AP59" t="s">
        <v>179</v>
      </c>
      <c r="AQ59" t="s">
        <v>180</v>
      </c>
      <c r="AR59" t="s">
        <v>180</v>
      </c>
      <c r="AS59" t="s">
        <v>180</v>
      </c>
      <c r="AT59" t="s">
        <v>180</v>
      </c>
      <c r="AU59" t="s">
        <v>180</v>
      </c>
      <c r="AV59" t="s">
        <v>180</v>
      </c>
      <c r="AW59" t="s">
        <v>180</v>
      </c>
      <c r="AY59" t="s">
        <v>191</v>
      </c>
      <c r="AZ59" t="s">
        <v>178</v>
      </c>
      <c r="BB59" t="s">
        <v>191</v>
      </c>
      <c r="BC59" t="s">
        <v>178</v>
      </c>
      <c r="BE59" t="s">
        <v>191</v>
      </c>
      <c r="BF59" t="s">
        <v>178</v>
      </c>
      <c r="BH59">
        <v>1</v>
      </c>
      <c r="BI59">
        <v>2</v>
      </c>
      <c r="BJ59">
        <v>3</v>
      </c>
      <c r="BK59">
        <v>4</v>
      </c>
      <c r="BL59">
        <v>5</v>
      </c>
      <c r="BM59">
        <v>6</v>
      </c>
      <c r="BN59">
        <v>7</v>
      </c>
      <c r="BP59" t="s">
        <v>193</v>
      </c>
    </row>
    <row r="60" spans="1:68">
      <c r="A60" s="4">
        <v>475112640202</v>
      </c>
      <c r="B60" s="4" t="s">
        <v>884</v>
      </c>
      <c r="C60" s="1" t="s">
        <v>100</v>
      </c>
      <c r="D60" s="5" t="str">
        <f t="shared" si="3"/>
        <v>1</v>
      </c>
      <c r="E60" s="5" t="str">
        <f>IFERROR(IF(VLOOKUP(A60,Base!AA:AA,1,0)&gt;0,"1","0"),"0")</f>
        <v>1</v>
      </c>
      <c r="F60" s="5" t="str">
        <f t="shared" si="4"/>
        <v>-</v>
      </c>
      <c r="G60" s="5" t="str">
        <f t="shared" si="5"/>
        <v>0</v>
      </c>
      <c r="H60" t="s">
        <v>885</v>
      </c>
      <c r="I60" t="s">
        <v>886</v>
      </c>
      <c r="K60" t="s">
        <v>887</v>
      </c>
      <c r="L60" t="s">
        <v>888</v>
      </c>
      <c r="M60" t="s">
        <v>889</v>
      </c>
      <c r="N60" t="s">
        <v>890</v>
      </c>
      <c r="O60" t="s">
        <v>177</v>
      </c>
      <c r="P60" t="s">
        <v>179</v>
      </c>
      <c r="Q60" t="s">
        <v>179</v>
      </c>
      <c r="R60" t="s">
        <v>180</v>
      </c>
      <c r="S60" t="s">
        <v>181</v>
      </c>
      <c r="T60" t="s">
        <v>216</v>
      </c>
      <c r="V60" t="s">
        <v>891</v>
      </c>
      <c r="W60" t="s">
        <v>179</v>
      </c>
      <c r="X60" t="s">
        <v>185</v>
      </c>
      <c r="Y60" t="s">
        <v>892</v>
      </c>
      <c r="Z60" t="s">
        <v>186</v>
      </c>
      <c r="AA60">
        <v>5</v>
      </c>
      <c r="AC60" t="s">
        <v>186</v>
      </c>
      <c r="AD60">
        <v>5</v>
      </c>
      <c r="AF60" t="s">
        <v>205</v>
      </c>
      <c r="AI60" t="s">
        <v>893</v>
      </c>
      <c r="AK60" t="s">
        <v>188</v>
      </c>
      <c r="AL60" t="s">
        <v>252</v>
      </c>
      <c r="AM60" t="s">
        <v>188</v>
      </c>
      <c r="AO60" t="s">
        <v>292</v>
      </c>
      <c r="AP60" t="s">
        <v>179</v>
      </c>
      <c r="AQ60" t="s">
        <v>180</v>
      </c>
      <c r="AR60" t="s">
        <v>254</v>
      </c>
      <c r="AS60" t="s">
        <v>254</v>
      </c>
      <c r="AT60" t="s">
        <v>180</v>
      </c>
      <c r="AU60" t="s">
        <v>180</v>
      </c>
      <c r="AV60" t="s">
        <v>180</v>
      </c>
      <c r="AW60" t="s">
        <v>180</v>
      </c>
      <c r="AY60" t="s">
        <v>192</v>
      </c>
      <c r="BB60" t="s">
        <v>192</v>
      </c>
      <c r="BE60" t="s">
        <v>192</v>
      </c>
      <c r="BH60">
        <v>6</v>
      </c>
      <c r="BI60">
        <v>5</v>
      </c>
      <c r="BJ60">
        <v>7</v>
      </c>
      <c r="BK60">
        <v>2</v>
      </c>
      <c r="BL60">
        <v>1</v>
      </c>
      <c r="BM60">
        <v>3</v>
      </c>
      <c r="BN60">
        <v>4</v>
      </c>
      <c r="BO60" t="s">
        <v>894</v>
      </c>
      <c r="BP60" t="s">
        <v>193</v>
      </c>
    </row>
    <row r="61" spans="1:68">
      <c r="A61" s="4">
        <v>7763660815</v>
      </c>
      <c r="B61" s="4" t="s">
        <v>895</v>
      </c>
      <c r="C61" s="1" t="s">
        <v>37</v>
      </c>
      <c r="D61" s="5" t="str">
        <f t="shared" si="3"/>
        <v>1</v>
      </c>
      <c r="E61" s="5" t="str">
        <f>IFERROR(IF(VLOOKUP(A61,Base!AA:AA,1,0)&gt;0,"1","0"),"0")</f>
        <v>1</v>
      </c>
      <c r="F61" s="5" t="str">
        <f t="shared" si="4"/>
        <v>1</v>
      </c>
      <c r="G61" s="5" t="str">
        <f t="shared" si="5"/>
        <v>1</v>
      </c>
      <c r="H61" t="s">
        <v>896</v>
      </c>
      <c r="I61" t="s">
        <v>897</v>
      </c>
      <c r="K61" t="s">
        <v>898</v>
      </c>
      <c r="L61" t="s">
        <v>899</v>
      </c>
      <c r="M61" t="s">
        <v>900</v>
      </c>
      <c r="N61" t="s">
        <v>901</v>
      </c>
      <c r="O61" t="s">
        <v>215</v>
      </c>
      <c r="P61" t="s">
        <v>178</v>
      </c>
      <c r="Q61" t="s">
        <v>54</v>
      </c>
      <c r="R61" t="s">
        <v>355</v>
      </c>
      <c r="S61" t="s">
        <v>405</v>
      </c>
      <c r="T61" t="s">
        <v>902</v>
      </c>
      <c r="V61" t="s">
        <v>493</v>
      </c>
      <c r="W61" t="s">
        <v>179</v>
      </c>
      <c r="X61" t="s">
        <v>903</v>
      </c>
      <c r="Z61" t="s">
        <v>186</v>
      </c>
      <c r="AA61">
        <v>5</v>
      </c>
      <c r="AC61" t="s">
        <v>186</v>
      </c>
      <c r="AD61">
        <v>5</v>
      </c>
      <c r="AF61" t="s">
        <v>205</v>
      </c>
      <c r="AI61" t="s">
        <v>904</v>
      </c>
      <c r="AK61" t="s">
        <v>189</v>
      </c>
      <c r="AL61" t="s">
        <v>189</v>
      </c>
      <c r="AM61" t="s">
        <v>189</v>
      </c>
      <c r="AO61" t="s">
        <v>523</v>
      </c>
      <c r="AP61" t="s">
        <v>179</v>
      </c>
      <c r="AQ61" t="s">
        <v>375</v>
      </c>
      <c r="AR61" t="s">
        <v>375</v>
      </c>
      <c r="AS61" t="s">
        <v>375</v>
      </c>
      <c r="AT61" t="s">
        <v>375</v>
      </c>
      <c r="AU61" t="s">
        <v>375</v>
      </c>
      <c r="AV61" t="s">
        <v>375</v>
      </c>
      <c r="AW61" t="s">
        <v>375</v>
      </c>
      <c r="AY61" t="s">
        <v>191</v>
      </c>
      <c r="AZ61" t="s">
        <v>179</v>
      </c>
      <c r="BB61" t="s">
        <v>191</v>
      </c>
      <c r="BC61" t="s">
        <v>179</v>
      </c>
      <c r="BE61" t="s">
        <v>191</v>
      </c>
      <c r="BF61" t="s">
        <v>55</v>
      </c>
      <c r="BH61">
        <v>6</v>
      </c>
      <c r="BI61">
        <v>3</v>
      </c>
      <c r="BJ61">
        <v>7</v>
      </c>
      <c r="BK61">
        <v>1</v>
      </c>
      <c r="BL61">
        <v>2</v>
      </c>
      <c r="BM61">
        <v>5</v>
      </c>
      <c r="BN61">
        <v>4</v>
      </c>
      <c r="BP61" t="s">
        <v>193</v>
      </c>
    </row>
    <row r="62" spans="1:68">
      <c r="A62" s="4">
        <v>59283260402</v>
      </c>
      <c r="B62" s="4" t="s">
        <v>905</v>
      </c>
      <c r="C62" s="1" t="s">
        <v>36</v>
      </c>
      <c r="D62" s="5" t="str">
        <f t="shared" si="3"/>
        <v>1</v>
      </c>
      <c r="E62" s="5" t="str">
        <f>IFERROR(IF(VLOOKUP(A62,Base!AA:AA,1,0)&gt;0,"1","0"),"0")</f>
        <v>1</v>
      </c>
      <c r="F62" s="5" t="str">
        <f t="shared" si="4"/>
        <v>1</v>
      </c>
      <c r="G62" s="5" t="str">
        <f t="shared" si="5"/>
        <v>1</v>
      </c>
      <c r="H62" t="s">
        <v>906</v>
      </c>
      <c r="I62" t="s">
        <v>907</v>
      </c>
      <c r="K62" t="s">
        <v>908</v>
      </c>
      <c r="L62" t="s">
        <v>909</v>
      </c>
      <c r="M62" t="s">
        <v>910</v>
      </c>
      <c r="N62" t="s">
        <v>911</v>
      </c>
      <c r="O62" t="s">
        <v>201</v>
      </c>
      <c r="P62" t="s">
        <v>179</v>
      </c>
      <c r="Q62" t="s">
        <v>179</v>
      </c>
      <c r="R62" t="s">
        <v>180</v>
      </c>
      <c r="S62" t="s">
        <v>202</v>
      </c>
      <c r="T62" t="s">
        <v>743</v>
      </c>
      <c r="U62" t="s">
        <v>912</v>
      </c>
      <c r="V62" t="s">
        <v>207</v>
      </c>
      <c r="W62" t="s">
        <v>179</v>
      </c>
      <c r="X62" t="s">
        <v>185</v>
      </c>
      <c r="Y62" t="s">
        <v>913</v>
      </c>
      <c r="Z62" t="s">
        <v>186</v>
      </c>
      <c r="AA62">
        <v>3</v>
      </c>
      <c r="AB62" t="s">
        <v>914</v>
      </c>
      <c r="AC62" t="s">
        <v>186</v>
      </c>
      <c r="AD62">
        <v>4</v>
      </c>
      <c r="AE62" t="s">
        <v>915</v>
      </c>
      <c r="AF62" t="s">
        <v>186</v>
      </c>
      <c r="AG62">
        <v>5</v>
      </c>
      <c r="AH62" t="s">
        <v>916</v>
      </c>
      <c r="AI62" t="s">
        <v>917</v>
      </c>
      <c r="AK62" t="s">
        <v>189</v>
      </c>
      <c r="AL62" t="s">
        <v>189</v>
      </c>
      <c r="AM62" t="s">
        <v>189</v>
      </c>
      <c r="AO62" t="s">
        <v>292</v>
      </c>
      <c r="AP62" t="s">
        <v>179</v>
      </c>
      <c r="AQ62" t="s">
        <v>180</v>
      </c>
      <c r="AR62" t="s">
        <v>180</v>
      </c>
      <c r="AS62" t="s">
        <v>180</v>
      </c>
      <c r="AT62" t="s">
        <v>180</v>
      </c>
      <c r="AU62" t="s">
        <v>180</v>
      </c>
      <c r="AV62" t="s">
        <v>180</v>
      </c>
      <c r="AW62" t="s">
        <v>180</v>
      </c>
      <c r="AX62" t="s">
        <v>918</v>
      </c>
      <c r="AY62" t="s">
        <v>191</v>
      </c>
      <c r="AZ62" t="s">
        <v>179</v>
      </c>
      <c r="BB62" t="s">
        <v>191</v>
      </c>
      <c r="BC62" t="s">
        <v>178</v>
      </c>
      <c r="BD62" t="s">
        <v>919</v>
      </c>
      <c r="BE62" t="s">
        <v>192</v>
      </c>
      <c r="BH62">
        <v>1</v>
      </c>
      <c r="BI62">
        <v>6</v>
      </c>
      <c r="BJ62">
        <v>5</v>
      </c>
      <c r="BK62">
        <v>3</v>
      </c>
      <c r="BL62">
        <v>7</v>
      </c>
      <c r="BM62">
        <v>4</v>
      </c>
      <c r="BN62">
        <v>2</v>
      </c>
      <c r="BP62" t="s">
        <v>193</v>
      </c>
    </row>
    <row r="63" spans="1:68">
      <c r="A63" s="4">
        <v>175133439302</v>
      </c>
      <c r="B63" s="4" t="s">
        <v>920</v>
      </c>
      <c r="C63" s="1" t="s">
        <v>37</v>
      </c>
      <c r="D63" s="5" t="str">
        <f t="shared" si="3"/>
        <v>1</v>
      </c>
      <c r="E63" s="5" t="str">
        <f>IFERROR(IF(VLOOKUP(A63,Base!AA:AA,1,0)&gt;0,"1","0"),"0")</f>
        <v>1</v>
      </c>
      <c r="F63" s="5" t="str">
        <f t="shared" si="4"/>
        <v>-</v>
      </c>
      <c r="G63" s="5" t="str">
        <f t="shared" si="5"/>
        <v>0</v>
      </c>
      <c r="H63" t="s">
        <v>921</v>
      </c>
      <c r="I63" t="s">
        <v>922</v>
      </c>
      <c r="K63" t="s">
        <v>923</v>
      </c>
      <c r="L63">
        <v>175133439302</v>
      </c>
      <c r="M63" t="s">
        <v>924</v>
      </c>
      <c r="N63" t="s">
        <v>925</v>
      </c>
      <c r="O63" t="s">
        <v>215</v>
      </c>
      <c r="P63" t="s">
        <v>178</v>
      </c>
      <c r="Q63" t="s">
        <v>178</v>
      </c>
      <c r="R63" t="s">
        <v>180</v>
      </c>
      <c r="S63" t="s">
        <v>202</v>
      </c>
      <c r="T63" t="s">
        <v>926</v>
      </c>
      <c r="V63" t="s">
        <v>927</v>
      </c>
      <c r="W63" t="s">
        <v>184</v>
      </c>
      <c r="X63" t="s">
        <v>185</v>
      </c>
      <c r="Z63" t="s">
        <v>186</v>
      </c>
      <c r="AA63">
        <v>4</v>
      </c>
      <c r="AC63" t="s">
        <v>186</v>
      </c>
      <c r="AD63">
        <v>4</v>
      </c>
      <c r="AF63" t="s">
        <v>186</v>
      </c>
      <c r="AG63">
        <v>3</v>
      </c>
      <c r="AI63" t="s">
        <v>928</v>
      </c>
      <c r="AK63" t="s">
        <v>189</v>
      </c>
      <c r="AL63" t="s">
        <v>189</v>
      </c>
      <c r="AM63" t="s">
        <v>189</v>
      </c>
      <c r="AO63" t="s">
        <v>472</v>
      </c>
      <c r="AP63" t="s">
        <v>178</v>
      </c>
      <c r="AQ63" t="s">
        <v>254</v>
      </c>
      <c r="AR63" t="s">
        <v>254</v>
      </c>
      <c r="AS63" t="s">
        <v>180</v>
      </c>
      <c r="AT63" t="s">
        <v>355</v>
      </c>
      <c r="AU63" t="s">
        <v>180</v>
      </c>
      <c r="AV63" t="s">
        <v>180</v>
      </c>
      <c r="AW63" t="s">
        <v>180</v>
      </c>
      <c r="AY63" t="s">
        <v>192</v>
      </c>
      <c r="BB63" t="s">
        <v>192</v>
      </c>
      <c r="BE63" t="s">
        <v>192</v>
      </c>
      <c r="BH63">
        <v>4</v>
      </c>
      <c r="BI63">
        <v>3</v>
      </c>
      <c r="BJ63">
        <v>5</v>
      </c>
      <c r="BK63">
        <v>1</v>
      </c>
      <c r="BL63">
        <v>2</v>
      </c>
      <c r="BM63">
        <v>6</v>
      </c>
      <c r="BN63">
        <v>7</v>
      </c>
      <c r="BP63" t="s">
        <v>193</v>
      </c>
    </row>
    <row r="64" spans="1:68">
      <c r="A64" s="4">
        <v>47713862502</v>
      </c>
      <c r="B64" s="4" t="s">
        <v>929</v>
      </c>
      <c r="C64" s="1" t="s">
        <v>100</v>
      </c>
      <c r="D64" s="5" t="str">
        <f t="shared" si="3"/>
        <v>1</v>
      </c>
      <c r="E64" s="5" t="str">
        <f>IFERROR(IF(VLOOKUP(A64,Base!AA:AA,1,0)&gt;0,"1","0"),"0")</f>
        <v>0</v>
      </c>
      <c r="F64" s="5" t="str">
        <f t="shared" si="4"/>
        <v>-</v>
      </c>
      <c r="G64" s="5" t="str">
        <f t="shared" si="5"/>
        <v>0</v>
      </c>
      <c r="H64" t="s">
        <v>930</v>
      </c>
      <c r="I64" t="s">
        <v>931</v>
      </c>
      <c r="K64" t="s">
        <v>932</v>
      </c>
      <c r="L64" t="s">
        <v>933</v>
      </c>
      <c r="M64" t="s">
        <v>934</v>
      </c>
      <c r="N64" t="s">
        <v>935</v>
      </c>
      <c r="O64" t="s">
        <v>215</v>
      </c>
      <c r="P64" t="s">
        <v>178</v>
      </c>
      <c r="Q64" t="s">
        <v>178</v>
      </c>
      <c r="R64" t="s">
        <v>180</v>
      </c>
      <c r="S64" t="s">
        <v>202</v>
      </c>
      <c r="T64" t="s">
        <v>882</v>
      </c>
      <c r="U64" t="s">
        <v>936</v>
      </c>
      <c r="V64" t="s">
        <v>937</v>
      </c>
      <c r="W64" t="s">
        <v>179</v>
      </c>
      <c r="X64" t="s">
        <v>938</v>
      </c>
      <c r="Y64" t="s">
        <v>939</v>
      </c>
      <c r="Z64" t="s">
        <v>186</v>
      </c>
      <c r="AA64">
        <v>4</v>
      </c>
      <c r="AC64" t="s">
        <v>186</v>
      </c>
      <c r="AD64">
        <v>2</v>
      </c>
      <c r="AE64" t="s">
        <v>940</v>
      </c>
      <c r="AF64" t="s">
        <v>205</v>
      </c>
      <c r="AI64" t="s">
        <v>941</v>
      </c>
      <c r="AJ64" t="s">
        <v>942</v>
      </c>
      <c r="AK64" t="s">
        <v>252</v>
      </c>
      <c r="AL64" t="s">
        <v>189</v>
      </c>
      <c r="AM64" t="s">
        <v>252</v>
      </c>
      <c r="AN64" t="s">
        <v>943</v>
      </c>
      <c r="AO64" t="s">
        <v>282</v>
      </c>
      <c r="AP64" t="s">
        <v>179</v>
      </c>
      <c r="AQ64" t="s">
        <v>180</v>
      </c>
      <c r="AR64" t="s">
        <v>180</v>
      </c>
      <c r="AS64" t="s">
        <v>180</v>
      </c>
      <c r="AT64" t="s">
        <v>180</v>
      </c>
      <c r="AU64" t="s">
        <v>180</v>
      </c>
      <c r="AV64" t="s">
        <v>180</v>
      </c>
      <c r="AW64" t="s">
        <v>180</v>
      </c>
      <c r="AX64" t="s">
        <v>943</v>
      </c>
      <c r="AY64" t="s">
        <v>191</v>
      </c>
      <c r="AZ64" t="s">
        <v>178</v>
      </c>
      <c r="BA64" t="s">
        <v>943</v>
      </c>
      <c r="BB64" t="s">
        <v>192</v>
      </c>
      <c r="BE64" t="s">
        <v>191</v>
      </c>
      <c r="BF64" t="s">
        <v>178</v>
      </c>
      <c r="BG64" t="s">
        <v>943</v>
      </c>
      <c r="BH64">
        <v>6</v>
      </c>
      <c r="BI64">
        <v>5</v>
      </c>
      <c r="BJ64">
        <v>7</v>
      </c>
      <c r="BK64">
        <v>4</v>
      </c>
      <c r="BL64">
        <v>1</v>
      </c>
      <c r="BM64">
        <v>2</v>
      </c>
      <c r="BN64">
        <v>3</v>
      </c>
      <c r="BP64" t="s">
        <v>193</v>
      </c>
    </row>
    <row r="65" spans="1:68">
      <c r="A65" s="4">
        <v>69746651</v>
      </c>
      <c r="B65" s="4" t="s">
        <v>944</v>
      </c>
      <c r="C65" s="1" t="s">
        <v>100</v>
      </c>
      <c r="D65" s="5" t="str">
        <f t="shared" si="3"/>
        <v>1</v>
      </c>
      <c r="E65" s="5" t="str">
        <f>IFERROR(IF(VLOOKUP(A65,Base!AA:AA,1,0)&gt;0,"1","0"),"0")</f>
        <v>1</v>
      </c>
      <c r="F65" s="5" t="str">
        <f t="shared" si="4"/>
        <v>-</v>
      </c>
      <c r="G65" s="5" t="str">
        <f t="shared" si="5"/>
        <v>0</v>
      </c>
      <c r="H65" t="s">
        <v>945</v>
      </c>
      <c r="I65" t="s">
        <v>946</v>
      </c>
      <c r="K65" t="s">
        <v>947</v>
      </c>
      <c r="L65" t="s">
        <v>948</v>
      </c>
      <c r="M65" t="s">
        <v>949</v>
      </c>
      <c r="N65" t="s">
        <v>950</v>
      </c>
      <c r="O65" t="s">
        <v>201</v>
      </c>
      <c r="P65" t="s">
        <v>178</v>
      </c>
      <c r="Q65" t="s">
        <v>179</v>
      </c>
      <c r="R65" t="s">
        <v>180</v>
      </c>
      <c r="S65" t="s">
        <v>202</v>
      </c>
      <c r="T65" t="s">
        <v>216</v>
      </c>
      <c r="V65" t="s">
        <v>190</v>
      </c>
      <c r="W65" t="s">
        <v>179</v>
      </c>
      <c r="X65" t="s">
        <v>185</v>
      </c>
      <c r="Z65" t="s">
        <v>186</v>
      </c>
      <c r="AA65">
        <v>4</v>
      </c>
      <c r="AC65" t="s">
        <v>186</v>
      </c>
      <c r="AD65">
        <v>4</v>
      </c>
      <c r="AF65" t="s">
        <v>205</v>
      </c>
      <c r="AI65" t="s">
        <v>951</v>
      </c>
      <c r="AK65" t="s">
        <v>189</v>
      </c>
      <c r="AL65" t="s">
        <v>189</v>
      </c>
      <c r="AM65" t="s">
        <v>189</v>
      </c>
      <c r="AN65" t="s">
        <v>952</v>
      </c>
      <c r="AO65" t="s">
        <v>846</v>
      </c>
      <c r="AP65" t="s">
        <v>179</v>
      </c>
      <c r="AQ65" t="s">
        <v>180</v>
      </c>
      <c r="AR65" t="s">
        <v>180</v>
      </c>
      <c r="AS65" t="s">
        <v>180</v>
      </c>
      <c r="AT65" t="s">
        <v>180</v>
      </c>
      <c r="AU65" t="s">
        <v>180</v>
      </c>
      <c r="AV65" t="s">
        <v>180</v>
      </c>
      <c r="AW65" t="s">
        <v>180</v>
      </c>
      <c r="AX65" t="s">
        <v>953</v>
      </c>
      <c r="AY65" t="s">
        <v>191</v>
      </c>
      <c r="AZ65" t="s">
        <v>178</v>
      </c>
      <c r="BA65" t="s">
        <v>954</v>
      </c>
      <c r="BB65" t="s">
        <v>192</v>
      </c>
      <c r="BE65" t="s">
        <v>192</v>
      </c>
      <c r="BH65">
        <v>7</v>
      </c>
      <c r="BI65">
        <v>1</v>
      </c>
      <c r="BJ65">
        <v>5</v>
      </c>
      <c r="BK65">
        <v>6</v>
      </c>
      <c r="BL65">
        <v>2</v>
      </c>
      <c r="BM65">
        <v>3</v>
      </c>
      <c r="BN65">
        <v>4</v>
      </c>
      <c r="BP65" t="s">
        <v>193</v>
      </c>
    </row>
    <row r="66" spans="1:68">
      <c r="A66" s="4">
        <v>355214089002</v>
      </c>
      <c r="B66" s="4" t="s">
        <v>101</v>
      </c>
      <c r="C66" s="1" t="s">
        <v>100</v>
      </c>
      <c r="D66" s="5" t="str">
        <f t="shared" si="3"/>
        <v>1</v>
      </c>
      <c r="E66" s="5" t="str">
        <f>IFERROR(IF(VLOOKUP(A66,Base!AA:AA,1,0)&gt;0,"1","0"),"0")</f>
        <v>1</v>
      </c>
      <c r="F66" s="5" t="str">
        <f t="shared" si="4"/>
        <v>1</v>
      </c>
      <c r="G66" s="5" t="str">
        <f t="shared" si="5"/>
        <v>1</v>
      </c>
      <c r="H66" t="s">
        <v>955</v>
      </c>
      <c r="I66" t="s">
        <v>956</v>
      </c>
      <c r="K66" t="s">
        <v>101</v>
      </c>
      <c r="L66" t="s">
        <v>957</v>
      </c>
      <c r="M66" t="s">
        <v>958</v>
      </c>
      <c r="N66" t="s">
        <v>959</v>
      </c>
      <c r="O66" t="s">
        <v>215</v>
      </c>
      <c r="P66" t="s">
        <v>54</v>
      </c>
      <c r="Q66" t="s">
        <v>54</v>
      </c>
      <c r="R66" t="s">
        <v>355</v>
      </c>
      <c r="S66" t="s">
        <v>405</v>
      </c>
      <c r="T66" t="s">
        <v>216</v>
      </c>
      <c r="V66" t="s">
        <v>190</v>
      </c>
      <c r="W66" t="s">
        <v>184</v>
      </c>
      <c r="X66" t="s">
        <v>960</v>
      </c>
      <c r="Z66" t="s">
        <v>186</v>
      </c>
      <c r="AA66">
        <v>5</v>
      </c>
      <c r="AC66" t="s">
        <v>186</v>
      </c>
      <c r="AD66">
        <v>5</v>
      </c>
      <c r="AF66" t="s">
        <v>205</v>
      </c>
      <c r="AI66" t="s">
        <v>961</v>
      </c>
      <c r="AK66" t="s">
        <v>189</v>
      </c>
      <c r="AL66" t="s">
        <v>189</v>
      </c>
      <c r="AM66" t="s">
        <v>189</v>
      </c>
      <c r="AN66" t="s">
        <v>962</v>
      </c>
      <c r="AO66" t="s">
        <v>472</v>
      </c>
      <c r="AP66" t="s">
        <v>179</v>
      </c>
      <c r="AQ66" t="s">
        <v>180</v>
      </c>
      <c r="AR66" t="s">
        <v>180</v>
      </c>
      <c r="AS66" t="s">
        <v>180</v>
      </c>
      <c r="AT66" t="s">
        <v>180</v>
      </c>
      <c r="AU66" t="s">
        <v>180</v>
      </c>
      <c r="AV66" t="s">
        <v>180</v>
      </c>
      <c r="AW66" t="s">
        <v>180</v>
      </c>
      <c r="AX66" t="s">
        <v>963</v>
      </c>
      <c r="AY66" t="s">
        <v>191</v>
      </c>
      <c r="AZ66" t="s">
        <v>179</v>
      </c>
      <c r="BA66" t="s">
        <v>964</v>
      </c>
      <c r="BB66" t="s">
        <v>191</v>
      </c>
      <c r="BC66" t="s">
        <v>178</v>
      </c>
      <c r="BE66" t="s">
        <v>192</v>
      </c>
      <c r="BH66">
        <v>4</v>
      </c>
      <c r="BI66">
        <v>2</v>
      </c>
      <c r="BJ66">
        <v>5</v>
      </c>
      <c r="BK66">
        <v>1</v>
      </c>
      <c r="BL66">
        <v>7</v>
      </c>
      <c r="BM66">
        <v>6</v>
      </c>
      <c r="BN66">
        <v>3</v>
      </c>
      <c r="BP66" t="s">
        <v>193</v>
      </c>
    </row>
    <row r="67" spans="1:68">
      <c r="A67" s="4">
        <v>29271934502</v>
      </c>
      <c r="B67" s="4" t="s">
        <v>965</v>
      </c>
      <c r="C67" s="1" t="s">
        <v>100</v>
      </c>
      <c r="D67" s="5" t="str">
        <f t="shared" ref="D67:D98" si="6">IF(C67="","0","1")</f>
        <v>1</v>
      </c>
      <c r="E67" s="5" t="str">
        <f>IFERROR(IF(VLOOKUP(A67,Base!AA:AA,1,0)&gt;0,"1","0"),"0")</f>
        <v>1</v>
      </c>
      <c r="F67" s="5" t="str">
        <f t="shared" ref="F67:F98" si="7">IF(OR(C67="",E67="0"),"-",IF(BC67="","-",IF(OR(BC67="Muito satisfeito",BC67="Satisfeito"),"1","0")))</f>
        <v>1</v>
      </c>
      <c r="G67" s="5" t="str">
        <f t="shared" ref="G67:G98" si="8">IF(BC67="","0","1")</f>
        <v>1</v>
      </c>
      <c r="H67" t="s">
        <v>966</v>
      </c>
      <c r="I67" t="s">
        <v>967</v>
      </c>
      <c r="K67" t="s">
        <v>968</v>
      </c>
      <c r="L67" t="s">
        <v>969</v>
      </c>
      <c r="M67" t="s">
        <v>970</v>
      </c>
      <c r="N67" t="s">
        <v>971</v>
      </c>
      <c r="O67" t="s">
        <v>215</v>
      </c>
      <c r="P67" t="s">
        <v>178</v>
      </c>
      <c r="Q67" t="s">
        <v>178</v>
      </c>
      <c r="R67" t="s">
        <v>180</v>
      </c>
      <c r="S67" t="s">
        <v>181</v>
      </c>
      <c r="T67" t="s">
        <v>240</v>
      </c>
      <c r="V67" t="s">
        <v>372</v>
      </c>
      <c r="W67" t="s">
        <v>179</v>
      </c>
      <c r="X67" t="s">
        <v>972</v>
      </c>
      <c r="Z67" t="s">
        <v>186</v>
      </c>
      <c r="AA67">
        <v>5</v>
      </c>
      <c r="AC67" t="s">
        <v>186</v>
      </c>
      <c r="AD67">
        <v>5</v>
      </c>
      <c r="AF67" t="s">
        <v>205</v>
      </c>
      <c r="AI67" t="s">
        <v>973</v>
      </c>
      <c r="AK67" t="s">
        <v>188</v>
      </c>
      <c r="AL67" t="s">
        <v>188</v>
      </c>
      <c r="AM67" t="s">
        <v>188</v>
      </c>
      <c r="AN67" t="s">
        <v>974</v>
      </c>
      <c r="AO67" t="s">
        <v>472</v>
      </c>
      <c r="AP67" t="s">
        <v>179</v>
      </c>
      <c r="AQ67" t="s">
        <v>180</v>
      </c>
      <c r="AR67" t="s">
        <v>180</v>
      </c>
      <c r="AS67" t="s">
        <v>180</v>
      </c>
      <c r="AT67" t="s">
        <v>180</v>
      </c>
      <c r="AU67" t="s">
        <v>180</v>
      </c>
      <c r="AV67" t="s">
        <v>180</v>
      </c>
      <c r="AW67" t="s">
        <v>180</v>
      </c>
      <c r="AX67" t="s">
        <v>975</v>
      </c>
      <c r="AY67" t="s">
        <v>191</v>
      </c>
      <c r="AZ67" t="s">
        <v>178</v>
      </c>
      <c r="BA67" t="s">
        <v>976</v>
      </c>
      <c r="BB67" t="s">
        <v>191</v>
      </c>
      <c r="BC67" t="s">
        <v>178</v>
      </c>
      <c r="BD67" t="s">
        <v>977</v>
      </c>
      <c r="BE67" t="s">
        <v>191</v>
      </c>
      <c r="BF67" t="s">
        <v>178</v>
      </c>
      <c r="BH67">
        <v>6</v>
      </c>
      <c r="BI67">
        <v>3</v>
      </c>
      <c r="BJ67">
        <v>7</v>
      </c>
      <c r="BK67">
        <v>2</v>
      </c>
      <c r="BL67">
        <v>4</v>
      </c>
      <c r="BM67">
        <v>5</v>
      </c>
      <c r="BN67">
        <v>1</v>
      </c>
      <c r="BP67" t="s">
        <v>193</v>
      </c>
    </row>
    <row r="68" spans="1:68">
      <c r="A68" s="4">
        <v>128174680202</v>
      </c>
      <c r="B68" s="4" t="s">
        <v>978</v>
      </c>
      <c r="C68" s="1" t="s">
        <v>100</v>
      </c>
      <c r="D68" s="5" t="str">
        <f t="shared" si="6"/>
        <v>1</v>
      </c>
      <c r="E68" s="5" t="str">
        <f>IFERROR(IF(VLOOKUP(A68,Base!AA:AA,1,0)&gt;0,"1","0"),"0")</f>
        <v>1</v>
      </c>
      <c r="F68" s="5" t="str">
        <f t="shared" si="7"/>
        <v>1</v>
      </c>
      <c r="G68" s="5" t="str">
        <f t="shared" si="8"/>
        <v>1</v>
      </c>
      <c r="H68" t="s">
        <v>979</v>
      </c>
      <c r="I68" t="s">
        <v>980</v>
      </c>
      <c r="K68" t="s">
        <v>981</v>
      </c>
      <c r="L68" t="s">
        <v>982</v>
      </c>
      <c r="M68" t="s">
        <v>983</v>
      </c>
      <c r="N68" t="s">
        <v>984</v>
      </c>
      <c r="O68" t="s">
        <v>177</v>
      </c>
      <c r="P68" t="s">
        <v>179</v>
      </c>
      <c r="Q68" t="s">
        <v>179</v>
      </c>
      <c r="R68" t="s">
        <v>180</v>
      </c>
      <c r="S68" t="s">
        <v>202</v>
      </c>
      <c r="T68" t="s">
        <v>203</v>
      </c>
      <c r="U68" t="s">
        <v>985</v>
      </c>
      <c r="V68" t="s">
        <v>986</v>
      </c>
      <c r="W68" t="s">
        <v>179</v>
      </c>
      <c r="X68" t="s">
        <v>806</v>
      </c>
      <c r="Y68" t="s">
        <v>987</v>
      </c>
      <c r="Z68" t="s">
        <v>186</v>
      </c>
      <c r="AA68">
        <v>5</v>
      </c>
      <c r="AB68" t="s">
        <v>988</v>
      </c>
      <c r="AC68" t="s">
        <v>186</v>
      </c>
      <c r="AD68">
        <v>5</v>
      </c>
      <c r="AE68" t="s">
        <v>989</v>
      </c>
      <c r="AF68" t="s">
        <v>205</v>
      </c>
      <c r="AI68" t="s">
        <v>733</v>
      </c>
      <c r="AJ68" t="s">
        <v>990</v>
      </c>
      <c r="AK68" t="s">
        <v>189</v>
      </c>
      <c r="AL68" t="s">
        <v>189</v>
      </c>
      <c r="AM68" t="s">
        <v>189</v>
      </c>
      <c r="AO68" t="s">
        <v>472</v>
      </c>
      <c r="AP68" t="s">
        <v>179</v>
      </c>
      <c r="AQ68" t="s">
        <v>180</v>
      </c>
      <c r="AR68" t="s">
        <v>180</v>
      </c>
      <c r="AS68" t="s">
        <v>180</v>
      </c>
      <c r="AT68" t="s">
        <v>180</v>
      </c>
      <c r="AU68" t="s">
        <v>180</v>
      </c>
      <c r="AV68" t="s">
        <v>254</v>
      </c>
      <c r="AW68" t="s">
        <v>180</v>
      </c>
      <c r="AY68" t="s">
        <v>191</v>
      </c>
      <c r="AZ68" t="s">
        <v>179</v>
      </c>
      <c r="BB68" t="s">
        <v>191</v>
      </c>
      <c r="BC68" t="s">
        <v>178</v>
      </c>
      <c r="BE68" t="s">
        <v>192</v>
      </c>
      <c r="BH68">
        <v>4</v>
      </c>
      <c r="BI68">
        <v>7</v>
      </c>
      <c r="BJ68">
        <v>6</v>
      </c>
      <c r="BK68">
        <v>3</v>
      </c>
      <c r="BL68">
        <v>1</v>
      </c>
      <c r="BM68">
        <v>5</v>
      </c>
      <c r="BN68">
        <v>2</v>
      </c>
      <c r="BP68" t="s">
        <v>193</v>
      </c>
    </row>
    <row r="69" spans="1:68">
      <c r="A69" s="4">
        <v>302130688502</v>
      </c>
      <c r="B69" s="4" t="s">
        <v>991</v>
      </c>
      <c r="C69" s="1" t="s">
        <v>245</v>
      </c>
      <c r="D69" s="5" t="str">
        <f t="shared" si="6"/>
        <v>0</v>
      </c>
      <c r="E69" s="5" t="str">
        <f>IFERROR(IF(VLOOKUP(A69,Base!AA:AA,1,0)&gt;0,"1","0"),"0")</f>
        <v>0</v>
      </c>
      <c r="F69" s="5" t="str">
        <f t="shared" si="7"/>
        <v>-</v>
      </c>
      <c r="G69" s="5" t="str">
        <f t="shared" si="8"/>
        <v>1</v>
      </c>
      <c r="H69" t="s">
        <v>992</v>
      </c>
      <c r="I69" t="s">
        <v>993</v>
      </c>
      <c r="K69" t="s">
        <v>991</v>
      </c>
      <c r="L69" t="s">
        <v>994</v>
      </c>
      <c r="M69" t="s">
        <v>995</v>
      </c>
      <c r="N69" t="s">
        <v>996</v>
      </c>
      <c r="O69" t="s">
        <v>201</v>
      </c>
      <c r="P69" t="s">
        <v>55</v>
      </c>
      <c r="Q69" t="s">
        <v>56</v>
      </c>
      <c r="R69" t="s">
        <v>180</v>
      </c>
      <c r="S69" t="s">
        <v>997</v>
      </c>
      <c r="T69" t="s">
        <v>216</v>
      </c>
      <c r="U69" t="s">
        <v>998</v>
      </c>
      <c r="V69" t="s">
        <v>353</v>
      </c>
      <c r="W69" t="s">
        <v>55</v>
      </c>
      <c r="X69" t="s">
        <v>999</v>
      </c>
      <c r="Y69" t="s">
        <v>1000</v>
      </c>
      <c r="Z69" t="s">
        <v>205</v>
      </c>
      <c r="AC69" t="s">
        <v>205</v>
      </c>
      <c r="AF69" t="s">
        <v>205</v>
      </c>
      <c r="AI69" t="s">
        <v>928</v>
      </c>
      <c r="AJ69" t="s">
        <v>1001</v>
      </c>
      <c r="AK69" t="s">
        <v>189</v>
      </c>
      <c r="AL69" t="s">
        <v>189</v>
      </c>
      <c r="AM69" t="s">
        <v>189</v>
      </c>
      <c r="AO69" t="s">
        <v>550</v>
      </c>
      <c r="AP69" t="s">
        <v>179</v>
      </c>
      <c r="AQ69" t="s">
        <v>180</v>
      </c>
      <c r="AR69" t="s">
        <v>180</v>
      </c>
      <c r="AS69" t="s">
        <v>180</v>
      </c>
      <c r="AT69" t="s">
        <v>180</v>
      </c>
      <c r="AU69" t="s">
        <v>180</v>
      </c>
      <c r="AV69" t="s">
        <v>180</v>
      </c>
      <c r="AW69" t="s">
        <v>180</v>
      </c>
      <c r="AY69" t="s">
        <v>192</v>
      </c>
      <c r="BB69" t="s">
        <v>191</v>
      </c>
      <c r="BC69" t="s">
        <v>179</v>
      </c>
      <c r="BE69" t="s">
        <v>191</v>
      </c>
      <c r="BF69" t="s">
        <v>179</v>
      </c>
      <c r="BH69">
        <v>1</v>
      </c>
      <c r="BI69">
        <v>2</v>
      </c>
      <c r="BJ69">
        <v>3</v>
      </c>
      <c r="BK69">
        <v>4</v>
      </c>
      <c r="BL69">
        <v>5</v>
      </c>
      <c r="BM69">
        <v>6</v>
      </c>
      <c r="BN69">
        <v>7</v>
      </c>
      <c r="BP69" t="s">
        <v>193</v>
      </c>
    </row>
    <row r="70" spans="1:68">
      <c r="A70" s="4">
        <v>153775969402</v>
      </c>
      <c r="B70" s="4" t="s">
        <v>1002</v>
      </c>
      <c r="C70" s="1" t="s">
        <v>36</v>
      </c>
      <c r="D70" s="5" t="str">
        <f t="shared" si="6"/>
        <v>1</v>
      </c>
      <c r="E70" s="5" t="str">
        <f>IFERROR(IF(VLOOKUP(A70,Base!AA:AA,1,0)&gt;0,"1","0"),"0")</f>
        <v>1</v>
      </c>
      <c r="F70" s="5" t="str">
        <f t="shared" si="7"/>
        <v>-</v>
      </c>
      <c r="G70" s="5" t="str">
        <f t="shared" si="8"/>
        <v>0</v>
      </c>
      <c r="H70" t="s">
        <v>1003</v>
      </c>
      <c r="I70" t="s">
        <v>1004</v>
      </c>
      <c r="K70" t="s">
        <v>1005</v>
      </c>
      <c r="L70" t="s">
        <v>1006</v>
      </c>
      <c r="M70" t="s">
        <v>1007</v>
      </c>
      <c r="N70" t="s">
        <v>1008</v>
      </c>
      <c r="O70" t="s">
        <v>215</v>
      </c>
      <c r="P70" t="s">
        <v>178</v>
      </c>
      <c r="Q70" t="s">
        <v>179</v>
      </c>
      <c r="R70" t="s">
        <v>254</v>
      </c>
      <c r="S70" t="s">
        <v>181</v>
      </c>
      <c r="T70" t="s">
        <v>216</v>
      </c>
      <c r="V70" t="s">
        <v>207</v>
      </c>
      <c r="W70" t="s">
        <v>179</v>
      </c>
      <c r="X70" t="s">
        <v>185</v>
      </c>
      <c r="Z70" t="s">
        <v>205</v>
      </c>
      <c r="AC70" t="s">
        <v>186</v>
      </c>
      <c r="AD70">
        <v>5</v>
      </c>
      <c r="AF70" t="s">
        <v>205</v>
      </c>
      <c r="AI70" t="s">
        <v>858</v>
      </c>
      <c r="AK70" t="s">
        <v>189</v>
      </c>
      <c r="AL70" t="s">
        <v>189</v>
      </c>
      <c r="AM70" t="s">
        <v>189</v>
      </c>
      <c r="AN70" t="s">
        <v>1009</v>
      </c>
      <c r="AO70" t="s">
        <v>1010</v>
      </c>
      <c r="AP70" t="s">
        <v>179</v>
      </c>
      <c r="AQ70" t="s">
        <v>180</v>
      </c>
      <c r="AR70" t="s">
        <v>180</v>
      </c>
      <c r="AS70" t="s">
        <v>180</v>
      </c>
      <c r="AT70" t="s">
        <v>180</v>
      </c>
      <c r="AU70" t="s">
        <v>180</v>
      </c>
      <c r="AV70" t="s">
        <v>180</v>
      </c>
      <c r="AW70" t="s">
        <v>180</v>
      </c>
      <c r="AX70" t="s">
        <v>1011</v>
      </c>
      <c r="AY70" t="s">
        <v>192</v>
      </c>
      <c r="BB70" t="s">
        <v>192</v>
      </c>
      <c r="BE70" t="s">
        <v>191</v>
      </c>
      <c r="BF70" t="s">
        <v>179</v>
      </c>
      <c r="BH70">
        <v>5</v>
      </c>
      <c r="BI70">
        <v>4</v>
      </c>
      <c r="BJ70">
        <v>7</v>
      </c>
      <c r="BK70">
        <v>1</v>
      </c>
      <c r="BL70">
        <v>2</v>
      </c>
      <c r="BM70">
        <v>3</v>
      </c>
      <c r="BN70">
        <v>6</v>
      </c>
      <c r="BO70" t="s">
        <v>1012</v>
      </c>
      <c r="BP70" t="s">
        <v>193</v>
      </c>
    </row>
    <row r="71" spans="1:68">
      <c r="A71" s="4">
        <v>352653660902</v>
      </c>
      <c r="B71" s="4" t="s">
        <v>1013</v>
      </c>
      <c r="C71" s="1" t="s">
        <v>245</v>
      </c>
      <c r="D71" s="5" t="str">
        <f t="shared" si="6"/>
        <v>0</v>
      </c>
      <c r="E71" s="5" t="str">
        <f>IFERROR(IF(VLOOKUP(A71,Base!AA:AA,1,0)&gt;0,"1","0"),"0")</f>
        <v>0</v>
      </c>
      <c r="F71" s="5" t="str">
        <f t="shared" si="7"/>
        <v>-</v>
      </c>
      <c r="G71" s="5" t="str">
        <f t="shared" si="8"/>
        <v>1</v>
      </c>
      <c r="H71" t="s">
        <v>1014</v>
      </c>
      <c r="I71" t="s">
        <v>1015</v>
      </c>
      <c r="K71" t="s">
        <v>1013</v>
      </c>
      <c r="L71" t="s">
        <v>1016</v>
      </c>
      <c r="M71" t="s">
        <v>1017</v>
      </c>
      <c r="N71" t="s">
        <v>1018</v>
      </c>
      <c r="O71" t="s">
        <v>201</v>
      </c>
      <c r="P71" t="s">
        <v>178</v>
      </c>
      <c r="Q71" t="s">
        <v>178</v>
      </c>
      <c r="R71" t="s">
        <v>180</v>
      </c>
      <c r="S71" t="s">
        <v>181</v>
      </c>
      <c r="T71" t="s">
        <v>1019</v>
      </c>
      <c r="V71" t="s">
        <v>1020</v>
      </c>
      <c r="W71" t="s">
        <v>179</v>
      </c>
      <c r="X71" t="s">
        <v>185</v>
      </c>
      <c r="Z71" t="s">
        <v>205</v>
      </c>
      <c r="AC71" t="s">
        <v>205</v>
      </c>
      <c r="AF71" t="s">
        <v>205</v>
      </c>
      <c r="AI71" t="s">
        <v>1021</v>
      </c>
      <c r="AK71" t="s">
        <v>189</v>
      </c>
      <c r="AL71" t="s">
        <v>189</v>
      </c>
      <c r="AM71" t="s">
        <v>188</v>
      </c>
      <c r="AN71" t="s">
        <v>1022</v>
      </c>
      <c r="AO71" t="s">
        <v>243</v>
      </c>
      <c r="AP71" t="s">
        <v>179</v>
      </c>
      <c r="AQ71" t="s">
        <v>180</v>
      </c>
      <c r="AR71" t="s">
        <v>180</v>
      </c>
      <c r="AS71" t="s">
        <v>180</v>
      </c>
      <c r="AT71" t="s">
        <v>180</v>
      </c>
      <c r="AU71" t="s">
        <v>180</v>
      </c>
      <c r="AV71" t="s">
        <v>180</v>
      </c>
      <c r="AW71" t="s">
        <v>180</v>
      </c>
      <c r="AX71" t="s">
        <v>1022</v>
      </c>
      <c r="AY71" t="s">
        <v>191</v>
      </c>
      <c r="AZ71" t="s">
        <v>178</v>
      </c>
      <c r="BA71" t="s">
        <v>1022</v>
      </c>
      <c r="BB71" t="s">
        <v>191</v>
      </c>
      <c r="BC71" t="s">
        <v>178</v>
      </c>
      <c r="BD71" t="s">
        <v>1022</v>
      </c>
      <c r="BE71" t="s">
        <v>192</v>
      </c>
      <c r="BH71">
        <v>7</v>
      </c>
      <c r="BI71">
        <v>6</v>
      </c>
      <c r="BJ71">
        <v>5</v>
      </c>
      <c r="BK71">
        <v>2</v>
      </c>
      <c r="BL71">
        <v>1</v>
      </c>
      <c r="BM71">
        <v>4</v>
      </c>
      <c r="BN71">
        <v>3</v>
      </c>
      <c r="BO71" t="s">
        <v>1023</v>
      </c>
      <c r="BP71" t="s">
        <v>193</v>
      </c>
    </row>
    <row r="72" spans="1:68">
      <c r="A72" s="4">
        <v>60238888002</v>
      </c>
      <c r="B72" s="4" t="s">
        <v>1024</v>
      </c>
      <c r="C72" s="1" t="s">
        <v>38</v>
      </c>
      <c r="D72" s="5" t="str">
        <f t="shared" si="6"/>
        <v>1</v>
      </c>
      <c r="E72" s="5" t="str">
        <f>IFERROR(IF(VLOOKUP(A72,Base!AA:AA,1,0)&gt;0,"1","0"),"0")</f>
        <v>1</v>
      </c>
      <c r="F72" s="5" t="str">
        <f t="shared" si="7"/>
        <v>-</v>
      </c>
      <c r="G72" s="5" t="str">
        <f t="shared" si="8"/>
        <v>0</v>
      </c>
      <c r="H72" t="s">
        <v>1025</v>
      </c>
      <c r="I72" t="s">
        <v>1026</v>
      </c>
      <c r="K72" t="s">
        <v>1027</v>
      </c>
      <c r="L72" t="s">
        <v>1028</v>
      </c>
      <c r="M72" t="s">
        <v>1029</v>
      </c>
      <c r="N72" t="s">
        <v>1030</v>
      </c>
      <c r="O72" t="s">
        <v>177</v>
      </c>
      <c r="P72" t="s">
        <v>179</v>
      </c>
      <c r="Q72" t="s">
        <v>179</v>
      </c>
      <c r="R72" t="s">
        <v>180</v>
      </c>
      <c r="S72" t="s">
        <v>181</v>
      </c>
      <c r="T72" t="s">
        <v>216</v>
      </c>
      <c r="V72" t="s">
        <v>266</v>
      </c>
      <c r="W72" t="s">
        <v>179</v>
      </c>
      <c r="X72" t="s">
        <v>185</v>
      </c>
      <c r="Z72" t="s">
        <v>205</v>
      </c>
      <c r="AC72" t="s">
        <v>205</v>
      </c>
      <c r="AF72" t="s">
        <v>205</v>
      </c>
      <c r="AI72" t="s">
        <v>1031</v>
      </c>
      <c r="AK72" t="s">
        <v>189</v>
      </c>
      <c r="AL72" t="s">
        <v>189</v>
      </c>
      <c r="AM72" t="s">
        <v>189</v>
      </c>
      <c r="AN72" t="s">
        <v>192</v>
      </c>
      <c r="AO72" t="s">
        <v>190</v>
      </c>
      <c r="AP72" t="s">
        <v>179</v>
      </c>
      <c r="AQ72" t="s">
        <v>180</v>
      </c>
      <c r="AR72" t="s">
        <v>180</v>
      </c>
      <c r="AS72" t="s">
        <v>180</v>
      </c>
      <c r="AT72" t="s">
        <v>180</v>
      </c>
      <c r="AU72" t="s">
        <v>180</v>
      </c>
      <c r="AV72" t="s">
        <v>180</v>
      </c>
      <c r="AW72" t="s">
        <v>180</v>
      </c>
      <c r="AX72" t="s">
        <v>192</v>
      </c>
      <c r="AY72" t="s">
        <v>191</v>
      </c>
      <c r="AZ72" t="s">
        <v>179</v>
      </c>
      <c r="BA72" t="s">
        <v>192</v>
      </c>
      <c r="BB72" t="s">
        <v>192</v>
      </c>
      <c r="BE72" t="s">
        <v>192</v>
      </c>
      <c r="BH72">
        <v>2</v>
      </c>
      <c r="BI72">
        <v>3</v>
      </c>
      <c r="BJ72">
        <v>5</v>
      </c>
      <c r="BK72">
        <v>4</v>
      </c>
      <c r="BL72">
        <v>6</v>
      </c>
      <c r="BM72">
        <v>1</v>
      </c>
      <c r="BN72">
        <v>7</v>
      </c>
      <c r="BP72" t="s">
        <v>193</v>
      </c>
    </row>
    <row r="73" spans="1:68">
      <c r="A73" s="4">
        <v>560201489502</v>
      </c>
      <c r="B73" s="4" t="s">
        <v>1032</v>
      </c>
      <c r="C73" s="1" t="s">
        <v>37</v>
      </c>
      <c r="D73" s="5" t="str">
        <f t="shared" si="6"/>
        <v>1</v>
      </c>
      <c r="E73" s="5" t="str">
        <f>IFERROR(IF(VLOOKUP(A73,Base!AA:AA,1,0)&gt;0,"1","0"),"0")</f>
        <v>1</v>
      </c>
      <c r="F73" s="5" t="str">
        <f t="shared" si="7"/>
        <v>1</v>
      </c>
      <c r="G73" s="5" t="str">
        <f t="shared" si="8"/>
        <v>1</v>
      </c>
      <c r="H73" t="s">
        <v>1033</v>
      </c>
      <c r="I73" t="s">
        <v>1034</v>
      </c>
      <c r="K73" t="s">
        <v>1035</v>
      </c>
      <c r="L73" t="s">
        <v>1036</v>
      </c>
      <c r="M73" t="s">
        <v>1037</v>
      </c>
      <c r="N73" t="s">
        <v>1038</v>
      </c>
      <c r="O73" t="s">
        <v>201</v>
      </c>
      <c r="P73" t="s">
        <v>54</v>
      </c>
      <c r="Q73" t="s">
        <v>179</v>
      </c>
      <c r="R73" t="s">
        <v>254</v>
      </c>
      <c r="S73" t="s">
        <v>181</v>
      </c>
      <c r="T73" t="s">
        <v>216</v>
      </c>
      <c r="U73" t="s">
        <v>1039</v>
      </c>
      <c r="V73" t="s">
        <v>472</v>
      </c>
      <c r="W73" t="s">
        <v>179</v>
      </c>
      <c r="X73" t="s">
        <v>185</v>
      </c>
      <c r="Y73" t="s">
        <v>1040</v>
      </c>
      <c r="Z73" t="s">
        <v>186</v>
      </c>
      <c r="AA73">
        <v>5</v>
      </c>
      <c r="AB73" t="s">
        <v>324</v>
      </c>
      <c r="AC73" t="s">
        <v>186</v>
      </c>
      <c r="AD73">
        <v>5</v>
      </c>
      <c r="AE73" t="s">
        <v>1041</v>
      </c>
      <c r="AF73" t="s">
        <v>205</v>
      </c>
      <c r="AI73" t="s">
        <v>1042</v>
      </c>
      <c r="AJ73" t="s">
        <v>1043</v>
      </c>
      <c r="AK73" t="s">
        <v>189</v>
      </c>
      <c r="AL73" t="s">
        <v>188</v>
      </c>
      <c r="AM73" t="s">
        <v>189</v>
      </c>
      <c r="AN73" t="s">
        <v>1044</v>
      </c>
      <c r="AO73" t="s">
        <v>1045</v>
      </c>
      <c r="AP73" t="s">
        <v>179</v>
      </c>
      <c r="AQ73" t="s">
        <v>180</v>
      </c>
      <c r="AR73" t="s">
        <v>180</v>
      </c>
      <c r="AS73" t="s">
        <v>180</v>
      </c>
      <c r="AT73" t="s">
        <v>180</v>
      </c>
      <c r="AU73" t="s">
        <v>180</v>
      </c>
      <c r="AV73" t="s">
        <v>180</v>
      </c>
      <c r="AW73" t="s">
        <v>180</v>
      </c>
      <c r="AX73" t="s">
        <v>1046</v>
      </c>
      <c r="AY73" t="s">
        <v>192</v>
      </c>
      <c r="BB73" t="s">
        <v>191</v>
      </c>
      <c r="BC73" t="s">
        <v>178</v>
      </c>
      <c r="BD73" t="s">
        <v>1047</v>
      </c>
      <c r="BE73" t="s">
        <v>192</v>
      </c>
      <c r="BH73">
        <v>4</v>
      </c>
      <c r="BI73">
        <v>6</v>
      </c>
      <c r="BJ73">
        <v>7</v>
      </c>
      <c r="BK73">
        <v>5</v>
      </c>
      <c r="BL73">
        <v>1</v>
      </c>
      <c r="BM73">
        <v>2</v>
      </c>
      <c r="BN73">
        <v>3</v>
      </c>
      <c r="BO73" t="s">
        <v>1048</v>
      </c>
      <c r="BP73" t="s">
        <v>193</v>
      </c>
    </row>
    <row r="74" spans="1:68">
      <c r="A74" s="4">
        <v>430279805602</v>
      </c>
      <c r="B74" s="4" t="s">
        <v>1049</v>
      </c>
      <c r="C74" s="1" t="s">
        <v>38</v>
      </c>
      <c r="D74" s="5" t="str">
        <f t="shared" si="6"/>
        <v>1</v>
      </c>
      <c r="E74" s="5" t="str">
        <f>IFERROR(IF(VLOOKUP(A74,Base!AA:AA,1,0)&gt;0,"1","0"),"0")</f>
        <v>1</v>
      </c>
      <c r="F74" s="5" t="str">
        <f t="shared" si="7"/>
        <v>1</v>
      </c>
      <c r="G74" s="5" t="str">
        <f t="shared" si="8"/>
        <v>1</v>
      </c>
      <c r="H74" t="s">
        <v>1050</v>
      </c>
      <c r="I74" t="s">
        <v>1051</v>
      </c>
      <c r="K74" t="s">
        <v>1052</v>
      </c>
      <c r="L74" t="s">
        <v>1053</v>
      </c>
      <c r="M74" t="s">
        <v>1054</v>
      </c>
      <c r="N74" t="s">
        <v>1055</v>
      </c>
      <c r="O74" t="s">
        <v>201</v>
      </c>
      <c r="P74" t="s">
        <v>179</v>
      </c>
      <c r="Q74" t="s">
        <v>179</v>
      </c>
      <c r="R74" t="s">
        <v>180</v>
      </c>
      <c r="S74" t="s">
        <v>181</v>
      </c>
      <c r="T74" t="s">
        <v>240</v>
      </c>
      <c r="U74" t="s">
        <v>1056</v>
      </c>
      <c r="V74" t="s">
        <v>204</v>
      </c>
      <c r="W74" t="s">
        <v>179</v>
      </c>
      <c r="X74" t="s">
        <v>185</v>
      </c>
      <c r="Z74" t="s">
        <v>186</v>
      </c>
      <c r="AA74">
        <v>4</v>
      </c>
      <c r="AC74" t="s">
        <v>186</v>
      </c>
      <c r="AD74">
        <v>5</v>
      </c>
      <c r="AF74" t="s">
        <v>205</v>
      </c>
      <c r="AI74" t="s">
        <v>1057</v>
      </c>
      <c r="AK74" t="s">
        <v>189</v>
      </c>
      <c r="AL74" t="s">
        <v>189</v>
      </c>
      <c r="AM74" t="s">
        <v>189</v>
      </c>
      <c r="AO74" t="s">
        <v>472</v>
      </c>
      <c r="AP74" t="s">
        <v>178</v>
      </c>
      <c r="AQ74" t="s">
        <v>254</v>
      </c>
      <c r="AR74" t="s">
        <v>254</v>
      </c>
      <c r="AS74" t="s">
        <v>180</v>
      </c>
      <c r="AT74" t="s">
        <v>254</v>
      </c>
      <c r="AU74" t="s">
        <v>254</v>
      </c>
      <c r="AV74" t="s">
        <v>180</v>
      </c>
      <c r="AW74" t="s">
        <v>254</v>
      </c>
      <c r="AY74" t="s">
        <v>192</v>
      </c>
      <c r="BB74" t="s">
        <v>191</v>
      </c>
      <c r="BC74" t="s">
        <v>178</v>
      </c>
      <c r="BE74" t="s">
        <v>192</v>
      </c>
      <c r="BH74">
        <v>5</v>
      </c>
      <c r="BI74">
        <v>4</v>
      </c>
      <c r="BJ74">
        <v>6</v>
      </c>
      <c r="BK74">
        <v>3</v>
      </c>
      <c r="BL74">
        <v>2</v>
      </c>
      <c r="BM74">
        <v>1</v>
      </c>
      <c r="BN74">
        <v>7</v>
      </c>
      <c r="BP74" t="s">
        <v>193</v>
      </c>
    </row>
    <row r="75" spans="1:68">
      <c r="A75" s="4">
        <v>251774695102</v>
      </c>
      <c r="B75" s="4" t="s">
        <v>1058</v>
      </c>
      <c r="C75" s="1" t="s">
        <v>245</v>
      </c>
      <c r="D75" s="5" t="str">
        <f t="shared" si="6"/>
        <v>0</v>
      </c>
      <c r="E75" s="5" t="str">
        <f>IFERROR(IF(VLOOKUP(A75,Base!AA:AA,1,0)&gt;0,"1","0"),"0")</f>
        <v>0</v>
      </c>
      <c r="F75" s="5" t="str">
        <f t="shared" si="7"/>
        <v>-</v>
      </c>
      <c r="G75" s="5" t="str">
        <f t="shared" si="8"/>
        <v>0</v>
      </c>
      <c r="H75" t="s">
        <v>1059</v>
      </c>
      <c r="I75" t="s">
        <v>1060</v>
      </c>
      <c r="K75" t="s">
        <v>1058</v>
      </c>
      <c r="L75" t="s">
        <v>1061</v>
      </c>
      <c r="M75" t="s">
        <v>1062</v>
      </c>
      <c r="N75" t="s">
        <v>1063</v>
      </c>
      <c r="O75" t="s">
        <v>215</v>
      </c>
      <c r="P75" t="s">
        <v>178</v>
      </c>
      <c r="Q75" t="s">
        <v>178</v>
      </c>
      <c r="R75" t="s">
        <v>180</v>
      </c>
      <c r="S75" t="s">
        <v>202</v>
      </c>
      <c r="T75" t="s">
        <v>1064</v>
      </c>
      <c r="V75" t="s">
        <v>763</v>
      </c>
      <c r="W75" t="s">
        <v>179</v>
      </c>
      <c r="X75" t="s">
        <v>185</v>
      </c>
      <c r="Z75" t="s">
        <v>205</v>
      </c>
      <c r="AC75" t="s">
        <v>205</v>
      </c>
      <c r="AF75" t="s">
        <v>205</v>
      </c>
      <c r="AI75" t="s">
        <v>1065</v>
      </c>
      <c r="AK75" t="s">
        <v>188</v>
      </c>
      <c r="AL75" t="s">
        <v>252</v>
      </c>
      <c r="AM75" t="s">
        <v>188</v>
      </c>
      <c r="AO75" t="s">
        <v>269</v>
      </c>
      <c r="AP75" t="s">
        <v>179</v>
      </c>
      <c r="AQ75" t="s">
        <v>254</v>
      </c>
      <c r="AR75" t="s">
        <v>254</v>
      </c>
      <c r="AS75" t="s">
        <v>254</v>
      </c>
      <c r="AT75" t="s">
        <v>254</v>
      </c>
      <c r="AU75" t="s">
        <v>180</v>
      </c>
      <c r="AV75" t="s">
        <v>180</v>
      </c>
      <c r="AW75" t="s">
        <v>180</v>
      </c>
      <c r="AY75" t="s">
        <v>191</v>
      </c>
      <c r="AZ75" t="s">
        <v>178</v>
      </c>
      <c r="BB75" t="s">
        <v>192</v>
      </c>
      <c r="BE75" t="s">
        <v>192</v>
      </c>
      <c r="BH75">
        <v>5</v>
      </c>
      <c r="BI75">
        <v>6</v>
      </c>
      <c r="BJ75">
        <v>4</v>
      </c>
      <c r="BK75">
        <v>7</v>
      </c>
      <c r="BL75">
        <v>2</v>
      </c>
      <c r="BM75">
        <v>1</v>
      </c>
      <c r="BN75">
        <v>3</v>
      </c>
      <c r="BP75" t="s">
        <v>193</v>
      </c>
    </row>
    <row r="76" spans="1:68">
      <c r="A76" s="4">
        <v>127737463602</v>
      </c>
      <c r="B76" s="4" t="s">
        <v>1066</v>
      </c>
      <c r="C76" s="1" t="s">
        <v>39</v>
      </c>
      <c r="D76" s="5" t="str">
        <f t="shared" si="6"/>
        <v>1</v>
      </c>
      <c r="E76" s="5" t="str">
        <f>IFERROR(IF(VLOOKUP(A76,Base!AA:AA,1,0)&gt;0,"1","0"),"0")</f>
        <v>1</v>
      </c>
      <c r="F76" s="5" t="str">
        <f t="shared" si="7"/>
        <v>-</v>
      </c>
      <c r="G76" s="5" t="str">
        <f t="shared" si="8"/>
        <v>0</v>
      </c>
      <c r="H76" t="s">
        <v>1067</v>
      </c>
      <c r="I76" t="s">
        <v>1068</v>
      </c>
      <c r="K76" t="s">
        <v>1069</v>
      </c>
      <c r="L76">
        <v>127737463602</v>
      </c>
      <c r="M76" t="s">
        <v>1070</v>
      </c>
      <c r="N76" t="s">
        <v>1071</v>
      </c>
      <c r="O76" t="s">
        <v>215</v>
      </c>
      <c r="P76" t="s">
        <v>179</v>
      </c>
      <c r="Q76" t="s">
        <v>179</v>
      </c>
      <c r="R76" t="s">
        <v>180</v>
      </c>
      <c r="S76" t="s">
        <v>181</v>
      </c>
      <c r="T76" t="s">
        <v>1072</v>
      </c>
      <c r="U76" t="s">
        <v>1073</v>
      </c>
      <c r="V76" t="s">
        <v>1074</v>
      </c>
      <c r="W76" t="s">
        <v>179</v>
      </c>
      <c r="X76" t="s">
        <v>185</v>
      </c>
      <c r="Z76" t="s">
        <v>186</v>
      </c>
      <c r="AA76">
        <v>5</v>
      </c>
      <c r="AB76" t="s">
        <v>1075</v>
      </c>
      <c r="AC76" t="s">
        <v>186</v>
      </c>
      <c r="AD76">
        <v>5</v>
      </c>
      <c r="AF76" t="s">
        <v>205</v>
      </c>
      <c r="AI76" t="s">
        <v>1076</v>
      </c>
      <c r="AK76" t="s">
        <v>189</v>
      </c>
      <c r="AL76" t="s">
        <v>189</v>
      </c>
      <c r="AM76" t="s">
        <v>189</v>
      </c>
      <c r="AN76" t="s">
        <v>1077</v>
      </c>
      <c r="AO76" t="s">
        <v>190</v>
      </c>
      <c r="AP76" t="s">
        <v>55</v>
      </c>
      <c r="AQ76" t="s">
        <v>354</v>
      </c>
      <c r="AR76" t="s">
        <v>355</v>
      </c>
      <c r="AS76" t="s">
        <v>355</v>
      </c>
      <c r="AT76" t="s">
        <v>354</v>
      </c>
      <c r="AU76" t="s">
        <v>254</v>
      </c>
      <c r="AV76" t="s">
        <v>355</v>
      </c>
      <c r="AW76" t="s">
        <v>355</v>
      </c>
      <c r="AY76" t="s">
        <v>191</v>
      </c>
      <c r="AZ76" t="s">
        <v>54</v>
      </c>
      <c r="BB76" t="s">
        <v>192</v>
      </c>
      <c r="BE76" t="s">
        <v>192</v>
      </c>
      <c r="BH76">
        <v>5</v>
      </c>
      <c r="BI76">
        <v>6</v>
      </c>
      <c r="BJ76">
        <v>7</v>
      </c>
      <c r="BK76">
        <v>1</v>
      </c>
      <c r="BL76">
        <v>3</v>
      </c>
      <c r="BM76">
        <v>2</v>
      </c>
      <c r="BN76">
        <v>4</v>
      </c>
      <c r="BP76" t="s">
        <v>193</v>
      </c>
    </row>
    <row r="77" spans="1:68">
      <c r="A77" s="4">
        <v>16898656902</v>
      </c>
      <c r="B77" s="4" t="s">
        <v>1078</v>
      </c>
      <c r="C77" s="1" t="s">
        <v>39</v>
      </c>
      <c r="D77" s="5" t="str">
        <f t="shared" si="6"/>
        <v>1</v>
      </c>
      <c r="E77" s="5" t="str">
        <f>IFERROR(IF(VLOOKUP(A77,Base!AA:AA,1,0)&gt;0,"1","0"),"0")</f>
        <v>1</v>
      </c>
      <c r="F77" s="5" t="str">
        <f t="shared" si="7"/>
        <v>1</v>
      </c>
      <c r="G77" s="5" t="str">
        <f t="shared" si="8"/>
        <v>1</v>
      </c>
      <c r="H77" t="s">
        <v>1079</v>
      </c>
      <c r="I77" t="s">
        <v>1080</v>
      </c>
      <c r="K77" t="s">
        <v>1081</v>
      </c>
      <c r="L77">
        <v>16898656902</v>
      </c>
      <c r="M77" t="s">
        <v>1082</v>
      </c>
      <c r="N77" t="s">
        <v>1083</v>
      </c>
      <c r="O77" t="s">
        <v>177</v>
      </c>
      <c r="P77" t="s">
        <v>179</v>
      </c>
      <c r="Q77" t="s">
        <v>179</v>
      </c>
      <c r="R77" t="s">
        <v>180</v>
      </c>
      <c r="S77" t="s">
        <v>202</v>
      </c>
      <c r="T77" t="s">
        <v>1084</v>
      </c>
      <c r="U77" t="s">
        <v>1085</v>
      </c>
      <c r="V77" t="s">
        <v>243</v>
      </c>
      <c r="W77" t="s">
        <v>179</v>
      </c>
      <c r="X77" t="s">
        <v>185</v>
      </c>
      <c r="Y77" t="s">
        <v>1086</v>
      </c>
      <c r="Z77" t="s">
        <v>186</v>
      </c>
      <c r="AA77">
        <v>5</v>
      </c>
      <c r="AC77" t="s">
        <v>186</v>
      </c>
      <c r="AD77">
        <v>5</v>
      </c>
      <c r="AF77" t="s">
        <v>186</v>
      </c>
      <c r="AG77">
        <v>4</v>
      </c>
      <c r="AI77" t="s">
        <v>1087</v>
      </c>
      <c r="AK77" t="s">
        <v>189</v>
      </c>
      <c r="AL77" t="s">
        <v>189</v>
      </c>
      <c r="AM77" t="s">
        <v>189</v>
      </c>
      <c r="AO77" t="s">
        <v>204</v>
      </c>
      <c r="AP77" t="s">
        <v>179</v>
      </c>
      <c r="AQ77" t="s">
        <v>375</v>
      </c>
      <c r="AR77" t="s">
        <v>375</v>
      </c>
      <c r="AS77" t="s">
        <v>375</v>
      </c>
      <c r="AT77" t="s">
        <v>375</v>
      </c>
      <c r="AU77" t="s">
        <v>375</v>
      </c>
      <c r="AV77" t="s">
        <v>375</v>
      </c>
      <c r="AW77" t="s">
        <v>375</v>
      </c>
      <c r="AY77" t="s">
        <v>191</v>
      </c>
      <c r="AZ77" t="s">
        <v>179</v>
      </c>
      <c r="BB77" t="s">
        <v>191</v>
      </c>
      <c r="BC77" t="s">
        <v>179</v>
      </c>
      <c r="BE77" t="s">
        <v>191</v>
      </c>
      <c r="BF77" t="s">
        <v>178</v>
      </c>
      <c r="BH77">
        <v>6</v>
      </c>
      <c r="BI77">
        <v>7</v>
      </c>
      <c r="BJ77">
        <v>3</v>
      </c>
      <c r="BK77">
        <v>2</v>
      </c>
      <c r="BL77">
        <v>1</v>
      </c>
      <c r="BM77">
        <v>4</v>
      </c>
      <c r="BN77">
        <v>5</v>
      </c>
      <c r="BP77" t="s">
        <v>193</v>
      </c>
    </row>
    <row r="78" spans="1:68">
      <c r="A78" s="4">
        <v>16137818802</v>
      </c>
      <c r="B78" s="4" t="s">
        <v>1088</v>
      </c>
      <c r="C78" s="1" t="s">
        <v>100</v>
      </c>
      <c r="D78" s="5" t="str">
        <f t="shared" si="6"/>
        <v>1</v>
      </c>
      <c r="E78" s="5" t="str">
        <f>IFERROR(IF(VLOOKUP(A78,Base!AA:AA,1,0)&gt;0,"1","0"),"0")</f>
        <v>1</v>
      </c>
      <c r="F78" s="5" t="str">
        <f t="shared" si="7"/>
        <v>1</v>
      </c>
      <c r="G78" s="5" t="str">
        <f t="shared" si="8"/>
        <v>1</v>
      </c>
      <c r="H78" t="s">
        <v>1089</v>
      </c>
      <c r="I78" t="s">
        <v>1090</v>
      </c>
      <c r="K78" t="s">
        <v>1088</v>
      </c>
      <c r="L78" t="s">
        <v>1091</v>
      </c>
      <c r="M78" t="s">
        <v>1092</v>
      </c>
      <c r="N78" t="s">
        <v>1093</v>
      </c>
      <c r="O78" t="s">
        <v>201</v>
      </c>
      <c r="P78" t="s">
        <v>179</v>
      </c>
      <c r="Q78" t="s">
        <v>179</v>
      </c>
      <c r="R78" t="s">
        <v>180</v>
      </c>
      <c r="S78" t="s">
        <v>202</v>
      </c>
      <c r="T78" t="s">
        <v>1064</v>
      </c>
      <c r="U78" t="s">
        <v>1094</v>
      </c>
      <c r="V78" t="s">
        <v>1095</v>
      </c>
      <c r="W78" t="s">
        <v>179</v>
      </c>
      <c r="X78" t="s">
        <v>185</v>
      </c>
      <c r="Z78" t="s">
        <v>186</v>
      </c>
      <c r="AA78">
        <v>5</v>
      </c>
      <c r="AC78" t="s">
        <v>186</v>
      </c>
      <c r="AD78">
        <v>4</v>
      </c>
      <c r="AE78" t="s">
        <v>1096</v>
      </c>
      <c r="AF78" t="s">
        <v>186</v>
      </c>
      <c r="AG78">
        <v>4</v>
      </c>
      <c r="AI78" t="s">
        <v>1097</v>
      </c>
      <c r="AK78" t="s">
        <v>188</v>
      </c>
      <c r="AL78" t="s">
        <v>188</v>
      </c>
      <c r="AM78" t="s">
        <v>188</v>
      </c>
      <c r="AO78" t="s">
        <v>423</v>
      </c>
      <c r="AP78" t="s">
        <v>179</v>
      </c>
      <c r="AQ78" t="s">
        <v>180</v>
      </c>
      <c r="AR78" t="s">
        <v>180</v>
      </c>
      <c r="AS78" t="s">
        <v>180</v>
      </c>
      <c r="AT78" t="s">
        <v>180</v>
      </c>
      <c r="AU78" t="s">
        <v>180</v>
      </c>
      <c r="AV78" t="s">
        <v>180</v>
      </c>
      <c r="AW78" t="s">
        <v>180</v>
      </c>
      <c r="AY78" t="s">
        <v>191</v>
      </c>
      <c r="AZ78" t="s">
        <v>178</v>
      </c>
      <c r="BB78" t="s">
        <v>191</v>
      </c>
      <c r="BC78" t="s">
        <v>178</v>
      </c>
      <c r="BE78" t="s">
        <v>191</v>
      </c>
      <c r="BF78" t="s">
        <v>54</v>
      </c>
      <c r="BH78">
        <v>2</v>
      </c>
      <c r="BI78">
        <v>3</v>
      </c>
      <c r="BJ78">
        <v>4</v>
      </c>
      <c r="BK78">
        <v>5</v>
      </c>
      <c r="BL78">
        <v>1</v>
      </c>
      <c r="BM78">
        <v>6</v>
      </c>
      <c r="BN78">
        <v>7</v>
      </c>
      <c r="BP78" t="s">
        <v>193</v>
      </c>
    </row>
    <row r="79" spans="1:68">
      <c r="A79" s="4">
        <v>24807318802</v>
      </c>
      <c r="B79" s="4" t="s">
        <v>1098</v>
      </c>
      <c r="C79" s="1" t="s">
        <v>245</v>
      </c>
      <c r="D79" s="5" t="str">
        <f t="shared" si="6"/>
        <v>0</v>
      </c>
      <c r="E79" s="5" t="str">
        <f>IFERROR(IF(VLOOKUP(A79,Base!AA:AA,1,0)&gt;0,"1","0"),"0")</f>
        <v>0</v>
      </c>
      <c r="F79" s="5" t="str">
        <f t="shared" si="7"/>
        <v>-</v>
      </c>
      <c r="G79" s="5" t="str">
        <f t="shared" si="8"/>
        <v>1</v>
      </c>
      <c r="H79" t="s">
        <v>1099</v>
      </c>
      <c r="I79" t="s">
        <v>1100</v>
      </c>
      <c r="K79" t="s">
        <v>1098</v>
      </c>
      <c r="L79" t="s">
        <v>1101</v>
      </c>
      <c r="M79" t="s">
        <v>1092</v>
      </c>
      <c r="N79" t="s">
        <v>1102</v>
      </c>
      <c r="O79" t="s">
        <v>201</v>
      </c>
      <c r="P79" t="s">
        <v>179</v>
      </c>
      <c r="Q79" t="s">
        <v>179</v>
      </c>
      <c r="R79" t="s">
        <v>180</v>
      </c>
      <c r="S79" t="s">
        <v>202</v>
      </c>
      <c r="T79" t="s">
        <v>216</v>
      </c>
      <c r="V79" t="s">
        <v>1095</v>
      </c>
      <c r="W79" t="s">
        <v>179</v>
      </c>
      <c r="X79" t="s">
        <v>185</v>
      </c>
      <c r="Z79" t="s">
        <v>205</v>
      </c>
      <c r="AC79" t="s">
        <v>205</v>
      </c>
      <c r="AF79" t="s">
        <v>205</v>
      </c>
      <c r="AI79" t="s">
        <v>1103</v>
      </c>
      <c r="AK79" t="s">
        <v>189</v>
      </c>
      <c r="AL79" t="s">
        <v>189</v>
      </c>
      <c r="AM79" t="s">
        <v>189</v>
      </c>
      <c r="AN79" t="s">
        <v>1104</v>
      </c>
      <c r="AO79" t="s">
        <v>1105</v>
      </c>
      <c r="AP79" t="s">
        <v>179</v>
      </c>
      <c r="AQ79" t="s">
        <v>180</v>
      </c>
      <c r="AR79" t="s">
        <v>180</v>
      </c>
      <c r="AS79" t="s">
        <v>180</v>
      </c>
      <c r="AT79" t="s">
        <v>180</v>
      </c>
      <c r="AU79" t="s">
        <v>180</v>
      </c>
      <c r="AV79" t="s">
        <v>180</v>
      </c>
      <c r="AW79" t="s">
        <v>180</v>
      </c>
      <c r="AX79" t="s">
        <v>1106</v>
      </c>
      <c r="AY79" t="s">
        <v>191</v>
      </c>
      <c r="AZ79" t="s">
        <v>178</v>
      </c>
      <c r="BA79" t="s">
        <v>1107</v>
      </c>
      <c r="BB79" t="s">
        <v>191</v>
      </c>
      <c r="BC79" t="s">
        <v>178</v>
      </c>
      <c r="BD79" t="s">
        <v>1108</v>
      </c>
      <c r="BE79" t="s">
        <v>192</v>
      </c>
      <c r="BH79">
        <v>3</v>
      </c>
      <c r="BI79">
        <v>2</v>
      </c>
      <c r="BJ79">
        <v>6</v>
      </c>
      <c r="BK79">
        <v>1</v>
      </c>
      <c r="BL79">
        <v>4</v>
      </c>
      <c r="BM79">
        <v>7</v>
      </c>
      <c r="BN79">
        <v>5</v>
      </c>
      <c r="BO79" t="s">
        <v>1109</v>
      </c>
      <c r="BP79" t="s">
        <v>193</v>
      </c>
    </row>
    <row r="80" spans="1:68">
      <c r="A80" s="4">
        <v>433969027802</v>
      </c>
      <c r="B80" s="4" t="s">
        <v>1110</v>
      </c>
      <c r="C80" s="1" t="s">
        <v>37</v>
      </c>
      <c r="D80" s="5" t="str">
        <f t="shared" si="6"/>
        <v>1</v>
      </c>
      <c r="E80" s="5" t="str">
        <f>IFERROR(IF(VLOOKUP(A80,Base!AA:AA,1,0)&gt;0,"1","0"),"0")</f>
        <v>0</v>
      </c>
      <c r="F80" s="5" t="str">
        <f t="shared" si="7"/>
        <v>-</v>
      </c>
      <c r="G80" s="5" t="str">
        <f t="shared" si="8"/>
        <v>0</v>
      </c>
      <c r="H80" t="s">
        <v>1111</v>
      </c>
      <c r="I80" t="s">
        <v>1112</v>
      </c>
      <c r="K80" t="s">
        <v>1110</v>
      </c>
      <c r="L80" t="s">
        <v>1113</v>
      </c>
      <c r="M80" t="s">
        <v>1114</v>
      </c>
      <c r="N80" t="s">
        <v>1115</v>
      </c>
      <c r="O80" t="s">
        <v>201</v>
      </c>
      <c r="P80" t="s">
        <v>179</v>
      </c>
      <c r="Q80" t="s">
        <v>179</v>
      </c>
      <c r="R80" t="s">
        <v>180</v>
      </c>
      <c r="S80" t="s">
        <v>202</v>
      </c>
      <c r="T80" t="s">
        <v>1116</v>
      </c>
      <c r="U80" t="s">
        <v>1117</v>
      </c>
      <c r="V80" t="s">
        <v>472</v>
      </c>
      <c r="W80" t="s">
        <v>184</v>
      </c>
      <c r="X80" t="s">
        <v>1118</v>
      </c>
      <c r="Y80" t="s">
        <v>1119</v>
      </c>
      <c r="Z80" t="s">
        <v>205</v>
      </c>
      <c r="AC80" t="s">
        <v>205</v>
      </c>
      <c r="AF80" t="s">
        <v>205</v>
      </c>
      <c r="AI80" t="s">
        <v>1120</v>
      </c>
      <c r="AK80" t="s">
        <v>189</v>
      </c>
      <c r="AL80" t="s">
        <v>189</v>
      </c>
      <c r="AM80" t="s">
        <v>189</v>
      </c>
      <c r="AN80" t="s">
        <v>1121</v>
      </c>
      <c r="AO80" t="s">
        <v>207</v>
      </c>
      <c r="AP80" t="s">
        <v>179</v>
      </c>
      <c r="AQ80" t="s">
        <v>180</v>
      </c>
      <c r="AR80" t="s">
        <v>180</v>
      </c>
      <c r="AS80" t="s">
        <v>180</v>
      </c>
      <c r="AT80" t="s">
        <v>180</v>
      </c>
      <c r="AU80" t="s">
        <v>180</v>
      </c>
      <c r="AV80" t="s">
        <v>180</v>
      </c>
      <c r="AW80" t="s">
        <v>180</v>
      </c>
      <c r="AX80" t="s">
        <v>1122</v>
      </c>
      <c r="AY80" t="s">
        <v>191</v>
      </c>
      <c r="AZ80" t="s">
        <v>179</v>
      </c>
      <c r="BA80" t="s">
        <v>1123</v>
      </c>
      <c r="BB80" t="s">
        <v>192</v>
      </c>
      <c r="BE80" t="s">
        <v>191</v>
      </c>
      <c r="BF80" t="s">
        <v>54</v>
      </c>
      <c r="BG80" t="s">
        <v>1124</v>
      </c>
      <c r="BH80">
        <v>4</v>
      </c>
      <c r="BI80">
        <v>2</v>
      </c>
      <c r="BJ80">
        <v>5</v>
      </c>
      <c r="BK80">
        <v>3</v>
      </c>
      <c r="BL80">
        <v>1</v>
      </c>
      <c r="BM80">
        <v>6</v>
      </c>
      <c r="BN80">
        <v>7</v>
      </c>
      <c r="BP80" t="s">
        <v>193</v>
      </c>
    </row>
    <row r="81" spans="1:68">
      <c r="A81" s="4">
        <v>26774818902</v>
      </c>
      <c r="B81" s="4" t="s">
        <v>1125</v>
      </c>
      <c r="C81" s="1" t="s">
        <v>100</v>
      </c>
      <c r="D81" s="5" t="str">
        <f t="shared" si="6"/>
        <v>1</v>
      </c>
      <c r="E81" s="5" t="str">
        <f>IFERROR(IF(VLOOKUP(A81,Base!AA:AA,1,0)&gt;0,"1","0"),"0")</f>
        <v>1</v>
      </c>
      <c r="F81" s="5" t="str">
        <f t="shared" si="7"/>
        <v>1</v>
      </c>
      <c r="G81" s="5" t="str">
        <f t="shared" si="8"/>
        <v>1</v>
      </c>
      <c r="H81" t="s">
        <v>1126</v>
      </c>
      <c r="I81" t="s">
        <v>1127</v>
      </c>
      <c r="K81" t="s">
        <v>1125</v>
      </c>
      <c r="L81" t="s">
        <v>1128</v>
      </c>
      <c r="M81" t="s">
        <v>1129</v>
      </c>
      <c r="N81" t="s">
        <v>1130</v>
      </c>
      <c r="O81" t="s">
        <v>201</v>
      </c>
      <c r="P81" t="s">
        <v>179</v>
      </c>
      <c r="Q81" t="s">
        <v>179</v>
      </c>
      <c r="R81" t="s">
        <v>180</v>
      </c>
      <c r="S81" t="s">
        <v>181</v>
      </c>
      <c r="T81" t="s">
        <v>1064</v>
      </c>
      <c r="U81" t="s">
        <v>1131</v>
      </c>
      <c r="V81" t="s">
        <v>444</v>
      </c>
      <c r="W81" t="s">
        <v>179</v>
      </c>
      <c r="X81" t="s">
        <v>185</v>
      </c>
      <c r="Z81" t="s">
        <v>186</v>
      </c>
      <c r="AA81">
        <v>4</v>
      </c>
      <c r="AC81" t="s">
        <v>186</v>
      </c>
      <c r="AD81">
        <v>4</v>
      </c>
      <c r="AF81" t="s">
        <v>186</v>
      </c>
      <c r="AG81">
        <v>5</v>
      </c>
      <c r="AI81" t="s">
        <v>1132</v>
      </c>
      <c r="AK81" t="s">
        <v>188</v>
      </c>
      <c r="AL81" t="s">
        <v>188</v>
      </c>
      <c r="AM81" t="s">
        <v>252</v>
      </c>
      <c r="AO81" t="s">
        <v>183</v>
      </c>
      <c r="AP81" t="s">
        <v>178</v>
      </c>
      <c r="AQ81" t="s">
        <v>180</v>
      </c>
      <c r="AR81" t="s">
        <v>254</v>
      </c>
      <c r="AS81" t="s">
        <v>180</v>
      </c>
      <c r="AT81" t="s">
        <v>180</v>
      </c>
      <c r="AU81" t="s">
        <v>180</v>
      </c>
      <c r="AV81" t="s">
        <v>180</v>
      </c>
      <c r="AW81" t="s">
        <v>180</v>
      </c>
      <c r="AY81" t="s">
        <v>192</v>
      </c>
      <c r="BB81" t="s">
        <v>191</v>
      </c>
      <c r="BC81" t="s">
        <v>179</v>
      </c>
      <c r="BE81" t="s">
        <v>192</v>
      </c>
      <c r="BH81">
        <v>2</v>
      </c>
      <c r="BI81">
        <v>7</v>
      </c>
      <c r="BJ81">
        <v>6</v>
      </c>
      <c r="BK81">
        <v>4</v>
      </c>
      <c r="BL81">
        <v>1</v>
      </c>
      <c r="BM81">
        <v>5</v>
      </c>
      <c r="BN81">
        <v>3</v>
      </c>
      <c r="BP81" t="s">
        <v>193</v>
      </c>
    </row>
    <row r="82" spans="1:68">
      <c r="A82" s="4">
        <v>1162262606502</v>
      </c>
      <c r="B82" s="4" t="s">
        <v>1133</v>
      </c>
      <c r="C82" s="1" t="s">
        <v>245</v>
      </c>
      <c r="D82" s="5" t="str">
        <f t="shared" si="6"/>
        <v>0</v>
      </c>
      <c r="E82" s="5" t="str">
        <f>IFERROR(IF(VLOOKUP(A82,Base!AA:AA,1,0)&gt;0,"1","0"),"0")</f>
        <v>0</v>
      </c>
      <c r="F82" s="5" t="str">
        <f t="shared" si="7"/>
        <v>-</v>
      </c>
      <c r="G82" s="5" t="str">
        <f t="shared" si="8"/>
        <v>1</v>
      </c>
      <c r="H82" t="s">
        <v>1134</v>
      </c>
      <c r="I82" t="s">
        <v>1135</v>
      </c>
      <c r="K82" t="s">
        <v>1133</v>
      </c>
      <c r="L82" t="s">
        <v>1136</v>
      </c>
      <c r="M82" t="s">
        <v>1137</v>
      </c>
      <c r="N82" t="s">
        <v>1138</v>
      </c>
      <c r="O82" t="s">
        <v>215</v>
      </c>
      <c r="P82" t="s">
        <v>56</v>
      </c>
      <c r="Q82" t="s">
        <v>55</v>
      </c>
      <c r="R82" t="s">
        <v>354</v>
      </c>
      <c r="S82" t="s">
        <v>997</v>
      </c>
      <c r="T82" t="s">
        <v>1139</v>
      </c>
      <c r="V82" t="s">
        <v>763</v>
      </c>
      <c r="W82" t="s">
        <v>55</v>
      </c>
      <c r="X82" t="s">
        <v>1140</v>
      </c>
      <c r="Z82" t="s">
        <v>205</v>
      </c>
      <c r="AC82" t="s">
        <v>186</v>
      </c>
      <c r="AD82">
        <v>1</v>
      </c>
      <c r="AF82" t="s">
        <v>205</v>
      </c>
      <c r="AI82" t="s">
        <v>1141</v>
      </c>
      <c r="AK82" t="s">
        <v>188</v>
      </c>
      <c r="AL82" t="s">
        <v>188</v>
      </c>
      <c r="AM82" t="s">
        <v>220</v>
      </c>
      <c r="AO82" t="s">
        <v>311</v>
      </c>
      <c r="AP82" t="s">
        <v>179</v>
      </c>
      <c r="AQ82" t="s">
        <v>180</v>
      </c>
      <c r="AR82" t="s">
        <v>180</v>
      </c>
      <c r="AS82" t="s">
        <v>180</v>
      </c>
      <c r="AT82" t="s">
        <v>180</v>
      </c>
      <c r="AU82" t="s">
        <v>180</v>
      </c>
      <c r="AV82" t="s">
        <v>180</v>
      </c>
      <c r="AW82" t="s">
        <v>180</v>
      </c>
      <c r="AY82" t="s">
        <v>191</v>
      </c>
      <c r="AZ82" t="s">
        <v>179</v>
      </c>
      <c r="BB82" t="s">
        <v>191</v>
      </c>
      <c r="BC82" t="s">
        <v>179</v>
      </c>
      <c r="BE82" t="s">
        <v>191</v>
      </c>
      <c r="BF82" t="s">
        <v>179</v>
      </c>
      <c r="BH82">
        <v>4</v>
      </c>
      <c r="BI82">
        <v>3</v>
      </c>
      <c r="BJ82">
        <v>6</v>
      </c>
      <c r="BK82">
        <v>5</v>
      </c>
      <c r="BL82">
        <v>2</v>
      </c>
      <c r="BM82">
        <v>1</v>
      </c>
      <c r="BN82">
        <v>7</v>
      </c>
      <c r="BP82" t="s">
        <v>193</v>
      </c>
    </row>
    <row r="83" spans="1:68">
      <c r="A83" s="4">
        <v>131648381902</v>
      </c>
      <c r="B83" s="4" t="s">
        <v>1142</v>
      </c>
      <c r="C83" s="1" t="s">
        <v>245</v>
      </c>
      <c r="D83" s="5" t="str">
        <f t="shared" si="6"/>
        <v>0</v>
      </c>
      <c r="E83" s="5" t="str">
        <f>IFERROR(IF(VLOOKUP(A83,Base!AA:AA,1,0)&gt;0,"1","0"),"0")</f>
        <v>0</v>
      </c>
      <c r="F83" s="5" t="str">
        <f t="shared" si="7"/>
        <v>-</v>
      </c>
      <c r="G83" s="5" t="str">
        <f t="shared" si="8"/>
        <v>0</v>
      </c>
      <c r="H83" t="s">
        <v>1143</v>
      </c>
      <c r="I83" t="s">
        <v>1144</v>
      </c>
      <c r="K83" t="s">
        <v>1145</v>
      </c>
      <c r="L83">
        <v>777216427602</v>
      </c>
      <c r="M83" t="s">
        <v>1146</v>
      </c>
      <c r="N83" t="s">
        <v>1147</v>
      </c>
      <c r="O83" t="s">
        <v>215</v>
      </c>
      <c r="P83" t="s">
        <v>179</v>
      </c>
      <c r="Q83" t="s">
        <v>179</v>
      </c>
      <c r="R83" t="s">
        <v>180</v>
      </c>
      <c r="S83" t="s">
        <v>181</v>
      </c>
      <c r="T83" t="s">
        <v>216</v>
      </c>
      <c r="U83" t="s">
        <v>1148</v>
      </c>
      <c r="V83" t="s">
        <v>1149</v>
      </c>
      <c r="W83" t="s">
        <v>179</v>
      </c>
      <c r="X83" t="s">
        <v>185</v>
      </c>
      <c r="Y83" t="s">
        <v>1148</v>
      </c>
      <c r="Z83" t="s">
        <v>186</v>
      </c>
      <c r="AA83">
        <v>5</v>
      </c>
      <c r="AB83" t="s">
        <v>1148</v>
      </c>
      <c r="AC83" t="s">
        <v>205</v>
      </c>
      <c r="AF83" t="s">
        <v>205</v>
      </c>
      <c r="AI83" t="s">
        <v>536</v>
      </c>
      <c r="AJ83" t="s">
        <v>1150</v>
      </c>
      <c r="AK83" t="s">
        <v>252</v>
      </c>
      <c r="AL83" t="s">
        <v>252</v>
      </c>
      <c r="AM83" t="s">
        <v>252</v>
      </c>
      <c r="AO83" t="s">
        <v>704</v>
      </c>
      <c r="AP83" t="s">
        <v>54</v>
      </c>
      <c r="AQ83" t="s">
        <v>254</v>
      </c>
      <c r="AR83" t="s">
        <v>355</v>
      </c>
      <c r="AS83" t="s">
        <v>355</v>
      </c>
      <c r="AT83" t="s">
        <v>254</v>
      </c>
      <c r="AU83" t="s">
        <v>355</v>
      </c>
      <c r="AV83" t="s">
        <v>254</v>
      </c>
      <c r="AW83" t="s">
        <v>254</v>
      </c>
      <c r="AX83" t="s">
        <v>1151</v>
      </c>
      <c r="AY83" t="s">
        <v>191</v>
      </c>
      <c r="AZ83" t="s">
        <v>178</v>
      </c>
      <c r="BB83" t="s">
        <v>192</v>
      </c>
      <c r="BE83" t="s">
        <v>192</v>
      </c>
      <c r="BH83">
        <v>3</v>
      </c>
      <c r="BI83">
        <v>7</v>
      </c>
      <c r="BJ83">
        <v>6</v>
      </c>
      <c r="BK83">
        <v>5</v>
      </c>
      <c r="BL83">
        <v>1</v>
      </c>
      <c r="BM83">
        <v>2</v>
      </c>
      <c r="BN83">
        <v>4</v>
      </c>
      <c r="BP83" t="s">
        <v>193</v>
      </c>
    </row>
    <row r="84" spans="1:68">
      <c r="A84" s="4">
        <v>58401384302</v>
      </c>
      <c r="B84" s="4" t="s">
        <v>1152</v>
      </c>
      <c r="C84" s="1" t="s">
        <v>39</v>
      </c>
      <c r="D84" s="5" t="str">
        <f t="shared" si="6"/>
        <v>1</v>
      </c>
      <c r="E84" s="5" t="str">
        <f>IFERROR(IF(VLOOKUP(A84,Base!AA:AA,1,0)&gt;0,"1","0"),"0")</f>
        <v>1</v>
      </c>
      <c r="F84" s="5" t="str">
        <f t="shared" si="7"/>
        <v>1</v>
      </c>
      <c r="G84" s="5" t="str">
        <f t="shared" si="8"/>
        <v>1</v>
      </c>
      <c r="H84" t="s">
        <v>1153</v>
      </c>
      <c r="I84" t="s">
        <v>1154</v>
      </c>
      <c r="K84" t="s">
        <v>1155</v>
      </c>
      <c r="L84" t="s">
        <v>1156</v>
      </c>
      <c r="M84" t="s">
        <v>1157</v>
      </c>
      <c r="N84" t="s">
        <v>1158</v>
      </c>
      <c r="O84" t="s">
        <v>201</v>
      </c>
      <c r="P84" t="s">
        <v>179</v>
      </c>
      <c r="Q84" t="s">
        <v>179</v>
      </c>
      <c r="R84" t="s">
        <v>180</v>
      </c>
      <c r="S84" t="s">
        <v>202</v>
      </c>
      <c r="T84" t="s">
        <v>607</v>
      </c>
      <c r="V84" t="s">
        <v>292</v>
      </c>
      <c r="W84" t="s">
        <v>179</v>
      </c>
      <c r="X84" t="s">
        <v>185</v>
      </c>
      <c r="Z84" t="s">
        <v>205</v>
      </c>
      <c r="AC84" t="s">
        <v>186</v>
      </c>
      <c r="AD84">
        <v>5</v>
      </c>
      <c r="AF84" t="s">
        <v>205</v>
      </c>
      <c r="AI84" t="s">
        <v>1159</v>
      </c>
      <c r="AK84" t="s">
        <v>188</v>
      </c>
      <c r="AL84" t="s">
        <v>188</v>
      </c>
      <c r="AM84" t="s">
        <v>188</v>
      </c>
      <c r="AO84" t="s">
        <v>311</v>
      </c>
      <c r="AP84" t="s">
        <v>179</v>
      </c>
      <c r="AQ84" t="s">
        <v>180</v>
      </c>
      <c r="AR84" t="s">
        <v>180</v>
      </c>
      <c r="AS84" t="s">
        <v>180</v>
      </c>
      <c r="AT84" t="s">
        <v>180</v>
      </c>
      <c r="AU84" t="s">
        <v>180</v>
      </c>
      <c r="AV84" t="s">
        <v>180</v>
      </c>
      <c r="AW84" t="s">
        <v>180</v>
      </c>
      <c r="AY84" t="s">
        <v>191</v>
      </c>
      <c r="AZ84" t="s">
        <v>179</v>
      </c>
      <c r="BA84" t="s">
        <v>1160</v>
      </c>
      <c r="BB84" t="s">
        <v>191</v>
      </c>
      <c r="BC84" t="s">
        <v>179</v>
      </c>
      <c r="BE84" t="s">
        <v>191</v>
      </c>
      <c r="BF84" t="s">
        <v>179</v>
      </c>
      <c r="BH84">
        <v>5</v>
      </c>
      <c r="BI84">
        <v>3</v>
      </c>
      <c r="BJ84">
        <v>6</v>
      </c>
      <c r="BK84">
        <v>4</v>
      </c>
      <c r="BL84">
        <v>2</v>
      </c>
      <c r="BM84">
        <v>1</v>
      </c>
      <c r="BN84">
        <v>7</v>
      </c>
      <c r="BP84" t="s">
        <v>193</v>
      </c>
    </row>
    <row r="85" spans="1:68">
      <c r="A85" s="4">
        <v>24357990102</v>
      </c>
      <c r="B85" s="4" t="s">
        <v>1161</v>
      </c>
      <c r="C85" s="1" t="s">
        <v>100</v>
      </c>
      <c r="D85" s="5" t="str">
        <f t="shared" si="6"/>
        <v>1</v>
      </c>
      <c r="E85" s="5" t="str">
        <f>IFERROR(IF(VLOOKUP(A85,Base!AA:AA,1,0)&gt;0,"1","0"),"0")</f>
        <v>1</v>
      </c>
      <c r="F85" s="5" t="str">
        <f t="shared" si="7"/>
        <v>0</v>
      </c>
      <c r="G85" s="5" t="str">
        <f t="shared" si="8"/>
        <v>1</v>
      </c>
      <c r="H85" t="s">
        <v>1162</v>
      </c>
      <c r="I85" t="s">
        <v>1163</v>
      </c>
      <c r="K85" t="s">
        <v>1164</v>
      </c>
      <c r="L85">
        <v>24357990102</v>
      </c>
      <c r="M85" t="s">
        <v>1165</v>
      </c>
      <c r="N85" t="s">
        <v>1166</v>
      </c>
      <c r="O85" t="s">
        <v>201</v>
      </c>
      <c r="P85" t="s">
        <v>178</v>
      </c>
      <c r="Q85" t="s">
        <v>178</v>
      </c>
      <c r="R85" t="s">
        <v>254</v>
      </c>
      <c r="S85" t="s">
        <v>202</v>
      </c>
      <c r="T85" t="s">
        <v>1167</v>
      </c>
      <c r="V85" t="s">
        <v>937</v>
      </c>
      <c r="W85" t="s">
        <v>184</v>
      </c>
      <c r="X85" t="s">
        <v>185</v>
      </c>
      <c r="Z85" t="s">
        <v>186</v>
      </c>
      <c r="AA85">
        <v>5</v>
      </c>
      <c r="AC85" t="s">
        <v>186</v>
      </c>
      <c r="AD85">
        <v>5</v>
      </c>
      <c r="AF85" t="s">
        <v>186</v>
      </c>
      <c r="AG85">
        <v>5</v>
      </c>
      <c r="AI85" t="s">
        <v>1168</v>
      </c>
      <c r="AJ85" t="s">
        <v>1169</v>
      </c>
      <c r="AK85" t="s">
        <v>189</v>
      </c>
      <c r="AL85" t="s">
        <v>189</v>
      </c>
      <c r="AM85" t="s">
        <v>189</v>
      </c>
      <c r="AN85" t="s">
        <v>1170</v>
      </c>
      <c r="AO85" t="s">
        <v>309</v>
      </c>
      <c r="AP85" t="s">
        <v>179</v>
      </c>
      <c r="AQ85" t="s">
        <v>254</v>
      </c>
      <c r="AR85" t="s">
        <v>180</v>
      </c>
      <c r="AS85" t="s">
        <v>180</v>
      </c>
      <c r="AT85" t="s">
        <v>180</v>
      </c>
      <c r="AU85" t="s">
        <v>180</v>
      </c>
      <c r="AV85" t="s">
        <v>180</v>
      </c>
      <c r="AW85" t="s">
        <v>180</v>
      </c>
      <c r="AX85" t="s">
        <v>1171</v>
      </c>
      <c r="AY85" t="s">
        <v>192</v>
      </c>
      <c r="BB85" t="s">
        <v>191</v>
      </c>
      <c r="BC85" t="s">
        <v>54</v>
      </c>
      <c r="BD85" t="s">
        <v>1172</v>
      </c>
      <c r="BE85" t="s">
        <v>191</v>
      </c>
      <c r="BF85" t="s">
        <v>178</v>
      </c>
      <c r="BG85" t="s">
        <v>1173</v>
      </c>
      <c r="BH85">
        <v>1</v>
      </c>
      <c r="BI85">
        <v>2</v>
      </c>
      <c r="BJ85">
        <v>3</v>
      </c>
      <c r="BK85">
        <v>4</v>
      </c>
      <c r="BL85">
        <v>5</v>
      </c>
      <c r="BM85">
        <v>6</v>
      </c>
      <c r="BN85">
        <v>7</v>
      </c>
      <c r="BO85" t="s">
        <v>1174</v>
      </c>
      <c r="BP85" t="s">
        <v>193</v>
      </c>
    </row>
    <row r="86" spans="1:68">
      <c r="A86" s="4">
        <v>133398128802</v>
      </c>
      <c r="B86" s="4" t="s">
        <v>1175</v>
      </c>
      <c r="C86" s="1" t="s">
        <v>245</v>
      </c>
      <c r="D86" s="5" t="str">
        <f t="shared" si="6"/>
        <v>0</v>
      </c>
      <c r="E86" s="5" t="str">
        <f>IFERROR(IF(VLOOKUP(A86,Base!AA:AA,1,0)&gt;0,"1","0"),"0")</f>
        <v>0</v>
      </c>
      <c r="F86" s="5" t="str">
        <f t="shared" si="7"/>
        <v>-</v>
      </c>
      <c r="G86" s="5" t="str">
        <f t="shared" si="8"/>
        <v>0</v>
      </c>
      <c r="H86" t="s">
        <v>1176</v>
      </c>
      <c r="I86" t="s">
        <v>1177</v>
      </c>
      <c r="K86" t="s">
        <v>1175</v>
      </c>
      <c r="L86" t="s">
        <v>1178</v>
      </c>
      <c r="M86" t="s">
        <v>1179</v>
      </c>
      <c r="N86" t="s">
        <v>1180</v>
      </c>
      <c r="O86" t="s">
        <v>177</v>
      </c>
      <c r="P86" t="s">
        <v>179</v>
      </c>
      <c r="Q86" t="s">
        <v>178</v>
      </c>
      <c r="R86" t="s">
        <v>180</v>
      </c>
      <c r="S86" t="s">
        <v>202</v>
      </c>
      <c r="T86" t="s">
        <v>607</v>
      </c>
      <c r="U86" t="s">
        <v>324</v>
      </c>
      <c r="V86" t="s">
        <v>1181</v>
      </c>
      <c r="W86" t="s">
        <v>179</v>
      </c>
      <c r="X86" t="s">
        <v>350</v>
      </c>
      <c r="Y86" t="s">
        <v>324</v>
      </c>
      <c r="Z86" t="s">
        <v>186</v>
      </c>
      <c r="AA86">
        <v>5</v>
      </c>
      <c r="AB86" t="s">
        <v>1182</v>
      </c>
      <c r="AC86" t="s">
        <v>205</v>
      </c>
      <c r="AF86" t="s">
        <v>205</v>
      </c>
      <c r="AI86" t="s">
        <v>1183</v>
      </c>
      <c r="AJ86" t="s">
        <v>1184</v>
      </c>
      <c r="AK86" t="s">
        <v>189</v>
      </c>
      <c r="AL86" t="s">
        <v>189</v>
      </c>
      <c r="AM86" t="s">
        <v>189</v>
      </c>
      <c r="AN86" t="s">
        <v>1185</v>
      </c>
      <c r="AO86" t="s">
        <v>1186</v>
      </c>
      <c r="AP86" t="s">
        <v>179</v>
      </c>
      <c r="AQ86" t="s">
        <v>180</v>
      </c>
      <c r="AR86" t="s">
        <v>180</v>
      </c>
      <c r="AS86" t="s">
        <v>180</v>
      </c>
      <c r="AT86" t="s">
        <v>180</v>
      </c>
      <c r="AU86" t="s">
        <v>180</v>
      </c>
      <c r="AV86" t="s">
        <v>180</v>
      </c>
      <c r="AW86" t="s">
        <v>180</v>
      </c>
      <c r="AY86" t="s">
        <v>191</v>
      </c>
      <c r="AZ86" t="s">
        <v>54</v>
      </c>
      <c r="BB86" t="s">
        <v>192</v>
      </c>
      <c r="BE86" t="s">
        <v>192</v>
      </c>
      <c r="BH86">
        <v>6</v>
      </c>
      <c r="BI86">
        <v>7</v>
      </c>
      <c r="BJ86">
        <v>4</v>
      </c>
      <c r="BK86">
        <v>5</v>
      </c>
      <c r="BL86">
        <v>1</v>
      </c>
      <c r="BM86">
        <v>2</v>
      </c>
      <c r="BN86">
        <v>3</v>
      </c>
      <c r="BP86" t="s">
        <v>193</v>
      </c>
    </row>
    <row r="87" spans="1:68">
      <c r="A87" s="4">
        <v>693491100202</v>
      </c>
      <c r="B87" s="4" t="s">
        <v>1187</v>
      </c>
      <c r="C87" s="1" t="s">
        <v>245</v>
      </c>
      <c r="D87" s="5" t="str">
        <f t="shared" si="6"/>
        <v>0</v>
      </c>
      <c r="E87" s="5" t="str">
        <f>IFERROR(IF(VLOOKUP(A87,Base!AA:AA,1,0)&gt;0,"1","0"),"0")</f>
        <v>0</v>
      </c>
      <c r="F87" s="5" t="str">
        <f t="shared" si="7"/>
        <v>-</v>
      </c>
      <c r="G87" s="5" t="str">
        <f t="shared" si="8"/>
        <v>0</v>
      </c>
      <c r="H87" t="s">
        <v>1188</v>
      </c>
      <c r="I87" t="s">
        <v>1189</v>
      </c>
      <c r="K87" t="s">
        <v>1190</v>
      </c>
      <c r="L87" t="s">
        <v>1191</v>
      </c>
      <c r="M87" t="s">
        <v>1192</v>
      </c>
      <c r="N87" t="s">
        <v>1193</v>
      </c>
      <c r="O87" t="s">
        <v>215</v>
      </c>
      <c r="P87" t="s">
        <v>179</v>
      </c>
      <c r="Q87" t="s">
        <v>179</v>
      </c>
      <c r="R87" t="s">
        <v>180</v>
      </c>
      <c r="S87" t="s">
        <v>181</v>
      </c>
      <c r="T87" t="s">
        <v>607</v>
      </c>
      <c r="V87" t="s">
        <v>1181</v>
      </c>
      <c r="W87" t="s">
        <v>179</v>
      </c>
      <c r="X87" t="s">
        <v>185</v>
      </c>
      <c r="Y87" t="s">
        <v>1194</v>
      </c>
      <c r="Z87" t="s">
        <v>205</v>
      </c>
      <c r="AC87" t="s">
        <v>205</v>
      </c>
      <c r="AF87" t="s">
        <v>205</v>
      </c>
      <c r="AI87" t="s">
        <v>521</v>
      </c>
      <c r="AK87" t="s">
        <v>189</v>
      </c>
      <c r="AL87" t="s">
        <v>188</v>
      </c>
      <c r="AM87" t="s">
        <v>252</v>
      </c>
      <c r="AN87" t="s">
        <v>1195</v>
      </c>
      <c r="AO87" t="s">
        <v>1196</v>
      </c>
      <c r="AP87" t="s">
        <v>179</v>
      </c>
      <c r="AQ87" t="s">
        <v>180</v>
      </c>
      <c r="AR87" t="s">
        <v>180</v>
      </c>
      <c r="AS87" t="s">
        <v>180</v>
      </c>
      <c r="AT87" t="s">
        <v>180</v>
      </c>
      <c r="AU87" t="s">
        <v>180</v>
      </c>
      <c r="AV87" t="s">
        <v>180</v>
      </c>
      <c r="AW87" t="s">
        <v>180</v>
      </c>
      <c r="AY87" t="s">
        <v>191</v>
      </c>
      <c r="AZ87" t="s">
        <v>178</v>
      </c>
      <c r="BB87" t="s">
        <v>192</v>
      </c>
      <c r="BE87" t="s">
        <v>191</v>
      </c>
      <c r="BF87" t="s">
        <v>178</v>
      </c>
      <c r="BH87">
        <v>5</v>
      </c>
      <c r="BI87">
        <v>6</v>
      </c>
      <c r="BJ87">
        <v>3</v>
      </c>
      <c r="BK87">
        <v>4</v>
      </c>
      <c r="BL87">
        <v>1</v>
      </c>
      <c r="BM87">
        <v>2</v>
      </c>
      <c r="BN87">
        <v>7</v>
      </c>
      <c r="BP87" t="s">
        <v>193</v>
      </c>
    </row>
    <row r="88" spans="1:68">
      <c r="A88" s="4">
        <v>837253102702</v>
      </c>
      <c r="B88" s="4" t="s">
        <v>1197</v>
      </c>
      <c r="C88" s="1" t="s">
        <v>245</v>
      </c>
      <c r="D88" s="5" t="str">
        <f t="shared" si="6"/>
        <v>0</v>
      </c>
      <c r="E88" s="5" t="str">
        <f>IFERROR(IF(VLOOKUP(A88,Base!AA:AA,1,0)&gt;0,"1","0"),"0")</f>
        <v>0</v>
      </c>
      <c r="F88" s="5" t="str">
        <f t="shared" si="7"/>
        <v>-</v>
      </c>
      <c r="G88" s="5" t="str">
        <f t="shared" si="8"/>
        <v>1</v>
      </c>
      <c r="H88" t="s">
        <v>1198</v>
      </c>
      <c r="I88" t="s">
        <v>1199</v>
      </c>
      <c r="K88" t="s">
        <v>1197</v>
      </c>
      <c r="L88" t="s">
        <v>1200</v>
      </c>
      <c r="M88" t="s">
        <v>1201</v>
      </c>
      <c r="N88" t="s">
        <v>1202</v>
      </c>
      <c r="O88" t="s">
        <v>201</v>
      </c>
      <c r="P88" t="s">
        <v>178</v>
      </c>
      <c r="Q88" t="s">
        <v>178</v>
      </c>
      <c r="R88" t="s">
        <v>180</v>
      </c>
      <c r="S88" t="s">
        <v>202</v>
      </c>
      <c r="T88" t="s">
        <v>216</v>
      </c>
      <c r="V88" t="s">
        <v>311</v>
      </c>
      <c r="W88" t="s">
        <v>184</v>
      </c>
      <c r="X88" t="s">
        <v>293</v>
      </c>
      <c r="Z88" t="s">
        <v>186</v>
      </c>
      <c r="AA88">
        <v>5</v>
      </c>
      <c r="AC88" t="s">
        <v>205</v>
      </c>
      <c r="AF88" t="s">
        <v>205</v>
      </c>
      <c r="AI88" t="s">
        <v>1203</v>
      </c>
      <c r="AK88" t="s">
        <v>189</v>
      </c>
      <c r="AL88" t="s">
        <v>189</v>
      </c>
      <c r="AM88" t="s">
        <v>189</v>
      </c>
      <c r="AO88" t="s">
        <v>204</v>
      </c>
      <c r="AP88" t="s">
        <v>179</v>
      </c>
      <c r="AQ88" t="s">
        <v>180</v>
      </c>
      <c r="AR88" t="s">
        <v>180</v>
      </c>
      <c r="AS88" t="s">
        <v>180</v>
      </c>
      <c r="AT88" t="s">
        <v>180</v>
      </c>
      <c r="AU88" t="s">
        <v>180</v>
      </c>
      <c r="AV88" t="s">
        <v>180</v>
      </c>
      <c r="AW88" t="s">
        <v>180</v>
      </c>
      <c r="AY88" t="s">
        <v>191</v>
      </c>
      <c r="AZ88" t="s">
        <v>179</v>
      </c>
      <c r="BB88" t="s">
        <v>191</v>
      </c>
      <c r="BC88" t="s">
        <v>179</v>
      </c>
      <c r="BE88" t="s">
        <v>192</v>
      </c>
      <c r="BH88">
        <v>7</v>
      </c>
      <c r="BI88">
        <v>3</v>
      </c>
      <c r="BJ88">
        <v>4</v>
      </c>
      <c r="BK88">
        <v>5</v>
      </c>
      <c r="BL88">
        <v>1</v>
      </c>
      <c r="BM88">
        <v>6</v>
      </c>
      <c r="BN88">
        <v>2</v>
      </c>
      <c r="BP88" t="s">
        <v>193</v>
      </c>
    </row>
    <row r="89" spans="1:68">
      <c r="A89" s="4">
        <v>627010921602</v>
      </c>
      <c r="B89" s="4" t="s">
        <v>1204</v>
      </c>
      <c r="C89" s="1" t="s">
        <v>38</v>
      </c>
      <c r="D89" s="5" t="str">
        <f t="shared" si="6"/>
        <v>1</v>
      </c>
      <c r="E89" s="5" t="str">
        <f>IFERROR(IF(VLOOKUP(A89,Base!AA:AA,1,0)&gt;0,"1","0"),"0")</f>
        <v>1</v>
      </c>
      <c r="F89" s="5" t="str">
        <f t="shared" si="7"/>
        <v>-</v>
      </c>
      <c r="G89" s="5" t="str">
        <f t="shared" si="8"/>
        <v>0</v>
      </c>
      <c r="H89" t="s">
        <v>1205</v>
      </c>
      <c r="I89" t="s">
        <v>1206</v>
      </c>
      <c r="K89" t="s">
        <v>1204</v>
      </c>
      <c r="L89" t="s">
        <v>1207</v>
      </c>
      <c r="M89" t="s">
        <v>1208</v>
      </c>
      <c r="N89" t="s">
        <v>1209</v>
      </c>
      <c r="O89" t="s">
        <v>201</v>
      </c>
      <c r="P89" t="s">
        <v>179</v>
      </c>
      <c r="Q89" t="s">
        <v>179</v>
      </c>
      <c r="R89" t="s">
        <v>180</v>
      </c>
      <c r="S89" t="s">
        <v>181</v>
      </c>
      <c r="T89" t="s">
        <v>216</v>
      </c>
      <c r="U89" t="s">
        <v>1022</v>
      </c>
      <c r="V89" t="s">
        <v>204</v>
      </c>
      <c r="W89" t="s">
        <v>179</v>
      </c>
      <c r="X89" t="s">
        <v>185</v>
      </c>
      <c r="Y89" t="s">
        <v>1022</v>
      </c>
      <c r="Z89" t="s">
        <v>186</v>
      </c>
      <c r="AA89">
        <v>5</v>
      </c>
      <c r="AB89" t="s">
        <v>1022</v>
      </c>
      <c r="AC89" t="s">
        <v>186</v>
      </c>
      <c r="AD89">
        <v>5</v>
      </c>
      <c r="AE89" t="s">
        <v>1022</v>
      </c>
      <c r="AF89" t="s">
        <v>186</v>
      </c>
      <c r="AG89">
        <v>4</v>
      </c>
      <c r="AH89" t="s">
        <v>1182</v>
      </c>
      <c r="AI89" t="s">
        <v>1210</v>
      </c>
      <c r="AJ89" t="s">
        <v>1211</v>
      </c>
      <c r="AK89" t="s">
        <v>188</v>
      </c>
      <c r="AL89" t="s">
        <v>188</v>
      </c>
      <c r="AM89" t="s">
        <v>220</v>
      </c>
      <c r="AN89" t="s">
        <v>1212</v>
      </c>
      <c r="AO89" t="s">
        <v>444</v>
      </c>
      <c r="AP89" t="s">
        <v>178</v>
      </c>
      <c r="AQ89" t="s">
        <v>180</v>
      </c>
      <c r="AR89" t="s">
        <v>180</v>
      </c>
      <c r="AS89" t="s">
        <v>254</v>
      </c>
      <c r="AT89" t="s">
        <v>254</v>
      </c>
      <c r="AU89" t="s">
        <v>180</v>
      </c>
      <c r="AV89" t="s">
        <v>180</v>
      </c>
      <c r="AW89" t="s">
        <v>180</v>
      </c>
      <c r="AX89" t="s">
        <v>1213</v>
      </c>
      <c r="AY89" t="s">
        <v>191</v>
      </c>
      <c r="AZ89" t="s">
        <v>178</v>
      </c>
      <c r="BA89" t="s">
        <v>1214</v>
      </c>
      <c r="BB89" t="s">
        <v>192</v>
      </c>
      <c r="BE89" t="s">
        <v>191</v>
      </c>
      <c r="BF89" t="s">
        <v>179</v>
      </c>
      <c r="BG89" t="s">
        <v>1215</v>
      </c>
      <c r="BH89">
        <v>2</v>
      </c>
      <c r="BI89">
        <v>6</v>
      </c>
      <c r="BJ89">
        <v>4</v>
      </c>
      <c r="BK89">
        <v>5</v>
      </c>
      <c r="BL89">
        <v>1</v>
      </c>
      <c r="BM89">
        <v>3</v>
      </c>
      <c r="BN89">
        <v>7</v>
      </c>
      <c r="BP89" t="s">
        <v>193</v>
      </c>
    </row>
    <row r="90" spans="1:68">
      <c r="A90" s="4">
        <v>128664783802</v>
      </c>
      <c r="B90" s="4" t="s">
        <v>1216</v>
      </c>
      <c r="C90" s="1" t="s">
        <v>100</v>
      </c>
      <c r="D90" s="5" t="str">
        <f t="shared" si="6"/>
        <v>1</v>
      </c>
      <c r="E90" s="5" t="str">
        <f>IFERROR(IF(VLOOKUP(A90,Base!AA:AA,1,0)&gt;0,"1","0"),"0")</f>
        <v>1</v>
      </c>
      <c r="F90" s="5" t="str">
        <f t="shared" si="7"/>
        <v>-</v>
      </c>
      <c r="G90" s="5" t="str">
        <f t="shared" si="8"/>
        <v>0</v>
      </c>
      <c r="H90" t="s">
        <v>1217</v>
      </c>
      <c r="I90" t="s">
        <v>1218</v>
      </c>
      <c r="K90" t="s">
        <v>1219</v>
      </c>
      <c r="L90" t="s">
        <v>1220</v>
      </c>
      <c r="M90" t="s">
        <v>1221</v>
      </c>
      <c r="N90" t="s">
        <v>1222</v>
      </c>
      <c r="O90" t="s">
        <v>215</v>
      </c>
      <c r="P90" t="s">
        <v>178</v>
      </c>
      <c r="Q90" t="s">
        <v>54</v>
      </c>
      <c r="R90" t="s">
        <v>254</v>
      </c>
      <c r="S90" t="s">
        <v>202</v>
      </c>
      <c r="T90" t="s">
        <v>216</v>
      </c>
      <c r="V90" t="s">
        <v>937</v>
      </c>
      <c r="W90" t="s">
        <v>179</v>
      </c>
      <c r="X90" t="s">
        <v>1223</v>
      </c>
      <c r="Z90" t="s">
        <v>186</v>
      </c>
      <c r="AA90">
        <v>4</v>
      </c>
      <c r="AC90" t="s">
        <v>186</v>
      </c>
      <c r="AD90">
        <v>5</v>
      </c>
      <c r="AF90" t="s">
        <v>186</v>
      </c>
      <c r="AG90">
        <v>5</v>
      </c>
      <c r="AI90" t="s">
        <v>1224</v>
      </c>
      <c r="AK90" t="s">
        <v>189</v>
      </c>
      <c r="AL90" t="s">
        <v>189</v>
      </c>
      <c r="AM90" t="s">
        <v>189</v>
      </c>
      <c r="AO90" t="s">
        <v>311</v>
      </c>
      <c r="AP90" t="s">
        <v>179</v>
      </c>
      <c r="AQ90" t="s">
        <v>180</v>
      </c>
      <c r="AR90" t="s">
        <v>180</v>
      </c>
      <c r="AS90" t="s">
        <v>180</v>
      </c>
      <c r="AT90" t="s">
        <v>180</v>
      </c>
      <c r="AU90" t="s">
        <v>180</v>
      </c>
      <c r="AV90" t="s">
        <v>180</v>
      </c>
      <c r="AW90" t="s">
        <v>180</v>
      </c>
      <c r="AY90" t="s">
        <v>191</v>
      </c>
      <c r="AZ90" t="s">
        <v>179</v>
      </c>
      <c r="BB90" t="s">
        <v>192</v>
      </c>
      <c r="BE90" t="s">
        <v>191</v>
      </c>
      <c r="BF90" t="s">
        <v>179</v>
      </c>
      <c r="BH90">
        <v>7</v>
      </c>
      <c r="BI90">
        <v>3</v>
      </c>
      <c r="BJ90">
        <v>4</v>
      </c>
      <c r="BK90">
        <v>2</v>
      </c>
      <c r="BL90">
        <v>1</v>
      </c>
      <c r="BM90">
        <v>6</v>
      </c>
      <c r="BN90">
        <v>5</v>
      </c>
      <c r="BP90" t="s">
        <v>193</v>
      </c>
    </row>
    <row r="91" spans="1:68">
      <c r="A91" s="4">
        <v>307039143202</v>
      </c>
      <c r="B91" s="4" t="s">
        <v>1225</v>
      </c>
      <c r="C91" s="1" t="s">
        <v>245</v>
      </c>
      <c r="D91" s="5" t="str">
        <f t="shared" si="6"/>
        <v>0</v>
      </c>
      <c r="E91" s="5" t="str">
        <f>IFERROR(IF(VLOOKUP(A91,Base!AA:AA,1,0)&gt;0,"1","0"),"0")</f>
        <v>0</v>
      </c>
      <c r="F91" s="5" t="str">
        <f t="shared" si="7"/>
        <v>-</v>
      </c>
      <c r="G91" s="5" t="str">
        <f t="shared" si="8"/>
        <v>0</v>
      </c>
      <c r="H91" t="s">
        <v>1226</v>
      </c>
      <c r="I91" t="s">
        <v>1227</v>
      </c>
      <c r="K91" t="s">
        <v>1225</v>
      </c>
      <c r="L91">
        <v>307039143202</v>
      </c>
      <c r="M91" t="s">
        <v>1228</v>
      </c>
      <c r="N91" t="s">
        <v>1229</v>
      </c>
      <c r="O91" t="s">
        <v>201</v>
      </c>
      <c r="P91" t="s">
        <v>178</v>
      </c>
      <c r="Q91" t="s">
        <v>179</v>
      </c>
      <c r="R91" t="s">
        <v>180</v>
      </c>
      <c r="S91" t="s">
        <v>181</v>
      </c>
      <c r="T91" t="s">
        <v>743</v>
      </c>
      <c r="U91" t="s">
        <v>1230</v>
      </c>
      <c r="V91" t="s">
        <v>269</v>
      </c>
      <c r="W91" t="s">
        <v>179</v>
      </c>
      <c r="X91" t="s">
        <v>1231</v>
      </c>
      <c r="Z91" t="s">
        <v>186</v>
      </c>
      <c r="AA91">
        <v>5</v>
      </c>
      <c r="AC91" t="s">
        <v>186</v>
      </c>
      <c r="AD91">
        <v>5</v>
      </c>
      <c r="AF91" t="s">
        <v>205</v>
      </c>
      <c r="AI91" t="s">
        <v>1232</v>
      </c>
      <c r="AK91" t="s">
        <v>188</v>
      </c>
      <c r="AL91" t="s">
        <v>252</v>
      </c>
      <c r="AM91" t="s">
        <v>220</v>
      </c>
      <c r="AN91" t="s">
        <v>1233</v>
      </c>
      <c r="AO91" t="s">
        <v>1234</v>
      </c>
      <c r="AP91" t="s">
        <v>178</v>
      </c>
      <c r="AQ91" t="s">
        <v>254</v>
      </c>
      <c r="AR91" t="s">
        <v>180</v>
      </c>
      <c r="AS91" t="s">
        <v>254</v>
      </c>
      <c r="AT91" t="s">
        <v>254</v>
      </c>
      <c r="AU91" t="s">
        <v>254</v>
      </c>
      <c r="AV91" t="s">
        <v>180</v>
      </c>
      <c r="AW91" t="s">
        <v>254</v>
      </c>
      <c r="AX91" t="s">
        <v>1235</v>
      </c>
      <c r="AY91" t="s">
        <v>192</v>
      </c>
      <c r="BB91" t="s">
        <v>192</v>
      </c>
      <c r="BE91" t="s">
        <v>192</v>
      </c>
      <c r="BH91">
        <v>2</v>
      </c>
      <c r="BI91">
        <v>7</v>
      </c>
      <c r="BJ91">
        <v>6</v>
      </c>
      <c r="BK91">
        <v>1</v>
      </c>
      <c r="BL91">
        <v>4</v>
      </c>
      <c r="BM91">
        <v>3</v>
      </c>
      <c r="BN91">
        <v>5</v>
      </c>
      <c r="BP91" t="s">
        <v>193</v>
      </c>
    </row>
    <row r="92" spans="1:68">
      <c r="A92" s="4">
        <v>437878012202</v>
      </c>
      <c r="B92" s="4" t="s">
        <v>1236</v>
      </c>
      <c r="C92" s="1" t="s">
        <v>245</v>
      </c>
      <c r="D92" s="5" t="str">
        <f t="shared" si="6"/>
        <v>0</v>
      </c>
      <c r="E92" s="5" t="str">
        <f>IFERROR(IF(VLOOKUP(A92,Base!AA:AA,1,0)&gt;0,"1","0"),"0")</f>
        <v>0</v>
      </c>
      <c r="F92" s="5" t="str">
        <f t="shared" si="7"/>
        <v>-</v>
      </c>
      <c r="G92" s="5" t="str">
        <f t="shared" si="8"/>
        <v>0</v>
      </c>
      <c r="H92" t="s">
        <v>1237</v>
      </c>
      <c r="I92" t="s">
        <v>1238</v>
      </c>
      <c r="K92" t="s">
        <v>1239</v>
      </c>
      <c r="L92" t="s">
        <v>1240</v>
      </c>
      <c r="M92" t="s">
        <v>1241</v>
      </c>
      <c r="N92" t="s">
        <v>1242</v>
      </c>
      <c r="O92" t="s">
        <v>177</v>
      </c>
      <c r="P92" t="s">
        <v>54</v>
      </c>
      <c r="Q92" t="s">
        <v>56</v>
      </c>
      <c r="R92" t="s">
        <v>375</v>
      </c>
      <c r="S92" t="s">
        <v>1243</v>
      </c>
      <c r="T92" t="s">
        <v>1139</v>
      </c>
      <c r="U92" t="s">
        <v>1244</v>
      </c>
      <c r="V92" t="s">
        <v>472</v>
      </c>
      <c r="W92" t="s">
        <v>56</v>
      </c>
      <c r="X92" t="s">
        <v>1245</v>
      </c>
      <c r="Y92" t="s">
        <v>1246</v>
      </c>
      <c r="Z92" t="s">
        <v>205</v>
      </c>
      <c r="AC92" t="s">
        <v>186</v>
      </c>
      <c r="AD92">
        <v>1</v>
      </c>
      <c r="AF92" t="s">
        <v>205</v>
      </c>
      <c r="AI92" t="s">
        <v>1247</v>
      </c>
      <c r="AK92" t="s">
        <v>189</v>
      </c>
      <c r="AL92" t="s">
        <v>188</v>
      </c>
      <c r="AM92" t="s">
        <v>188</v>
      </c>
      <c r="AO92" t="s">
        <v>221</v>
      </c>
      <c r="AP92" t="s">
        <v>178</v>
      </c>
      <c r="AQ92" t="s">
        <v>180</v>
      </c>
      <c r="AR92" t="s">
        <v>254</v>
      </c>
      <c r="AS92" t="s">
        <v>180</v>
      </c>
      <c r="AT92" t="s">
        <v>254</v>
      </c>
      <c r="AU92" t="s">
        <v>180</v>
      </c>
      <c r="AV92" t="s">
        <v>254</v>
      </c>
      <c r="AW92" t="s">
        <v>180</v>
      </c>
      <c r="AY92" t="s">
        <v>192</v>
      </c>
      <c r="BB92" t="s">
        <v>192</v>
      </c>
      <c r="BE92" t="s">
        <v>191</v>
      </c>
      <c r="BF92" t="s">
        <v>54</v>
      </c>
      <c r="BH92">
        <v>1</v>
      </c>
      <c r="BI92">
        <v>3</v>
      </c>
      <c r="BJ92">
        <v>6</v>
      </c>
      <c r="BK92">
        <v>5</v>
      </c>
      <c r="BL92">
        <v>2</v>
      </c>
      <c r="BM92">
        <v>4</v>
      </c>
      <c r="BN92">
        <v>7</v>
      </c>
      <c r="BP92" t="s">
        <v>193</v>
      </c>
    </row>
    <row r="93" spans="1:68">
      <c r="A93" s="4">
        <v>551856008602</v>
      </c>
      <c r="B93" s="4" t="s">
        <v>1248</v>
      </c>
      <c r="C93" s="1" t="s">
        <v>37</v>
      </c>
      <c r="D93" s="5" t="str">
        <f t="shared" si="6"/>
        <v>1</v>
      </c>
      <c r="E93" s="5" t="str">
        <f>IFERROR(IF(VLOOKUP(A93,Base!AA:AA,1,0)&gt;0,"1","0"),"0")</f>
        <v>1</v>
      </c>
      <c r="F93" s="5" t="str">
        <f t="shared" si="7"/>
        <v>1</v>
      </c>
      <c r="G93" s="5" t="str">
        <f t="shared" si="8"/>
        <v>1</v>
      </c>
      <c r="H93" t="s">
        <v>1249</v>
      </c>
      <c r="I93" t="s">
        <v>1250</v>
      </c>
      <c r="K93" t="s">
        <v>1251</v>
      </c>
      <c r="L93">
        <v>219314571102</v>
      </c>
      <c r="M93" t="s">
        <v>1252</v>
      </c>
      <c r="N93" t="s">
        <v>1253</v>
      </c>
      <c r="O93" t="s">
        <v>215</v>
      </c>
      <c r="P93" t="s">
        <v>178</v>
      </c>
      <c r="Q93" t="s">
        <v>178</v>
      </c>
      <c r="R93" t="s">
        <v>180</v>
      </c>
      <c r="S93" t="s">
        <v>202</v>
      </c>
      <c r="T93" t="s">
        <v>240</v>
      </c>
      <c r="U93" t="s">
        <v>1254</v>
      </c>
      <c r="V93" t="s">
        <v>1255</v>
      </c>
      <c r="W93" t="s">
        <v>179</v>
      </c>
      <c r="X93" t="s">
        <v>1256</v>
      </c>
      <c r="Z93" t="s">
        <v>186</v>
      </c>
      <c r="AA93">
        <v>5</v>
      </c>
      <c r="AC93" t="s">
        <v>186</v>
      </c>
      <c r="AD93">
        <v>5</v>
      </c>
      <c r="AF93" t="s">
        <v>205</v>
      </c>
      <c r="AI93" t="s">
        <v>1183</v>
      </c>
      <c r="AK93" t="s">
        <v>188</v>
      </c>
      <c r="AL93" t="s">
        <v>188</v>
      </c>
      <c r="AM93" t="s">
        <v>189</v>
      </c>
      <c r="AO93" t="s">
        <v>1257</v>
      </c>
      <c r="AP93" t="s">
        <v>179</v>
      </c>
      <c r="AQ93" t="s">
        <v>180</v>
      </c>
      <c r="AR93" t="s">
        <v>180</v>
      </c>
      <c r="AS93" t="s">
        <v>180</v>
      </c>
      <c r="AT93" t="s">
        <v>180</v>
      </c>
      <c r="AU93" t="s">
        <v>180</v>
      </c>
      <c r="AV93" t="s">
        <v>180</v>
      </c>
      <c r="AW93" t="s">
        <v>180</v>
      </c>
      <c r="AY93" t="s">
        <v>191</v>
      </c>
      <c r="AZ93" t="s">
        <v>178</v>
      </c>
      <c r="BB93" t="s">
        <v>191</v>
      </c>
      <c r="BC93" t="s">
        <v>179</v>
      </c>
      <c r="BE93" t="s">
        <v>191</v>
      </c>
      <c r="BF93" t="s">
        <v>179</v>
      </c>
      <c r="BH93">
        <v>3</v>
      </c>
      <c r="BI93">
        <v>6</v>
      </c>
      <c r="BJ93">
        <v>7</v>
      </c>
      <c r="BK93">
        <v>4</v>
      </c>
      <c r="BL93">
        <v>2</v>
      </c>
      <c r="BM93">
        <v>5</v>
      </c>
      <c r="BN93">
        <v>1</v>
      </c>
      <c r="BP93" t="s">
        <v>193</v>
      </c>
    </row>
    <row r="94" spans="1:68">
      <c r="A94" s="4">
        <v>434163431202</v>
      </c>
      <c r="B94" s="4" t="s">
        <v>1258</v>
      </c>
      <c r="C94" s="1" t="s">
        <v>37</v>
      </c>
      <c r="D94" s="5" t="str">
        <f t="shared" si="6"/>
        <v>1</v>
      </c>
      <c r="E94" s="5" t="str">
        <f>IFERROR(IF(VLOOKUP(A94,Base!AA:AA,1,0)&gt;0,"1","0"),"0")</f>
        <v>1</v>
      </c>
      <c r="F94" s="5" t="str">
        <f t="shared" si="7"/>
        <v>-</v>
      </c>
      <c r="G94" s="5" t="str">
        <f t="shared" si="8"/>
        <v>0</v>
      </c>
      <c r="H94" t="s">
        <v>1259</v>
      </c>
      <c r="I94" t="s">
        <v>1260</v>
      </c>
      <c r="K94" t="s">
        <v>1261</v>
      </c>
      <c r="L94" t="s">
        <v>1262</v>
      </c>
      <c r="M94" t="s">
        <v>1263</v>
      </c>
      <c r="N94" t="s">
        <v>1264</v>
      </c>
      <c r="O94" t="s">
        <v>201</v>
      </c>
      <c r="P94" t="s">
        <v>179</v>
      </c>
      <c r="Q94" t="s">
        <v>179</v>
      </c>
      <c r="R94" t="s">
        <v>180</v>
      </c>
      <c r="S94" t="s">
        <v>181</v>
      </c>
      <c r="T94" t="s">
        <v>607</v>
      </c>
      <c r="U94" t="s">
        <v>1265</v>
      </c>
      <c r="V94" t="s">
        <v>493</v>
      </c>
      <c r="W94" t="s">
        <v>179</v>
      </c>
      <c r="X94" t="s">
        <v>185</v>
      </c>
      <c r="Y94" t="s">
        <v>1266</v>
      </c>
      <c r="Z94" t="s">
        <v>186</v>
      </c>
      <c r="AA94">
        <v>5</v>
      </c>
      <c r="AB94" t="s">
        <v>1267</v>
      </c>
      <c r="AC94" t="s">
        <v>186</v>
      </c>
      <c r="AD94">
        <v>5</v>
      </c>
      <c r="AF94" t="s">
        <v>186</v>
      </c>
      <c r="AG94">
        <v>5</v>
      </c>
      <c r="AH94" t="s">
        <v>1268</v>
      </c>
      <c r="AI94" t="s">
        <v>1269</v>
      </c>
      <c r="AK94" t="s">
        <v>189</v>
      </c>
      <c r="AL94" t="s">
        <v>189</v>
      </c>
      <c r="AM94" t="s">
        <v>189</v>
      </c>
      <c r="AN94" t="s">
        <v>1270</v>
      </c>
      <c r="AO94" t="s">
        <v>1271</v>
      </c>
      <c r="AP94" t="s">
        <v>178</v>
      </c>
      <c r="AQ94" t="s">
        <v>254</v>
      </c>
      <c r="AR94" t="s">
        <v>254</v>
      </c>
      <c r="AS94" t="s">
        <v>180</v>
      </c>
      <c r="AT94" t="s">
        <v>254</v>
      </c>
      <c r="AU94" t="s">
        <v>180</v>
      </c>
      <c r="AV94" t="s">
        <v>180</v>
      </c>
      <c r="AW94" t="s">
        <v>180</v>
      </c>
      <c r="AY94" t="s">
        <v>192</v>
      </c>
      <c r="BB94" t="s">
        <v>192</v>
      </c>
      <c r="BE94" t="s">
        <v>191</v>
      </c>
      <c r="BF94" t="s">
        <v>178</v>
      </c>
      <c r="BH94">
        <v>2</v>
      </c>
      <c r="BI94">
        <v>4</v>
      </c>
      <c r="BJ94">
        <v>3</v>
      </c>
      <c r="BK94">
        <v>5</v>
      </c>
      <c r="BL94">
        <v>1</v>
      </c>
      <c r="BM94">
        <v>6</v>
      </c>
      <c r="BN94">
        <v>7</v>
      </c>
      <c r="BP94" t="s">
        <v>193</v>
      </c>
    </row>
    <row r="95" spans="1:68">
      <c r="A95" s="4">
        <v>1078200608102</v>
      </c>
      <c r="B95" s="4" t="s">
        <v>1272</v>
      </c>
      <c r="C95" s="1" t="s">
        <v>37</v>
      </c>
      <c r="D95" s="5" t="str">
        <f t="shared" si="6"/>
        <v>1</v>
      </c>
      <c r="E95" s="5" t="str">
        <f>IFERROR(IF(VLOOKUP(A95,Base!AA:AA,1,0)&gt;0,"1","0"),"0")</f>
        <v>1</v>
      </c>
      <c r="F95" s="5" t="str">
        <f t="shared" si="7"/>
        <v>1</v>
      </c>
      <c r="G95" s="5" t="str">
        <f t="shared" si="8"/>
        <v>1</v>
      </c>
      <c r="H95" t="s">
        <v>1273</v>
      </c>
      <c r="I95" t="s">
        <v>1274</v>
      </c>
      <c r="K95" t="s">
        <v>1275</v>
      </c>
      <c r="L95" t="s">
        <v>1276</v>
      </c>
      <c r="M95" t="s">
        <v>1277</v>
      </c>
      <c r="N95" t="s">
        <v>1278</v>
      </c>
      <c r="O95" t="s">
        <v>201</v>
      </c>
      <c r="P95" t="s">
        <v>179</v>
      </c>
      <c r="Q95" t="s">
        <v>178</v>
      </c>
      <c r="R95" t="s">
        <v>180</v>
      </c>
      <c r="S95" t="s">
        <v>181</v>
      </c>
      <c r="T95" t="s">
        <v>216</v>
      </c>
      <c r="U95" t="s">
        <v>1279</v>
      </c>
      <c r="V95" t="s">
        <v>1280</v>
      </c>
      <c r="W95" t="s">
        <v>179</v>
      </c>
      <c r="X95" t="s">
        <v>293</v>
      </c>
      <c r="Y95" t="s">
        <v>1281</v>
      </c>
      <c r="Z95" t="s">
        <v>186</v>
      </c>
      <c r="AA95">
        <v>4</v>
      </c>
      <c r="AB95" t="s">
        <v>1282</v>
      </c>
      <c r="AC95" t="s">
        <v>186</v>
      </c>
      <c r="AD95">
        <v>4</v>
      </c>
      <c r="AF95" t="s">
        <v>186</v>
      </c>
      <c r="AG95">
        <v>5</v>
      </c>
      <c r="AI95" t="s">
        <v>1283</v>
      </c>
      <c r="AJ95" t="s">
        <v>1284</v>
      </c>
      <c r="AK95" t="s">
        <v>189</v>
      </c>
      <c r="AL95" t="s">
        <v>189</v>
      </c>
      <c r="AM95" t="s">
        <v>189</v>
      </c>
      <c r="AN95" t="s">
        <v>1285</v>
      </c>
      <c r="AO95" t="s">
        <v>1286</v>
      </c>
      <c r="AP95" t="s">
        <v>179</v>
      </c>
      <c r="AQ95" t="s">
        <v>180</v>
      </c>
      <c r="AR95" t="s">
        <v>180</v>
      </c>
      <c r="AS95" t="s">
        <v>180</v>
      </c>
      <c r="AT95" t="s">
        <v>180</v>
      </c>
      <c r="AU95" t="s">
        <v>180</v>
      </c>
      <c r="AV95" t="s">
        <v>180</v>
      </c>
      <c r="AW95" t="s">
        <v>180</v>
      </c>
      <c r="AX95" t="s">
        <v>1287</v>
      </c>
      <c r="AY95" t="s">
        <v>191</v>
      </c>
      <c r="AZ95" t="s">
        <v>179</v>
      </c>
      <c r="BB95" t="s">
        <v>191</v>
      </c>
      <c r="BC95" t="s">
        <v>179</v>
      </c>
      <c r="BE95" t="s">
        <v>191</v>
      </c>
      <c r="BF95" t="s">
        <v>179</v>
      </c>
      <c r="BH95">
        <v>5</v>
      </c>
      <c r="BI95">
        <v>6</v>
      </c>
      <c r="BJ95">
        <v>7</v>
      </c>
      <c r="BK95">
        <v>4</v>
      </c>
      <c r="BL95">
        <v>2</v>
      </c>
      <c r="BM95">
        <v>1</v>
      </c>
      <c r="BN95">
        <v>3</v>
      </c>
      <c r="BP95" t="s">
        <v>193</v>
      </c>
    </row>
    <row r="96" spans="1:68">
      <c r="A96" s="4">
        <v>530870446802</v>
      </c>
      <c r="B96" s="4" t="s">
        <v>1288</v>
      </c>
      <c r="C96" s="1" t="s">
        <v>36</v>
      </c>
      <c r="D96" s="5" t="str">
        <f t="shared" si="6"/>
        <v>1</v>
      </c>
      <c r="E96" s="5" t="str">
        <f>IFERROR(IF(VLOOKUP(A96,Base!AA:AA,1,0)&gt;0,"1","0"),"0")</f>
        <v>1</v>
      </c>
      <c r="F96" s="5" t="str">
        <f t="shared" si="7"/>
        <v>0</v>
      </c>
      <c r="G96" s="5" t="str">
        <f t="shared" si="8"/>
        <v>1</v>
      </c>
      <c r="H96" t="s">
        <v>1289</v>
      </c>
      <c r="I96" t="s">
        <v>1290</v>
      </c>
      <c r="K96" t="s">
        <v>1291</v>
      </c>
      <c r="L96" t="s">
        <v>1292</v>
      </c>
      <c r="M96" t="s">
        <v>1293</v>
      </c>
      <c r="N96" t="s">
        <v>1294</v>
      </c>
      <c r="O96" t="s">
        <v>201</v>
      </c>
      <c r="P96" t="s">
        <v>179</v>
      </c>
      <c r="Q96" t="s">
        <v>179</v>
      </c>
      <c r="R96" t="s">
        <v>180</v>
      </c>
      <c r="S96" t="s">
        <v>181</v>
      </c>
      <c r="T96" t="s">
        <v>216</v>
      </c>
      <c r="U96" t="s">
        <v>1295</v>
      </c>
      <c r="V96" t="s">
        <v>1296</v>
      </c>
      <c r="W96" t="s">
        <v>179</v>
      </c>
      <c r="X96" t="s">
        <v>185</v>
      </c>
      <c r="Z96" t="s">
        <v>186</v>
      </c>
      <c r="AA96">
        <v>5</v>
      </c>
      <c r="AC96" t="s">
        <v>186</v>
      </c>
      <c r="AD96">
        <v>5</v>
      </c>
      <c r="AF96" t="s">
        <v>186</v>
      </c>
      <c r="AG96">
        <v>5</v>
      </c>
      <c r="AI96" t="s">
        <v>1297</v>
      </c>
      <c r="AK96" t="s">
        <v>188</v>
      </c>
      <c r="AL96" t="s">
        <v>188</v>
      </c>
      <c r="AM96" t="s">
        <v>188</v>
      </c>
      <c r="AO96" t="s">
        <v>1298</v>
      </c>
      <c r="AP96" t="s">
        <v>54</v>
      </c>
      <c r="AQ96" t="s">
        <v>254</v>
      </c>
      <c r="AR96" t="s">
        <v>254</v>
      </c>
      <c r="AS96" t="s">
        <v>180</v>
      </c>
      <c r="AT96" t="s">
        <v>355</v>
      </c>
      <c r="AU96" t="s">
        <v>254</v>
      </c>
      <c r="AV96" t="s">
        <v>180</v>
      </c>
      <c r="AW96" t="s">
        <v>180</v>
      </c>
      <c r="AX96" t="s">
        <v>1299</v>
      </c>
      <c r="AY96" t="s">
        <v>191</v>
      </c>
      <c r="AZ96" t="s">
        <v>178</v>
      </c>
      <c r="BA96" t="s">
        <v>1300</v>
      </c>
      <c r="BB96" t="s">
        <v>191</v>
      </c>
      <c r="BC96" t="s">
        <v>54</v>
      </c>
      <c r="BD96" t="s">
        <v>1301</v>
      </c>
      <c r="BE96" t="s">
        <v>191</v>
      </c>
      <c r="BF96" t="s">
        <v>179</v>
      </c>
      <c r="BH96">
        <v>7</v>
      </c>
      <c r="BI96">
        <v>3</v>
      </c>
      <c r="BJ96">
        <v>4</v>
      </c>
      <c r="BK96">
        <v>5</v>
      </c>
      <c r="BL96">
        <v>1</v>
      </c>
      <c r="BM96">
        <v>2</v>
      </c>
      <c r="BN96">
        <v>6</v>
      </c>
      <c r="BO96" t="s">
        <v>1302</v>
      </c>
    </row>
    <row r="97" spans="1:68">
      <c r="A97" s="4">
        <v>130065728702</v>
      </c>
      <c r="B97" s="4" t="s">
        <v>1303</v>
      </c>
      <c r="C97" s="1" t="s">
        <v>38</v>
      </c>
      <c r="D97" s="5" t="str">
        <f t="shared" si="6"/>
        <v>1</v>
      </c>
      <c r="E97" s="5" t="str">
        <f>IFERROR(IF(VLOOKUP(A97,Base!AA:AA,1,0)&gt;0,"1","0"),"0")</f>
        <v>1</v>
      </c>
      <c r="F97" s="5" t="str">
        <f t="shared" si="7"/>
        <v>1</v>
      </c>
      <c r="G97" s="5" t="str">
        <f t="shared" si="8"/>
        <v>1</v>
      </c>
      <c r="H97" t="s">
        <v>1304</v>
      </c>
      <c r="I97" t="s">
        <v>1305</v>
      </c>
      <c r="K97" t="s">
        <v>1306</v>
      </c>
      <c r="L97" t="s">
        <v>1307</v>
      </c>
      <c r="M97" t="s">
        <v>1308</v>
      </c>
      <c r="N97" t="s">
        <v>1309</v>
      </c>
      <c r="O97" t="s">
        <v>201</v>
      </c>
      <c r="P97" t="s">
        <v>178</v>
      </c>
      <c r="Q97" t="s">
        <v>178</v>
      </c>
      <c r="R97" t="s">
        <v>254</v>
      </c>
      <c r="S97" t="s">
        <v>202</v>
      </c>
      <c r="T97" t="s">
        <v>1310</v>
      </c>
      <c r="V97" t="s">
        <v>204</v>
      </c>
      <c r="W97" t="s">
        <v>184</v>
      </c>
      <c r="X97" t="s">
        <v>1311</v>
      </c>
      <c r="Z97" t="s">
        <v>205</v>
      </c>
      <c r="AC97" t="s">
        <v>186</v>
      </c>
      <c r="AD97">
        <v>4</v>
      </c>
      <c r="AF97" t="s">
        <v>186</v>
      </c>
      <c r="AG97">
        <v>3</v>
      </c>
      <c r="AI97" t="s">
        <v>1312</v>
      </c>
      <c r="AK97" t="s">
        <v>189</v>
      </c>
      <c r="AL97" t="s">
        <v>188</v>
      </c>
      <c r="AM97" t="s">
        <v>188</v>
      </c>
      <c r="AN97" t="s">
        <v>1313</v>
      </c>
      <c r="AO97" t="s">
        <v>309</v>
      </c>
      <c r="AP97" t="s">
        <v>178</v>
      </c>
      <c r="AQ97" t="s">
        <v>254</v>
      </c>
      <c r="AR97" t="s">
        <v>254</v>
      </c>
      <c r="AS97" t="s">
        <v>254</v>
      </c>
      <c r="AT97" t="s">
        <v>254</v>
      </c>
      <c r="AU97" t="s">
        <v>180</v>
      </c>
      <c r="AV97" t="s">
        <v>355</v>
      </c>
      <c r="AW97" t="s">
        <v>254</v>
      </c>
      <c r="AX97" t="s">
        <v>1314</v>
      </c>
      <c r="AY97" t="s">
        <v>191</v>
      </c>
      <c r="AZ97" t="s">
        <v>178</v>
      </c>
      <c r="BA97" t="s">
        <v>1315</v>
      </c>
      <c r="BB97" t="s">
        <v>191</v>
      </c>
      <c r="BC97" t="s">
        <v>179</v>
      </c>
      <c r="BE97" t="s">
        <v>191</v>
      </c>
      <c r="BF97" t="s">
        <v>179</v>
      </c>
      <c r="BH97">
        <v>3</v>
      </c>
      <c r="BI97">
        <v>5</v>
      </c>
      <c r="BJ97">
        <v>6</v>
      </c>
      <c r="BK97">
        <v>1</v>
      </c>
      <c r="BL97">
        <v>2</v>
      </c>
      <c r="BM97">
        <v>4</v>
      </c>
      <c r="BN97">
        <v>7</v>
      </c>
      <c r="BP97" t="s">
        <v>193</v>
      </c>
    </row>
    <row r="98" spans="1:68">
      <c r="A98" s="4">
        <v>108483856702</v>
      </c>
      <c r="B98" s="4" t="s">
        <v>1316</v>
      </c>
      <c r="C98" s="1" t="s">
        <v>37</v>
      </c>
      <c r="D98" s="5" t="str">
        <f t="shared" si="6"/>
        <v>1</v>
      </c>
      <c r="E98" s="5" t="str">
        <f>IFERROR(IF(VLOOKUP(A98,Base!AA:AA,1,0)&gt;0,"1","0"),"0")</f>
        <v>1</v>
      </c>
      <c r="F98" s="5" t="str">
        <f t="shared" si="7"/>
        <v>1</v>
      </c>
      <c r="G98" s="5" t="str">
        <f t="shared" si="8"/>
        <v>1</v>
      </c>
      <c r="H98" t="s">
        <v>1317</v>
      </c>
      <c r="I98" t="s">
        <v>1318</v>
      </c>
      <c r="K98" t="s">
        <v>1319</v>
      </c>
      <c r="L98" t="s">
        <v>1320</v>
      </c>
      <c r="M98" t="s">
        <v>1321</v>
      </c>
      <c r="N98" t="s">
        <v>1322</v>
      </c>
      <c r="O98" t="s">
        <v>177</v>
      </c>
      <c r="P98" t="s">
        <v>179</v>
      </c>
      <c r="Q98" t="s">
        <v>55</v>
      </c>
      <c r="R98" t="s">
        <v>254</v>
      </c>
      <c r="S98" t="s">
        <v>405</v>
      </c>
      <c r="T98" t="s">
        <v>1323</v>
      </c>
      <c r="U98" t="s">
        <v>1324</v>
      </c>
      <c r="V98" t="s">
        <v>1325</v>
      </c>
      <c r="W98" t="s">
        <v>594</v>
      </c>
      <c r="X98" t="s">
        <v>1326</v>
      </c>
      <c r="Y98" t="s">
        <v>1327</v>
      </c>
      <c r="Z98" t="s">
        <v>186</v>
      </c>
      <c r="AA98">
        <v>4</v>
      </c>
      <c r="AB98" t="s">
        <v>1328</v>
      </c>
      <c r="AC98" t="s">
        <v>205</v>
      </c>
      <c r="AF98" t="s">
        <v>205</v>
      </c>
      <c r="AI98" t="s">
        <v>1329</v>
      </c>
      <c r="AJ98" t="s">
        <v>1330</v>
      </c>
      <c r="AK98" t="s">
        <v>189</v>
      </c>
      <c r="AL98" t="s">
        <v>189</v>
      </c>
      <c r="AM98" t="s">
        <v>189</v>
      </c>
      <c r="AO98" t="s">
        <v>266</v>
      </c>
      <c r="AP98" t="s">
        <v>179</v>
      </c>
      <c r="AQ98" t="s">
        <v>180</v>
      </c>
      <c r="AR98" t="s">
        <v>180</v>
      </c>
      <c r="AS98" t="s">
        <v>180</v>
      </c>
      <c r="AT98" t="s">
        <v>180</v>
      </c>
      <c r="AU98" t="s">
        <v>180</v>
      </c>
      <c r="AV98" t="s">
        <v>180</v>
      </c>
      <c r="AW98" t="s">
        <v>180</v>
      </c>
      <c r="AY98" t="s">
        <v>192</v>
      </c>
      <c r="BB98" t="s">
        <v>191</v>
      </c>
      <c r="BC98" t="s">
        <v>179</v>
      </c>
      <c r="BE98" t="s">
        <v>191</v>
      </c>
      <c r="BF98" t="s">
        <v>179</v>
      </c>
      <c r="BH98">
        <v>2</v>
      </c>
      <c r="BI98">
        <v>7</v>
      </c>
      <c r="BJ98">
        <v>6</v>
      </c>
      <c r="BK98">
        <v>5</v>
      </c>
      <c r="BL98">
        <v>1</v>
      </c>
      <c r="BM98">
        <v>3</v>
      </c>
      <c r="BN98">
        <v>4</v>
      </c>
      <c r="BP98" t="s">
        <v>193</v>
      </c>
    </row>
    <row r="99" spans="1:68">
      <c r="A99" s="4">
        <v>358111169102</v>
      </c>
      <c r="B99" s="4" t="s">
        <v>1331</v>
      </c>
      <c r="C99" s="1" t="s">
        <v>245</v>
      </c>
      <c r="D99" s="5" t="str">
        <f t="shared" ref="D99:D130" si="9">IF(C99="","0","1")</f>
        <v>0</v>
      </c>
      <c r="E99" s="5" t="str">
        <f>IFERROR(IF(VLOOKUP(A99,Base!AA:AA,1,0)&gt;0,"1","0"),"0")</f>
        <v>0</v>
      </c>
      <c r="F99" s="5" t="str">
        <f t="shared" ref="F99:F130" si="10">IF(OR(C99="",E99="0"),"-",IF(BC99="","-",IF(OR(BC99="Muito satisfeito",BC99="Satisfeito"),"1","0")))</f>
        <v>-</v>
      </c>
      <c r="G99" s="5" t="str">
        <f t="shared" ref="G99:G130" si="11">IF(BC99="","0","1")</f>
        <v>1</v>
      </c>
      <c r="H99" t="s">
        <v>1332</v>
      </c>
      <c r="I99" t="s">
        <v>1333</v>
      </c>
      <c r="K99" t="s">
        <v>1331</v>
      </c>
      <c r="L99" t="s">
        <v>1334</v>
      </c>
      <c r="M99" t="s">
        <v>1335</v>
      </c>
      <c r="N99" t="s">
        <v>1336</v>
      </c>
      <c r="O99" t="s">
        <v>201</v>
      </c>
      <c r="P99" t="s">
        <v>178</v>
      </c>
      <c r="Q99" t="s">
        <v>178</v>
      </c>
      <c r="R99" t="s">
        <v>254</v>
      </c>
      <c r="S99" t="s">
        <v>181</v>
      </c>
      <c r="T99" t="s">
        <v>1337</v>
      </c>
      <c r="U99" t="s">
        <v>1338</v>
      </c>
      <c r="V99" t="s">
        <v>763</v>
      </c>
      <c r="W99" t="s">
        <v>179</v>
      </c>
      <c r="X99" t="s">
        <v>1339</v>
      </c>
      <c r="Y99" t="s">
        <v>1338</v>
      </c>
      <c r="Z99" t="s">
        <v>205</v>
      </c>
      <c r="AC99" t="s">
        <v>186</v>
      </c>
      <c r="AD99">
        <v>5</v>
      </c>
      <c r="AE99" t="s">
        <v>1338</v>
      </c>
      <c r="AF99" t="s">
        <v>186</v>
      </c>
      <c r="AG99">
        <v>2</v>
      </c>
      <c r="AH99" t="s">
        <v>1340</v>
      </c>
      <c r="AI99" t="s">
        <v>1341</v>
      </c>
      <c r="AK99" t="s">
        <v>188</v>
      </c>
      <c r="AL99" t="s">
        <v>188</v>
      </c>
      <c r="AM99" t="s">
        <v>189</v>
      </c>
      <c r="AO99" t="s">
        <v>311</v>
      </c>
      <c r="AP99" t="s">
        <v>179</v>
      </c>
      <c r="AQ99" t="s">
        <v>180</v>
      </c>
      <c r="AR99" t="s">
        <v>180</v>
      </c>
      <c r="AS99" t="s">
        <v>180</v>
      </c>
      <c r="AT99" t="s">
        <v>180</v>
      </c>
      <c r="AU99" t="s">
        <v>180</v>
      </c>
      <c r="AV99" t="s">
        <v>180</v>
      </c>
      <c r="AW99" t="s">
        <v>180</v>
      </c>
      <c r="AY99" t="s">
        <v>191</v>
      </c>
      <c r="AZ99" t="s">
        <v>179</v>
      </c>
      <c r="BB99" t="s">
        <v>191</v>
      </c>
      <c r="BC99" t="s">
        <v>179</v>
      </c>
      <c r="BE99" t="s">
        <v>192</v>
      </c>
      <c r="BH99">
        <v>2</v>
      </c>
      <c r="BI99">
        <v>3</v>
      </c>
      <c r="BJ99">
        <v>4</v>
      </c>
      <c r="BK99">
        <v>5</v>
      </c>
      <c r="BL99">
        <v>1</v>
      </c>
      <c r="BM99">
        <v>7</v>
      </c>
      <c r="BN99">
        <v>6</v>
      </c>
      <c r="BP99" t="s">
        <v>193</v>
      </c>
    </row>
    <row r="100" spans="1:68">
      <c r="A100" s="4">
        <v>24383333802</v>
      </c>
      <c r="B100" s="4" t="s">
        <v>1342</v>
      </c>
      <c r="C100" s="1" t="s">
        <v>39</v>
      </c>
      <c r="D100" s="5" t="str">
        <f t="shared" si="9"/>
        <v>1</v>
      </c>
      <c r="E100" s="5" t="str">
        <f>IFERROR(IF(VLOOKUP(A100,Base!AA:AA,1,0)&gt;0,"1","0"),"0")</f>
        <v>1</v>
      </c>
      <c r="F100" s="5" t="str">
        <f t="shared" si="10"/>
        <v>-</v>
      </c>
      <c r="G100" s="5" t="str">
        <f t="shared" si="11"/>
        <v>0</v>
      </c>
      <c r="H100" t="s">
        <v>1343</v>
      </c>
      <c r="I100" t="s">
        <v>1344</v>
      </c>
      <c r="K100" t="s">
        <v>1345</v>
      </c>
      <c r="L100">
        <v>24383333802</v>
      </c>
      <c r="M100" t="s">
        <v>1346</v>
      </c>
      <c r="N100" t="s">
        <v>1347</v>
      </c>
      <c r="O100" t="s">
        <v>215</v>
      </c>
      <c r="P100" t="s">
        <v>178</v>
      </c>
      <c r="Q100" t="s">
        <v>178</v>
      </c>
      <c r="R100" t="s">
        <v>180</v>
      </c>
      <c r="S100" t="s">
        <v>181</v>
      </c>
      <c r="T100" t="s">
        <v>926</v>
      </c>
      <c r="V100" t="s">
        <v>282</v>
      </c>
      <c r="W100" t="s">
        <v>179</v>
      </c>
      <c r="X100" t="s">
        <v>185</v>
      </c>
      <c r="Z100" t="s">
        <v>186</v>
      </c>
      <c r="AA100">
        <v>4</v>
      </c>
      <c r="AC100" t="s">
        <v>186</v>
      </c>
      <c r="AD100">
        <v>5</v>
      </c>
      <c r="AF100" t="s">
        <v>205</v>
      </c>
      <c r="AI100" t="s">
        <v>1203</v>
      </c>
      <c r="AK100" t="s">
        <v>189</v>
      </c>
      <c r="AL100" t="s">
        <v>252</v>
      </c>
      <c r="AM100" t="s">
        <v>188</v>
      </c>
      <c r="AO100" t="s">
        <v>269</v>
      </c>
      <c r="AP100" t="s">
        <v>179</v>
      </c>
      <c r="AQ100" t="s">
        <v>254</v>
      </c>
      <c r="AR100" t="s">
        <v>180</v>
      </c>
      <c r="AS100" t="s">
        <v>254</v>
      </c>
      <c r="AT100" t="s">
        <v>180</v>
      </c>
      <c r="AU100" t="s">
        <v>254</v>
      </c>
      <c r="AV100" t="s">
        <v>355</v>
      </c>
      <c r="AW100" t="s">
        <v>180</v>
      </c>
      <c r="AY100" t="s">
        <v>191</v>
      </c>
      <c r="AZ100" t="s">
        <v>178</v>
      </c>
      <c r="BB100" t="s">
        <v>192</v>
      </c>
      <c r="BE100" t="s">
        <v>191</v>
      </c>
      <c r="BF100" t="s">
        <v>178</v>
      </c>
      <c r="BH100">
        <v>4</v>
      </c>
      <c r="BI100">
        <v>5</v>
      </c>
      <c r="BJ100">
        <v>2</v>
      </c>
      <c r="BK100">
        <v>3</v>
      </c>
      <c r="BL100">
        <v>1</v>
      </c>
      <c r="BM100">
        <v>7</v>
      </c>
      <c r="BN100">
        <v>6</v>
      </c>
      <c r="BP100" t="s">
        <v>193</v>
      </c>
    </row>
    <row r="101" spans="1:68">
      <c r="A101" s="4">
        <v>312652842702</v>
      </c>
      <c r="B101" s="4" t="s">
        <v>1348</v>
      </c>
      <c r="C101" s="1" t="s">
        <v>245</v>
      </c>
      <c r="D101" s="5" t="str">
        <f t="shared" si="9"/>
        <v>0</v>
      </c>
      <c r="E101" s="5" t="str">
        <f>IFERROR(IF(VLOOKUP(A101,Base!AA:AA,1,0)&gt;0,"1","0"),"0")</f>
        <v>0</v>
      </c>
      <c r="F101" s="5" t="str">
        <f t="shared" si="10"/>
        <v>-</v>
      </c>
      <c r="G101" s="5" t="str">
        <f t="shared" si="11"/>
        <v>1</v>
      </c>
      <c r="H101" t="s">
        <v>1349</v>
      </c>
      <c r="I101" t="s">
        <v>1350</v>
      </c>
      <c r="K101" t="s">
        <v>1351</v>
      </c>
      <c r="L101" t="s">
        <v>1352</v>
      </c>
      <c r="M101" t="s">
        <v>1353</v>
      </c>
      <c r="N101" t="s">
        <v>1354</v>
      </c>
      <c r="O101" t="s">
        <v>215</v>
      </c>
      <c r="P101" t="s">
        <v>55</v>
      </c>
      <c r="Q101" t="s">
        <v>55</v>
      </c>
      <c r="R101" t="s">
        <v>354</v>
      </c>
      <c r="S101" t="s">
        <v>997</v>
      </c>
      <c r="T101" t="s">
        <v>1355</v>
      </c>
      <c r="U101" t="s">
        <v>1356</v>
      </c>
      <c r="V101" t="s">
        <v>353</v>
      </c>
      <c r="W101" t="s">
        <v>56</v>
      </c>
      <c r="X101" t="s">
        <v>1357</v>
      </c>
      <c r="Y101" t="s">
        <v>1358</v>
      </c>
      <c r="Z101" t="s">
        <v>205</v>
      </c>
      <c r="AC101" t="s">
        <v>186</v>
      </c>
      <c r="AD101">
        <v>1</v>
      </c>
      <c r="AF101" t="s">
        <v>205</v>
      </c>
      <c r="AI101" t="s">
        <v>1359</v>
      </c>
      <c r="AK101" t="s">
        <v>188</v>
      </c>
      <c r="AL101" t="s">
        <v>188</v>
      </c>
      <c r="AM101" t="s">
        <v>188</v>
      </c>
      <c r="AO101" t="s">
        <v>266</v>
      </c>
      <c r="AP101" t="s">
        <v>179</v>
      </c>
      <c r="AQ101" t="s">
        <v>180</v>
      </c>
      <c r="AR101" t="s">
        <v>180</v>
      </c>
      <c r="AS101" t="s">
        <v>180</v>
      </c>
      <c r="AT101" t="s">
        <v>180</v>
      </c>
      <c r="AU101" t="s">
        <v>180</v>
      </c>
      <c r="AV101" t="s">
        <v>180</v>
      </c>
      <c r="AW101" t="s">
        <v>180</v>
      </c>
      <c r="AX101" t="s">
        <v>1360</v>
      </c>
      <c r="AY101" t="s">
        <v>191</v>
      </c>
      <c r="AZ101" t="s">
        <v>178</v>
      </c>
      <c r="BB101" t="s">
        <v>191</v>
      </c>
      <c r="BC101" t="s">
        <v>178</v>
      </c>
      <c r="BD101" t="s">
        <v>1361</v>
      </c>
      <c r="BE101" t="s">
        <v>191</v>
      </c>
      <c r="BF101" t="s">
        <v>179</v>
      </c>
      <c r="BH101">
        <v>2</v>
      </c>
      <c r="BI101">
        <v>4</v>
      </c>
      <c r="BJ101">
        <v>5</v>
      </c>
      <c r="BK101">
        <v>3</v>
      </c>
      <c r="BL101">
        <v>1</v>
      </c>
      <c r="BM101">
        <v>6</v>
      </c>
      <c r="BN101">
        <v>7</v>
      </c>
      <c r="BP101" t="s">
        <v>193</v>
      </c>
    </row>
    <row r="102" spans="1:68">
      <c r="A102" s="4">
        <v>721128628302</v>
      </c>
      <c r="B102" s="4" t="s">
        <v>1362</v>
      </c>
      <c r="C102" s="1" t="s">
        <v>245</v>
      </c>
      <c r="D102" s="5" t="str">
        <f t="shared" si="9"/>
        <v>0</v>
      </c>
      <c r="E102" s="5" t="str">
        <f>IFERROR(IF(VLOOKUP(A102,Base!AA:AA,1,0)&gt;0,"1","0"),"0")</f>
        <v>0</v>
      </c>
      <c r="F102" s="5" t="str">
        <f t="shared" si="10"/>
        <v>-</v>
      </c>
      <c r="G102" s="5" t="str">
        <f t="shared" si="11"/>
        <v>0</v>
      </c>
      <c r="H102" t="s">
        <v>1363</v>
      </c>
      <c r="I102" t="s">
        <v>1364</v>
      </c>
      <c r="K102" t="s">
        <v>1362</v>
      </c>
      <c r="L102" t="s">
        <v>1365</v>
      </c>
      <c r="M102" t="s">
        <v>1366</v>
      </c>
      <c r="N102" t="s">
        <v>1367</v>
      </c>
      <c r="O102" t="s">
        <v>201</v>
      </c>
      <c r="P102" t="s">
        <v>54</v>
      </c>
      <c r="Q102" t="s">
        <v>178</v>
      </c>
      <c r="R102" t="s">
        <v>180</v>
      </c>
      <c r="S102" t="s">
        <v>202</v>
      </c>
      <c r="T102" t="s">
        <v>216</v>
      </c>
      <c r="U102" t="s">
        <v>1368</v>
      </c>
      <c r="V102" t="s">
        <v>1369</v>
      </c>
      <c r="W102" t="s">
        <v>184</v>
      </c>
      <c r="X102" t="s">
        <v>185</v>
      </c>
      <c r="Z102" t="s">
        <v>205</v>
      </c>
      <c r="AC102" t="s">
        <v>205</v>
      </c>
      <c r="AF102" t="s">
        <v>205</v>
      </c>
      <c r="AI102" t="s">
        <v>1370</v>
      </c>
      <c r="AK102" t="s">
        <v>189</v>
      </c>
      <c r="AL102" t="s">
        <v>189</v>
      </c>
      <c r="AM102" t="s">
        <v>188</v>
      </c>
      <c r="AN102" t="s">
        <v>1371</v>
      </c>
      <c r="AO102" t="s">
        <v>1372</v>
      </c>
      <c r="AP102" t="s">
        <v>178</v>
      </c>
      <c r="AQ102" t="s">
        <v>254</v>
      </c>
      <c r="AR102" t="s">
        <v>254</v>
      </c>
      <c r="AS102" t="s">
        <v>254</v>
      </c>
      <c r="AT102" t="s">
        <v>355</v>
      </c>
      <c r="AU102" t="s">
        <v>180</v>
      </c>
      <c r="AV102" t="s">
        <v>254</v>
      </c>
      <c r="AW102" t="s">
        <v>180</v>
      </c>
      <c r="AX102" t="s">
        <v>1373</v>
      </c>
      <c r="AY102" t="s">
        <v>191</v>
      </c>
      <c r="AZ102" t="s">
        <v>54</v>
      </c>
      <c r="BA102" t="s">
        <v>1374</v>
      </c>
      <c r="BB102" t="s">
        <v>192</v>
      </c>
      <c r="BE102" t="s">
        <v>191</v>
      </c>
      <c r="BF102" t="s">
        <v>54</v>
      </c>
      <c r="BG102" t="s">
        <v>1375</v>
      </c>
      <c r="BH102">
        <v>5</v>
      </c>
      <c r="BI102">
        <v>6</v>
      </c>
      <c r="BJ102">
        <v>7</v>
      </c>
      <c r="BK102">
        <v>1</v>
      </c>
      <c r="BL102">
        <v>2</v>
      </c>
      <c r="BM102">
        <v>3</v>
      </c>
      <c r="BN102">
        <v>4</v>
      </c>
      <c r="BO102" t="s">
        <v>1376</v>
      </c>
      <c r="BP102" t="s">
        <v>193</v>
      </c>
    </row>
    <row r="103" spans="1:68">
      <c r="A103" s="4">
        <v>438747217402</v>
      </c>
      <c r="B103" s="4" t="s">
        <v>1377</v>
      </c>
      <c r="C103" s="1" t="s">
        <v>39</v>
      </c>
      <c r="D103" s="5" t="str">
        <f t="shared" si="9"/>
        <v>1</v>
      </c>
      <c r="E103" s="5" t="str">
        <f>IFERROR(IF(VLOOKUP(A103,Base!AA:AA,1,0)&gt;0,"1","0"),"0")</f>
        <v>1</v>
      </c>
      <c r="F103" s="5" t="str">
        <f t="shared" si="10"/>
        <v>0</v>
      </c>
      <c r="G103" s="5" t="str">
        <f t="shared" si="11"/>
        <v>1</v>
      </c>
      <c r="H103" t="s">
        <v>1378</v>
      </c>
      <c r="I103" t="s">
        <v>1379</v>
      </c>
      <c r="K103" t="s">
        <v>1380</v>
      </c>
      <c r="L103" t="s">
        <v>1381</v>
      </c>
      <c r="M103" t="s">
        <v>1382</v>
      </c>
      <c r="N103" t="s">
        <v>1383</v>
      </c>
      <c r="O103" t="s">
        <v>177</v>
      </c>
      <c r="P103" t="s">
        <v>179</v>
      </c>
      <c r="Q103" t="s">
        <v>179</v>
      </c>
      <c r="R103" t="s">
        <v>180</v>
      </c>
      <c r="S103" t="s">
        <v>202</v>
      </c>
      <c r="T103" t="s">
        <v>1384</v>
      </c>
      <c r="U103" t="s">
        <v>1385</v>
      </c>
      <c r="V103" t="s">
        <v>1386</v>
      </c>
      <c r="W103" t="s">
        <v>179</v>
      </c>
      <c r="X103" t="s">
        <v>350</v>
      </c>
      <c r="Z103" t="s">
        <v>186</v>
      </c>
      <c r="AA103">
        <v>3</v>
      </c>
      <c r="AB103" t="s">
        <v>1387</v>
      </c>
      <c r="AC103" t="s">
        <v>186</v>
      </c>
      <c r="AD103">
        <v>5</v>
      </c>
      <c r="AF103" t="s">
        <v>186</v>
      </c>
      <c r="AG103">
        <v>3</v>
      </c>
      <c r="AH103" t="s">
        <v>1388</v>
      </c>
      <c r="AI103" t="s">
        <v>296</v>
      </c>
      <c r="AK103" t="s">
        <v>189</v>
      </c>
      <c r="AL103" t="s">
        <v>188</v>
      </c>
      <c r="AM103" t="s">
        <v>189</v>
      </c>
      <c r="AN103" t="s">
        <v>1389</v>
      </c>
      <c r="AO103" t="s">
        <v>292</v>
      </c>
      <c r="AP103" t="s">
        <v>179</v>
      </c>
      <c r="AQ103" t="s">
        <v>254</v>
      </c>
      <c r="AR103" t="s">
        <v>375</v>
      </c>
      <c r="AS103" t="s">
        <v>375</v>
      </c>
      <c r="AT103" t="s">
        <v>180</v>
      </c>
      <c r="AU103" t="s">
        <v>254</v>
      </c>
      <c r="AV103" t="s">
        <v>180</v>
      </c>
      <c r="AW103" t="s">
        <v>180</v>
      </c>
      <c r="AX103" t="s">
        <v>1390</v>
      </c>
      <c r="AY103" t="s">
        <v>192</v>
      </c>
      <c r="BB103" t="s">
        <v>191</v>
      </c>
      <c r="BC103" t="s">
        <v>54</v>
      </c>
      <c r="BD103" t="s">
        <v>1391</v>
      </c>
      <c r="BE103" t="s">
        <v>192</v>
      </c>
      <c r="BH103">
        <v>1</v>
      </c>
      <c r="BI103">
        <v>6</v>
      </c>
      <c r="BJ103">
        <v>7</v>
      </c>
      <c r="BK103">
        <v>2</v>
      </c>
      <c r="BL103">
        <v>3</v>
      </c>
      <c r="BM103">
        <v>4</v>
      </c>
      <c r="BN103">
        <v>5</v>
      </c>
    </row>
    <row r="104" spans="1:68">
      <c r="A104" s="4">
        <v>862944388002</v>
      </c>
      <c r="B104" s="4" t="s">
        <v>1392</v>
      </c>
      <c r="C104" s="1" t="s">
        <v>245</v>
      </c>
      <c r="D104" s="5" t="str">
        <f t="shared" si="9"/>
        <v>0</v>
      </c>
      <c r="E104" s="5" t="str">
        <f>IFERROR(IF(VLOOKUP(A104,Base!AA:AA,1,0)&gt;0,"1","0"),"0")</f>
        <v>0</v>
      </c>
      <c r="F104" s="5" t="str">
        <f t="shared" si="10"/>
        <v>-</v>
      </c>
      <c r="G104" s="5" t="str">
        <f t="shared" si="11"/>
        <v>0</v>
      </c>
      <c r="H104" t="s">
        <v>1393</v>
      </c>
      <c r="I104" t="s">
        <v>1394</v>
      </c>
      <c r="K104" t="s">
        <v>1392</v>
      </c>
      <c r="L104" t="s">
        <v>1395</v>
      </c>
      <c r="M104" t="s">
        <v>1396</v>
      </c>
      <c r="N104" t="s">
        <v>1397</v>
      </c>
      <c r="O104" t="s">
        <v>201</v>
      </c>
      <c r="P104" t="s">
        <v>179</v>
      </c>
      <c r="Q104" t="s">
        <v>179</v>
      </c>
      <c r="R104" t="s">
        <v>180</v>
      </c>
      <c r="S104" t="s">
        <v>181</v>
      </c>
      <c r="T104" t="s">
        <v>203</v>
      </c>
      <c r="V104" t="s">
        <v>311</v>
      </c>
      <c r="W104" t="s">
        <v>179</v>
      </c>
      <c r="X104" t="s">
        <v>185</v>
      </c>
      <c r="Z104" t="s">
        <v>186</v>
      </c>
      <c r="AA104">
        <v>5</v>
      </c>
      <c r="AC104" t="s">
        <v>186</v>
      </c>
      <c r="AD104">
        <v>5</v>
      </c>
      <c r="AF104" t="s">
        <v>186</v>
      </c>
      <c r="AG104">
        <v>5</v>
      </c>
      <c r="AI104" t="s">
        <v>1398</v>
      </c>
      <c r="AK104" t="s">
        <v>189</v>
      </c>
      <c r="AL104" t="s">
        <v>189</v>
      </c>
      <c r="AM104" t="s">
        <v>189</v>
      </c>
      <c r="AO104" t="s">
        <v>292</v>
      </c>
      <c r="AP104" t="s">
        <v>179</v>
      </c>
      <c r="AQ104" t="s">
        <v>180</v>
      </c>
      <c r="AR104" t="s">
        <v>180</v>
      </c>
      <c r="AS104" t="s">
        <v>180</v>
      </c>
      <c r="AT104" t="s">
        <v>180</v>
      </c>
      <c r="AU104" t="s">
        <v>180</v>
      </c>
      <c r="AV104" t="s">
        <v>180</v>
      </c>
      <c r="AW104" t="s">
        <v>180</v>
      </c>
      <c r="AY104" t="s">
        <v>191</v>
      </c>
      <c r="AZ104" t="s">
        <v>179</v>
      </c>
      <c r="BB104" t="s">
        <v>192</v>
      </c>
      <c r="BE104" t="s">
        <v>192</v>
      </c>
      <c r="BH104">
        <v>6</v>
      </c>
      <c r="BI104">
        <v>7</v>
      </c>
      <c r="BJ104">
        <v>5</v>
      </c>
      <c r="BK104">
        <v>4</v>
      </c>
      <c r="BL104">
        <v>3</v>
      </c>
      <c r="BM104">
        <v>1</v>
      </c>
      <c r="BN104">
        <v>2</v>
      </c>
      <c r="BP104" t="s">
        <v>193</v>
      </c>
    </row>
    <row r="105" spans="1:68">
      <c r="A105" s="4">
        <v>12218349602</v>
      </c>
      <c r="B105" s="4" t="s">
        <v>1399</v>
      </c>
      <c r="C105" s="1" t="s">
        <v>38</v>
      </c>
      <c r="D105" s="5" t="str">
        <f t="shared" si="9"/>
        <v>1</v>
      </c>
      <c r="E105" s="5" t="str">
        <f>IFERROR(IF(VLOOKUP(A105,Base!AA:AA,1,0)&gt;0,"1","0"),"0")</f>
        <v>0</v>
      </c>
      <c r="F105" s="5" t="str">
        <f t="shared" si="10"/>
        <v>-</v>
      </c>
      <c r="G105" s="5" t="str">
        <f t="shared" si="11"/>
        <v>0</v>
      </c>
      <c r="H105" t="s">
        <v>1400</v>
      </c>
      <c r="I105" t="s">
        <v>1401</v>
      </c>
      <c r="K105" t="s">
        <v>1402</v>
      </c>
      <c r="L105" t="s">
        <v>1403</v>
      </c>
      <c r="M105" t="s">
        <v>1404</v>
      </c>
      <c r="N105" t="s">
        <v>1405</v>
      </c>
      <c r="O105" t="s">
        <v>215</v>
      </c>
      <c r="P105" t="s">
        <v>179</v>
      </c>
      <c r="Q105" t="s">
        <v>179</v>
      </c>
      <c r="R105" t="s">
        <v>180</v>
      </c>
      <c r="S105" t="s">
        <v>181</v>
      </c>
      <c r="T105" t="s">
        <v>216</v>
      </c>
      <c r="V105" t="s">
        <v>309</v>
      </c>
      <c r="W105" t="s">
        <v>179</v>
      </c>
      <c r="X105" t="s">
        <v>185</v>
      </c>
      <c r="Z105" t="s">
        <v>186</v>
      </c>
      <c r="AA105">
        <v>4</v>
      </c>
      <c r="AB105" t="s">
        <v>1406</v>
      </c>
      <c r="AC105" t="s">
        <v>186</v>
      </c>
      <c r="AD105">
        <v>5</v>
      </c>
      <c r="AF105" t="s">
        <v>205</v>
      </c>
      <c r="AI105" t="s">
        <v>733</v>
      </c>
      <c r="AK105" t="s">
        <v>252</v>
      </c>
      <c r="AL105" t="s">
        <v>188</v>
      </c>
      <c r="AM105" t="s">
        <v>252</v>
      </c>
      <c r="AO105" t="s">
        <v>282</v>
      </c>
      <c r="AP105" t="s">
        <v>179</v>
      </c>
      <c r="AQ105" t="s">
        <v>254</v>
      </c>
      <c r="AR105" t="s">
        <v>254</v>
      </c>
      <c r="AS105" t="s">
        <v>254</v>
      </c>
      <c r="AT105" t="s">
        <v>180</v>
      </c>
      <c r="AU105" t="s">
        <v>180</v>
      </c>
      <c r="AV105" t="s">
        <v>180</v>
      </c>
      <c r="AW105" t="s">
        <v>180</v>
      </c>
      <c r="AY105" t="s">
        <v>192</v>
      </c>
      <c r="BB105" t="s">
        <v>192</v>
      </c>
      <c r="BE105" t="s">
        <v>192</v>
      </c>
      <c r="BH105">
        <v>2</v>
      </c>
      <c r="BI105">
        <v>6</v>
      </c>
      <c r="BJ105">
        <v>7</v>
      </c>
      <c r="BK105">
        <v>5</v>
      </c>
      <c r="BL105">
        <v>1</v>
      </c>
      <c r="BM105">
        <v>4</v>
      </c>
      <c r="BN105">
        <v>3</v>
      </c>
      <c r="BO105" t="s">
        <v>1407</v>
      </c>
      <c r="BP105" t="s">
        <v>193</v>
      </c>
    </row>
    <row r="106" spans="1:68">
      <c r="A106" s="4">
        <v>358205651902</v>
      </c>
      <c r="B106" s="4" t="s">
        <v>1408</v>
      </c>
      <c r="C106" s="1" t="s">
        <v>36</v>
      </c>
      <c r="D106" s="5" t="str">
        <f t="shared" si="9"/>
        <v>1</v>
      </c>
      <c r="E106" s="5" t="str">
        <f>IFERROR(IF(VLOOKUP(A106,Base!AA:AA,1,0)&gt;0,"1","0"),"0")</f>
        <v>1</v>
      </c>
      <c r="F106" s="5" t="str">
        <f t="shared" si="10"/>
        <v>1</v>
      </c>
      <c r="G106" s="5" t="str">
        <f t="shared" si="11"/>
        <v>1</v>
      </c>
      <c r="H106" t="s">
        <v>1409</v>
      </c>
      <c r="I106" t="s">
        <v>1410</v>
      </c>
      <c r="K106" t="s">
        <v>1411</v>
      </c>
      <c r="L106" t="s">
        <v>1412</v>
      </c>
      <c r="M106" t="s">
        <v>1396</v>
      </c>
      <c r="N106" t="s">
        <v>1397</v>
      </c>
      <c r="O106" t="s">
        <v>201</v>
      </c>
      <c r="P106" t="s">
        <v>179</v>
      </c>
      <c r="Q106" t="s">
        <v>179</v>
      </c>
      <c r="R106" t="s">
        <v>180</v>
      </c>
      <c r="S106" t="s">
        <v>181</v>
      </c>
      <c r="T106" t="s">
        <v>203</v>
      </c>
      <c r="V106" t="s">
        <v>311</v>
      </c>
      <c r="W106" t="s">
        <v>179</v>
      </c>
      <c r="X106" t="s">
        <v>185</v>
      </c>
      <c r="Z106" t="s">
        <v>186</v>
      </c>
      <c r="AA106">
        <v>5</v>
      </c>
      <c r="AC106" t="s">
        <v>186</v>
      </c>
      <c r="AD106">
        <v>5</v>
      </c>
      <c r="AF106" t="s">
        <v>186</v>
      </c>
      <c r="AG106">
        <v>5</v>
      </c>
      <c r="AI106" t="s">
        <v>1413</v>
      </c>
      <c r="AK106" t="s">
        <v>188</v>
      </c>
      <c r="AL106" t="s">
        <v>188</v>
      </c>
      <c r="AM106" t="s">
        <v>188</v>
      </c>
      <c r="AO106" t="s">
        <v>1414</v>
      </c>
      <c r="AP106" t="s">
        <v>179</v>
      </c>
      <c r="AQ106" t="s">
        <v>180</v>
      </c>
      <c r="AR106" t="s">
        <v>180</v>
      </c>
      <c r="AS106" t="s">
        <v>180</v>
      </c>
      <c r="AT106" t="s">
        <v>180</v>
      </c>
      <c r="AU106" t="s">
        <v>180</v>
      </c>
      <c r="AV106" t="s">
        <v>180</v>
      </c>
      <c r="AW106" t="s">
        <v>180</v>
      </c>
      <c r="AY106" t="s">
        <v>191</v>
      </c>
      <c r="AZ106" t="s">
        <v>179</v>
      </c>
      <c r="BB106" t="s">
        <v>191</v>
      </c>
      <c r="BC106" t="s">
        <v>178</v>
      </c>
      <c r="BE106" t="s">
        <v>192</v>
      </c>
      <c r="BH106">
        <v>1</v>
      </c>
      <c r="BI106">
        <v>6</v>
      </c>
      <c r="BJ106">
        <v>7</v>
      </c>
      <c r="BK106">
        <v>2</v>
      </c>
      <c r="BL106">
        <v>3</v>
      </c>
      <c r="BM106">
        <v>5</v>
      </c>
      <c r="BN106">
        <v>4</v>
      </c>
      <c r="BP106" t="s">
        <v>193</v>
      </c>
    </row>
    <row r="107" spans="1:68">
      <c r="A107" s="4">
        <v>475342556402</v>
      </c>
      <c r="B107" s="4" t="s">
        <v>1415</v>
      </c>
      <c r="C107" s="1" t="s">
        <v>38</v>
      </c>
      <c r="D107" s="5" t="str">
        <f t="shared" si="9"/>
        <v>1</v>
      </c>
      <c r="E107" s="5" t="str">
        <f>IFERROR(IF(VLOOKUP(A107,Base!AA:AA,1,0)&gt;0,"1","0"),"0")</f>
        <v>1</v>
      </c>
      <c r="F107" s="5" t="str">
        <f t="shared" si="10"/>
        <v>-</v>
      </c>
      <c r="G107" s="5" t="str">
        <f t="shared" si="11"/>
        <v>0</v>
      </c>
      <c r="H107" t="s">
        <v>1416</v>
      </c>
      <c r="I107" t="s">
        <v>1417</v>
      </c>
      <c r="K107" t="s">
        <v>1418</v>
      </c>
      <c r="L107" t="s">
        <v>1419</v>
      </c>
      <c r="M107" t="s">
        <v>1420</v>
      </c>
      <c r="N107" t="s">
        <v>1421</v>
      </c>
      <c r="O107" t="s">
        <v>215</v>
      </c>
      <c r="P107" t="s">
        <v>179</v>
      </c>
      <c r="Q107" t="s">
        <v>179</v>
      </c>
      <c r="R107" t="s">
        <v>180</v>
      </c>
      <c r="S107" t="s">
        <v>181</v>
      </c>
      <c r="T107" t="s">
        <v>216</v>
      </c>
      <c r="U107" t="s">
        <v>1422</v>
      </c>
      <c r="V107" t="s">
        <v>679</v>
      </c>
      <c r="W107" t="s">
        <v>179</v>
      </c>
      <c r="X107" t="s">
        <v>185</v>
      </c>
      <c r="Y107" t="s">
        <v>1423</v>
      </c>
      <c r="Z107" t="s">
        <v>186</v>
      </c>
      <c r="AA107">
        <v>5</v>
      </c>
      <c r="AC107" t="s">
        <v>186</v>
      </c>
      <c r="AD107">
        <v>5</v>
      </c>
      <c r="AE107" t="s">
        <v>1422</v>
      </c>
      <c r="AF107" t="s">
        <v>186</v>
      </c>
      <c r="AG107">
        <v>5</v>
      </c>
      <c r="AH107" t="s">
        <v>1424</v>
      </c>
      <c r="AI107" t="s">
        <v>1425</v>
      </c>
      <c r="AJ107" t="s">
        <v>1426</v>
      </c>
      <c r="AK107" t="s">
        <v>220</v>
      </c>
      <c r="AL107" t="s">
        <v>220</v>
      </c>
      <c r="AM107" t="s">
        <v>220</v>
      </c>
      <c r="AN107" t="s">
        <v>1427</v>
      </c>
      <c r="AO107" t="s">
        <v>1286</v>
      </c>
      <c r="AP107" t="s">
        <v>55</v>
      </c>
      <c r="AQ107" t="s">
        <v>254</v>
      </c>
      <c r="AR107" t="s">
        <v>254</v>
      </c>
      <c r="AS107" t="s">
        <v>355</v>
      </c>
      <c r="AT107" t="s">
        <v>180</v>
      </c>
      <c r="AU107" t="s">
        <v>180</v>
      </c>
      <c r="AV107" t="s">
        <v>354</v>
      </c>
      <c r="AW107" t="s">
        <v>354</v>
      </c>
      <c r="AX107" t="s">
        <v>1428</v>
      </c>
      <c r="AY107" t="s">
        <v>192</v>
      </c>
      <c r="BB107" t="s">
        <v>192</v>
      </c>
      <c r="BE107" t="s">
        <v>192</v>
      </c>
      <c r="BH107">
        <v>3</v>
      </c>
      <c r="BI107">
        <v>6</v>
      </c>
      <c r="BJ107">
        <v>5</v>
      </c>
      <c r="BK107">
        <v>1</v>
      </c>
      <c r="BL107">
        <v>2</v>
      </c>
      <c r="BM107">
        <v>4</v>
      </c>
      <c r="BN107">
        <v>7</v>
      </c>
      <c r="BO107" t="s">
        <v>1429</v>
      </c>
      <c r="BP107" t="s">
        <v>193</v>
      </c>
    </row>
    <row r="108" spans="1:68">
      <c r="A108" s="4">
        <v>618906774602</v>
      </c>
      <c r="B108" s="4" t="s">
        <v>1430</v>
      </c>
      <c r="C108" s="1" t="s">
        <v>245</v>
      </c>
      <c r="D108" s="5" t="str">
        <f t="shared" si="9"/>
        <v>0</v>
      </c>
      <c r="E108" s="5" t="str">
        <f>IFERROR(IF(VLOOKUP(A108,Base!AA:AA,1,0)&gt;0,"1","0"),"0")</f>
        <v>0</v>
      </c>
      <c r="F108" s="5" t="str">
        <f t="shared" si="10"/>
        <v>-</v>
      </c>
      <c r="G108" s="5" t="str">
        <f t="shared" si="11"/>
        <v>1</v>
      </c>
      <c r="H108" t="s">
        <v>1431</v>
      </c>
      <c r="I108" t="s">
        <v>1432</v>
      </c>
      <c r="K108" t="s">
        <v>1433</v>
      </c>
      <c r="L108" t="s">
        <v>1434</v>
      </c>
      <c r="M108" t="s">
        <v>1435</v>
      </c>
      <c r="N108" t="s">
        <v>1436</v>
      </c>
      <c r="O108" t="s">
        <v>201</v>
      </c>
      <c r="P108" t="s">
        <v>54</v>
      </c>
      <c r="Q108" t="s">
        <v>178</v>
      </c>
      <c r="R108" t="s">
        <v>355</v>
      </c>
      <c r="S108" t="s">
        <v>405</v>
      </c>
      <c r="T108" t="s">
        <v>1437</v>
      </c>
      <c r="U108" t="s">
        <v>1438</v>
      </c>
      <c r="V108" t="s">
        <v>1439</v>
      </c>
      <c r="W108" t="s">
        <v>184</v>
      </c>
      <c r="X108" t="s">
        <v>350</v>
      </c>
      <c r="Z108" t="s">
        <v>205</v>
      </c>
      <c r="AC108" t="s">
        <v>205</v>
      </c>
      <c r="AF108" t="s">
        <v>205</v>
      </c>
      <c r="AI108" t="s">
        <v>1440</v>
      </c>
      <c r="AK108" t="s">
        <v>189</v>
      </c>
      <c r="AL108" t="s">
        <v>189</v>
      </c>
      <c r="AM108" t="s">
        <v>189</v>
      </c>
      <c r="AO108" t="s">
        <v>364</v>
      </c>
      <c r="AP108" t="s">
        <v>179</v>
      </c>
      <c r="AQ108" t="s">
        <v>180</v>
      </c>
      <c r="AR108" t="s">
        <v>180</v>
      </c>
      <c r="AS108" t="s">
        <v>180</v>
      </c>
      <c r="AT108" t="s">
        <v>180</v>
      </c>
      <c r="AU108" t="s">
        <v>180</v>
      </c>
      <c r="AV108" t="s">
        <v>180</v>
      </c>
      <c r="AW108" t="s">
        <v>180</v>
      </c>
      <c r="AY108" t="s">
        <v>191</v>
      </c>
      <c r="AZ108" t="s">
        <v>179</v>
      </c>
      <c r="BB108" t="s">
        <v>191</v>
      </c>
      <c r="BC108" t="s">
        <v>179</v>
      </c>
      <c r="BE108" t="s">
        <v>191</v>
      </c>
      <c r="BF108" t="s">
        <v>179</v>
      </c>
      <c r="BH108">
        <v>6</v>
      </c>
      <c r="BI108">
        <v>5</v>
      </c>
      <c r="BJ108">
        <v>7</v>
      </c>
      <c r="BK108">
        <v>3</v>
      </c>
      <c r="BL108">
        <v>1</v>
      </c>
      <c r="BM108">
        <v>2</v>
      </c>
      <c r="BN108">
        <v>4</v>
      </c>
      <c r="BP108" t="s">
        <v>193</v>
      </c>
    </row>
    <row r="109" spans="1:68">
      <c r="A109" s="4">
        <v>137029362402</v>
      </c>
      <c r="B109" s="4" t="s">
        <v>1441</v>
      </c>
      <c r="C109" s="1" t="s">
        <v>37</v>
      </c>
      <c r="D109" s="5" t="str">
        <f t="shared" si="9"/>
        <v>1</v>
      </c>
      <c r="E109" s="5" t="str">
        <f>IFERROR(IF(VLOOKUP(A109,Base!AA:AA,1,0)&gt;0,"1","0"),"0")</f>
        <v>1</v>
      </c>
      <c r="F109" s="5" t="str">
        <f t="shared" si="10"/>
        <v>1</v>
      </c>
      <c r="G109" s="5" t="str">
        <f t="shared" si="11"/>
        <v>1</v>
      </c>
      <c r="H109" t="s">
        <v>1442</v>
      </c>
      <c r="I109" t="s">
        <v>1443</v>
      </c>
      <c r="K109" t="s">
        <v>1441</v>
      </c>
      <c r="L109" t="s">
        <v>1444</v>
      </c>
      <c r="M109" t="s">
        <v>1445</v>
      </c>
      <c r="N109" t="s">
        <v>1446</v>
      </c>
      <c r="O109" t="s">
        <v>201</v>
      </c>
      <c r="P109" t="s">
        <v>179</v>
      </c>
      <c r="Q109" t="s">
        <v>179</v>
      </c>
      <c r="R109" t="s">
        <v>180</v>
      </c>
      <c r="S109" t="s">
        <v>181</v>
      </c>
      <c r="T109" t="s">
        <v>216</v>
      </c>
      <c r="V109" t="s">
        <v>1447</v>
      </c>
      <c r="W109" t="s">
        <v>179</v>
      </c>
      <c r="X109" t="s">
        <v>185</v>
      </c>
      <c r="Z109" t="s">
        <v>186</v>
      </c>
      <c r="AA109">
        <v>5</v>
      </c>
      <c r="AC109" t="s">
        <v>186</v>
      </c>
      <c r="AD109">
        <v>5</v>
      </c>
      <c r="AF109" t="s">
        <v>186</v>
      </c>
      <c r="AG109">
        <v>5</v>
      </c>
      <c r="AI109" t="s">
        <v>1448</v>
      </c>
      <c r="AK109" t="s">
        <v>189</v>
      </c>
      <c r="AL109" t="s">
        <v>189</v>
      </c>
      <c r="AM109" t="s">
        <v>189</v>
      </c>
      <c r="AN109" t="s">
        <v>1449</v>
      </c>
      <c r="AO109" t="s">
        <v>1450</v>
      </c>
      <c r="AP109" t="s">
        <v>179</v>
      </c>
      <c r="AQ109" t="s">
        <v>180</v>
      </c>
      <c r="AR109" t="s">
        <v>180</v>
      </c>
      <c r="AS109" t="s">
        <v>180</v>
      </c>
      <c r="AT109" t="s">
        <v>180</v>
      </c>
      <c r="AU109" t="s">
        <v>180</v>
      </c>
      <c r="AV109" t="s">
        <v>180</v>
      </c>
      <c r="AW109" t="s">
        <v>180</v>
      </c>
      <c r="AX109" t="s">
        <v>1451</v>
      </c>
      <c r="AY109" t="s">
        <v>191</v>
      </c>
      <c r="AZ109" t="s">
        <v>179</v>
      </c>
      <c r="BA109" t="s">
        <v>1452</v>
      </c>
      <c r="BB109" t="s">
        <v>191</v>
      </c>
      <c r="BC109" t="s">
        <v>179</v>
      </c>
      <c r="BD109" t="s">
        <v>1453</v>
      </c>
      <c r="BE109" t="s">
        <v>192</v>
      </c>
      <c r="BH109">
        <v>4</v>
      </c>
      <c r="BI109">
        <v>5</v>
      </c>
      <c r="BJ109">
        <v>6</v>
      </c>
      <c r="BK109">
        <v>7</v>
      </c>
      <c r="BL109">
        <v>1</v>
      </c>
      <c r="BM109">
        <v>2</v>
      </c>
      <c r="BN109">
        <v>3</v>
      </c>
      <c r="BO109" t="s">
        <v>1454</v>
      </c>
      <c r="BP109" t="s">
        <v>193</v>
      </c>
    </row>
    <row r="110" spans="1:68">
      <c r="A110" s="4">
        <v>642643854302</v>
      </c>
      <c r="B110" s="4" t="s">
        <v>1455</v>
      </c>
      <c r="C110" s="1" t="s">
        <v>37</v>
      </c>
      <c r="D110" s="5" t="str">
        <f t="shared" si="9"/>
        <v>1</v>
      </c>
      <c r="E110" s="5" t="str">
        <f>IFERROR(IF(VLOOKUP(A110,Base!AA:AA,1,0)&gt;0,"1","0"),"0")</f>
        <v>1</v>
      </c>
      <c r="F110" s="5" t="str">
        <f t="shared" si="10"/>
        <v>1</v>
      </c>
      <c r="G110" s="5" t="str">
        <f t="shared" si="11"/>
        <v>1</v>
      </c>
      <c r="H110" t="s">
        <v>1456</v>
      </c>
      <c r="I110" t="s">
        <v>1457</v>
      </c>
      <c r="K110" t="s">
        <v>1455</v>
      </c>
      <c r="L110">
        <v>642643854302</v>
      </c>
      <c r="M110" t="s">
        <v>1458</v>
      </c>
      <c r="N110" t="s">
        <v>1459</v>
      </c>
      <c r="O110" t="s">
        <v>177</v>
      </c>
      <c r="P110" t="s">
        <v>178</v>
      </c>
      <c r="Q110" t="s">
        <v>179</v>
      </c>
      <c r="R110" t="s">
        <v>180</v>
      </c>
      <c r="S110" t="s">
        <v>202</v>
      </c>
      <c r="T110" t="s">
        <v>216</v>
      </c>
      <c r="V110" t="s">
        <v>472</v>
      </c>
      <c r="W110" t="s">
        <v>179</v>
      </c>
      <c r="X110" t="s">
        <v>185</v>
      </c>
      <c r="Z110" t="s">
        <v>186</v>
      </c>
      <c r="AA110">
        <v>5</v>
      </c>
      <c r="AC110" t="s">
        <v>186</v>
      </c>
      <c r="AD110">
        <v>5</v>
      </c>
      <c r="AF110" t="s">
        <v>205</v>
      </c>
      <c r="AI110" t="s">
        <v>1460</v>
      </c>
      <c r="AK110" t="s">
        <v>188</v>
      </c>
      <c r="AL110" t="s">
        <v>188</v>
      </c>
      <c r="AM110" t="s">
        <v>252</v>
      </c>
      <c r="AN110" t="s">
        <v>1461</v>
      </c>
      <c r="AO110" t="s">
        <v>444</v>
      </c>
      <c r="AP110" t="s">
        <v>179</v>
      </c>
      <c r="AQ110" t="s">
        <v>180</v>
      </c>
      <c r="AR110" t="s">
        <v>180</v>
      </c>
      <c r="AS110" t="s">
        <v>180</v>
      </c>
      <c r="AT110" t="s">
        <v>180</v>
      </c>
      <c r="AU110" t="s">
        <v>180</v>
      </c>
      <c r="AV110" t="s">
        <v>180</v>
      </c>
      <c r="AW110" t="s">
        <v>180</v>
      </c>
      <c r="AX110" t="s">
        <v>1461</v>
      </c>
      <c r="AY110" t="s">
        <v>191</v>
      </c>
      <c r="AZ110" t="s">
        <v>178</v>
      </c>
      <c r="BA110" t="s">
        <v>1462</v>
      </c>
      <c r="BB110" t="s">
        <v>191</v>
      </c>
      <c r="BC110" t="s">
        <v>178</v>
      </c>
      <c r="BD110" t="s">
        <v>1463</v>
      </c>
      <c r="BE110" t="s">
        <v>191</v>
      </c>
      <c r="BF110" t="s">
        <v>178</v>
      </c>
      <c r="BG110" t="s">
        <v>1464</v>
      </c>
      <c r="BH110">
        <v>6</v>
      </c>
      <c r="BI110">
        <v>3</v>
      </c>
      <c r="BJ110">
        <v>4</v>
      </c>
      <c r="BK110">
        <v>2</v>
      </c>
      <c r="BL110">
        <v>1</v>
      </c>
      <c r="BM110">
        <v>5</v>
      </c>
      <c r="BN110">
        <v>7</v>
      </c>
      <c r="BO110" t="s">
        <v>1465</v>
      </c>
      <c r="BP110" t="s">
        <v>193</v>
      </c>
    </row>
    <row r="111" spans="1:68">
      <c r="A111" s="4">
        <v>183456830502</v>
      </c>
      <c r="B111" s="4" t="s">
        <v>1466</v>
      </c>
      <c r="C111" s="1" t="s">
        <v>100</v>
      </c>
      <c r="D111" s="5" t="str">
        <f t="shared" si="9"/>
        <v>1</v>
      </c>
      <c r="E111" s="5" t="str">
        <f>IFERROR(IF(VLOOKUP(A111,Base!AA:AA,1,0)&gt;0,"1","0"),"0")</f>
        <v>1</v>
      </c>
      <c r="F111" s="5" t="str">
        <f t="shared" si="10"/>
        <v>-</v>
      </c>
      <c r="G111" s="5" t="str">
        <f t="shared" si="11"/>
        <v>0</v>
      </c>
      <c r="H111" t="s">
        <v>1467</v>
      </c>
      <c r="I111" t="s">
        <v>1468</v>
      </c>
      <c r="K111" t="s">
        <v>1469</v>
      </c>
      <c r="L111" t="s">
        <v>1470</v>
      </c>
      <c r="M111" t="s">
        <v>1471</v>
      </c>
      <c r="N111" t="s">
        <v>1472</v>
      </c>
      <c r="O111" t="s">
        <v>215</v>
      </c>
      <c r="P111" t="s">
        <v>179</v>
      </c>
      <c r="Q111" t="s">
        <v>179</v>
      </c>
      <c r="R111" t="s">
        <v>180</v>
      </c>
      <c r="S111" t="s">
        <v>181</v>
      </c>
      <c r="T111" t="s">
        <v>1473</v>
      </c>
      <c r="U111" t="s">
        <v>1474</v>
      </c>
      <c r="V111" t="s">
        <v>1475</v>
      </c>
      <c r="W111" t="s">
        <v>179</v>
      </c>
      <c r="X111" t="s">
        <v>185</v>
      </c>
      <c r="Z111" t="s">
        <v>205</v>
      </c>
      <c r="AC111" t="s">
        <v>186</v>
      </c>
      <c r="AD111">
        <v>5</v>
      </c>
      <c r="AF111" t="s">
        <v>186</v>
      </c>
      <c r="AG111">
        <v>4</v>
      </c>
      <c r="AI111" t="s">
        <v>951</v>
      </c>
      <c r="AJ111" t="s">
        <v>1476</v>
      </c>
      <c r="AK111" t="s">
        <v>189</v>
      </c>
      <c r="AL111" t="s">
        <v>189</v>
      </c>
      <c r="AM111" t="s">
        <v>189</v>
      </c>
      <c r="AN111" t="s">
        <v>1477</v>
      </c>
      <c r="AO111" t="s">
        <v>364</v>
      </c>
      <c r="AP111" t="s">
        <v>179</v>
      </c>
      <c r="AQ111" t="s">
        <v>254</v>
      </c>
      <c r="AR111" t="s">
        <v>254</v>
      </c>
      <c r="AS111" t="s">
        <v>254</v>
      </c>
      <c r="AT111" t="s">
        <v>254</v>
      </c>
      <c r="AU111" t="s">
        <v>254</v>
      </c>
      <c r="AV111" t="s">
        <v>180</v>
      </c>
      <c r="AW111" t="s">
        <v>180</v>
      </c>
      <c r="AX111" t="s">
        <v>1478</v>
      </c>
      <c r="AY111" t="s">
        <v>191</v>
      </c>
      <c r="AZ111" t="s">
        <v>54</v>
      </c>
      <c r="BA111" t="s">
        <v>1479</v>
      </c>
      <c r="BB111" t="s">
        <v>192</v>
      </c>
      <c r="BE111" t="s">
        <v>191</v>
      </c>
      <c r="BF111" t="s">
        <v>54</v>
      </c>
      <c r="BG111" t="s">
        <v>1480</v>
      </c>
      <c r="BH111">
        <v>3</v>
      </c>
      <c r="BI111">
        <v>4</v>
      </c>
      <c r="BJ111">
        <v>5</v>
      </c>
      <c r="BK111">
        <v>1</v>
      </c>
      <c r="BL111">
        <v>2</v>
      </c>
      <c r="BM111">
        <v>6</v>
      </c>
      <c r="BN111">
        <v>7</v>
      </c>
      <c r="BO111" t="s">
        <v>1481</v>
      </c>
      <c r="BP111" t="s">
        <v>193</v>
      </c>
    </row>
    <row r="112" spans="1:68">
      <c r="A112" s="4">
        <v>11103651302</v>
      </c>
      <c r="B112" s="4" t="s">
        <v>1482</v>
      </c>
      <c r="C112" s="1" t="s">
        <v>39</v>
      </c>
      <c r="D112" s="5" t="str">
        <f t="shared" si="9"/>
        <v>1</v>
      </c>
      <c r="E112" s="5" t="str">
        <f>IFERROR(IF(VLOOKUP(A112,Base!AA:AA,1,0)&gt;0,"1","0"),"0")</f>
        <v>1</v>
      </c>
      <c r="F112" s="5" t="str">
        <f t="shared" si="10"/>
        <v>-</v>
      </c>
      <c r="G112" s="5" t="str">
        <f t="shared" si="11"/>
        <v>0</v>
      </c>
      <c r="H112" t="s">
        <v>1483</v>
      </c>
      <c r="I112" t="s">
        <v>1484</v>
      </c>
      <c r="K112" t="s">
        <v>243</v>
      </c>
      <c r="L112" t="s">
        <v>1485</v>
      </c>
      <c r="M112" t="s">
        <v>1486</v>
      </c>
      <c r="N112" t="s">
        <v>1487</v>
      </c>
      <c r="O112" t="s">
        <v>177</v>
      </c>
      <c r="P112" t="s">
        <v>178</v>
      </c>
      <c r="Q112" t="s">
        <v>178</v>
      </c>
      <c r="R112" t="s">
        <v>254</v>
      </c>
      <c r="S112" t="s">
        <v>202</v>
      </c>
      <c r="T112" t="s">
        <v>1139</v>
      </c>
      <c r="U112" t="s">
        <v>1488</v>
      </c>
      <c r="V112" t="s">
        <v>243</v>
      </c>
      <c r="W112" t="s">
        <v>184</v>
      </c>
      <c r="X112" t="s">
        <v>1118</v>
      </c>
      <c r="Y112" t="s">
        <v>1489</v>
      </c>
      <c r="Z112" t="s">
        <v>186</v>
      </c>
      <c r="AA112">
        <v>3</v>
      </c>
      <c r="AB112" t="s">
        <v>1490</v>
      </c>
      <c r="AC112" t="s">
        <v>205</v>
      </c>
      <c r="AF112" t="s">
        <v>186</v>
      </c>
      <c r="AG112">
        <v>2</v>
      </c>
      <c r="AH112" t="s">
        <v>1491</v>
      </c>
      <c r="AI112" t="s">
        <v>702</v>
      </c>
      <c r="AJ112" t="s">
        <v>1492</v>
      </c>
      <c r="AK112" t="s">
        <v>189</v>
      </c>
      <c r="AL112" t="s">
        <v>189</v>
      </c>
      <c r="AM112" t="s">
        <v>189</v>
      </c>
      <c r="AO112" t="s">
        <v>266</v>
      </c>
      <c r="AP112" t="s">
        <v>179</v>
      </c>
      <c r="AQ112" t="s">
        <v>254</v>
      </c>
      <c r="AR112" t="s">
        <v>180</v>
      </c>
      <c r="AS112" t="s">
        <v>254</v>
      </c>
      <c r="AT112" t="s">
        <v>180</v>
      </c>
      <c r="AU112" t="s">
        <v>180</v>
      </c>
      <c r="AV112" t="s">
        <v>180</v>
      </c>
      <c r="AW112" t="s">
        <v>180</v>
      </c>
      <c r="AY112" t="s">
        <v>192</v>
      </c>
      <c r="BB112" t="s">
        <v>192</v>
      </c>
      <c r="BE112" t="s">
        <v>191</v>
      </c>
      <c r="BF112" t="s">
        <v>54</v>
      </c>
      <c r="BH112">
        <v>2</v>
      </c>
      <c r="BI112">
        <v>4</v>
      </c>
      <c r="BJ112">
        <v>6</v>
      </c>
      <c r="BK112">
        <v>3</v>
      </c>
      <c r="BL112">
        <v>1</v>
      </c>
      <c r="BM112">
        <v>5</v>
      </c>
      <c r="BN112">
        <v>7</v>
      </c>
      <c r="BO112" t="s">
        <v>1493</v>
      </c>
      <c r="BP112" t="s">
        <v>193</v>
      </c>
    </row>
    <row r="113" spans="1:68">
      <c r="A113" s="4">
        <v>316851710302</v>
      </c>
      <c r="B113" s="4" t="s">
        <v>1494</v>
      </c>
      <c r="C113" s="1" t="s">
        <v>245</v>
      </c>
      <c r="D113" s="5" t="str">
        <f t="shared" si="9"/>
        <v>0</v>
      </c>
      <c r="E113" s="5" t="str">
        <f>IFERROR(IF(VLOOKUP(A113,Base!AA:AA,1,0)&gt;0,"1","0"),"0")</f>
        <v>1</v>
      </c>
      <c r="F113" s="5" t="str">
        <f t="shared" si="10"/>
        <v>-</v>
      </c>
      <c r="G113" s="5" t="str">
        <f t="shared" si="11"/>
        <v>0</v>
      </c>
      <c r="H113" t="s">
        <v>1495</v>
      </c>
      <c r="I113" t="s">
        <v>1496</v>
      </c>
      <c r="K113" t="s">
        <v>1497</v>
      </c>
      <c r="L113" t="s">
        <v>1498</v>
      </c>
      <c r="M113" t="s">
        <v>1499</v>
      </c>
      <c r="N113" t="s">
        <v>1500</v>
      </c>
      <c r="O113" t="s">
        <v>215</v>
      </c>
      <c r="P113" t="s">
        <v>178</v>
      </c>
      <c r="Q113" t="s">
        <v>178</v>
      </c>
      <c r="R113" t="s">
        <v>180</v>
      </c>
      <c r="S113" t="s">
        <v>202</v>
      </c>
      <c r="T113" t="s">
        <v>1501</v>
      </c>
      <c r="U113" t="s">
        <v>1502</v>
      </c>
      <c r="V113" t="s">
        <v>1503</v>
      </c>
      <c r="W113" t="s">
        <v>179</v>
      </c>
      <c r="X113" t="s">
        <v>1504</v>
      </c>
      <c r="Y113" t="s">
        <v>1505</v>
      </c>
      <c r="Z113" t="s">
        <v>205</v>
      </c>
      <c r="AC113" t="s">
        <v>205</v>
      </c>
      <c r="AF113" t="s">
        <v>205</v>
      </c>
      <c r="AI113" t="s">
        <v>1506</v>
      </c>
      <c r="AK113" t="s">
        <v>189</v>
      </c>
      <c r="AL113" t="s">
        <v>189</v>
      </c>
      <c r="AM113" t="s">
        <v>189</v>
      </c>
      <c r="AO113" t="s">
        <v>693</v>
      </c>
      <c r="AP113" t="s">
        <v>178</v>
      </c>
      <c r="AQ113" t="s">
        <v>180</v>
      </c>
      <c r="AR113" t="s">
        <v>254</v>
      </c>
      <c r="AS113" t="s">
        <v>254</v>
      </c>
      <c r="AT113" t="s">
        <v>355</v>
      </c>
      <c r="AU113" t="s">
        <v>355</v>
      </c>
      <c r="AV113" t="s">
        <v>180</v>
      </c>
      <c r="AW113" t="s">
        <v>180</v>
      </c>
      <c r="AX113" t="s">
        <v>1507</v>
      </c>
      <c r="AY113" t="s">
        <v>192</v>
      </c>
      <c r="BB113" t="s">
        <v>192</v>
      </c>
      <c r="BE113" t="s">
        <v>192</v>
      </c>
      <c r="BH113">
        <v>2</v>
      </c>
      <c r="BI113">
        <v>7</v>
      </c>
      <c r="BJ113">
        <v>4</v>
      </c>
      <c r="BK113">
        <v>1</v>
      </c>
      <c r="BL113">
        <v>5</v>
      </c>
      <c r="BM113">
        <v>3</v>
      </c>
      <c r="BN113">
        <v>6</v>
      </c>
      <c r="BO113" t="s">
        <v>1508</v>
      </c>
      <c r="BP113" t="s">
        <v>193</v>
      </c>
    </row>
    <row r="114" spans="1:68">
      <c r="A114" s="4">
        <v>24371682602</v>
      </c>
      <c r="B114" s="4" t="s">
        <v>1509</v>
      </c>
      <c r="C114" s="1" t="s">
        <v>100</v>
      </c>
      <c r="D114" s="5" t="str">
        <f t="shared" si="9"/>
        <v>1</v>
      </c>
      <c r="E114" s="5" t="str">
        <f>IFERROR(IF(VLOOKUP(A114,Base!AA:AA,1,0)&gt;0,"1","0"),"0")</f>
        <v>1</v>
      </c>
      <c r="F114" s="5" t="str">
        <f t="shared" si="10"/>
        <v>1</v>
      </c>
      <c r="G114" s="5" t="str">
        <f t="shared" si="11"/>
        <v>1</v>
      </c>
      <c r="H114" t="s">
        <v>1510</v>
      </c>
      <c r="I114" t="s">
        <v>1511</v>
      </c>
      <c r="K114" t="s">
        <v>1512</v>
      </c>
      <c r="L114" t="s">
        <v>1513</v>
      </c>
      <c r="M114" t="s">
        <v>1514</v>
      </c>
      <c r="N114" t="s">
        <v>1515</v>
      </c>
      <c r="O114" t="s">
        <v>215</v>
      </c>
      <c r="P114" t="s">
        <v>54</v>
      </c>
      <c r="Q114" t="s">
        <v>54</v>
      </c>
      <c r="R114" t="s">
        <v>355</v>
      </c>
      <c r="S114" t="s">
        <v>405</v>
      </c>
      <c r="T114" t="s">
        <v>607</v>
      </c>
      <c r="U114" t="s">
        <v>1516</v>
      </c>
      <c r="V114" t="s">
        <v>372</v>
      </c>
      <c r="W114" t="s">
        <v>184</v>
      </c>
      <c r="X114" t="s">
        <v>1517</v>
      </c>
      <c r="Y114" t="s">
        <v>1518</v>
      </c>
      <c r="Z114" t="s">
        <v>186</v>
      </c>
      <c r="AA114">
        <v>3</v>
      </c>
      <c r="AB114" t="s">
        <v>1519</v>
      </c>
      <c r="AC114" t="s">
        <v>186</v>
      </c>
      <c r="AD114">
        <v>3</v>
      </c>
      <c r="AF114" t="s">
        <v>205</v>
      </c>
      <c r="AI114" t="s">
        <v>1520</v>
      </c>
      <c r="AK114" t="s">
        <v>189</v>
      </c>
      <c r="AL114" t="s">
        <v>189</v>
      </c>
      <c r="AM114" t="s">
        <v>189</v>
      </c>
      <c r="AN114" t="s">
        <v>1521</v>
      </c>
      <c r="AO114" t="s">
        <v>1522</v>
      </c>
      <c r="AP114" t="s">
        <v>179</v>
      </c>
      <c r="AQ114" t="s">
        <v>180</v>
      </c>
      <c r="AR114" t="s">
        <v>180</v>
      </c>
      <c r="AS114" t="s">
        <v>180</v>
      </c>
      <c r="AT114" t="s">
        <v>180</v>
      </c>
      <c r="AU114" t="s">
        <v>180</v>
      </c>
      <c r="AV114" t="s">
        <v>180</v>
      </c>
      <c r="AW114" t="s">
        <v>180</v>
      </c>
      <c r="AX114" t="s">
        <v>1523</v>
      </c>
      <c r="AY114" t="s">
        <v>191</v>
      </c>
      <c r="AZ114" t="s">
        <v>178</v>
      </c>
      <c r="BB114" t="s">
        <v>191</v>
      </c>
      <c r="BC114" t="s">
        <v>178</v>
      </c>
      <c r="BE114" t="s">
        <v>191</v>
      </c>
      <c r="BF114" t="s">
        <v>179</v>
      </c>
      <c r="BG114" t="s">
        <v>1524</v>
      </c>
      <c r="BH114">
        <v>4</v>
      </c>
      <c r="BI114">
        <v>7</v>
      </c>
      <c r="BJ114">
        <v>5</v>
      </c>
      <c r="BK114">
        <v>3</v>
      </c>
      <c r="BL114">
        <v>1</v>
      </c>
      <c r="BM114">
        <v>6</v>
      </c>
      <c r="BN114">
        <v>2</v>
      </c>
      <c r="BP114" t="s">
        <v>193</v>
      </c>
    </row>
    <row r="115" spans="1:68">
      <c r="A115" s="4">
        <v>15954434402</v>
      </c>
      <c r="B115" s="4" t="s">
        <v>1525</v>
      </c>
      <c r="C115" s="1" t="s">
        <v>245</v>
      </c>
      <c r="D115" s="5" t="str">
        <f t="shared" si="9"/>
        <v>0</v>
      </c>
      <c r="E115" s="5" t="str">
        <f>IFERROR(IF(VLOOKUP(A115,Base!AA:AA,1,0)&gt;0,"1","0"),"0")</f>
        <v>0</v>
      </c>
      <c r="F115" s="5" t="str">
        <f t="shared" si="10"/>
        <v>-</v>
      </c>
      <c r="G115" s="5" t="str">
        <f t="shared" si="11"/>
        <v>1</v>
      </c>
      <c r="H115" t="s">
        <v>1526</v>
      </c>
      <c r="I115" t="s">
        <v>1527</v>
      </c>
      <c r="K115" t="s">
        <v>1528</v>
      </c>
      <c r="L115" t="s">
        <v>1529</v>
      </c>
      <c r="M115" t="s">
        <v>1530</v>
      </c>
      <c r="N115" t="s">
        <v>1531</v>
      </c>
      <c r="O115" t="s">
        <v>201</v>
      </c>
      <c r="P115" t="s">
        <v>178</v>
      </c>
      <c r="Q115" t="s">
        <v>54</v>
      </c>
      <c r="R115" t="s">
        <v>355</v>
      </c>
      <c r="S115" t="s">
        <v>202</v>
      </c>
      <c r="T115" t="s">
        <v>216</v>
      </c>
      <c r="U115" t="s">
        <v>1532</v>
      </c>
      <c r="V115" t="s">
        <v>364</v>
      </c>
      <c r="W115" t="s">
        <v>184</v>
      </c>
      <c r="X115" t="s">
        <v>1533</v>
      </c>
      <c r="Y115" t="s">
        <v>1532</v>
      </c>
      <c r="Z115" t="s">
        <v>186</v>
      </c>
      <c r="AA115">
        <v>3</v>
      </c>
      <c r="AB115" t="s">
        <v>1534</v>
      </c>
      <c r="AC115" t="s">
        <v>205</v>
      </c>
      <c r="AF115" t="s">
        <v>205</v>
      </c>
      <c r="AI115" t="s">
        <v>1535</v>
      </c>
      <c r="AJ115" t="s">
        <v>1532</v>
      </c>
      <c r="AK115" t="s">
        <v>189</v>
      </c>
      <c r="AL115" t="s">
        <v>189</v>
      </c>
      <c r="AM115" t="s">
        <v>189</v>
      </c>
      <c r="AN115" t="s">
        <v>1536</v>
      </c>
      <c r="AO115" t="s">
        <v>190</v>
      </c>
      <c r="AP115" t="s">
        <v>179</v>
      </c>
      <c r="AQ115" t="s">
        <v>180</v>
      </c>
      <c r="AR115" t="s">
        <v>180</v>
      </c>
      <c r="AS115" t="s">
        <v>180</v>
      </c>
      <c r="AT115" t="s">
        <v>180</v>
      </c>
      <c r="AU115" t="s">
        <v>180</v>
      </c>
      <c r="AV115" t="s">
        <v>180</v>
      </c>
      <c r="AW115" t="s">
        <v>180</v>
      </c>
      <c r="AY115" t="s">
        <v>192</v>
      </c>
      <c r="BB115" t="s">
        <v>191</v>
      </c>
      <c r="BC115" t="s">
        <v>178</v>
      </c>
      <c r="BE115" t="s">
        <v>192</v>
      </c>
      <c r="BH115">
        <v>2</v>
      </c>
      <c r="BI115">
        <v>3</v>
      </c>
      <c r="BJ115">
        <v>4</v>
      </c>
      <c r="BK115">
        <v>5</v>
      </c>
      <c r="BL115">
        <v>1</v>
      </c>
      <c r="BM115">
        <v>6</v>
      </c>
      <c r="BN115">
        <v>7</v>
      </c>
      <c r="BP115" t="s">
        <v>193</v>
      </c>
    </row>
    <row r="116" spans="1:68">
      <c r="A116" s="4">
        <v>625725137302</v>
      </c>
      <c r="B116" s="4" t="s">
        <v>1537</v>
      </c>
      <c r="C116" s="1" t="s">
        <v>37</v>
      </c>
      <c r="D116" s="5" t="str">
        <f t="shared" si="9"/>
        <v>1</v>
      </c>
      <c r="E116" s="5" t="str">
        <f>IFERROR(IF(VLOOKUP(A116,Base!AA:AA,1,0)&gt;0,"1","0"),"0")</f>
        <v>1</v>
      </c>
      <c r="F116" s="5" t="str">
        <f t="shared" si="10"/>
        <v>1</v>
      </c>
      <c r="G116" s="5" t="str">
        <f t="shared" si="11"/>
        <v>1</v>
      </c>
      <c r="H116" t="s">
        <v>1538</v>
      </c>
      <c r="I116" t="s">
        <v>1539</v>
      </c>
      <c r="K116" t="s">
        <v>1540</v>
      </c>
      <c r="L116" t="s">
        <v>1541</v>
      </c>
      <c r="M116" t="s">
        <v>1542</v>
      </c>
      <c r="N116" t="s">
        <v>1543</v>
      </c>
      <c r="O116" t="s">
        <v>215</v>
      </c>
      <c r="P116" t="s">
        <v>179</v>
      </c>
      <c r="Q116" t="s">
        <v>179</v>
      </c>
      <c r="R116" t="s">
        <v>180</v>
      </c>
      <c r="S116" t="s">
        <v>181</v>
      </c>
      <c r="T116" t="s">
        <v>1544</v>
      </c>
      <c r="U116" t="s">
        <v>1545</v>
      </c>
      <c r="V116" t="s">
        <v>1546</v>
      </c>
      <c r="W116" t="s">
        <v>179</v>
      </c>
      <c r="X116" t="s">
        <v>185</v>
      </c>
      <c r="Z116" t="s">
        <v>186</v>
      </c>
      <c r="AA116">
        <v>5</v>
      </c>
      <c r="AC116" t="s">
        <v>186</v>
      </c>
      <c r="AD116">
        <v>5</v>
      </c>
      <c r="AF116" t="s">
        <v>186</v>
      </c>
      <c r="AG116">
        <v>5</v>
      </c>
      <c r="AI116" t="s">
        <v>1547</v>
      </c>
      <c r="AK116" t="s">
        <v>189</v>
      </c>
      <c r="AL116" t="s">
        <v>189</v>
      </c>
      <c r="AM116" t="s">
        <v>189</v>
      </c>
      <c r="AO116" t="s">
        <v>927</v>
      </c>
      <c r="AP116" t="s">
        <v>179</v>
      </c>
      <c r="AQ116" t="s">
        <v>180</v>
      </c>
      <c r="AR116" t="s">
        <v>180</v>
      </c>
      <c r="AS116" t="s">
        <v>180</v>
      </c>
      <c r="AT116" t="s">
        <v>180</v>
      </c>
      <c r="AU116" t="s">
        <v>180</v>
      </c>
      <c r="AV116" t="s">
        <v>180</v>
      </c>
      <c r="AW116" t="s">
        <v>180</v>
      </c>
      <c r="AY116" t="s">
        <v>191</v>
      </c>
      <c r="AZ116" t="s">
        <v>178</v>
      </c>
      <c r="BB116" t="s">
        <v>191</v>
      </c>
      <c r="BC116" t="s">
        <v>178</v>
      </c>
      <c r="BE116" t="s">
        <v>192</v>
      </c>
      <c r="BH116">
        <v>1</v>
      </c>
      <c r="BI116">
        <v>4</v>
      </c>
      <c r="BJ116">
        <v>5</v>
      </c>
      <c r="BK116">
        <v>3</v>
      </c>
      <c r="BL116">
        <v>2</v>
      </c>
      <c r="BM116">
        <v>6</v>
      </c>
      <c r="BN116">
        <v>7</v>
      </c>
      <c r="BP116" t="s">
        <v>193</v>
      </c>
    </row>
    <row r="117" spans="1:68">
      <c r="A117" s="4">
        <v>301135555502</v>
      </c>
      <c r="B117" s="4" t="s">
        <v>1548</v>
      </c>
      <c r="C117" s="1" t="s">
        <v>245</v>
      </c>
      <c r="D117" s="5" t="str">
        <f t="shared" si="9"/>
        <v>0</v>
      </c>
      <c r="E117" s="5" t="str">
        <f>IFERROR(IF(VLOOKUP(A117,Base!AA:AA,1,0)&gt;0,"1","0"),"0")</f>
        <v>0</v>
      </c>
      <c r="F117" s="5" t="str">
        <f t="shared" si="10"/>
        <v>-</v>
      </c>
      <c r="G117" s="5" t="str">
        <f t="shared" si="11"/>
        <v>1</v>
      </c>
      <c r="H117" t="s">
        <v>1549</v>
      </c>
      <c r="I117" t="s">
        <v>1550</v>
      </c>
      <c r="K117" t="s">
        <v>1548</v>
      </c>
      <c r="L117" t="s">
        <v>1548</v>
      </c>
      <c r="M117" t="s">
        <v>1551</v>
      </c>
      <c r="N117" t="s">
        <v>1552</v>
      </c>
      <c r="O117" t="s">
        <v>177</v>
      </c>
      <c r="P117" t="s">
        <v>179</v>
      </c>
      <c r="Q117" t="s">
        <v>179</v>
      </c>
      <c r="R117" t="s">
        <v>180</v>
      </c>
      <c r="S117" t="s">
        <v>181</v>
      </c>
      <c r="T117" t="s">
        <v>216</v>
      </c>
      <c r="U117" t="s">
        <v>1553</v>
      </c>
      <c r="V117" t="s">
        <v>1554</v>
      </c>
      <c r="W117" t="s">
        <v>179</v>
      </c>
      <c r="X117" t="s">
        <v>185</v>
      </c>
      <c r="Y117" t="s">
        <v>1555</v>
      </c>
      <c r="Z117" t="s">
        <v>186</v>
      </c>
      <c r="AA117">
        <v>5</v>
      </c>
      <c r="AB117" t="s">
        <v>324</v>
      </c>
      <c r="AC117" t="s">
        <v>186</v>
      </c>
      <c r="AD117">
        <v>5</v>
      </c>
      <c r="AE117" t="s">
        <v>1556</v>
      </c>
      <c r="AF117" t="s">
        <v>205</v>
      </c>
      <c r="AI117" t="s">
        <v>1557</v>
      </c>
      <c r="AJ117" t="s">
        <v>1558</v>
      </c>
      <c r="AK117" t="s">
        <v>189</v>
      </c>
      <c r="AL117" t="s">
        <v>189</v>
      </c>
      <c r="AM117" t="s">
        <v>189</v>
      </c>
      <c r="AO117" t="s">
        <v>311</v>
      </c>
      <c r="AP117" t="s">
        <v>179</v>
      </c>
      <c r="AQ117" t="s">
        <v>180</v>
      </c>
      <c r="AR117" t="s">
        <v>180</v>
      </c>
      <c r="AS117" t="s">
        <v>180</v>
      </c>
      <c r="AT117" t="s">
        <v>180</v>
      </c>
      <c r="AU117" t="s">
        <v>180</v>
      </c>
      <c r="AV117" t="s">
        <v>180</v>
      </c>
      <c r="AW117" t="s">
        <v>180</v>
      </c>
      <c r="AY117" t="s">
        <v>191</v>
      </c>
      <c r="AZ117" t="s">
        <v>179</v>
      </c>
      <c r="BB117" t="s">
        <v>191</v>
      </c>
      <c r="BC117" t="s">
        <v>179</v>
      </c>
      <c r="BE117" t="s">
        <v>191</v>
      </c>
      <c r="BF117" t="s">
        <v>179</v>
      </c>
      <c r="BH117">
        <v>2</v>
      </c>
      <c r="BI117">
        <v>4</v>
      </c>
      <c r="BJ117">
        <v>1</v>
      </c>
      <c r="BK117">
        <v>5</v>
      </c>
      <c r="BL117">
        <v>6</v>
      </c>
      <c r="BM117">
        <v>7</v>
      </c>
      <c r="BN117">
        <v>3</v>
      </c>
      <c r="BP117" t="s">
        <v>193</v>
      </c>
    </row>
    <row r="118" spans="1:68">
      <c r="A118" s="4">
        <v>26322058702</v>
      </c>
      <c r="B118" s="4" t="s">
        <v>1559</v>
      </c>
      <c r="C118" s="1" t="s">
        <v>100</v>
      </c>
      <c r="D118" s="5" t="str">
        <f t="shared" si="9"/>
        <v>1</v>
      </c>
      <c r="E118" s="5" t="str">
        <f>IFERROR(IF(VLOOKUP(A118,Base!AA:AA,1,0)&gt;0,"1","0"),"0")</f>
        <v>0</v>
      </c>
      <c r="F118" s="5" t="str">
        <f t="shared" si="10"/>
        <v>-</v>
      </c>
      <c r="G118" s="5" t="str">
        <f t="shared" si="11"/>
        <v>1</v>
      </c>
      <c r="H118" t="s">
        <v>1560</v>
      </c>
      <c r="I118" t="s">
        <v>1561</v>
      </c>
      <c r="K118" t="s">
        <v>1562</v>
      </c>
      <c r="L118">
        <v>26322058702</v>
      </c>
      <c r="M118" t="s">
        <v>1563</v>
      </c>
      <c r="N118" t="s">
        <v>1564</v>
      </c>
      <c r="O118" t="s">
        <v>201</v>
      </c>
      <c r="P118" t="s">
        <v>179</v>
      </c>
      <c r="Q118" t="s">
        <v>179</v>
      </c>
      <c r="R118" t="s">
        <v>180</v>
      </c>
      <c r="S118" t="s">
        <v>181</v>
      </c>
      <c r="T118" t="s">
        <v>1565</v>
      </c>
      <c r="U118" t="s">
        <v>1566</v>
      </c>
      <c r="V118" t="s">
        <v>937</v>
      </c>
      <c r="W118" t="s">
        <v>179</v>
      </c>
      <c r="X118" t="s">
        <v>185</v>
      </c>
      <c r="Z118" t="s">
        <v>186</v>
      </c>
      <c r="AA118">
        <v>5</v>
      </c>
      <c r="AC118" t="s">
        <v>186</v>
      </c>
      <c r="AD118">
        <v>5</v>
      </c>
      <c r="AF118" t="s">
        <v>186</v>
      </c>
      <c r="AG118">
        <v>5</v>
      </c>
      <c r="AI118" t="s">
        <v>1567</v>
      </c>
      <c r="AJ118" t="s">
        <v>1568</v>
      </c>
      <c r="AK118" t="s">
        <v>188</v>
      </c>
      <c r="AL118" t="s">
        <v>188</v>
      </c>
      <c r="AM118" t="s">
        <v>188</v>
      </c>
      <c r="AO118" t="s">
        <v>1234</v>
      </c>
      <c r="AP118" t="s">
        <v>179</v>
      </c>
      <c r="AQ118" t="s">
        <v>254</v>
      </c>
      <c r="AR118" t="s">
        <v>180</v>
      </c>
      <c r="AS118" t="s">
        <v>254</v>
      </c>
      <c r="AT118" t="s">
        <v>254</v>
      </c>
      <c r="AU118" t="s">
        <v>180</v>
      </c>
      <c r="AV118" t="s">
        <v>180</v>
      </c>
      <c r="AW118" t="s">
        <v>180</v>
      </c>
      <c r="AY118" t="s">
        <v>192</v>
      </c>
      <c r="BB118" t="s">
        <v>191</v>
      </c>
      <c r="BC118" t="s">
        <v>178</v>
      </c>
      <c r="BE118" t="s">
        <v>192</v>
      </c>
      <c r="BH118">
        <v>4</v>
      </c>
      <c r="BI118">
        <v>7</v>
      </c>
      <c r="BJ118">
        <v>5</v>
      </c>
      <c r="BK118">
        <v>6</v>
      </c>
      <c r="BL118">
        <v>1</v>
      </c>
      <c r="BM118">
        <v>2</v>
      </c>
      <c r="BN118">
        <v>3</v>
      </c>
      <c r="BP118" t="s">
        <v>193</v>
      </c>
    </row>
    <row r="119" spans="1:68">
      <c r="A119" s="4">
        <v>414165418502</v>
      </c>
      <c r="B119" s="4" t="s">
        <v>1569</v>
      </c>
      <c r="C119" s="1" t="s">
        <v>39</v>
      </c>
      <c r="D119" s="5" t="str">
        <f t="shared" si="9"/>
        <v>1</v>
      </c>
      <c r="E119" s="5" t="str">
        <f>IFERROR(IF(VLOOKUP(A119,Base!AA:AA,1,0)&gt;0,"1","0"),"0")</f>
        <v>1</v>
      </c>
      <c r="F119" s="5" t="str">
        <f t="shared" si="10"/>
        <v>1</v>
      </c>
      <c r="G119" s="5" t="str">
        <f t="shared" si="11"/>
        <v>1</v>
      </c>
      <c r="H119" t="s">
        <v>1570</v>
      </c>
      <c r="I119" t="s">
        <v>1571</v>
      </c>
      <c r="K119" t="s">
        <v>1572</v>
      </c>
      <c r="L119" t="s">
        <v>1573</v>
      </c>
      <c r="M119" t="s">
        <v>1574</v>
      </c>
      <c r="N119" t="s">
        <v>1575</v>
      </c>
      <c r="O119" t="s">
        <v>215</v>
      </c>
      <c r="P119" t="s">
        <v>178</v>
      </c>
      <c r="Q119" t="s">
        <v>178</v>
      </c>
      <c r="R119" t="s">
        <v>180</v>
      </c>
      <c r="S119" t="s">
        <v>202</v>
      </c>
      <c r="T119" t="s">
        <v>607</v>
      </c>
      <c r="V119" t="s">
        <v>243</v>
      </c>
      <c r="W119" t="s">
        <v>184</v>
      </c>
      <c r="X119" t="s">
        <v>1576</v>
      </c>
      <c r="Z119" t="s">
        <v>186</v>
      </c>
      <c r="AA119">
        <v>3</v>
      </c>
      <c r="AC119" t="s">
        <v>186</v>
      </c>
      <c r="AD119">
        <v>3</v>
      </c>
      <c r="AF119" t="s">
        <v>186</v>
      </c>
      <c r="AG119">
        <v>2</v>
      </c>
      <c r="AI119" t="s">
        <v>1577</v>
      </c>
      <c r="AK119" t="s">
        <v>189</v>
      </c>
      <c r="AL119" t="s">
        <v>189</v>
      </c>
      <c r="AM119" t="s">
        <v>189</v>
      </c>
      <c r="AN119" t="s">
        <v>1578</v>
      </c>
      <c r="AO119" t="s">
        <v>1579</v>
      </c>
      <c r="AP119" t="s">
        <v>179</v>
      </c>
      <c r="AQ119" t="s">
        <v>180</v>
      </c>
      <c r="AR119" t="s">
        <v>180</v>
      </c>
      <c r="AS119" t="s">
        <v>180</v>
      </c>
      <c r="AT119" t="s">
        <v>180</v>
      </c>
      <c r="AU119" t="s">
        <v>180</v>
      </c>
      <c r="AV119" t="s">
        <v>180</v>
      </c>
      <c r="AW119" t="s">
        <v>180</v>
      </c>
      <c r="AX119" t="s">
        <v>1580</v>
      </c>
      <c r="AY119" t="s">
        <v>191</v>
      </c>
      <c r="AZ119" t="s">
        <v>179</v>
      </c>
      <c r="BA119" t="s">
        <v>1581</v>
      </c>
      <c r="BB119" t="s">
        <v>191</v>
      </c>
      <c r="BC119" t="s">
        <v>179</v>
      </c>
      <c r="BE119" t="s">
        <v>192</v>
      </c>
      <c r="BH119">
        <v>2</v>
      </c>
      <c r="BI119">
        <v>4</v>
      </c>
      <c r="BJ119">
        <v>5</v>
      </c>
      <c r="BK119">
        <v>6</v>
      </c>
      <c r="BL119">
        <v>7</v>
      </c>
      <c r="BM119">
        <v>3</v>
      </c>
      <c r="BN119">
        <v>1</v>
      </c>
      <c r="BO119" t="s">
        <v>1582</v>
      </c>
      <c r="BP119" t="s">
        <v>193</v>
      </c>
    </row>
    <row r="120" spans="1:68">
      <c r="A120" s="4">
        <v>13351599302</v>
      </c>
      <c r="B120" s="4" t="s">
        <v>1583</v>
      </c>
      <c r="C120" s="1" t="s">
        <v>38</v>
      </c>
      <c r="D120" s="5" t="str">
        <f t="shared" si="9"/>
        <v>1</v>
      </c>
      <c r="E120" s="5" t="str">
        <f>IFERROR(IF(VLOOKUP(A120,Base!AA:AA,1,0)&gt;0,"1","0"),"0")</f>
        <v>1</v>
      </c>
      <c r="F120" s="5" t="str">
        <f t="shared" si="10"/>
        <v>-</v>
      </c>
      <c r="G120" s="5" t="str">
        <f t="shared" si="11"/>
        <v>0</v>
      </c>
      <c r="H120" t="s">
        <v>1584</v>
      </c>
      <c r="I120" t="s">
        <v>1585</v>
      </c>
      <c r="K120" t="s">
        <v>1586</v>
      </c>
      <c r="L120" t="s">
        <v>1587</v>
      </c>
      <c r="M120" t="s">
        <v>1588</v>
      </c>
      <c r="N120" t="s">
        <v>1589</v>
      </c>
      <c r="O120" t="s">
        <v>177</v>
      </c>
      <c r="P120" t="s">
        <v>179</v>
      </c>
      <c r="Q120" t="s">
        <v>179</v>
      </c>
      <c r="R120" t="s">
        <v>180</v>
      </c>
      <c r="S120" t="s">
        <v>181</v>
      </c>
      <c r="T120" t="s">
        <v>216</v>
      </c>
      <c r="V120" t="s">
        <v>266</v>
      </c>
      <c r="W120" t="s">
        <v>179</v>
      </c>
      <c r="X120" t="s">
        <v>185</v>
      </c>
      <c r="Z120" t="s">
        <v>186</v>
      </c>
      <c r="AA120">
        <v>5</v>
      </c>
      <c r="AC120" t="s">
        <v>186</v>
      </c>
      <c r="AD120">
        <v>5</v>
      </c>
      <c r="AF120" t="s">
        <v>205</v>
      </c>
      <c r="AI120" t="s">
        <v>1506</v>
      </c>
      <c r="AK120" t="s">
        <v>189</v>
      </c>
      <c r="AL120" t="s">
        <v>189</v>
      </c>
      <c r="AM120" t="s">
        <v>189</v>
      </c>
      <c r="AN120" t="s">
        <v>1590</v>
      </c>
      <c r="AO120" t="s">
        <v>309</v>
      </c>
      <c r="AP120" t="s">
        <v>179</v>
      </c>
      <c r="AQ120" t="s">
        <v>180</v>
      </c>
      <c r="AR120" t="s">
        <v>180</v>
      </c>
      <c r="AS120" t="s">
        <v>180</v>
      </c>
      <c r="AT120" t="s">
        <v>180</v>
      </c>
      <c r="AU120" t="s">
        <v>180</v>
      </c>
      <c r="AV120" t="s">
        <v>180</v>
      </c>
      <c r="AW120" t="s">
        <v>180</v>
      </c>
      <c r="AY120" t="s">
        <v>192</v>
      </c>
      <c r="BB120" t="s">
        <v>192</v>
      </c>
      <c r="BE120" t="s">
        <v>192</v>
      </c>
      <c r="BH120">
        <v>1</v>
      </c>
      <c r="BI120">
        <v>6</v>
      </c>
      <c r="BJ120">
        <v>7</v>
      </c>
      <c r="BK120">
        <v>5</v>
      </c>
      <c r="BL120">
        <v>2</v>
      </c>
      <c r="BM120">
        <v>3</v>
      </c>
      <c r="BN120">
        <v>4</v>
      </c>
      <c r="BP120" t="s">
        <v>193</v>
      </c>
    </row>
    <row r="121" spans="1:68">
      <c r="A121" s="4">
        <v>98385811302</v>
      </c>
      <c r="B121" s="4" t="s">
        <v>1591</v>
      </c>
      <c r="C121" s="1" t="s">
        <v>38</v>
      </c>
      <c r="D121" s="5" t="str">
        <f t="shared" si="9"/>
        <v>1</v>
      </c>
      <c r="E121" s="5" t="str">
        <f>IFERROR(IF(VLOOKUP(A121,Base!AA:AA,1,0)&gt;0,"1","0"),"0")</f>
        <v>1</v>
      </c>
      <c r="F121" s="5" t="str">
        <f t="shared" si="10"/>
        <v>-</v>
      </c>
      <c r="G121" s="5" t="str">
        <f t="shared" si="11"/>
        <v>0</v>
      </c>
      <c r="H121" t="s">
        <v>1592</v>
      </c>
      <c r="I121" t="s">
        <v>1593</v>
      </c>
      <c r="K121" t="s">
        <v>1594</v>
      </c>
      <c r="L121" t="s">
        <v>1595</v>
      </c>
      <c r="M121" t="s">
        <v>1596</v>
      </c>
      <c r="N121" t="s">
        <v>1597</v>
      </c>
      <c r="O121" t="s">
        <v>201</v>
      </c>
      <c r="P121" t="s">
        <v>178</v>
      </c>
      <c r="Q121" t="s">
        <v>178</v>
      </c>
      <c r="R121" t="s">
        <v>254</v>
      </c>
      <c r="S121" t="s">
        <v>202</v>
      </c>
      <c r="T121" t="s">
        <v>290</v>
      </c>
      <c r="V121" t="s">
        <v>309</v>
      </c>
      <c r="W121" t="s">
        <v>179</v>
      </c>
      <c r="X121" t="s">
        <v>185</v>
      </c>
      <c r="Z121" t="s">
        <v>186</v>
      </c>
      <c r="AA121">
        <v>3</v>
      </c>
      <c r="AC121" t="s">
        <v>186</v>
      </c>
      <c r="AD121">
        <v>4</v>
      </c>
      <c r="AF121" t="s">
        <v>186</v>
      </c>
      <c r="AG121">
        <v>4</v>
      </c>
      <c r="AI121" t="s">
        <v>1598</v>
      </c>
      <c r="AK121" t="s">
        <v>188</v>
      </c>
      <c r="AL121" t="s">
        <v>188</v>
      </c>
      <c r="AM121" t="s">
        <v>188</v>
      </c>
      <c r="AN121" t="s">
        <v>1599</v>
      </c>
      <c r="AO121" t="s">
        <v>1600</v>
      </c>
      <c r="AP121" t="s">
        <v>54</v>
      </c>
      <c r="AQ121" t="s">
        <v>254</v>
      </c>
      <c r="AR121" t="s">
        <v>254</v>
      </c>
      <c r="AS121" t="s">
        <v>254</v>
      </c>
      <c r="AT121" t="s">
        <v>254</v>
      </c>
      <c r="AU121" t="s">
        <v>355</v>
      </c>
      <c r="AV121" t="s">
        <v>254</v>
      </c>
      <c r="AW121" t="s">
        <v>180</v>
      </c>
      <c r="AX121" t="s">
        <v>1601</v>
      </c>
      <c r="AY121" t="s">
        <v>192</v>
      </c>
      <c r="BB121" t="s">
        <v>192</v>
      </c>
      <c r="BE121" t="s">
        <v>191</v>
      </c>
      <c r="BF121" t="s">
        <v>178</v>
      </c>
      <c r="BG121" t="s">
        <v>1602</v>
      </c>
      <c r="BH121">
        <v>3</v>
      </c>
      <c r="BI121">
        <v>5</v>
      </c>
      <c r="BJ121">
        <v>7</v>
      </c>
      <c r="BK121">
        <v>6</v>
      </c>
      <c r="BL121">
        <v>4</v>
      </c>
      <c r="BM121">
        <v>1</v>
      </c>
      <c r="BN121">
        <v>2</v>
      </c>
      <c r="BP121" t="s">
        <v>193</v>
      </c>
    </row>
    <row r="122" spans="1:68">
      <c r="A122" s="4">
        <v>361885515402</v>
      </c>
      <c r="B122" s="4" t="s">
        <v>1603</v>
      </c>
      <c r="C122" s="1" t="s">
        <v>39</v>
      </c>
      <c r="D122" s="5" t="str">
        <f t="shared" si="9"/>
        <v>1</v>
      </c>
      <c r="E122" s="5" t="str">
        <f>IFERROR(IF(VLOOKUP(A122,Base!AA:AA,1,0)&gt;0,"1","0"),"0")</f>
        <v>1</v>
      </c>
      <c r="F122" s="5" t="str">
        <f t="shared" si="10"/>
        <v>1</v>
      </c>
      <c r="G122" s="5" t="str">
        <f t="shared" si="11"/>
        <v>1</v>
      </c>
      <c r="H122" t="s">
        <v>1604</v>
      </c>
      <c r="I122" t="s">
        <v>1605</v>
      </c>
      <c r="K122" t="s">
        <v>1606</v>
      </c>
      <c r="L122">
        <v>361885515402</v>
      </c>
      <c r="M122" t="s">
        <v>1607</v>
      </c>
      <c r="N122" t="s">
        <v>1608</v>
      </c>
      <c r="O122" t="s">
        <v>215</v>
      </c>
      <c r="P122" t="s">
        <v>54</v>
      </c>
      <c r="Q122" t="s">
        <v>179</v>
      </c>
      <c r="R122" t="s">
        <v>180</v>
      </c>
      <c r="S122" t="s">
        <v>181</v>
      </c>
      <c r="T122" t="s">
        <v>182</v>
      </c>
      <c r="V122" t="s">
        <v>292</v>
      </c>
      <c r="W122" t="s">
        <v>179</v>
      </c>
      <c r="X122" t="s">
        <v>1223</v>
      </c>
      <c r="Z122" t="s">
        <v>186</v>
      </c>
      <c r="AA122">
        <v>5</v>
      </c>
      <c r="AC122" t="s">
        <v>186</v>
      </c>
      <c r="AD122">
        <v>5</v>
      </c>
      <c r="AF122" t="s">
        <v>205</v>
      </c>
      <c r="AI122" t="s">
        <v>1609</v>
      </c>
      <c r="AK122" t="s">
        <v>189</v>
      </c>
      <c r="AL122" t="s">
        <v>189</v>
      </c>
      <c r="AM122" t="s">
        <v>189</v>
      </c>
      <c r="AO122" t="s">
        <v>1522</v>
      </c>
      <c r="AP122" t="s">
        <v>179</v>
      </c>
      <c r="AQ122" t="s">
        <v>180</v>
      </c>
      <c r="AR122" t="s">
        <v>180</v>
      </c>
      <c r="AS122" t="s">
        <v>180</v>
      </c>
      <c r="AT122" t="s">
        <v>180</v>
      </c>
      <c r="AU122" t="s">
        <v>180</v>
      </c>
      <c r="AV122" t="s">
        <v>180</v>
      </c>
      <c r="AW122" t="s">
        <v>180</v>
      </c>
      <c r="AY122" t="s">
        <v>191</v>
      </c>
      <c r="AZ122" t="s">
        <v>179</v>
      </c>
      <c r="BB122" t="s">
        <v>191</v>
      </c>
      <c r="BC122" t="s">
        <v>179</v>
      </c>
      <c r="BE122" t="s">
        <v>192</v>
      </c>
      <c r="BH122">
        <v>6</v>
      </c>
      <c r="BI122">
        <v>7</v>
      </c>
      <c r="BJ122">
        <v>5</v>
      </c>
      <c r="BK122">
        <v>4</v>
      </c>
      <c r="BL122">
        <v>1</v>
      </c>
      <c r="BM122">
        <v>2</v>
      </c>
      <c r="BN122">
        <v>3</v>
      </c>
      <c r="BO122" t="s">
        <v>1610</v>
      </c>
      <c r="BP122" t="s">
        <v>193</v>
      </c>
    </row>
    <row r="123" spans="1:68">
      <c r="A123" s="4">
        <v>25248213105</v>
      </c>
      <c r="B123" s="4" t="s">
        <v>1611</v>
      </c>
      <c r="C123" s="1" t="s">
        <v>39</v>
      </c>
      <c r="D123" s="5" t="str">
        <f t="shared" si="9"/>
        <v>1</v>
      </c>
      <c r="E123" s="5" t="str">
        <f>IFERROR(IF(VLOOKUP(A123,Base!AA:AA,1,0)&gt;0,"1","0"),"0")</f>
        <v>1</v>
      </c>
      <c r="F123" s="5" t="str">
        <f t="shared" si="10"/>
        <v>-</v>
      </c>
      <c r="G123" s="5" t="str">
        <f t="shared" si="11"/>
        <v>0</v>
      </c>
      <c r="H123" t="s">
        <v>1612</v>
      </c>
      <c r="I123" t="s">
        <v>1613</v>
      </c>
      <c r="K123" t="s">
        <v>1611</v>
      </c>
      <c r="L123">
        <v>25248213105</v>
      </c>
      <c r="M123" t="s">
        <v>1614</v>
      </c>
      <c r="N123" t="s">
        <v>1615</v>
      </c>
      <c r="O123" t="s">
        <v>215</v>
      </c>
      <c r="P123" t="s">
        <v>179</v>
      </c>
      <c r="Q123" t="s">
        <v>179</v>
      </c>
      <c r="R123" t="s">
        <v>180</v>
      </c>
      <c r="S123" t="s">
        <v>181</v>
      </c>
      <c r="T123" t="s">
        <v>1064</v>
      </c>
      <c r="U123" t="s">
        <v>1616</v>
      </c>
      <c r="V123" t="s">
        <v>292</v>
      </c>
      <c r="W123" t="s">
        <v>179</v>
      </c>
      <c r="X123" t="s">
        <v>350</v>
      </c>
      <c r="Y123" t="s">
        <v>1617</v>
      </c>
      <c r="Z123" t="s">
        <v>186</v>
      </c>
      <c r="AA123">
        <v>5</v>
      </c>
      <c r="AC123" t="s">
        <v>205</v>
      </c>
      <c r="AF123" t="s">
        <v>205</v>
      </c>
      <c r="AI123" t="s">
        <v>206</v>
      </c>
      <c r="AK123" t="s">
        <v>188</v>
      </c>
      <c r="AL123" t="s">
        <v>252</v>
      </c>
      <c r="AM123" t="s">
        <v>188</v>
      </c>
      <c r="AN123" t="s">
        <v>1618</v>
      </c>
      <c r="AO123" t="s">
        <v>444</v>
      </c>
      <c r="AP123" t="s">
        <v>179</v>
      </c>
      <c r="AQ123" t="s">
        <v>180</v>
      </c>
      <c r="AR123" t="s">
        <v>180</v>
      </c>
      <c r="AS123" t="s">
        <v>180</v>
      </c>
      <c r="AT123" t="s">
        <v>180</v>
      </c>
      <c r="AU123" t="s">
        <v>180</v>
      </c>
      <c r="AV123" t="s">
        <v>180</v>
      </c>
      <c r="AW123" t="s">
        <v>180</v>
      </c>
      <c r="AX123" t="s">
        <v>1619</v>
      </c>
      <c r="AY123" t="s">
        <v>192</v>
      </c>
      <c r="BB123" t="s">
        <v>192</v>
      </c>
      <c r="BE123" t="s">
        <v>191</v>
      </c>
      <c r="BF123" t="s">
        <v>54</v>
      </c>
      <c r="BG123" t="s">
        <v>1620</v>
      </c>
      <c r="BH123">
        <v>2</v>
      </c>
      <c r="BI123">
        <v>7</v>
      </c>
      <c r="BJ123">
        <v>6</v>
      </c>
      <c r="BK123">
        <v>1</v>
      </c>
      <c r="BL123">
        <v>3</v>
      </c>
      <c r="BM123">
        <v>4</v>
      </c>
      <c r="BN123">
        <v>5</v>
      </c>
      <c r="BO123" t="s">
        <v>1621</v>
      </c>
      <c r="BP123" t="s">
        <v>193</v>
      </c>
    </row>
    <row r="124" spans="1:68">
      <c r="A124" s="4">
        <v>696396556502</v>
      </c>
      <c r="B124" s="4" t="s">
        <v>1622</v>
      </c>
      <c r="C124" s="1" t="s">
        <v>37</v>
      </c>
      <c r="D124" s="5" t="str">
        <f t="shared" si="9"/>
        <v>1</v>
      </c>
      <c r="E124" s="5" t="str">
        <f>IFERROR(IF(VLOOKUP(A124,Base!AA:AA,1,0)&gt;0,"1","0"),"0")</f>
        <v>0</v>
      </c>
      <c r="F124" s="5" t="str">
        <f t="shared" si="10"/>
        <v>-</v>
      </c>
      <c r="G124" s="5" t="str">
        <f t="shared" si="11"/>
        <v>1</v>
      </c>
      <c r="H124" t="s">
        <v>1623</v>
      </c>
      <c r="I124" t="s">
        <v>1624</v>
      </c>
      <c r="K124" t="s">
        <v>1625</v>
      </c>
      <c r="L124">
        <v>696396556502</v>
      </c>
      <c r="M124" t="s">
        <v>1626</v>
      </c>
      <c r="N124" t="s">
        <v>1627</v>
      </c>
      <c r="O124" t="s">
        <v>215</v>
      </c>
      <c r="P124" t="s">
        <v>179</v>
      </c>
      <c r="Q124" t="s">
        <v>179</v>
      </c>
      <c r="R124" t="s">
        <v>180</v>
      </c>
      <c r="S124" t="s">
        <v>202</v>
      </c>
      <c r="T124" t="s">
        <v>1628</v>
      </c>
      <c r="U124" t="s">
        <v>1629</v>
      </c>
      <c r="V124" t="s">
        <v>364</v>
      </c>
      <c r="W124" t="s">
        <v>179</v>
      </c>
      <c r="X124" t="s">
        <v>185</v>
      </c>
      <c r="Y124" t="s">
        <v>1630</v>
      </c>
      <c r="Z124" t="s">
        <v>186</v>
      </c>
      <c r="AA124">
        <v>5</v>
      </c>
      <c r="AB124" t="s">
        <v>1631</v>
      </c>
      <c r="AC124" t="s">
        <v>205</v>
      </c>
      <c r="AF124" t="s">
        <v>205</v>
      </c>
      <c r="AI124" t="s">
        <v>1632</v>
      </c>
      <c r="AJ124" t="s">
        <v>1633</v>
      </c>
      <c r="AK124" t="s">
        <v>189</v>
      </c>
      <c r="AL124" t="s">
        <v>189</v>
      </c>
      <c r="AM124" t="s">
        <v>189</v>
      </c>
      <c r="AO124" t="s">
        <v>282</v>
      </c>
      <c r="AP124" t="s">
        <v>178</v>
      </c>
      <c r="AQ124" t="s">
        <v>254</v>
      </c>
      <c r="AR124" t="s">
        <v>254</v>
      </c>
      <c r="AS124" t="s">
        <v>355</v>
      </c>
      <c r="AT124" t="s">
        <v>254</v>
      </c>
      <c r="AU124" t="s">
        <v>180</v>
      </c>
      <c r="AV124" t="s">
        <v>180</v>
      </c>
      <c r="AW124" t="s">
        <v>180</v>
      </c>
      <c r="AY124" t="s">
        <v>191</v>
      </c>
      <c r="AZ124" t="s">
        <v>179</v>
      </c>
      <c r="BB124" t="s">
        <v>191</v>
      </c>
      <c r="BC124" t="s">
        <v>54</v>
      </c>
      <c r="BD124" t="s">
        <v>1634</v>
      </c>
      <c r="BE124" t="s">
        <v>192</v>
      </c>
      <c r="BH124">
        <v>2</v>
      </c>
      <c r="BI124">
        <v>6</v>
      </c>
      <c r="BJ124">
        <v>7</v>
      </c>
      <c r="BK124">
        <v>3</v>
      </c>
      <c r="BL124">
        <v>1</v>
      </c>
      <c r="BM124">
        <v>4</v>
      </c>
      <c r="BN124">
        <v>5</v>
      </c>
      <c r="BO124" t="s">
        <v>1635</v>
      </c>
      <c r="BP124" t="s">
        <v>193</v>
      </c>
    </row>
    <row r="125" spans="1:68">
      <c r="A125" s="4">
        <v>435346364602</v>
      </c>
      <c r="B125" s="4" t="s">
        <v>1636</v>
      </c>
      <c r="C125" s="1" t="s">
        <v>36</v>
      </c>
      <c r="D125" s="5" t="str">
        <f t="shared" si="9"/>
        <v>1</v>
      </c>
      <c r="E125" s="5" t="str">
        <f>IFERROR(IF(VLOOKUP(A125,Base!AA:AA,1,0)&gt;0,"1","0"),"0")</f>
        <v>1</v>
      </c>
      <c r="F125" s="5" t="str">
        <f t="shared" si="10"/>
        <v>1</v>
      </c>
      <c r="G125" s="5" t="str">
        <f t="shared" si="11"/>
        <v>1</v>
      </c>
      <c r="H125" t="s">
        <v>1637</v>
      </c>
      <c r="I125" t="s">
        <v>1638</v>
      </c>
      <c r="K125" t="s">
        <v>1636</v>
      </c>
      <c r="L125" t="s">
        <v>1639</v>
      </c>
      <c r="M125" t="s">
        <v>1640</v>
      </c>
      <c r="N125" t="s">
        <v>1641</v>
      </c>
      <c r="O125" t="s">
        <v>201</v>
      </c>
      <c r="P125" t="s">
        <v>179</v>
      </c>
      <c r="Q125" t="s">
        <v>179</v>
      </c>
      <c r="R125" t="s">
        <v>180</v>
      </c>
      <c r="S125" t="s">
        <v>181</v>
      </c>
      <c r="T125" t="s">
        <v>216</v>
      </c>
      <c r="V125" t="s">
        <v>311</v>
      </c>
      <c r="W125" t="s">
        <v>179</v>
      </c>
      <c r="X125" t="s">
        <v>185</v>
      </c>
      <c r="Z125" t="s">
        <v>186</v>
      </c>
      <c r="AA125">
        <v>5</v>
      </c>
      <c r="AC125" t="s">
        <v>186</v>
      </c>
      <c r="AD125">
        <v>5</v>
      </c>
      <c r="AF125" t="s">
        <v>186</v>
      </c>
      <c r="AG125">
        <v>5</v>
      </c>
      <c r="AI125" t="s">
        <v>1642</v>
      </c>
      <c r="AK125" t="s">
        <v>188</v>
      </c>
      <c r="AL125" t="s">
        <v>188</v>
      </c>
      <c r="AM125" t="s">
        <v>188</v>
      </c>
      <c r="AO125" t="s">
        <v>183</v>
      </c>
      <c r="AP125" t="s">
        <v>179</v>
      </c>
      <c r="AQ125" t="s">
        <v>180</v>
      </c>
      <c r="AR125" t="s">
        <v>180</v>
      </c>
      <c r="AS125" t="s">
        <v>180</v>
      </c>
      <c r="AT125" t="s">
        <v>180</v>
      </c>
      <c r="AU125" t="s">
        <v>180</v>
      </c>
      <c r="AV125" t="s">
        <v>180</v>
      </c>
      <c r="AW125" t="s">
        <v>180</v>
      </c>
      <c r="AY125" t="s">
        <v>192</v>
      </c>
      <c r="BB125" t="s">
        <v>191</v>
      </c>
      <c r="BC125" t="s">
        <v>179</v>
      </c>
      <c r="BE125" t="s">
        <v>192</v>
      </c>
      <c r="BH125">
        <v>3</v>
      </c>
      <c r="BI125">
        <v>2</v>
      </c>
      <c r="BJ125">
        <v>1</v>
      </c>
      <c r="BK125">
        <v>4</v>
      </c>
      <c r="BL125">
        <v>5</v>
      </c>
      <c r="BM125">
        <v>6</v>
      </c>
      <c r="BN125">
        <v>7</v>
      </c>
      <c r="BP125" t="s">
        <v>193</v>
      </c>
    </row>
    <row r="126" spans="1:68">
      <c r="A126" s="4">
        <v>816067318102</v>
      </c>
      <c r="B126" s="4" t="s">
        <v>1643</v>
      </c>
      <c r="C126" s="1" t="s">
        <v>36</v>
      </c>
      <c r="D126" s="5" t="str">
        <f t="shared" si="9"/>
        <v>1</v>
      </c>
      <c r="E126" s="5" t="str">
        <f>IFERROR(IF(VLOOKUP(A126,Base!AA:AA,1,0)&gt;0,"1","0"),"0")</f>
        <v>1</v>
      </c>
      <c r="F126" s="5" t="str">
        <f t="shared" si="10"/>
        <v>-</v>
      </c>
      <c r="G126" s="5" t="str">
        <f t="shared" si="11"/>
        <v>0</v>
      </c>
      <c r="H126" t="s">
        <v>1644</v>
      </c>
      <c r="I126" t="s">
        <v>1645</v>
      </c>
      <c r="K126" t="s">
        <v>1646</v>
      </c>
      <c r="L126" t="s">
        <v>1647</v>
      </c>
      <c r="M126" t="s">
        <v>1648</v>
      </c>
      <c r="N126" t="s">
        <v>1649</v>
      </c>
      <c r="O126" t="s">
        <v>177</v>
      </c>
      <c r="P126" t="s">
        <v>54</v>
      </c>
      <c r="Q126" t="s">
        <v>179</v>
      </c>
      <c r="R126" t="s">
        <v>180</v>
      </c>
      <c r="S126" t="s">
        <v>405</v>
      </c>
      <c r="T126" t="s">
        <v>276</v>
      </c>
      <c r="V126" t="s">
        <v>1648</v>
      </c>
      <c r="W126" t="s">
        <v>179</v>
      </c>
      <c r="X126" t="s">
        <v>185</v>
      </c>
      <c r="Z126" t="s">
        <v>186</v>
      </c>
      <c r="AA126">
        <v>4</v>
      </c>
      <c r="AC126" t="s">
        <v>186</v>
      </c>
      <c r="AD126">
        <v>5</v>
      </c>
      <c r="AF126" t="s">
        <v>205</v>
      </c>
      <c r="AI126" t="s">
        <v>1650</v>
      </c>
      <c r="AK126" t="s">
        <v>188</v>
      </c>
      <c r="AL126" t="s">
        <v>188</v>
      </c>
      <c r="AM126" t="s">
        <v>188</v>
      </c>
      <c r="AN126" t="s">
        <v>1651</v>
      </c>
      <c r="AO126" t="s">
        <v>282</v>
      </c>
      <c r="AP126" t="s">
        <v>179</v>
      </c>
      <c r="AQ126" t="s">
        <v>180</v>
      </c>
      <c r="AR126" t="s">
        <v>180</v>
      </c>
      <c r="AS126" t="s">
        <v>180</v>
      </c>
      <c r="AT126" t="s">
        <v>180</v>
      </c>
      <c r="AU126" t="s">
        <v>180</v>
      </c>
      <c r="AV126" t="s">
        <v>180</v>
      </c>
      <c r="AW126" t="s">
        <v>180</v>
      </c>
      <c r="AX126" t="s">
        <v>1652</v>
      </c>
      <c r="AY126" t="s">
        <v>192</v>
      </c>
      <c r="BB126" t="s">
        <v>192</v>
      </c>
      <c r="BE126" t="s">
        <v>192</v>
      </c>
      <c r="BH126">
        <v>3</v>
      </c>
      <c r="BI126">
        <v>6</v>
      </c>
      <c r="BJ126">
        <v>7</v>
      </c>
      <c r="BK126">
        <v>5</v>
      </c>
      <c r="BL126">
        <v>1</v>
      </c>
      <c r="BM126">
        <v>2</v>
      </c>
      <c r="BN126">
        <v>4</v>
      </c>
      <c r="BO126" t="s">
        <v>1653</v>
      </c>
      <c r="BP126" t="s">
        <v>193</v>
      </c>
    </row>
    <row r="127" spans="1:68">
      <c r="A127" s="4">
        <v>16116314302</v>
      </c>
      <c r="B127" s="4" t="s">
        <v>1654</v>
      </c>
      <c r="C127" s="1" t="s">
        <v>39</v>
      </c>
      <c r="D127" s="5" t="str">
        <f t="shared" si="9"/>
        <v>1</v>
      </c>
      <c r="E127" s="5" t="str">
        <f>IFERROR(IF(VLOOKUP(A127,Base!AA:AA,1,0)&gt;0,"1","0"),"0")</f>
        <v>1</v>
      </c>
      <c r="F127" s="5" t="str">
        <f t="shared" si="10"/>
        <v>1</v>
      </c>
      <c r="G127" s="5" t="str">
        <f t="shared" si="11"/>
        <v>1</v>
      </c>
      <c r="H127" t="s">
        <v>1655</v>
      </c>
      <c r="I127" t="s">
        <v>1656</v>
      </c>
      <c r="K127" t="s">
        <v>1654</v>
      </c>
      <c r="L127" t="s">
        <v>1657</v>
      </c>
      <c r="M127" t="s">
        <v>1658</v>
      </c>
      <c r="N127" t="s">
        <v>1659</v>
      </c>
      <c r="O127" t="s">
        <v>215</v>
      </c>
      <c r="P127" t="s">
        <v>178</v>
      </c>
      <c r="Q127" t="s">
        <v>178</v>
      </c>
      <c r="R127" t="s">
        <v>254</v>
      </c>
      <c r="S127" t="s">
        <v>202</v>
      </c>
      <c r="T127" t="s">
        <v>1660</v>
      </c>
      <c r="U127" t="s">
        <v>1661</v>
      </c>
      <c r="V127" t="s">
        <v>243</v>
      </c>
      <c r="W127" t="s">
        <v>179</v>
      </c>
      <c r="X127" t="s">
        <v>1662</v>
      </c>
      <c r="Y127" t="s">
        <v>1663</v>
      </c>
      <c r="Z127" t="s">
        <v>205</v>
      </c>
      <c r="AC127" t="s">
        <v>205</v>
      </c>
      <c r="AF127" t="s">
        <v>205</v>
      </c>
      <c r="AI127" t="s">
        <v>1664</v>
      </c>
      <c r="AJ127" t="s">
        <v>1665</v>
      </c>
      <c r="AK127" t="s">
        <v>189</v>
      </c>
      <c r="AL127" t="s">
        <v>189</v>
      </c>
      <c r="AM127" t="s">
        <v>189</v>
      </c>
      <c r="AN127" t="s">
        <v>985</v>
      </c>
      <c r="AO127" t="s">
        <v>704</v>
      </c>
      <c r="AP127" t="s">
        <v>179</v>
      </c>
      <c r="AQ127" t="s">
        <v>180</v>
      </c>
      <c r="AR127" t="s">
        <v>254</v>
      </c>
      <c r="AS127" t="s">
        <v>180</v>
      </c>
      <c r="AT127" t="s">
        <v>180</v>
      </c>
      <c r="AU127" t="s">
        <v>254</v>
      </c>
      <c r="AV127" t="s">
        <v>254</v>
      </c>
      <c r="AW127" t="s">
        <v>180</v>
      </c>
      <c r="AX127" t="s">
        <v>985</v>
      </c>
      <c r="AY127" t="s">
        <v>191</v>
      </c>
      <c r="AZ127" t="s">
        <v>178</v>
      </c>
      <c r="BA127" t="s">
        <v>1666</v>
      </c>
      <c r="BB127" t="s">
        <v>191</v>
      </c>
      <c r="BC127" t="s">
        <v>178</v>
      </c>
      <c r="BD127" t="s">
        <v>985</v>
      </c>
      <c r="BE127" t="s">
        <v>191</v>
      </c>
      <c r="BF127" t="s">
        <v>54</v>
      </c>
      <c r="BG127" t="s">
        <v>985</v>
      </c>
      <c r="BH127">
        <v>7</v>
      </c>
      <c r="BI127">
        <v>5</v>
      </c>
      <c r="BJ127">
        <v>6</v>
      </c>
      <c r="BK127">
        <v>2</v>
      </c>
      <c r="BL127">
        <v>1</v>
      </c>
      <c r="BM127">
        <v>4</v>
      </c>
      <c r="BN127">
        <v>3</v>
      </c>
      <c r="BO127" t="s">
        <v>985</v>
      </c>
      <c r="BP127" t="s">
        <v>193</v>
      </c>
    </row>
    <row r="128" spans="1:68">
      <c r="A128" s="4">
        <v>98835860802</v>
      </c>
      <c r="B128" s="4" t="s">
        <v>1667</v>
      </c>
      <c r="C128" s="1" t="s">
        <v>100</v>
      </c>
      <c r="D128" s="5" t="str">
        <f t="shared" si="9"/>
        <v>1</v>
      </c>
      <c r="E128" s="5" t="str">
        <f>IFERROR(IF(VLOOKUP(A128,Base!AA:AA,1,0)&gt;0,"1","0"),"0")</f>
        <v>1</v>
      </c>
      <c r="F128" s="5" t="str">
        <f t="shared" si="10"/>
        <v>0</v>
      </c>
      <c r="G128" s="5" t="str">
        <f t="shared" si="11"/>
        <v>1</v>
      </c>
      <c r="H128" t="s">
        <v>1668</v>
      </c>
      <c r="I128" t="s">
        <v>1669</v>
      </c>
      <c r="K128" t="s">
        <v>1670</v>
      </c>
      <c r="L128" t="s">
        <v>1671</v>
      </c>
      <c r="M128" t="s">
        <v>1672</v>
      </c>
      <c r="N128" t="s">
        <v>1673</v>
      </c>
      <c r="O128" t="s">
        <v>215</v>
      </c>
      <c r="P128" t="s">
        <v>54</v>
      </c>
      <c r="Q128" t="s">
        <v>54</v>
      </c>
      <c r="R128" t="s">
        <v>355</v>
      </c>
      <c r="S128" t="s">
        <v>997</v>
      </c>
      <c r="T128" t="s">
        <v>1674</v>
      </c>
      <c r="V128" t="s">
        <v>1675</v>
      </c>
      <c r="W128" t="s">
        <v>55</v>
      </c>
      <c r="X128" t="s">
        <v>1676</v>
      </c>
      <c r="Z128" t="s">
        <v>186</v>
      </c>
      <c r="AA128">
        <v>4</v>
      </c>
      <c r="AC128" t="s">
        <v>186</v>
      </c>
      <c r="AD128">
        <v>3</v>
      </c>
      <c r="AF128" t="s">
        <v>205</v>
      </c>
      <c r="AI128" t="s">
        <v>1677</v>
      </c>
      <c r="AK128" t="s">
        <v>189</v>
      </c>
      <c r="AL128" t="s">
        <v>189</v>
      </c>
      <c r="AM128" t="s">
        <v>189</v>
      </c>
      <c r="AO128" t="s">
        <v>230</v>
      </c>
      <c r="AP128" t="s">
        <v>179</v>
      </c>
      <c r="AQ128" t="s">
        <v>180</v>
      </c>
      <c r="AR128" t="s">
        <v>180</v>
      </c>
      <c r="AS128" t="s">
        <v>180</v>
      </c>
      <c r="AT128" t="s">
        <v>180</v>
      </c>
      <c r="AU128" t="s">
        <v>180</v>
      </c>
      <c r="AV128" t="s">
        <v>180</v>
      </c>
      <c r="AW128" t="s">
        <v>180</v>
      </c>
      <c r="AY128" t="s">
        <v>191</v>
      </c>
      <c r="AZ128" t="s">
        <v>179</v>
      </c>
      <c r="BB128" t="s">
        <v>191</v>
      </c>
      <c r="BC128" t="s">
        <v>54</v>
      </c>
      <c r="BE128" t="s">
        <v>192</v>
      </c>
      <c r="BH128">
        <v>6</v>
      </c>
      <c r="BI128">
        <v>7</v>
      </c>
      <c r="BJ128">
        <v>3</v>
      </c>
      <c r="BK128">
        <v>4</v>
      </c>
      <c r="BL128">
        <v>1</v>
      </c>
      <c r="BM128">
        <v>5</v>
      </c>
      <c r="BN128">
        <v>2</v>
      </c>
      <c r="BP128" t="s">
        <v>193</v>
      </c>
    </row>
    <row r="129" spans="1:68">
      <c r="A129" s="4">
        <v>20208037402</v>
      </c>
      <c r="B129" s="4" t="s">
        <v>1678</v>
      </c>
      <c r="C129" s="1" t="s">
        <v>38</v>
      </c>
      <c r="D129" s="5" t="str">
        <f t="shared" si="9"/>
        <v>1</v>
      </c>
      <c r="E129" s="5" t="str">
        <f>IFERROR(IF(VLOOKUP(A129,Base!AA:AA,1,0)&gt;0,"1","0"),"0")</f>
        <v>1</v>
      </c>
      <c r="F129" s="5" t="str">
        <f t="shared" si="10"/>
        <v>1</v>
      </c>
      <c r="G129" s="5" t="str">
        <f t="shared" si="11"/>
        <v>1</v>
      </c>
      <c r="H129" t="s">
        <v>1679</v>
      </c>
      <c r="I129" t="s">
        <v>1680</v>
      </c>
      <c r="K129" t="s">
        <v>1681</v>
      </c>
      <c r="L129" t="s">
        <v>1682</v>
      </c>
      <c r="M129" t="s">
        <v>1683</v>
      </c>
      <c r="N129" t="s">
        <v>1684</v>
      </c>
      <c r="O129" t="s">
        <v>215</v>
      </c>
      <c r="P129" t="s">
        <v>179</v>
      </c>
      <c r="Q129" t="s">
        <v>179</v>
      </c>
      <c r="R129" t="s">
        <v>180</v>
      </c>
      <c r="S129" t="s">
        <v>181</v>
      </c>
      <c r="T129" t="s">
        <v>216</v>
      </c>
      <c r="U129" t="s">
        <v>1685</v>
      </c>
      <c r="V129" t="s">
        <v>309</v>
      </c>
      <c r="W129" t="s">
        <v>179</v>
      </c>
      <c r="X129" t="s">
        <v>185</v>
      </c>
      <c r="Y129" t="s">
        <v>1686</v>
      </c>
      <c r="Z129" t="s">
        <v>205</v>
      </c>
      <c r="AC129" t="s">
        <v>186</v>
      </c>
      <c r="AD129">
        <v>5</v>
      </c>
      <c r="AF129" t="s">
        <v>205</v>
      </c>
      <c r="AI129" t="s">
        <v>1687</v>
      </c>
      <c r="AJ129" t="s">
        <v>1688</v>
      </c>
      <c r="AK129" t="s">
        <v>189</v>
      </c>
      <c r="AL129" t="s">
        <v>189</v>
      </c>
      <c r="AM129" t="s">
        <v>189</v>
      </c>
      <c r="AN129" t="s">
        <v>1689</v>
      </c>
      <c r="AO129" t="s">
        <v>1690</v>
      </c>
      <c r="AP129" t="s">
        <v>179</v>
      </c>
      <c r="AQ129" t="s">
        <v>354</v>
      </c>
      <c r="AR129" t="s">
        <v>354</v>
      </c>
      <c r="AS129" t="s">
        <v>354</v>
      </c>
      <c r="AT129" t="s">
        <v>354</v>
      </c>
      <c r="AU129" t="s">
        <v>354</v>
      </c>
      <c r="AV129" t="s">
        <v>354</v>
      </c>
      <c r="AW129" t="s">
        <v>354</v>
      </c>
      <c r="AX129" t="s">
        <v>1691</v>
      </c>
      <c r="AY129" t="s">
        <v>191</v>
      </c>
      <c r="AZ129" t="s">
        <v>179</v>
      </c>
      <c r="BA129" t="s">
        <v>1691</v>
      </c>
      <c r="BB129" t="s">
        <v>191</v>
      </c>
      <c r="BC129" t="s">
        <v>179</v>
      </c>
      <c r="BD129" t="s">
        <v>1692</v>
      </c>
      <c r="BE129" t="s">
        <v>191</v>
      </c>
      <c r="BF129" t="s">
        <v>179</v>
      </c>
      <c r="BG129" t="s">
        <v>1693</v>
      </c>
      <c r="BH129">
        <v>7</v>
      </c>
      <c r="BI129">
        <v>5</v>
      </c>
      <c r="BJ129">
        <v>4</v>
      </c>
      <c r="BK129">
        <v>3</v>
      </c>
      <c r="BL129">
        <v>2</v>
      </c>
      <c r="BM129">
        <v>6</v>
      </c>
      <c r="BN129">
        <v>1</v>
      </c>
      <c r="BO129" t="s">
        <v>1691</v>
      </c>
      <c r="BP129" t="s">
        <v>193</v>
      </c>
    </row>
    <row r="130" spans="1:68">
      <c r="A130" s="4">
        <v>276705576602</v>
      </c>
      <c r="B130" s="4" t="s">
        <v>1694</v>
      </c>
      <c r="C130" s="1" t="s">
        <v>38</v>
      </c>
      <c r="D130" s="5" t="str">
        <f t="shared" si="9"/>
        <v>1</v>
      </c>
      <c r="E130" s="5" t="str">
        <f>IFERROR(IF(VLOOKUP(A130,Base!AA:AA,1,0)&gt;0,"1","0"),"0")</f>
        <v>1</v>
      </c>
      <c r="F130" s="5" t="str">
        <f t="shared" si="10"/>
        <v>1</v>
      </c>
      <c r="G130" s="5" t="str">
        <f t="shared" si="11"/>
        <v>1</v>
      </c>
      <c r="H130" t="s">
        <v>1695</v>
      </c>
      <c r="I130" t="s">
        <v>1696</v>
      </c>
      <c r="K130" t="s">
        <v>1694</v>
      </c>
      <c r="L130">
        <v>276705576602</v>
      </c>
      <c r="M130" t="s">
        <v>1697</v>
      </c>
      <c r="N130" t="s">
        <v>1698</v>
      </c>
      <c r="O130" t="s">
        <v>201</v>
      </c>
      <c r="P130" t="s">
        <v>178</v>
      </c>
      <c r="Q130" t="s">
        <v>178</v>
      </c>
      <c r="R130" t="s">
        <v>254</v>
      </c>
      <c r="S130" t="s">
        <v>405</v>
      </c>
      <c r="T130" t="s">
        <v>1699</v>
      </c>
      <c r="V130" t="s">
        <v>221</v>
      </c>
      <c r="W130" t="s">
        <v>184</v>
      </c>
      <c r="X130" t="s">
        <v>1700</v>
      </c>
      <c r="Z130" t="s">
        <v>205</v>
      </c>
      <c r="AC130" t="s">
        <v>205</v>
      </c>
      <c r="AF130" t="s">
        <v>186</v>
      </c>
      <c r="AG130">
        <v>4</v>
      </c>
      <c r="AI130" t="s">
        <v>1701</v>
      </c>
      <c r="AK130" t="s">
        <v>188</v>
      </c>
      <c r="AL130" t="s">
        <v>252</v>
      </c>
      <c r="AM130" t="s">
        <v>252</v>
      </c>
      <c r="AO130" t="s">
        <v>1702</v>
      </c>
      <c r="AP130" t="s">
        <v>178</v>
      </c>
      <c r="AQ130" t="s">
        <v>254</v>
      </c>
      <c r="AR130" t="s">
        <v>254</v>
      </c>
      <c r="AS130" t="s">
        <v>254</v>
      </c>
      <c r="AT130" t="s">
        <v>254</v>
      </c>
      <c r="AU130" t="s">
        <v>180</v>
      </c>
      <c r="AV130" t="s">
        <v>254</v>
      </c>
      <c r="AW130" t="s">
        <v>180</v>
      </c>
      <c r="AX130" t="s">
        <v>1703</v>
      </c>
      <c r="AY130" t="s">
        <v>192</v>
      </c>
      <c r="BB130" t="s">
        <v>191</v>
      </c>
      <c r="BC130" t="s">
        <v>178</v>
      </c>
      <c r="BE130" t="s">
        <v>192</v>
      </c>
      <c r="BH130">
        <v>6</v>
      </c>
      <c r="BI130">
        <v>7</v>
      </c>
      <c r="BJ130">
        <v>5</v>
      </c>
      <c r="BK130">
        <v>4</v>
      </c>
      <c r="BL130">
        <v>1</v>
      </c>
      <c r="BM130">
        <v>2</v>
      </c>
      <c r="BN130">
        <v>3</v>
      </c>
      <c r="BP130" t="s">
        <v>193</v>
      </c>
    </row>
    <row r="131" spans="1:68">
      <c r="A131" s="4">
        <v>241002216802</v>
      </c>
      <c r="B131" s="4" t="s">
        <v>1704</v>
      </c>
      <c r="C131" s="1" t="s">
        <v>36</v>
      </c>
      <c r="D131" s="5" t="str">
        <f t="shared" ref="D131:D162" si="12">IF(C131="","0","1")</f>
        <v>1</v>
      </c>
      <c r="E131" s="5" t="str">
        <f>IFERROR(IF(VLOOKUP(A131,Base!AA:AA,1,0)&gt;0,"1","0"),"0")</f>
        <v>1</v>
      </c>
      <c r="F131" s="5" t="str">
        <f t="shared" ref="F131:F162" si="13">IF(OR(C131="",E131="0"),"-",IF(BC131="","-",IF(OR(BC131="Muito satisfeito",BC131="Satisfeito"),"1","0")))</f>
        <v>1</v>
      </c>
      <c r="G131" s="5" t="str">
        <f t="shared" ref="G131:G162" si="14">IF(BC131="","0","1")</f>
        <v>1</v>
      </c>
      <c r="H131" t="s">
        <v>1705</v>
      </c>
      <c r="I131" t="s">
        <v>1706</v>
      </c>
      <c r="K131" t="s">
        <v>1704</v>
      </c>
      <c r="L131" t="s">
        <v>1707</v>
      </c>
      <c r="M131" t="s">
        <v>1708</v>
      </c>
      <c r="N131" t="s">
        <v>1709</v>
      </c>
      <c r="O131" t="s">
        <v>215</v>
      </c>
      <c r="P131" t="s">
        <v>178</v>
      </c>
      <c r="Q131" t="s">
        <v>179</v>
      </c>
      <c r="R131" t="s">
        <v>180</v>
      </c>
      <c r="S131" t="s">
        <v>202</v>
      </c>
      <c r="T131" t="s">
        <v>1710</v>
      </c>
      <c r="U131" t="s">
        <v>1711</v>
      </c>
      <c r="V131" t="s">
        <v>623</v>
      </c>
      <c r="W131" t="s">
        <v>179</v>
      </c>
      <c r="X131" t="s">
        <v>938</v>
      </c>
      <c r="Y131" t="s">
        <v>1712</v>
      </c>
      <c r="Z131" t="s">
        <v>186</v>
      </c>
      <c r="AA131">
        <v>5</v>
      </c>
      <c r="AB131" t="s">
        <v>1713</v>
      </c>
      <c r="AC131" t="s">
        <v>186</v>
      </c>
      <c r="AD131">
        <v>5</v>
      </c>
      <c r="AE131" t="s">
        <v>1714</v>
      </c>
      <c r="AF131" t="s">
        <v>205</v>
      </c>
      <c r="AI131" t="s">
        <v>1715</v>
      </c>
      <c r="AJ131" t="e">
        <v>#NAME?</v>
      </c>
      <c r="AK131" t="s">
        <v>189</v>
      </c>
      <c r="AL131" t="s">
        <v>189</v>
      </c>
      <c r="AM131" t="s">
        <v>189</v>
      </c>
      <c r="AO131" t="s">
        <v>364</v>
      </c>
      <c r="AP131" t="s">
        <v>179</v>
      </c>
      <c r="AQ131" t="s">
        <v>180</v>
      </c>
      <c r="AR131" t="s">
        <v>180</v>
      </c>
      <c r="AS131" t="s">
        <v>180</v>
      </c>
      <c r="AT131" t="s">
        <v>180</v>
      </c>
      <c r="AU131" t="s">
        <v>180</v>
      </c>
      <c r="AV131" t="s">
        <v>180</v>
      </c>
      <c r="AW131" t="s">
        <v>180</v>
      </c>
      <c r="AY131" t="s">
        <v>191</v>
      </c>
      <c r="AZ131" t="s">
        <v>179</v>
      </c>
      <c r="BA131" t="s">
        <v>1716</v>
      </c>
      <c r="BB131" t="s">
        <v>191</v>
      </c>
      <c r="BC131" t="s">
        <v>179</v>
      </c>
      <c r="BE131" t="s">
        <v>191</v>
      </c>
      <c r="BF131" t="s">
        <v>178</v>
      </c>
      <c r="BH131">
        <v>7</v>
      </c>
      <c r="BI131">
        <v>6</v>
      </c>
      <c r="BJ131">
        <v>4</v>
      </c>
      <c r="BK131">
        <v>5</v>
      </c>
      <c r="BL131">
        <v>2</v>
      </c>
      <c r="BM131">
        <v>1</v>
      </c>
      <c r="BN131">
        <v>3</v>
      </c>
      <c r="BP131" t="s">
        <v>193</v>
      </c>
    </row>
    <row r="132" spans="1:68">
      <c r="A132" s="4">
        <v>187533500102</v>
      </c>
      <c r="B132" s="4" t="s">
        <v>1717</v>
      </c>
      <c r="C132" s="1" t="s">
        <v>36</v>
      </c>
      <c r="D132" s="5" t="str">
        <f t="shared" si="12"/>
        <v>1</v>
      </c>
      <c r="E132" s="5" t="str">
        <f>IFERROR(IF(VLOOKUP(A132,Base!AA:AA,1,0)&gt;0,"1","0"),"0")</f>
        <v>1</v>
      </c>
      <c r="F132" s="5" t="str">
        <f t="shared" si="13"/>
        <v>-</v>
      </c>
      <c r="G132" s="5" t="str">
        <f t="shared" si="14"/>
        <v>0</v>
      </c>
      <c r="H132" t="s">
        <v>1718</v>
      </c>
      <c r="I132" t="s">
        <v>1719</v>
      </c>
      <c r="K132" t="s">
        <v>1720</v>
      </c>
      <c r="L132" t="s">
        <v>1721</v>
      </c>
      <c r="M132" t="s">
        <v>1722</v>
      </c>
      <c r="N132" t="s">
        <v>1723</v>
      </c>
      <c r="O132" t="s">
        <v>177</v>
      </c>
      <c r="P132" t="s">
        <v>179</v>
      </c>
      <c r="Q132" t="s">
        <v>179</v>
      </c>
      <c r="R132" t="s">
        <v>254</v>
      </c>
      <c r="S132" t="s">
        <v>202</v>
      </c>
      <c r="T132" t="s">
        <v>216</v>
      </c>
      <c r="V132" t="s">
        <v>311</v>
      </c>
      <c r="W132" t="s">
        <v>179</v>
      </c>
      <c r="X132" t="s">
        <v>185</v>
      </c>
      <c r="Z132" t="s">
        <v>205</v>
      </c>
      <c r="AC132" t="s">
        <v>205</v>
      </c>
      <c r="AF132" t="s">
        <v>205</v>
      </c>
      <c r="AI132" t="s">
        <v>363</v>
      </c>
      <c r="AK132" t="s">
        <v>220</v>
      </c>
      <c r="AL132" t="s">
        <v>220</v>
      </c>
      <c r="AM132" t="s">
        <v>220</v>
      </c>
      <c r="AO132" t="s">
        <v>472</v>
      </c>
      <c r="AP132" t="s">
        <v>55</v>
      </c>
      <c r="AQ132" t="s">
        <v>375</v>
      </c>
      <c r="AR132" t="s">
        <v>375</v>
      </c>
      <c r="AS132" t="s">
        <v>375</v>
      </c>
      <c r="AT132" t="s">
        <v>375</v>
      </c>
      <c r="AU132" t="s">
        <v>354</v>
      </c>
      <c r="AV132" t="s">
        <v>355</v>
      </c>
      <c r="AW132" t="s">
        <v>355</v>
      </c>
      <c r="AX132" t="s">
        <v>1724</v>
      </c>
      <c r="AY132" t="s">
        <v>192</v>
      </c>
      <c r="BB132" t="s">
        <v>192</v>
      </c>
      <c r="BE132" t="s">
        <v>191</v>
      </c>
      <c r="BF132" t="s">
        <v>54</v>
      </c>
      <c r="BG132" t="s">
        <v>1725</v>
      </c>
      <c r="BH132">
        <v>5</v>
      </c>
      <c r="BI132">
        <v>7</v>
      </c>
      <c r="BJ132">
        <v>6</v>
      </c>
      <c r="BK132">
        <v>2</v>
      </c>
      <c r="BL132">
        <v>1</v>
      </c>
      <c r="BM132">
        <v>4</v>
      </c>
      <c r="BN132">
        <v>3</v>
      </c>
      <c r="BP132" t="s">
        <v>193</v>
      </c>
    </row>
    <row r="133" spans="1:68">
      <c r="A133" s="4">
        <v>449549597602</v>
      </c>
      <c r="B133" s="4" t="s">
        <v>1726</v>
      </c>
      <c r="C133" s="1" t="s">
        <v>39</v>
      </c>
      <c r="D133" s="5" t="str">
        <f t="shared" si="12"/>
        <v>1</v>
      </c>
      <c r="E133" s="5" t="str">
        <f>IFERROR(IF(VLOOKUP(A133,Base!AA:AA,1,0)&gt;0,"1","0"),"0")</f>
        <v>1</v>
      </c>
      <c r="F133" s="5" t="str">
        <f t="shared" si="13"/>
        <v>-</v>
      </c>
      <c r="G133" s="5" t="str">
        <f t="shared" si="14"/>
        <v>0</v>
      </c>
      <c r="H133" t="s">
        <v>1727</v>
      </c>
      <c r="I133" t="s">
        <v>1728</v>
      </c>
      <c r="K133" t="s">
        <v>1729</v>
      </c>
      <c r="L133" t="s">
        <v>1730</v>
      </c>
      <c r="M133" t="s">
        <v>1731</v>
      </c>
      <c r="N133" t="s">
        <v>1732</v>
      </c>
      <c r="O133" t="s">
        <v>215</v>
      </c>
      <c r="P133" t="s">
        <v>178</v>
      </c>
      <c r="Q133" t="s">
        <v>178</v>
      </c>
      <c r="R133" t="s">
        <v>180</v>
      </c>
      <c r="S133" t="s">
        <v>405</v>
      </c>
      <c r="T133" t="s">
        <v>926</v>
      </c>
      <c r="U133" t="s">
        <v>324</v>
      </c>
      <c r="V133" t="s">
        <v>243</v>
      </c>
      <c r="W133" t="s">
        <v>179</v>
      </c>
      <c r="X133" t="s">
        <v>267</v>
      </c>
      <c r="Y133" t="s">
        <v>1733</v>
      </c>
      <c r="Z133" t="s">
        <v>186</v>
      </c>
      <c r="AA133">
        <v>3</v>
      </c>
      <c r="AB133" t="s">
        <v>1734</v>
      </c>
      <c r="AC133" t="s">
        <v>186</v>
      </c>
      <c r="AD133">
        <v>4</v>
      </c>
      <c r="AF133" t="s">
        <v>205</v>
      </c>
      <c r="AI133" t="s">
        <v>1735</v>
      </c>
      <c r="AJ133" t="s">
        <v>1736</v>
      </c>
      <c r="AK133" t="s">
        <v>188</v>
      </c>
      <c r="AL133" t="s">
        <v>188</v>
      </c>
      <c r="AM133" t="s">
        <v>189</v>
      </c>
      <c r="AN133" t="s">
        <v>1737</v>
      </c>
      <c r="AO133" t="s">
        <v>937</v>
      </c>
      <c r="AP133" t="s">
        <v>179</v>
      </c>
      <c r="AQ133" t="s">
        <v>180</v>
      </c>
      <c r="AR133" t="s">
        <v>180</v>
      </c>
      <c r="AS133" t="s">
        <v>180</v>
      </c>
      <c r="AT133" t="s">
        <v>180</v>
      </c>
      <c r="AU133" t="s">
        <v>180</v>
      </c>
      <c r="AV133" t="s">
        <v>254</v>
      </c>
      <c r="AW133" t="s">
        <v>180</v>
      </c>
      <c r="AY133" t="s">
        <v>191</v>
      </c>
      <c r="AZ133" t="s">
        <v>178</v>
      </c>
      <c r="BA133" t="s">
        <v>1738</v>
      </c>
      <c r="BB133" t="s">
        <v>192</v>
      </c>
      <c r="BE133" t="s">
        <v>192</v>
      </c>
      <c r="BH133">
        <v>7</v>
      </c>
      <c r="BI133">
        <v>3</v>
      </c>
      <c r="BJ133">
        <v>6</v>
      </c>
      <c r="BK133">
        <v>4</v>
      </c>
      <c r="BL133">
        <v>1</v>
      </c>
      <c r="BM133">
        <v>2</v>
      </c>
      <c r="BN133">
        <v>5</v>
      </c>
      <c r="BO133" t="s">
        <v>1739</v>
      </c>
      <c r="BP133" t="s">
        <v>193</v>
      </c>
    </row>
    <row r="134" spans="1:68">
      <c r="A134" s="4">
        <v>28882816002</v>
      </c>
      <c r="B134" s="4" t="s">
        <v>1740</v>
      </c>
      <c r="C134" s="1" t="s">
        <v>245</v>
      </c>
      <c r="D134" s="5" t="str">
        <f t="shared" si="12"/>
        <v>0</v>
      </c>
      <c r="E134" s="5" t="str">
        <f>IFERROR(IF(VLOOKUP(A134,Base!AA:AA,1,0)&gt;0,"1","0"),"0")</f>
        <v>0</v>
      </c>
      <c r="F134" s="5" t="str">
        <f t="shared" si="13"/>
        <v>-</v>
      </c>
      <c r="G134" s="5" t="str">
        <f t="shared" si="14"/>
        <v>0</v>
      </c>
      <c r="H134" t="s">
        <v>1741</v>
      </c>
      <c r="I134" t="s">
        <v>1742</v>
      </c>
      <c r="K134" t="s">
        <v>1743</v>
      </c>
      <c r="L134" t="s">
        <v>1744</v>
      </c>
      <c r="M134" t="s">
        <v>1745</v>
      </c>
      <c r="N134" t="s">
        <v>1746</v>
      </c>
      <c r="O134" t="s">
        <v>177</v>
      </c>
      <c r="P134" t="s">
        <v>55</v>
      </c>
      <c r="Q134" t="s">
        <v>178</v>
      </c>
      <c r="R134" t="s">
        <v>354</v>
      </c>
      <c r="S134" t="s">
        <v>202</v>
      </c>
      <c r="T134" t="s">
        <v>1747</v>
      </c>
      <c r="U134" t="s">
        <v>1748</v>
      </c>
      <c r="V134" t="s">
        <v>1749</v>
      </c>
      <c r="W134" t="s">
        <v>179</v>
      </c>
      <c r="X134" t="s">
        <v>764</v>
      </c>
      <c r="Y134" t="s">
        <v>1750</v>
      </c>
      <c r="Z134" t="s">
        <v>186</v>
      </c>
      <c r="AA134">
        <v>5</v>
      </c>
      <c r="AC134" t="s">
        <v>186</v>
      </c>
      <c r="AD134">
        <v>5</v>
      </c>
      <c r="AF134" t="s">
        <v>205</v>
      </c>
      <c r="AI134" t="s">
        <v>1751</v>
      </c>
      <c r="AK134" t="s">
        <v>189</v>
      </c>
      <c r="AL134" t="s">
        <v>189</v>
      </c>
      <c r="AM134" t="s">
        <v>189</v>
      </c>
      <c r="AN134" t="s">
        <v>1752</v>
      </c>
      <c r="AO134" t="s">
        <v>937</v>
      </c>
      <c r="AP134" t="s">
        <v>179</v>
      </c>
      <c r="AQ134" t="s">
        <v>180</v>
      </c>
      <c r="AR134" t="s">
        <v>180</v>
      </c>
      <c r="AS134" t="s">
        <v>180</v>
      </c>
      <c r="AT134" t="s">
        <v>180</v>
      </c>
      <c r="AU134" t="s">
        <v>180</v>
      </c>
      <c r="AV134" t="s">
        <v>180</v>
      </c>
      <c r="AW134" t="s">
        <v>180</v>
      </c>
      <c r="AX134" t="s">
        <v>1752</v>
      </c>
      <c r="AY134" t="s">
        <v>192</v>
      </c>
      <c r="BB134" t="s">
        <v>192</v>
      </c>
      <c r="BE134" t="s">
        <v>192</v>
      </c>
      <c r="BH134">
        <v>4</v>
      </c>
      <c r="BI134">
        <v>6</v>
      </c>
      <c r="BJ134">
        <v>7</v>
      </c>
      <c r="BK134">
        <v>3</v>
      </c>
      <c r="BL134">
        <v>1</v>
      </c>
      <c r="BM134">
        <v>2</v>
      </c>
      <c r="BN134">
        <v>5</v>
      </c>
      <c r="BO134" t="s">
        <v>1753</v>
      </c>
      <c r="BP134" t="s">
        <v>193</v>
      </c>
    </row>
    <row r="135" spans="1:68">
      <c r="A135" s="4">
        <v>182760498402</v>
      </c>
      <c r="B135" s="4" t="s">
        <v>1754</v>
      </c>
      <c r="C135" s="1" t="s">
        <v>245</v>
      </c>
      <c r="D135" s="5" t="str">
        <f t="shared" si="12"/>
        <v>0</v>
      </c>
      <c r="E135" s="5" t="str">
        <f>IFERROR(IF(VLOOKUP(A135,Base!AA:AA,1,0)&gt;0,"1","0"),"0")</f>
        <v>0</v>
      </c>
      <c r="F135" s="5" t="str">
        <f t="shared" si="13"/>
        <v>-</v>
      </c>
      <c r="G135" s="5" t="str">
        <f t="shared" si="14"/>
        <v>1</v>
      </c>
      <c r="H135" t="s">
        <v>1755</v>
      </c>
      <c r="I135" t="s">
        <v>1756</v>
      </c>
      <c r="K135" t="s">
        <v>1757</v>
      </c>
      <c r="L135" t="s">
        <v>1758</v>
      </c>
      <c r="M135" t="s">
        <v>1759</v>
      </c>
      <c r="N135" t="s">
        <v>1760</v>
      </c>
      <c r="O135" t="s">
        <v>215</v>
      </c>
      <c r="P135" t="s">
        <v>179</v>
      </c>
      <c r="Q135" t="s">
        <v>179</v>
      </c>
      <c r="R135" t="s">
        <v>254</v>
      </c>
      <c r="S135" t="s">
        <v>181</v>
      </c>
      <c r="T135" t="s">
        <v>216</v>
      </c>
      <c r="U135" t="s">
        <v>1761</v>
      </c>
      <c r="V135" t="s">
        <v>1439</v>
      </c>
      <c r="W135" t="s">
        <v>179</v>
      </c>
      <c r="X135" t="s">
        <v>972</v>
      </c>
      <c r="Z135" t="s">
        <v>205</v>
      </c>
      <c r="AC135" t="s">
        <v>205</v>
      </c>
      <c r="AF135" t="s">
        <v>205</v>
      </c>
      <c r="AI135" t="s">
        <v>1762</v>
      </c>
      <c r="AK135" t="s">
        <v>189</v>
      </c>
      <c r="AL135" t="s">
        <v>188</v>
      </c>
      <c r="AM135" t="s">
        <v>188</v>
      </c>
      <c r="AO135" t="s">
        <v>207</v>
      </c>
      <c r="AP135" t="s">
        <v>179</v>
      </c>
      <c r="AQ135" t="s">
        <v>180</v>
      </c>
      <c r="AR135" t="s">
        <v>180</v>
      </c>
      <c r="AS135" t="s">
        <v>180</v>
      </c>
      <c r="AT135" t="s">
        <v>180</v>
      </c>
      <c r="AU135" t="s">
        <v>180</v>
      </c>
      <c r="AV135" t="s">
        <v>180</v>
      </c>
      <c r="AW135" t="s">
        <v>180</v>
      </c>
      <c r="AY135" t="s">
        <v>191</v>
      </c>
      <c r="AZ135" t="s">
        <v>179</v>
      </c>
      <c r="BB135" t="s">
        <v>191</v>
      </c>
      <c r="BC135" t="s">
        <v>178</v>
      </c>
      <c r="BD135" t="s">
        <v>1763</v>
      </c>
      <c r="BE135" t="s">
        <v>192</v>
      </c>
      <c r="BH135">
        <v>6</v>
      </c>
      <c r="BI135">
        <v>5</v>
      </c>
      <c r="BJ135">
        <v>7</v>
      </c>
      <c r="BK135">
        <v>2</v>
      </c>
      <c r="BL135">
        <v>1</v>
      </c>
      <c r="BM135">
        <v>4</v>
      </c>
      <c r="BN135">
        <v>3</v>
      </c>
      <c r="BP135" t="s">
        <v>193</v>
      </c>
    </row>
    <row r="136" spans="1:68">
      <c r="A136" s="4">
        <v>103928980802</v>
      </c>
      <c r="B136" s="4" t="s">
        <v>1764</v>
      </c>
      <c r="C136" s="1" t="s">
        <v>39</v>
      </c>
      <c r="D136" s="5" t="str">
        <f t="shared" si="12"/>
        <v>1</v>
      </c>
      <c r="E136" s="5" t="str">
        <f>IFERROR(IF(VLOOKUP(A136,Base!AA:AA,1,0)&gt;0,"1","0"),"0")</f>
        <v>1</v>
      </c>
      <c r="F136" s="5" t="str">
        <f t="shared" si="13"/>
        <v>1</v>
      </c>
      <c r="G136" s="5" t="str">
        <f t="shared" si="14"/>
        <v>1</v>
      </c>
      <c r="H136" t="s">
        <v>1765</v>
      </c>
      <c r="I136" t="s">
        <v>1766</v>
      </c>
      <c r="K136" t="s">
        <v>1767</v>
      </c>
      <c r="L136">
        <v>103928980802</v>
      </c>
      <c r="M136" t="s">
        <v>1768</v>
      </c>
      <c r="N136" t="s">
        <v>1769</v>
      </c>
      <c r="O136" t="s">
        <v>215</v>
      </c>
      <c r="P136" t="s">
        <v>179</v>
      </c>
      <c r="Q136" t="s">
        <v>179</v>
      </c>
      <c r="R136" t="s">
        <v>180</v>
      </c>
      <c r="S136" t="s">
        <v>202</v>
      </c>
      <c r="T136" t="s">
        <v>1770</v>
      </c>
      <c r="U136" t="s">
        <v>1771</v>
      </c>
      <c r="V136" t="s">
        <v>1772</v>
      </c>
      <c r="W136" t="s">
        <v>179</v>
      </c>
      <c r="X136" t="s">
        <v>972</v>
      </c>
      <c r="Y136" t="s">
        <v>1773</v>
      </c>
      <c r="Z136" t="s">
        <v>186</v>
      </c>
      <c r="AA136">
        <v>4</v>
      </c>
      <c r="AC136" t="s">
        <v>186</v>
      </c>
      <c r="AD136">
        <v>4</v>
      </c>
      <c r="AF136" t="s">
        <v>205</v>
      </c>
      <c r="AI136" t="s">
        <v>1774</v>
      </c>
      <c r="AJ136" t="s">
        <v>1775</v>
      </c>
      <c r="AK136" t="s">
        <v>189</v>
      </c>
      <c r="AL136" t="s">
        <v>252</v>
      </c>
      <c r="AM136" t="s">
        <v>188</v>
      </c>
      <c r="AN136" t="s">
        <v>1776</v>
      </c>
      <c r="AO136" t="s">
        <v>1777</v>
      </c>
      <c r="AP136" t="s">
        <v>178</v>
      </c>
      <c r="AQ136" t="s">
        <v>254</v>
      </c>
      <c r="AR136" t="s">
        <v>254</v>
      </c>
      <c r="AS136" t="s">
        <v>180</v>
      </c>
      <c r="AT136" t="s">
        <v>355</v>
      </c>
      <c r="AU136" t="s">
        <v>180</v>
      </c>
      <c r="AV136" t="s">
        <v>254</v>
      </c>
      <c r="AW136" t="s">
        <v>180</v>
      </c>
      <c r="AY136" t="s">
        <v>191</v>
      </c>
      <c r="AZ136" t="s">
        <v>178</v>
      </c>
      <c r="BB136" t="s">
        <v>191</v>
      </c>
      <c r="BC136" t="s">
        <v>178</v>
      </c>
      <c r="BE136" t="s">
        <v>191</v>
      </c>
      <c r="BF136" t="s">
        <v>55</v>
      </c>
      <c r="BG136" t="s">
        <v>1778</v>
      </c>
      <c r="BH136">
        <v>6</v>
      </c>
      <c r="BI136">
        <v>4</v>
      </c>
      <c r="BJ136">
        <v>5</v>
      </c>
      <c r="BK136">
        <v>1</v>
      </c>
      <c r="BL136">
        <v>3</v>
      </c>
      <c r="BM136">
        <v>7</v>
      </c>
      <c r="BN136">
        <v>2</v>
      </c>
      <c r="BP136" t="s">
        <v>193</v>
      </c>
    </row>
    <row r="137" spans="1:68">
      <c r="A137" s="4">
        <v>100982699102</v>
      </c>
      <c r="B137" s="4" t="s">
        <v>1779</v>
      </c>
      <c r="C137" s="1" t="s">
        <v>245</v>
      </c>
      <c r="D137" s="5" t="str">
        <f t="shared" si="12"/>
        <v>0</v>
      </c>
      <c r="E137" s="5" t="str">
        <f>IFERROR(IF(VLOOKUP(A137,Base!AA:AA,1,0)&gt;0,"1","0"),"0")</f>
        <v>0</v>
      </c>
      <c r="F137" s="5" t="str">
        <f t="shared" si="13"/>
        <v>-</v>
      </c>
      <c r="G137" s="5" t="str">
        <f t="shared" si="14"/>
        <v>0</v>
      </c>
      <c r="H137" t="s">
        <v>1780</v>
      </c>
      <c r="I137" t="s">
        <v>1781</v>
      </c>
      <c r="K137" t="s">
        <v>1782</v>
      </c>
      <c r="L137" t="s">
        <v>1783</v>
      </c>
      <c r="M137" t="s">
        <v>1784</v>
      </c>
      <c r="N137" t="s">
        <v>1785</v>
      </c>
      <c r="O137" t="s">
        <v>177</v>
      </c>
      <c r="P137" t="s">
        <v>178</v>
      </c>
      <c r="Q137" t="s">
        <v>54</v>
      </c>
      <c r="R137" t="s">
        <v>355</v>
      </c>
      <c r="S137" t="s">
        <v>202</v>
      </c>
      <c r="T137" t="s">
        <v>240</v>
      </c>
      <c r="V137" t="s">
        <v>1786</v>
      </c>
      <c r="W137" t="s">
        <v>184</v>
      </c>
      <c r="X137" t="s">
        <v>185</v>
      </c>
      <c r="Z137" t="s">
        <v>205</v>
      </c>
      <c r="AC137" t="s">
        <v>205</v>
      </c>
      <c r="AF137" t="s">
        <v>205</v>
      </c>
      <c r="AI137" t="s">
        <v>1787</v>
      </c>
      <c r="AK137" t="s">
        <v>189</v>
      </c>
      <c r="AL137" t="s">
        <v>188</v>
      </c>
      <c r="AM137" t="s">
        <v>188</v>
      </c>
      <c r="AO137" t="s">
        <v>493</v>
      </c>
      <c r="AP137" t="s">
        <v>179</v>
      </c>
      <c r="AQ137" t="s">
        <v>180</v>
      </c>
      <c r="AR137" t="s">
        <v>180</v>
      </c>
      <c r="AS137" t="s">
        <v>180</v>
      </c>
      <c r="AT137" t="s">
        <v>180</v>
      </c>
      <c r="AU137" t="s">
        <v>180</v>
      </c>
      <c r="AV137" t="s">
        <v>180</v>
      </c>
      <c r="AW137" t="s">
        <v>180</v>
      </c>
      <c r="AY137" t="s">
        <v>192</v>
      </c>
      <c r="BB137" t="s">
        <v>192</v>
      </c>
      <c r="BE137" t="s">
        <v>191</v>
      </c>
      <c r="BF137" t="s">
        <v>178</v>
      </c>
      <c r="BH137">
        <v>1</v>
      </c>
      <c r="BI137">
        <v>4</v>
      </c>
      <c r="BJ137">
        <v>5</v>
      </c>
      <c r="BK137">
        <v>3</v>
      </c>
      <c r="BL137">
        <v>2</v>
      </c>
      <c r="BM137">
        <v>6</v>
      </c>
      <c r="BN137">
        <v>7</v>
      </c>
      <c r="BP137" t="s">
        <v>193</v>
      </c>
    </row>
    <row r="138" spans="1:68">
      <c r="A138" s="4">
        <v>27309334902</v>
      </c>
      <c r="B138" s="4" t="s">
        <v>1788</v>
      </c>
      <c r="C138" s="1" t="s">
        <v>245</v>
      </c>
      <c r="D138" s="5" t="str">
        <f t="shared" si="12"/>
        <v>0</v>
      </c>
      <c r="E138" s="5" t="str">
        <f>IFERROR(IF(VLOOKUP(A138,Base!AA:AA,1,0)&gt;0,"1","0"),"0")</f>
        <v>0</v>
      </c>
      <c r="F138" s="5" t="str">
        <f t="shared" si="13"/>
        <v>-</v>
      </c>
      <c r="G138" s="5" t="str">
        <f t="shared" si="14"/>
        <v>0</v>
      </c>
      <c r="H138" t="s">
        <v>1789</v>
      </c>
      <c r="I138" t="s">
        <v>1790</v>
      </c>
      <c r="K138" t="s">
        <v>1788</v>
      </c>
      <c r="L138" t="s">
        <v>1791</v>
      </c>
      <c r="M138" t="s">
        <v>1792</v>
      </c>
      <c r="N138" t="s">
        <v>1793</v>
      </c>
      <c r="O138" t="s">
        <v>215</v>
      </c>
      <c r="P138" t="s">
        <v>178</v>
      </c>
      <c r="Q138" t="s">
        <v>178</v>
      </c>
      <c r="R138" t="s">
        <v>180</v>
      </c>
      <c r="S138" t="s">
        <v>202</v>
      </c>
      <c r="T138" t="s">
        <v>203</v>
      </c>
      <c r="U138" t="s">
        <v>1794</v>
      </c>
      <c r="V138" t="s">
        <v>1786</v>
      </c>
      <c r="W138" t="s">
        <v>184</v>
      </c>
      <c r="X138" t="s">
        <v>1795</v>
      </c>
      <c r="Y138" t="s">
        <v>1796</v>
      </c>
      <c r="Z138" t="s">
        <v>205</v>
      </c>
      <c r="AC138" t="s">
        <v>205</v>
      </c>
      <c r="AF138" t="s">
        <v>205</v>
      </c>
      <c r="AI138" t="s">
        <v>1797</v>
      </c>
      <c r="AK138" t="s">
        <v>189</v>
      </c>
      <c r="AL138" t="s">
        <v>189</v>
      </c>
      <c r="AM138" t="s">
        <v>189</v>
      </c>
      <c r="AN138" t="s">
        <v>1798</v>
      </c>
      <c r="AO138" t="s">
        <v>204</v>
      </c>
      <c r="AP138" t="s">
        <v>178</v>
      </c>
      <c r="AQ138" t="s">
        <v>254</v>
      </c>
      <c r="AR138" t="s">
        <v>254</v>
      </c>
      <c r="AS138" t="s">
        <v>254</v>
      </c>
      <c r="AT138" t="s">
        <v>355</v>
      </c>
      <c r="AU138" t="s">
        <v>375</v>
      </c>
      <c r="AV138" t="s">
        <v>180</v>
      </c>
      <c r="AW138" t="s">
        <v>254</v>
      </c>
      <c r="AX138" t="s">
        <v>1799</v>
      </c>
      <c r="AY138" t="s">
        <v>192</v>
      </c>
      <c r="BB138" t="s">
        <v>192</v>
      </c>
      <c r="BE138" t="s">
        <v>191</v>
      </c>
      <c r="BF138" t="s">
        <v>56</v>
      </c>
      <c r="BG138" t="s">
        <v>1800</v>
      </c>
      <c r="BH138">
        <v>6</v>
      </c>
      <c r="BI138">
        <v>2</v>
      </c>
      <c r="BJ138">
        <v>7</v>
      </c>
      <c r="BK138">
        <v>5</v>
      </c>
      <c r="BL138">
        <v>1</v>
      </c>
      <c r="BM138">
        <v>3</v>
      </c>
      <c r="BN138">
        <v>4</v>
      </c>
      <c r="BO138" t="s">
        <v>1801</v>
      </c>
      <c r="BP138" t="s">
        <v>193</v>
      </c>
    </row>
    <row r="139" spans="1:68">
      <c r="A139" s="4">
        <v>302404890002</v>
      </c>
      <c r="B139" s="4" t="s">
        <v>1802</v>
      </c>
      <c r="C139" s="1" t="s">
        <v>245</v>
      </c>
      <c r="D139" s="5" t="str">
        <f t="shared" si="12"/>
        <v>0</v>
      </c>
      <c r="E139" s="5" t="str">
        <f>IFERROR(IF(VLOOKUP(A139,Base!AA:AA,1,0)&gt;0,"1","0"),"0")</f>
        <v>0</v>
      </c>
      <c r="F139" s="5" t="str">
        <f t="shared" si="13"/>
        <v>-</v>
      </c>
      <c r="G139" s="5" t="str">
        <f t="shared" si="14"/>
        <v>0</v>
      </c>
      <c r="H139" t="s">
        <v>1803</v>
      </c>
      <c r="I139" t="s">
        <v>1804</v>
      </c>
      <c r="K139" t="s">
        <v>1805</v>
      </c>
      <c r="L139" t="s">
        <v>1806</v>
      </c>
      <c r="M139" t="s">
        <v>1807</v>
      </c>
      <c r="N139" t="s">
        <v>1808</v>
      </c>
      <c r="O139" t="s">
        <v>201</v>
      </c>
      <c r="P139" t="s">
        <v>178</v>
      </c>
      <c r="Q139" t="s">
        <v>54</v>
      </c>
      <c r="R139" t="s">
        <v>180</v>
      </c>
      <c r="S139" t="s">
        <v>202</v>
      </c>
      <c r="T139" t="s">
        <v>1809</v>
      </c>
      <c r="V139" t="s">
        <v>523</v>
      </c>
      <c r="W139" t="s">
        <v>55</v>
      </c>
      <c r="X139" t="s">
        <v>1810</v>
      </c>
      <c r="Z139" t="s">
        <v>186</v>
      </c>
      <c r="AA139">
        <v>4</v>
      </c>
      <c r="AC139" t="s">
        <v>186</v>
      </c>
      <c r="AD139">
        <v>4</v>
      </c>
      <c r="AF139" t="s">
        <v>186</v>
      </c>
      <c r="AG139">
        <v>2</v>
      </c>
      <c r="AI139" t="s">
        <v>296</v>
      </c>
      <c r="AK139" t="s">
        <v>188</v>
      </c>
      <c r="AL139" t="s">
        <v>252</v>
      </c>
      <c r="AM139" t="s">
        <v>188</v>
      </c>
      <c r="AO139" t="s">
        <v>1811</v>
      </c>
      <c r="AP139" t="s">
        <v>178</v>
      </c>
      <c r="AQ139" t="s">
        <v>180</v>
      </c>
      <c r="AR139" t="s">
        <v>180</v>
      </c>
      <c r="AS139" t="s">
        <v>180</v>
      </c>
      <c r="AT139" t="s">
        <v>180</v>
      </c>
      <c r="AU139" t="s">
        <v>180</v>
      </c>
      <c r="AV139" t="s">
        <v>180</v>
      </c>
      <c r="AW139" t="s">
        <v>180</v>
      </c>
      <c r="AY139" t="s">
        <v>191</v>
      </c>
      <c r="AZ139" t="s">
        <v>178</v>
      </c>
      <c r="BB139" t="s">
        <v>192</v>
      </c>
      <c r="BE139" t="s">
        <v>191</v>
      </c>
      <c r="BF139" t="s">
        <v>55</v>
      </c>
      <c r="BH139">
        <v>3</v>
      </c>
      <c r="BI139">
        <v>7</v>
      </c>
      <c r="BJ139">
        <v>6</v>
      </c>
      <c r="BK139">
        <v>4</v>
      </c>
      <c r="BL139">
        <v>1</v>
      </c>
      <c r="BM139">
        <v>2</v>
      </c>
      <c r="BN139">
        <v>5</v>
      </c>
      <c r="BP139" t="s">
        <v>193</v>
      </c>
    </row>
    <row r="140" spans="1:68">
      <c r="A140" s="4">
        <v>474741185002</v>
      </c>
      <c r="B140" s="4" t="s">
        <v>1812</v>
      </c>
      <c r="C140" s="1" t="s">
        <v>39</v>
      </c>
      <c r="D140" s="5" t="str">
        <f t="shared" si="12"/>
        <v>1</v>
      </c>
      <c r="E140" s="5" t="str">
        <f>IFERROR(IF(VLOOKUP(A140,Base!AA:AA,1,0)&gt;0,"1","0"),"0")</f>
        <v>1</v>
      </c>
      <c r="F140" s="5" t="str">
        <f t="shared" si="13"/>
        <v>1</v>
      </c>
      <c r="G140" s="5" t="str">
        <f t="shared" si="14"/>
        <v>1</v>
      </c>
      <c r="H140" t="s">
        <v>1813</v>
      </c>
      <c r="I140" t="s">
        <v>1814</v>
      </c>
      <c r="K140" t="s">
        <v>1815</v>
      </c>
      <c r="L140" t="s">
        <v>1816</v>
      </c>
      <c r="M140" t="s">
        <v>1817</v>
      </c>
      <c r="N140" t="s">
        <v>1818</v>
      </c>
      <c r="O140" t="s">
        <v>201</v>
      </c>
      <c r="P140" t="s">
        <v>178</v>
      </c>
      <c r="Q140" t="s">
        <v>178</v>
      </c>
      <c r="R140" t="s">
        <v>180</v>
      </c>
      <c r="S140" t="s">
        <v>181</v>
      </c>
      <c r="T140" t="s">
        <v>216</v>
      </c>
      <c r="V140" t="s">
        <v>1819</v>
      </c>
      <c r="W140" t="s">
        <v>179</v>
      </c>
      <c r="X140" t="s">
        <v>185</v>
      </c>
      <c r="Y140" t="s">
        <v>1820</v>
      </c>
      <c r="Z140" t="s">
        <v>186</v>
      </c>
      <c r="AA140">
        <v>4</v>
      </c>
      <c r="AC140" t="s">
        <v>186</v>
      </c>
      <c r="AD140">
        <v>5</v>
      </c>
      <c r="AF140" t="s">
        <v>205</v>
      </c>
      <c r="AI140" t="s">
        <v>941</v>
      </c>
      <c r="AK140" t="s">
        <v>188</v>
      </c>
      <c r="AL140" t="s">
        <v>188</v>
      </c>
      <c r="AM140" t="s">
        <v>189</v>
      </c>
      <c r="AN140" t="s">
        <v>1821</v>
      </c>
      <c r="AO140" t="s">
        <v>282</v>
      </c>
      <c r="AP140" t="s">
        <v>178</v>
      </c>
      <c r="AQ140" t="s">
        <v>180</v>
      </c>
      <c r="AR140" t="s">
        <v>254</v>
      </c>
      <c r="AS140" t="s">
        <v>180</v>
      </c>
      <c r="AT140" t="s">
        <v>180</v>
      </c>
      <c r="AU140" t="s">
        <v>180</v>
      </c>
      <c r="AV140" t="s">
        <v>180</v>
      </c>
      <c r="AW140" t="s">
        <v>180</v>
      </c>
      <c r="AY140" t="s">
        <v>191</v>
      </c>
      <c r="AZ140" t="s">
        <v>178</v>
      </c>
      <c r="BA140" t="s">
        <v>1822</v>
      </c>
      <c r="BB140" t="s">
        <v>191</v>
      </c>
      <c r="BC140" t="s">
        <v>178</v>
      </c>
      <c r="BE140" t="s">
        <v>191</v>
      </c>
      <c r="BF140" t="s">
        <v>178</v>
      </c>
      <c r="BH140">
        <v>5</v>
      </c>
      <c r="BI140">
        <v>6</v>
      </c>
      <c r="BJ140">
        <v>1</v>
      </c>
      <c r="BK140">
        <v>7</v>
      </c>
      <c r="BL140">
        <v>3</v>
      </c>
      <c r="BM140">
        <v>2</v>
      </c>
      <c r="BN140">
        <v>4</v>
      </c>
      <c r="BP140" t="s">
        <v>193</v>
      </c>
    </row>
    <row r="141" spans="1:68">
      <c r="A141" s="4">
        <v>563654665702</v>
      </c>
      <c r="B141" s="4" t="s">
        <v>1823</v>
      </c>
      <c r="C141" s="1" t="s">
        <v>245</v>
      </c>
      <c r="D141" s="5" t="str">
        <f t="shared" si="12"/>
        <v>0</v>
      </c>
      <c r="E141" s="5" t="str">
        <f>IFERROR(IF(VLOOKUP(A141,Base!AA:AA,1,0)&gt;0,"1","0"),"0")</f>
        <v>0</v>
      </c>
      <c r="F141" s="5" t="str">
        <f t="shared" si="13"/>
        <v>-</v>
      </c>
      <c r="G141" s="5" t="str">
        <f t="shared" si="14"/>
        <v>1</v>
      </c>
      <c r="H141" t="s">
        <v>1824</v>
      </c>
      <c r="I141" t="s">
        <v>1825</v>
      </c>
      <c r="K141" t="s">
        <v>1823</v>
      </c>
      <c r="L141" t="s">
        <v>1826</v>
      </c>
      <c r="M141" t="s">
        <v>1827</v>
      </c>
      <c r="N141" t="s">
        <v>1828</v>
      </c>
      <c r="O141" t="s">
        <v>201</v>
      </c>
      <c r="P141" t="s">
        <v>179</v>
      </c>
      <c r="Q141" t="s">
        <v>179</v>
      </c>
      <c r="R141" t="s">
        <v>180</v>
      </c>
      <c r="S141" t="s">
        <v>181</v>
      </c>
      <c r="T141" t="s">
        <v>216</v>
      </c>
      <c r="V141" t="s">
        <v>1829</v>
      </c>
      <c r="W141" t="s">
        <v>179</v>
      </c>
      <c r="X141" t="s">
        <v>185</v>
      </c>
      <c r="Z141" t="s">
        <v>186</v>
      </c>
      <c r="AA141">
        <v>5</v>
      </c>
      <c r="AC141" t="s">
        <v>186</v>
      </c>
      <c r="AD141">
        <v>5</v>
      </c>
      <c r="AF141" t="s">
        <v>205</v>
      </c>
      <c r="AI141" t="s">
        <v>1830</v>
      </c>
      <c r="AK141" t="s">
        <v>188</v>
      </c>
      <c r="AL141" t="s">
        <v>188</v>
      </c>
      <c r="AM141" t="s">
        <v>188</v>
      </c>
      <c r="AN141" t="s">
        <v>1831</v>
      </c>
      <c r="AO141" t="s">
        <v>207</v>
      </c>
      <c r="AP141" t="s">
        <v>179</v>
      </c>
      <c r="AQ141" t="s">
        <v>180</v>
      </c>
      <c r="AR141" t="s">
        <v>180</v>
      </c>
      <c r="AS141" t="s">
        <v>180</v>
      </c>
      <c r="AT141" t="s">
        <v>180</v>
      </c>
      <c r="AU141" t="s">
        <v>180</v>
      </c>
      <c r="AV141" t="s">
        <v>180</v>
      </c>
      <c r="AW141" t="s">
        <v>180</v>
      </c>
      <c r="AY141" t="s">
        <v>192</v>
      </c>
      <c r="BB141" t="s">
        <v>191</v>
      </c>
      <c r="BC141" t="s">
        <v>54</v>
      </c>
      <c r="BE141" t="s">
        <v>191</v>
      </c>
      <c r="BF141" t="s">
        <v>54</v>
      </c>
      <c r="BG141" t="s">
        <v>1832</v>
      </c>
      <c r="BH141">
        <v>1</v>
      </c>
      <c r="BI141">
        <v>7</v>
      </c>
      <c r="BJ141">
        <v>5</v>
      </c>
      <c r="BK141">
        <v>6</v>
      </c>
      <c r="BL141">
        <v>2</v>
      </c>
      <c r="BM141">
        <v>4</v>
      </c>
      <c r="BN141">
        <v>3</v>
      </c>
      <c r="BO141" t="s">
        <v>1833</v>
      </c>
      <c r="BP141" t="s">
        <v>193</v>
      </c>
    </row>
    <row r="142" spans="1:68">
      <c r="A142" s="4">
        <v>24663245702</v>
      </c>
      <c r="B142" s="4" t="s">
        <v>1834</v>
      </c>
      <c r="C142" s="1" t="s">
        <v>245</v>
      </c>
      <c r="D142" s="5" t="str">
        <f t="shared" si="12"/>
        <v>0</v>
      </c>
      <c r="E142" s="5" t="str">
        <f>IFERROR(IF(VLOOKUP(A142,Base!AA:AA,1,0)&gt;0,"1","0"),"0")</f>
        <v>0</v>
      </c>
      <c r="F142" s="5" t="str">
        <f t="shared" si="13"/>
        <v>-</v>
      </c>
      <c r="G142" s="5" t="str">
        <f t="shared" si="14"/>
        <v>1</v>
      </c>
      <c r="H142" t="s">
        <v>1835</v>
      </c>
      <c r="I142" t="s">
        <v>1836</v>
      </c>
      <c r="K142" t="s">
        <v>1837</v>
      </c>
      <c r="L142" t="s">
        <v>1838</v>
      </c>
      <c r="M142" t="s">
        <v>1839</v>
      </c>
      <c r="N142" t="s">
        <v>1840</v>
      </c>
      <c r="O142" t="s">
        <v>177</v>
      </c>
      <c r="P142" t="s">
        <v>179</v>
      </c>
      <c r="Q142" t="s">
        <v>178</v>
      </c>
      <c r="R142" t="s">
        <v>254</v>
      </c>
      <c r="S142" t="s">
        <v>202</v>
      </c>
      <c r="T142" t="s">
        <v>1841</v>
      </c>
      <c r="U142" t="s">
        <v>1842</v>
      </c>
      <c r="V142" t="s">
        <v>1372</v>
      </c>
      <c r="W142" t="s">
        <v>594</v>
      </c>
      <c r="X142" t="s">
        <v>1843</v>
      </c>
      <c r="Z142" t="s">
        <v>186</v>
      </c>
      <c r="AA142">
        <v>5</v>
      </c>
      <c r="AC142" t="s">
        <v>186</v>
      </c>
      <c r="AD142">
        <v>5</v>
      </c>
      <c r="AF142" t="s">
        <v>186</v>
      </c>
      <c r="AG142">
        <v>5</v>
      </c>
      <c r="AI142" t="s">
        <v>1844</v>
      </c>
      <c r="AK142" t="s">
        <v>189</v>
      </c>
      <c r="AL142" t="s">
        <v>189</v>
      </c>
      <c r="AM142" t="s">
        <v>189</v>
      </c>
      <c r="AO142" t="s">
        <v>230</v>
      </c>
      <c r="AP142" t="s">
        <v>179</v>
      </c>
      <c r="AQ142" t="s">
        <v>375</v>
      </c>
      <c r="AR142" t="s">
        <v>375</v>
      </c>
      <c r="AS142" t="s">
        <v>375</v>
      </c>
      <c r="AT142" t="s">
        <v>375</v>
      </c>
      <c r="AU142" t="s">
        <v>375</v>
      </c>
      <c r="AV142" t="s">
        <v>375</v>
      </c>
      <c r="AW142" t="s">
        <v>375</v>
      </c>
      <c r="AX142" t="s">
        <v>1845</v>
      </c>
      <c r="AY142" t="s">
        <v>191</v>
      </c>
      <c r="AZ142" t="s">
        <v>179</v>
      </c>
      <c r="BB142" t="s">
        <v>191</v>
      </c>
      <c r="BC142" t="s">
        <v>54</v>
      </c>
      <c r="BD142" t="s">
        <v>1846</v>
      </c>
      <c r="BE142" t="s">
        <v>191</v>
      </c>
      <c r="BF142" t="s">
        <v>54</v>
      </c>
      <c r="BH142">
        <v>3</v>
      </c>
      <c r="BI142">
        <v>7</v>
      </c>
      <c r="BJ142">
        <v>5</v>
      </c>
      <c r="BK142">
        <v>4</v>
      </c>
      <c r="BL142">
        <v>6</v>
      </c>
      <c r="BM142">
        <v>2</v>
      </c>
      <c r="BN142">
        <v>1</v>
      </c>
      <c r="BP142" t="s">
        <v>193</v>
      </c>
    </row>
    <row r="143" spans="1:68">
      <c r="A143" s="4">
        <v>24386750602</v>
      </c>
      <c r="B143" s="4" t="s">
        <v>1847</v>
      </c>
      <c r="C143" s="1" t="s">
        <v>39</v>
      </c>
      <c r="D143" s="5" t="str">
        <f t="shared" si="12"/>
        <v>1</v>
      </c>
      <c r="E143" s="5" t="str">
        <f>IFERROR(IF(VLOOKUP(A143,Base!AA:AA,1,0)&gt;0,"1","0"),"0")</f>
        <v>1</v>
      </c>
      <c r="F143" s="5" t="str">
        <f t="shared" si="13"/>
        <v>-</v>
      </c>
      <c r="G143" s="5" t="str">
        <f t="shared" si="14"/>
        <v>0</v>
      </c>
      <c r="H143" t="s">
        <v>1848</v>
      </c>
      <c r="I143" t="s">
        <v>1849</v>
      </c>
      <c r="K143" t="s">
        <v>1847</v>
      </c>
      <c r="L143" t="s">
        <v>1850</v>
      </c>
      <c r="M143" t="s">
        <v>1851</v>
      </c>
      <c r="N143" t="s">
        <v>1852</v>
      </c>
      <c r="O143" t="s">
        <v>177</v>
      </c>
      <c r="P143" t="s">
        <v>178</v>
      </c>
      <c r="Q143" t="s">
        <v>178</v>
      </c>
      <c r="R143" t="s">
        <v>180</v>
      </c>
      <c r="S143" t="s">
        <v>202</v>
      </c>
      <c r="T143" t="s">
        <v>1853</v>
      </c>
      <c r="V143" t="s">
        <v>282</v>
      </c>
      <c r="W143" t="s">
        <v>184</v>
      </c>
      <c r="X143" t="s">
        <v>1854</v>
      </c>
      <c r="Z143" t="s">
        <v>205</v>
      </c>
      <c r="AC143" t="s">
        <v>205</v>
      </c>
      <c r="AF143" t="s">
        <v>205</v>
      </c>
      <c r="AI143" t="s">
        <v>1855</v>
      </c>
      <c r="AK143" t="s">
        <v>189</v>
      </c>
      <c r="AL143" t="s">
        <v>189</v>
      </c>
      <c r="AM143" t="s">
        <v>189</v>
      </c>
      <c r="AO143" t="s">
        <v>1856</v>
      </c>
      <c r="AP143" t="s">
        <v>179</v>
      </c>
      <c r="AQ143" t="s">
        <v>180</v>
      </c>
      <c r="AR143" t="s">
        <v>180</v>
      </c>
      <c r="AS143" t="s">
        <v>180</v>
      </c>
      <c r="AT143" t="s">
        <v>180</v>
      </c>
      <c r="AU143" t="s">
        <v>180</v>
      </c>
      <c r="AV143" t="s">
        <v>180</v>
      </c>
      <c r="AW143" t="s">
        <v>180</v>
      </c>
      <c r="AY143" t="s">
        <v>192</v>
      </c>
      <c r="BB143" t="s">
        <v>192</v>
      </c>
      <c r="BE143" t="s">
        <v>191</v>
      </c>
      <c r="BF143" t="s">
        <v>54</v>
      </c>
      <c r="BH143">
        <v>2</v>
      </c>
      <c r="BI143">
        <v>7</v>
      </c>
      <c r="BJ143">
        <v>6</v>
      </c>
      <c r="BK143">
        <v>5</v>
      </c>
      <c r="BL143">
        <v>1</v>
      </c>
      <c r="BM143">
        <v>3</v>
      </c>
      <c r="BN143">
        <v>4</v>
      </c>
      <c r="BP143" t="s">
        <v>193</v>
      </c>
    </row>
    <row r="144" spans="1:68">
      <c r="A144" s="4">
        <v>509224899302</v>
      </c>
      <c r="B144" s="4" t="s">
        <v>1857</v>
      </c>
      <c r="C144" s="1" t="s">
        <v>38</v>
      </c>
      <c r="D144" s="5" t="str">
        <f t="shared" si="12"/>
        <v>1</v>
      </c>
      <c r="E144" s="5" t="str">
        <f>IFERROR(IF(VLOOKUP(A144,Base!AA:AA,1,0)&gt;0,"1","0"),"0")</f>
        <v>1</v>
      </c>
      <c r="F144" s="5" t="str">
        <f t="shared" si="13"/>
        <v>-</v>
      </c>
      <c r="G144" s="5" t="str">
        <f t="shared" si="14"/>
        <v>0</v>
      </c>
      <c r="H144" t="s">
        <v>1858</v>
      </c>
      <c r="I144" t="s">
        <v>1859</v>
      </c>
      <c r="K144" t="s">
        <v>1860</v>
      </c>
      <c r="L144" t="s">
        <v>1861</v>
      </c>
      <c r="M144" t="s">
        <v>1862</v>
      </c>
      <c r="N144" t="s">
        <v>1863</v>
      </c>
      <c r="O144" t="s">
        <v>177</v>
      </c>
      <c r="P144" t="s">
        <v>179</v>
      </c>
      <c r="Q144" t="s">
        <v>179</v>
      </c>
      <c r="R144" t="s">
        <v>180</v>
      </c>
      <c r="S144" t="s">
        <v>181</v>
      </c>
      <c r="T144" t="s">
        <v>216</v>
      </c>
      <c r="U144" t="s">
        <v>1864</v>
      </c>
      <c r="V144" t="s">
        <v>1865</v>
      </c>
      <c r="W144" t="s">
        <v>179</v>
      </c>
      <c r="X144" t="s">
        <v>185</v>
      </c>
      <c r="Y144" t="s">
        <v>1866</v>
      </c>
      <c r="Z144" t="s">
        <v>186</v>
      </c>
      <c r="AA144">
        <v>5</v>
      </c>
      <c r="AC144" t="s">
        <v>186</v>
      </c>
      <c r="AD144">
        <v>5</v>
      </c>
      <c r="AF144" t="s">
        <v>186</v>
      </c>
      <c r="AG144">
        <v>5</v>
      </c>
      <c r="AI144" t="s">
        <v>1867</v>
      </c>
      <c r="AK144" t="s">
        <v>188</v>
      </c>
      <c r="AL144" t="s">
        <v>188</v>
      </c>
      <c r="AM144" t="s">
        <v>188</v>
      </c>
      <c r="AO144" t="s">
        <v>523</v>
      </c>
      <c r="AP144" t="s">
        <v>178</v>
      </c>
      <c r="AQ144" t="s">
        <v>180</v>
      </c>
      <c r="AR144" t="s">
        <v>180</v>
      </c>
      <c r="AS144" t="s">
        <v>180</v>
      </c>
      <c r="AT144" t="s">
        <v>180</v>
      </c>
      <c r="AU144" t="s">
        <v>180</v>
      </c>
      <c r="AV144" t="s">
        <v>180</v>
      </c>
      <c r="AW144" t="s">
        <v>180</v>
      </c>
      <c r="AY144" t="s">
        <v>191</v>
      </c>
      <c r="AZ144" t="s">
        <v>54</v>
      </c>
      <c r="BB144" t="s">
        <v>192</v>
      </c>
      <c r="BE144" t="s">
        <v>191</v>
      </c>
      <c r="BF144" t="s">
        <v>178</v>
      </c>
      <c r="BH144">
        <v>1</v>
      </c>
      <c r="BI144">
        <v>2</v>
      </c>
      <c r="BJ144">
        <v>3</v>
      </c>
      <c r="BK144">
        <v>4</v>
      </c>
      <c r="BL144">
        <v>5</v>
      </c>
      <c r="BM144">
        <v>6</v>
      </c>
      <c r="BN144">
        <v>7</v>
      </c>
      <c r="BP144" t="s">
        <v>193</v>
      </c>
    </row>
    <row r="145" spans="1:68">
      <c r="A145" s="4">
        <v>301429377802</v>
      </c>
      <c r="B145" s="4" t="s">
        <v>1868</v>
      </c>
      <c r="C145" s="1" t="s">
        <v>39</v>
      </c>
      <c r="D145" s="5" t="str">
        <f t="shared" si="12"/>
        <v>1</v>
      </c>
      <c r="E145" s="5" t="str">
        <f>IFERROR(IF(VLOOKUP(A145,Base!AA:AA,1,0)&gt;0,"1","0"),"0")</f>
        <v>1</v>
      </c>
      <c r="F145" s="5" t="str">
        <f t="shared" si="13"/>
        <v>1</v>
      </c>
      <c r="G145" s="5" t="str">
        <f t="shared" si="14"/>
        <v>1</v>
      </c>
      <c r="H145" t="s">
        <v>1869</v>
      </c>
      <c r="I145" t="s">
        <v>1870</v>
      </c>
      <c r="K145" t="s">
        <v>1871</v>
      </c>
      <c r="L145" t="s">
        <v>1872</v>
      </c>
      <c r="M145" t="s">
        <v>1873</v>
      </c>
      <c r="N145" t="s">
        <v>1874</v>
      </c>
      <c r="O145" t="s">
        <v>215</v>
      </c>
      <c r="P145" t="s">
        <v>54</v>
      </c>
      <c r="Q145" t="s">
        <v>178</v>
      </c>
      <c r="R145" t="s">
        <v>254</v>
      </c>
      <c r="S145" t="s">
        <v>405</v>
      </c>
      <c r="T145" t="s">
        <v>1064</v>
      </c>
      <c r="V145" t="s">
        <v>1702</v>
      </c>
      <c r="W145" t="s">
        <v>179</v>
      </c>
      <c r="X145" t="s">
        <v>185</v>
      </c>
      <c r="Z145" t="s">
        <v>186</v>
      </c>
      <c r="AA145">
        <v>4</v>
      </c>
      <c r="AC145" t="s">
        <v>205</v>
      </c>
      <c r="AF145" t="s">
        <v>205</v>
      </c>
      <c r="AI145" t="s">
        <v>1875</v>
      </c>
      <c r="AK145" t="s">
        <v>189</v>
      </c>
      <c r="AL145" t="s">
        <v>189</v>
      </c>
      <c r="AM145" t="s">
        <v>189</v>
      </c>
      <c r="AN145" t="s">
        <v>1876</v>
      </c>
      <c r="AO145" t="s">
        <v>309</v>
      </c>
      <c r="AP145" t="s">
        <v>179</v>
      </c>
      <c r="AQ145" t="s">
        <v>180</v>
      </c>
      <c r="AR145" t="s">
        <v>180</v>
      </c>
      <c r="AS145" t="s">
        <v>180</v>
      </c>
      <c r="AT145" t="s">
        <v>180</v>
      </c>
      <c r="AU145" t="s">
        <v>180</v>
      </c>
      <c r="AV145" t="s">
        <v>180</v>
      </c>
      <c r="AW145" t="s">
        <v>180</v>
      </c>
      <c r="AX145" t="s">
        <v>1877</v>
      </c>
      <c r="AY145" t="s">
        <v>191</v>
      </c>
      <c r="AZ145" t="s">
        <v>179</v>
      </c>
      <c r="BB145" t="s">
        <v>191</v>
      </c>
      <c r="BC145" t="s">
        <v>178</v>
      </c>
      <c r="BD145" t="s">
        <v>1878</v>
      </c>
      <c r="BE145" t="s">
        <v>191</v>
      </c>
      <c r="BF145" t="s">
        <v>179</v>
      </c>
      <c r="BH145">
        <v>1</v>
      </c>
      <c r="BI145">
        <v>2</v>
      </c>
      <c r="BJ145">
        <v>4</v>
      </c>
      <c r="BK145">
        <v>5</v>
      </c>
      <c r="BL145">
        <v>6</v>
      </c>
      <c r="BM145">
        <v>7</v>
      </c>
      <c r="BN145">
        <v>3</v>
      </c>
      <c r="BO145" t="s">
        <v>1879</v>
      </c>
      <c r="BP145" t="s">
        <v>193</v>
      </c>
    </row>
    <row r="146" spans="1:68">
      <c r="A146" s="4">
        <v>11613361102</v>
      </c>
      <c r="B146" s="4" t="s">
        <v>1880</v>
      </c>
      <c r="C146" s="1" t="s">
        <v>39</v>
      </c>
      <c r="D146" s="5" t="str">
        <f t="shared" si="12"/>
        <v>1</v>
      </c>
      <c r="E146" s="5" t="str">
        <f>IFERROR(IF(VLOOKUP(A146,Base!AA:AA,1,0)&gt;0,"1","0"),"0")</f>
        <v>1</v>
      </c>
      <c r="F146" s="5" t="str">
        <f t="shared" si="13"/>
        <v>1</v>
      </c>
      <c r="G146" s="5" t="str">
        <f t="shared" si="14"/>
        <v>1</v>
      </c>
      <c r="H146" t="s">
        <v>1881</v>
      </c>
      <c r="I146" t="s">
        <v>1882</v>
      </c>
      <c r="K146" t="s">
        <v>1883</v>
      </c>
      <c r="L146" t="s">
        <v>1884</v>
      </c>
      <c r="M146" t="s">
        <v>1885</v>
      </c>
      <c r="N146" t="s">
        <v>1886</v>
      </c>
      <c r="O146" t="s">
        <v>215</v>
      </c>
      <c r="P146" t="s">
        <v>178</v>
      </c>
      <c r="Q146" t="s">
        <v>178</v>
      </c>
      <c r="R146" t="s">
        <v>180</v>
      </c>
      <c r="S146" t="s">
        <v>181</v>
      </c>
      <c r="T146" t="s">
        <v>926</v>
      </c>
      <c r="V146" t="s">
        <v>282</v>
      </c>
      <c r="W146" t="s">
        <v>184</v>
      </c>
      <c r="X146" t="s">
        <v>1576</v>
      </c>
      <c r="Z146" t="s">
        <v>186</v>
      </c>
      <c r="AA146">
        <v>5</v>
      </c>
      <c r="AC146" t="s">
        <v>205</v>
      </c>
      <c r="AF146" t="s">
        <v>186</v>
      </c>
      <c r="AG146">
        <v>5</v>
      </c>
      <c r="AI146" t="s">
        <v>1887</v>
      </c>
      <c r="AK146" t="s">
        <v>188</v>
      </c>
      <c r="AL146" t="s">
        <v>188</v>
      </c>
      <c r="AM146" t="s">
        <v>188</v>
      </c>
      <c r="AN146" t="s">
        <v>1888</v>
      </c>
      <c r="AO146" t="s">
        <v>364</v>
      </c>
      <c r="AP146" t="s">
        <v>178</v>
      </c>
      <c r="AQ146" t="s">
        <v>180</v>
      </c>
      <c r="AR146" t="s">
        <v>180</v>
      </c>
      <c r="AS146" t="s">
        <v>180</v>
      </c>
      <c r="AT146" t="s">
        <v>180</v>
      </c>
      <c r="AU146" t="s">
        <v>180</v>
      </c>
      <c r="AV146" t="s">
        <v>180</v>
      </c>
      <c r="AW146" t="s">
        <v>180</v>
      </c>
      <c r="AX146" t="s">
        <v>1889</v>
      </c>
      <c r="AY146" t="s">
        <v>191</v>
      </c>
      <c r="AZ146" t="s">
        <v>178</v>
      </c>
      <c r="BA146" t="s">
        <v>1890</v>
      </c>
      <c r="BB146" t="s">
        <v>191</v>
      </c>
      <c r="BC146" t="s">
        <v>178</v>
      </c>
      <c r="BD146" t="s">
        <v>192</v>
      </c>
      <c r="BE146" t="s">
        <v>192</v>
      </c>
      <c r="BH146">
        <v>1</v>
      </c>
      <c r="BI146">
        <v>2</v>
      </c>
      <c r="BJ146">
        <v>3</v>
      </c>
      <c r="BK146">
        <v>4</v>
      </c>
      <c r="BL146">
        <v>5</v>
      </c>
      <c r="BM146">
        <v>6</v>
      </c>
      <c r="BN146">
        <v>7</v>
      </c>
      <c r="BO146" t="s">
        <v>192</v>
      </c>
      <c r="BP146" t="s">
        <v>193</v>
      </c>
    </row>
    <row r="147" spans="1:68">
      <c r="A147" s="4">
        <v>124638672202</v>
      </c>
      <c r="B147" s="4" t="s">
        <v>1891</v>
      </c>
      <c r="C147" s="1" t="s">
        <v>100</v>
      </c>
      <c r="D147" s="5" t="str">
        <f t="shared" si="12"/>
        <v>1</v>
      </c>
      <c r="E147" s="5" t="str">
        <f>IFERROR(IF(VLOOKUP(A147,Base!AA:AA,1,0)&gt;0,"1","0"),"0")</f>
        <v>0</v>
      </c>
      <c r="F147" s="5" t="str">
        <f t="shared" si="13"/>
        <v>-</v>
      </c>
      <c r="G147" s="5" t="str">
        <f t="shared" si="14"/>
        <v>1</v>
      </c>
      <c r="H147" t="s">
        <v>1892</v>
      </c>
      <c r="I147" t="s">
        <v>1893</v>
      </c>
      <c r="K147" t="s">
        <v>1891</v>
      </c>
      <c r="L147" t="s">
        <v>1894</v>
      </c>
      <c r="M147" t="s">
        <v>1895</v>
      </c>
      <c r="N147" t="s">
        <v>1896</v>
      </c>
      <c r="O147" t="s">
        <v>215</v>
      </c>
      <c r="P147" t="s">
        <v>178</v>
      </c>
      <c r="Q147" t="s">
        <v>178</v>
      </c>
      <c r="R147" t="s">
        <v>180</v>
      </c>
      <c r="S147" t="s">
        <v>181</v>
      </c>
      <c r="T147" t="s">
        <v>216</v>
      </c>
      <c r="U147" t="s">
        <v>1897</v>
      </c>
      <c r="V147" t="s">
        <v>523</v>
      </c>
      <c r="W147" t="s">
        <v>179</v>
      </c>
      <c r="X147" t="s">
        <v>185</v>
      </c>
      <c r="Z147" t="s">
        <v>186</v>
      </c>
      <c r="AA147">
        <v>5</v>
      </c>
      <c r="AC147" t="s">
        <v>186</v>
      </c>
      <c r="AD147">
        <v>5</v>
      </c>
      <c r="AF147" t="s">
        <v>186</v>
      </c>
      <c r="AG147">
        <v>4</v>
      </c>
      <c r="AH147" t="s">
        <v>1898</v>
      </c>
      <c r="AI147" t="s">
        <v>1899</v>
      </c>
      <c r="AK147" t="s">
        <v>189</v>
      </c>
      <c r="AL147" t="s">
        <v>189</v>
      </c>
      <c r="AM147" t="s">
        <v>189</v>
      </c>
      <c r="AO147" t="s">
        <v>1900</v>
      </c>
      <c r="AP147" t="s">
        <v>179</v>
      </c>
      <c r="AQ147" t="s">
        <v>180</v>
      </c>
      <c r="AR147" t="s">
        <v>180</v>
      </c>
      <c r="AS147" t="s">
        <v>180</v>
      </c>
      <c r="AT147" t="s">
        <v>180</v>
      </c>
      <c r="AU147" t="s">
        <v>180</v>
      </c>
      <c r="AV147" t="s">
        <v>180</v>
      </c>
      <c r="AW147" t="s">
        <v>180</v>
      </c>
      <c r="AY147" t="s">
        <v>191</v>
      </c>
      <c r="AZ147" t="s">
        <v>178</v>
      </c>
      <c r="BB147" t="s">
        <v>191</v>
      </c>
      <c r="BC147" t="s">
        <v>179</v>
      </c>
      <c r="BE147" t="s">
        <v>192</v>
      </c>
      <c r="BH147">
        <v>2</v>
      </c>
      <c r="BI147">
        <v>3</v>
      </c>
      <c r="BJ147">
        <v>5</v>
      </c>
      <c r="BK147">
        <v>1</v>
      </c>
      <c r="BL147">
        <v>4</v>
      </c>
      <c r="BM147">
        <v>7</v>
      </c>
      <c r="BN147">
        <v>6</v>
      </c>
      <c r="BP147" t="s">
        <v>193</v>
      </c>
    </row>
    <row r="148" spans="1:68">
      <c r="A148" s="4">
        <v>384216553002</v>
      </c>
      <c r="B148" s="4" t="s">
        <v>1901</v>
      </c>
      <c r="C148" s="1" t="s">
        <v>245</v>
      </c>
      <c r="D148" s="5" t="str">
        <f t="shared" si="12"/>
        <v>0</v>
      </c>
      <c r="E148" s="5" t="str">
        <f>IFERROR(IF(VLOOKUP(A148,Base!AA:AA,1,0)&gt;0,"1","0"),"0")</f>
        <v>0</v>
      </c>
      <c r="F148" s="5" t="str">
        <f t="shared" si="13"/>
        <v>-</v>
      </c>
      <c r="G148" s="5" t="str">
        <f t="shared" si="14"/>
        <v>0</v>
      </c>
      <c r="H148" t="s">
        <v>1902</v>
      </c>
      <c r="I148" t="s">
        <v>1903</v>
      </c>
      <c r="K148" t="s">
        <v>1904</v>
      </c>
      <c r="L148" t="s">
        <v>1905</v>
      </c>
      <c r="M148" t="s">
        <v>1906</v>
      </c>
      <c r="N148" t="s">
        <v>1907</v>
      </c>
      <c r="O148" t="s">
        <v>201</v>
      </c>
      <c r="P148" t="s">
        <v>179</v>
      </c>
      <c r="Q148" t="s">
        <v>179</v>
      </c>
      <c r="R148" t="s">
        <v>180</v>
      </c>
      <c r="S148" t="s">
        <v>181</v>
      </c>
      <c r="T148" t="s">
        <v>319</v>
      </c>
      <c r="U148" t="s">
        <v>1908</v>
      </c>
      <c r="V148" t="s">
        <v>1909</v>
      </c>
      <c r="W148" t="s">
        <v>179</v>
      </c>
      <c r="X148" t="s">
        <v>1910</v>
      </c>
      <c r="Y148" t="s">
        <v>1911</v>
      </c>
      <c r="Z148" t="s">
        <v>205</v>
      </c>
      <c r="AC148" t="s">
        <v>186</v>
      </c>
      <c r="AD148">
        <v>5</v>
      </c>
      <c r="AF148" t="s">
        <v>205</v>
      </c>
      <c r="AI148" t="s">
        <v>1912</v>
      </c>
      <c r="AJ148" t="s">
        <v>1913</v>
      </c>
      <c r="AK148" t="s">
        <v>188</v>
      </c>
      <c r="AL148" t="s">
        <v>188</v>
      </c>
      <c r="AM148" t="s">
        <v>188</v>
      </c>
      <c r="AO148" t="s">
        <v>221</v>
      </c>
      <c r="AP148" t="s">
        <v>179</v>
      </c>
      <c r="AQ148" t="s">
        <v>180</v>
      </c>
      <c r="AR148" t="s">
        <v>180</v>
      </c>
      <c r="AS148" t="s">
        <v>180</v>
      </c>
      <c r="AT148" t="s">
        <v>180</v>
      </c>
      <c r="AU148" t="s">
        <v>180</v>
      </c>
      <c r="AV148" t="s">
        <v>180</v>
      </c>
      <c r="AW148" t="s">
        <v>180</v>
      </c>
      <c r="AY148" t="s">
        <v>192</v>
      </c>
      <c r="BB148" t="s">
        <v>192</v>
      </c>
      <c r="BE148" t="s">
        <v>191</v>
      </c>
      <c r="BF148" t="s">
        <v>55</v>
      </c>
      <c r="BH148">
        <v>3</v>
      </c>
      <c r="BI148">
        <v>4</v>
      </c>
      <c r="BJ148">
        <v>2</v>
      </c>
      <c r="BK148">
        <v>5</v>
      </c>
      <c r="BL148">
        <v>1</v>
      </c>
      <c r="BM148">
        <v>6</v>
      </c>
      <c r="BN148">
        <v>7</v>
      </c>
      <c r="BP148" t="s">
        <v>193</v>
      </c>
    </row>
    <row r="149" spans="1:68">
      <c r="A149" s="4">
        <v>472181389102</v>
      </c>
      <c r="B149" s="4" t="s">
        <v>1914</v>
      </c>
      <c r="C149" s="1" t="s">
        <v>36</v>
      </c>
      <c r="D149" s="5" t="str">
        <f t="shared" si="12"/>
        <v>1</v>
      </c>
      <c r="E149" s="5" t="str">
        <f>IFERROR(IF(VLOOKUP(A149,Base!AA:AA,1,0)&gt;0,"1","0"),"0")</f>
        <v>1</v>
      </c>
      <c r="F149" s="5" t="str">
        <f t="shared" si="13"/>
        <v>-</v>
      </c>
      <c r="G149" s="5" t="str">
        <f t="shared" si="14"/>
        <v>0</v>
      </c>
      <c r="H149" t="s">
        <v>1915</v>
      </c>
      <c r="I149" t="s">
        <v>1916</v>
      </c>
      <c r="K149" t="s">
        <v>1917</v>
      </c>
      <c r="L149" t="s">
        <v>1918</v>
      </c>
      <c r="M149" t="s">
        <v>1919</v>
      </c>
      <c r="N149" t="s">
        <v>1920</v>
      </c>
      <c r="O149" t="s">
        <v>215</v>
      </c>
      <c r="P149" t="s">
        <v>55</v>
      </c>
      <c r="Q149" t="s">
        <v>178</v>
      </c>
      <c r="R149" t="s">
        <v>254</v>
      </c>
      <c r="S149" t="s">
        <v>181</v>
      </c>
      <c r="T149" t="s">
        <v>1921</v>
      </c>
      <c r="U149" t="s">
        <v>1922</v>
      </c>
      <c r="V149" t="s">
        <v>311</v>
      </c>
      <c r="W149" t="s">
        <v>184</v>
      </c>
      <c r="X149" t="s">
        <v>1256</v>
      </c>
      <c r="Y149" t="s">
        <v>1923</v>
      </c>
      <c r="Z149" t="s">
        <v>205</v>
      </c>
      <c r="AC149" t="s">
        <v>186</v>
      </c>
      <c r="AD149">
        <v>1</v>
      </c>
      <c r="AE149" t="s">
        <v>1924</v>
      </c>
      <c r="AF149" t="s">
        <v>205</v>
      </c>
      <c r="AI149" t="s">
        <v>1925</v>
      </c>
      <c r="AJ149" t="s">
        <v>1926</v>
      </c>
      <c r="AK149" t="s">
        <v>188</v>
      </c>
      <c r="AL149" t="s">
        <v>189</v>
      </c>
      <c r="AM149" t="s">
        <v>252</v>
      </c>
      <c r="AN149" t="s">
        <v>1927</v>
      </c>
      <c r="AO149" t="s">
        <v>1257</v>
      </c>
      <c r="AP149" t="s">
        <v>54</v>
      </c>
      <c r="AQ149" t="s">
        <v>355</v>
      </c>
      <c r="AR149" t="s">
        <v>254</v>
      </c>
      <c r="AS149" t="s">
        <v>254</v>
      </c>
      <c r="AT149" t="s">
        <v>355</v>
      </c>
      <c r="AU149" t="s">
        <v>355</v>
      </c>
      <c r="AV149" t="s">
        <v>254</v>
      </c>
      <c r="AW149" t="s">
        <v>254</v>
      </c>
      <c r="AX149" t="s">
        <v>1928</v>
      </c>
      <c r="AY149" t="s">
        <v>192</v>
      </c>
      <c r="BB149" t="s">
        <v>192</v>
      </c>
      <c r="BE149" t="s">
        <v>191</v>
      </c>
      <c r="BF149" t="s">
        <v>54</v>
      </c>
      <c r="BG149" t="s">
        <v>1929</v>
      </c>
      <c r="BH149">
        <v>6</v>
      </c>
      <c r="BI149">
        <v>5</v>
      </c>
      <c r="BJ149">
        <v>7</v>
      </c>
      <c r="BK149">
        <v>1</v>
      </c>
      <c r="BL149">
        <v>3</v>
      </c>
      <c r="BM149">
        <v>2</v>
      </c>
      <c r="BN149">
        <v>4</v>
      </c>
      <c r="BO149" t="s">
        <v>1930</v>
      </c>
      <c r="BP149" t="s">
        <v>193</v>
      </c>
    </row>
    <row r="150" spans="1:68">
      <c r="A150" s="4">
        <v>365155485602</v>
      </c>
      <c r="B150" s="4" t="s">
        <v>1931</v>
      </c>
      <c r="C150" s="1" t="s">
        <v>36</v>
      </c>
      <c r="D150" s="5" t="str">
        <f t="shared" si="12"/>
        <v>1</v>
      </c>
      <c r="E150" s="5" t="str">
        <f>IFERROR(IF(VLOOKUP(A150,Base!AA:AA,1,0)&gt;0,"1","0"),"0")</f>
        <v>1</v>
      </c>
      <c r="F150" s="5" t="str">
        <f t="shared" si="13"/>
        <v>-</v>
      </c>
      <c r="G150" s="5" t="str">
        <f t="shared" si="14"/>
        <v>0</v>
      </c>
      <c r="H150" t="s">
        <v>1932</v>
      </c>
      <c r="I150" t="s">
        <v>1933</v>
      </c>
      <c r="K150" t="s">
        <v>1934</v>
      </c>
      <c r="L150">
        <v>365155485602</v>
      </c>
      <c r="M150" t="s">
        <v>1935</v>
      </c>
      <c r="N150" t="s">
        <v>1936</v>
      </c>
      <c r="O150" t="s">
        <v>201</v>
      </c>
      <c r="P150" t="s">
        <v>178</v>
      </c>
      <c r="Q150" t="s">
        <v>178</v>
      </c>
      <c r="R150" t="s">
        <v>180</v>
      </c>
      <c r="S150" t="s">
        <v>181</v>
      </c>
      <c r="T150" t="s">
        <v>216</v>
      </c>
      <c r="U150" t="s">
        <v>1937</v>
      </c>
      <c r="V150" t="s">
        <v>311</v>
      </c>
      <c r="W150" t="s">
        <v>179</v>
      </c>
      <c r="X150" t="s">
        <v>1938</v>
      </c>
      <c r="Y150" t="s">
        <v>1939</v>
      </c>
      <c r="Z150" t="s">
        <v>186</v>
      </c>
      <c r="AA150">
        <v>4</v>
      </c>
      <c r="AC150" t="s">
        <v>186</v>
      </c>
      <c r="AD150">
        <v>4</v>
      </c>
      <c r="AF150" t="s">
        <v>186</v>
      </c>
      <c r="AG150">
        <v>5</v>
      </c>
      <c r="AH150" t="s">
        <v>1940</v>
      </c>
      <c r="AI150" t="s">
        <v>1941</v>
      </c>
      <c r="AJ150" t="s">
        <v>1942</v>
      </c>
      <c r="AK150" t="s">
        <v>252</v>
      </c>
      <c r="AL150" t="s">
        <v>252</v>
      </c>
      <c r="AM150" t="s">
        <v>252</v>
      </c>
      <c r="AO150" t="s">
        <v>243</v>
      </c>
      <c r="AP150" t="s">
        <v>178</v>
      </c>
      <c r="AQ150" t="s">
        <v>355</v>
      </c>
      <c r="AR150" t="s">
        <v>254</v>
      </c>
      <c r="AS150" t="s">
        <v>355</v>
      </c>
      <c r="AT150" t="s">
        <v>254</v>
      </c>
      <c r="AU150" t="s">
        <v>180</v>
      </c>
      <c r="AV150" t="s">
        <v>355</v>
      </c>
      <c r="AW150" t="s">
        <v>180</v>
      </c>
      <c r="AY150" t="s">
        <v>192</v>
      </c>
      <c r="BB150" t="s">
        <v>192</v>
      </c>
      <c r="BE150" t="s">
        <v>192</v>
      </c>
      <c r="BH150">
        <v>3</v>
      </c>
      <c r="BI150">
        <v>4</v>
      </c>
      <c r="BJ150">
        <v>5</v>
      </c>
      <c r="BK150">
        <v>6</v>
      </c>
      <c r="BL150">
        <v>2</v>
      </c>
      <c r="BM150">
        <v>1</v>
      </c>
      <c r="BN150">
        <v>7</v>
      </c>
      <c r="BO150" t="s">
        <v>1943</v>
      </c>
      <c r="BP150" t="s">
        <v>193</v>
      </c>
    </row>
    <row r="151" spans="1:68">
      <c r="A151" s="4">
        <v>62421319902</v>
      </c>
      <c r="B151" s="4" t="s">
        <v>1944</v>
      </c>
      <c r="C151" s="1" t="s">
        <v>245</v>
      </c>
      <c r="D151" s="5" t="str">
        <f t="shared" si="12"/>
        <v>0</v>
      </c>
      <c r="E151" s="5" t="str">
        <f>IFERROR(IF(VLOOKUP(A151,Base!AA:AA,1,0)&gt;0,"1","0"),"0")</f>
        <v>0</v>
      </c>
      <c r="F151" s="5" t="str">
        <f t="shared" si="13"/>
        <v>-</v>
      </c>
      <c r="G151" s="5" t="str">
        <f t="shared" si="14"/>
        <v>1</v>
      </c>
      <c r="H151" t="s">
        <v>1945</v>
      </c>
      <c r="I151" t="s">
        <v>1946</v>
      </c>
      <c r="K151" t="s">
        <v>1944</v>
      </c>
      <c r="L151" t="s">
        <v>1947</v>
      </c>
      <c r="M151" t="s">
        <v>1948</v>
      </c>
      <c r="N151" t="s">
        <v>1949</v>
      </c>
      <c r="O151" t="s">
        <v>201</v>
      </c>
      <c r="P151" t="s">
        <v>178</v>
      </c>
      <c r="Q151" t="s">
        <v>55</v>
      </c>
      <c r="R151" t="s">
        <v>180</v>
      </c>
      <c r="S151" t="s">
        <v>202</v>
      </c>
      <c r="T151" t="s">
        <v>1950</v>
      </c>
      <c r="V151" t="s">
        <v>1951</v>
      </c>
      <c r="W151" t="s">
        <v>55</v>
      </c>
      <c r="X151" t="s">
        <v>1952</v>
      </c>
      <c r="Y151" t="s">
        <v>1953</v>
      </c>
      <c r="Z151" t="s">
        <v>186</v>
      </c>
      <c r="AA151">
        <v>2</v>
      </c>
      <c r="AC151" t="s">
        <v>186</v>
      </c>
      <c r="AD151">
        <v>2</v>
      </c>
      <c r="AF151" t="s">
        <v>205</v>
      </c>
      <c r="AI151" t="s">
        <v>1954</v>
      </c>
      <c r="AK151" t="s">
        <v>189</v>
      </c>
      <c r="AL151" t="s">
        <v>189</v>
      </c>
      <c r="AM151" t="s">
        <v>189</v>
      </c>
      <c r="AO151" t="s">
        <v>1955</v>
      </c>
      <c r="AP151" t="s">
        <v>54</v>
      </c>
      <c r="AQ151" t="s">
        <v>254</v>
      </c>
      <c r="AR151" t="s">
        <v>254</v>
      </c>
      <c r="AS151" t="s">
        <v>355</v>
      </c>
      <c r="AT151" t="s">
        <v>355</v>
      </c>
      <c r="AU151" t="s">
        <v>254</v>
      </c>
      <c r="AV151" t="s">
        <v>355</v>
      </c>
      <c r="AW151" t="s">
        <v>254</v>
      </c>
      <c r="AY151" t="s">
        <v>191</v>
      </c>
      <c r="AZ151" t="s">
        <v>178</v>
      </c>
      <c r="BB151" t="s">
        <v>191</v>
      </c>
      <c r="BC151" t="s">
        <v>178</v>
      </c>
      <c r="BE151" t="s">
        <v>191</v>
      </c>
      <c r="BF151" t="s">
        <v>178</v>
      </c>
      <c r="BH151">
        <v>1</v>
      </c>
      <c r="BI151">
        <v>7</v>
      </c>
      <c r="BJ151">
        <v>3</v>
      </c>
      <c r="BK151">
        <v>2</v>
      </c>
      <c r="BL151">
        <v>4</v>
      </c>
      <c r="BM151">
        <v>5</v>
      </c>
      <c r="BN151">
        <v>6</v>
      </c>
      <c r="BP151" t="s">
        <v>193</v>
      </c>
    </row>
    <row r="152" spans="1:68">
      <c r="A152" s="4">
        <v>124090551902</v>
      </c>
      <c r="B152" s="4" t="s">
        <v>1956</v>
      </c>
      <c r="C152" s="1" t="s">
        <v>36</v>
      </c>
      <c r="D152" s="5" t="str">
        <f t="shared" si="12"/>
        <v>1</v>
      </c>
      <c r="E152" s="5" t="str">
        <f>IFERROR(IF(VLOOKUP(A152,Base!AA:AA,1,0)&gt;0,"1","0"),"0")</f>
        <v>1</v>
      </c>
      <c r="F152" s="5" t="str">
        <f t="shared" si="13"/>
        <v>-</v>
      </c>
      <c r="G152" s="5" t="str">
        <f t="shared" si="14"/>
        <v>0</v>
      </c>
      <c r="H152" t="s">
        <v>1957</v>
      </c>
      <c r="I152" t="s">
        <v>1958</v>
      </c>
      <c r="K152" t="s">
        <v>1959</v>
      </c>
      <c r="L152" t="s">
        <v>1960</v>
      </c>
      <c r="M152" t="s">
        <v>1961</v>
      </c>
      <c r="N152" t="s">
        <v>1962</v>
      </c>
      <c r="O152" t="s">
        <v>201</v>
      </c>
      <c r="P152" t="s">
        <v>55</v>
      </c>
      <c r="Q152" t="s">
        <v>55</v>
      </c>
      <c r="R152" t="s">
        <v>354</v>
      </c>
      <c r="S152" t="s">
        <v>997</v>
      </c>
      <c r="T152" t="s">
        <v>1963</v>
      </c>
      <c r="U152" t="s">
        <v>1964</v>
      </c>
      <c r="V152" t="s">
        <v>1965</v>
      </c>
      <c r="W152" t="s">
        <v>594</v>
      </c>
      <c r="X152" t="s">
        <v>1966</v>
      </c>
      <c r="Y152" t="s">
        <v>1967</v>
      </c>
      <c r="Z152" t="s">
        <v>186</v>
      </c>
      <c r="AA152">
        <v>2</v>
      </c>
      <c r="AB152" t="s">
        <v>1968</v>
      </c>
      <c r="AC152" t="s">
        <v>186</v>
      </c>
      <c r="AD152">
        <v>2</v>
      </c>
      <c r="AE152" t="s">
        <v>1969</v>
      </c>
      <c r="AF152" t="s">
        <v>205</v>
      </c>
      <c r="AI152" t="s">
        <v>1970</v>
      </c>
      <c r="AK152" t="s">
        <v>189</v>
      </c>
      <c r="AL152" t="s">
        <v>188</v>
      </c>
      <c r="AM152" t="s">
        <v>188</v>
      </c>
      <c r="AO152" t="s">
        <v>204</v>
      </c>
      <c r="AP152" t="s">
        <v>178</v>
      </c>
      <c r="AQ152" t="s">
        <v>254</v>
      </c>
      <c r="AR152" t="s">
        <v>254</v>
      </c>
      <c r="AS152" t="s">
        <v>254</v>
      </c>
      <c r="AT152" t="s">
        <v>254</v>
      </c>
      <c r="AU152" t="s">
        <v>254</v>
      </c>
      <c r="AV152" t="s">
        <v>180</v>
      </c>
      <c r="AW152" t="s">
        <v>180</v>
      </c>
      <c r="AY152" t="s">
        <v>192</v>
      </c>
      <c r="BB152" t="s">
        <v>192</v>
      </c>
      <c r="BE152" t="s">
        <v>191</v>
      </c>
      <c r="BF152" t="s">
        <v>54</v>
      </c>
      <c r="BG152" t="s">
        <v>1971</v>
      </c>
      <c r="BH152">
        <v>1</v>
      </c>
      <c r="BI152">
        <v>4</v>
      </c>
      <c r="BJ152">
        <v>2</v>
      </c>
      <c r="BK152">
        <v>3</v>
      </c>
      <c r="BL152">
        <v>5</v>
      </c>
      <c r="BM152">
        <v>6</v>
      </c>
      <c r="BN152">
        <v>7</v>
      </c>
      <c r="BP152" t="s">
        <v>193</v>
      </c>
    </row>
    <row r="153" spans="1:68">
      <c r="A153" s="4">
        <v>55427353102</v>
      </c>
      <c r="B153" s="4" t="s">
        <v>1972</v>
      </c>
      <c r="C153" s="1" t="s">
        <v>36</v>
      </c>
      <c r="D153" s="5" t="str">
        <f t="shared" si="12"/>
        <v>1</v>
      </c>
      <c r="E153" s="5" t="str">
        <f>IFERROR(IF(VLOOKUP(A153,Base!AA:AA,1,0)&gt;0,"1","0"),"0")</f>
        <v>1</v>
      </c>
      <c r="F153" s="5" t="str">
        <f t="shared" si="13"/>
        <v>-</v>
      </c>
      <c r="G153" s="5" t="str">
        <f t="shared" si="14"/>
        <v>0</v>
      </c>
      <c r="H153" t="s">
        <v>1973</v>
      </c>
      <c r="I153" t="s">
        <v>1974</v>
      </c>
      <c r="K153" t="s">
        <v>1975</v>
      </c>
      <c r="L153" t="s">
        <v>1976</v>
      </c>
      <c r="M153" t="s">
        <v>1977</v>
      </c>
      <c r="N153" t="s">
        <v>1978</v>
      </c>
      <c r="O153" t="s">
        <v>177</v>
      </c>
      <c r="P153" t="s">
        <v>178</v>
      </c>
      <c r="Q153" t="s">
        <v>179</v>
      </c>
      <c r="R153" t="s">
        <v>180</v>
      </c>
      <c r="S153" t="s">
        <v>181</v>
      </c>
      <c r="T153" t="s">
        <v>216</v>
      </c>
      <c r="U153" t="s">
        <v>1979</v>
      </c>
      <c r="V153" t="s">
        <v>1965</v>
      </c>
      <c r="W153" t="s">
        <v>179</v>
      </c>
      <c r="X153" t="s">
        <v>185</v>
      </c>
      <c r="Z153" t="s">
        <v>186</v>
      </c>
      <c r="AA153">
        <v>4</v>
      </c>
      <c r="AC153" t="s">
        <v>186</v>
      </c>
      <c r="AD153">
        <v>4</v>
      </c>
      <c r="AF153" t="s">
        <v>205</v>
      </c>
      <c r="AI153" t="s">
        <v>1980</v>
      </c>
      <c r="AJ153" t="s">
        <v>1981</v>
      </c>
      <c r="AK153" t="s">
        <v>252</v>
      </c>
      <c r="AL153" t="s">
        <v>252</v>
      </c>
      <c r="AM153" t="s">
        <v>188</v>
      </c>
      <c r="AN153" t="s">
        <v>1982</v>
      </c>
      <c r="AO153" t="s">
        <v>1983</v>
      </c>
      <c r="AP153" t="s">
        <v>54</v>
      </c>
      <c r="AQ153" t="s">
        <v>354</v>
      </c>
      <c r="AR153" t="s">
        <v>254</v>
      </c>
      <c r="AS153" t="s">
        <v>354</v>
      </c>
      <c r="AT153" t="s">
        <v>254</v>
      </c>
      <c r="AU153" t="s">
        <v>254</v>
      </c>
      <c r="AV153" t="s">
        <v>355</v>
      </c>
      <c r="AW153" t="s">
        <v>354</v>
      </c>
      <c r="AX153" t="s">
        <v>1984</v>
      </c>
      <c r="AY153" t="s">
        <v>192</v>
      </c>
      <c r="BB153" t="s">
        <v>192</v>
      </c>
      <c r="BE153" t="s">
        <v>192</v>
      </c>
      <c r="BH153">
        <v>3</v>
      </c>
      <c r="BI153">
        <v>5</v>
      </c>
      <c r="BJ153">
        <v>6</v>
      </c>
      <c r="BK153">
        <v>7</v>
      </c>
      <c r="BL153">
        <v>1</v>
      </c>
      <c r="BM153">
        <v>2</v>
      </c>
      <c r="BN153">
        <v>4</v>
      </c>
      <c r="BP153" t="s">
        <v>193</v>
      </c>
    </row>
    <row r="154" spans="1:68">
      <c r="A154" s="4">
        <v>366327938802</v>
      </c>
      <c r="B154" s="4" t="s">
        <v>1985</v>
      </c>
      <c r="C154" s="1" t="s">
        <v>39</v>
      </c>
      <c r="D154" s="5" t="str">
        <f t="shared" si="12"/>
        <v>1</v>
      </c>
      <c r="E154" s="5" t="str">
        <f>IFERROR(IF(VLOOKUP(A154,Base!AA:AA,1,0)&gt;0,"1","0"),"0")</f>
        <v>1</v>
      </c>
      <c r="F154" s="5" t="str">
        <f t="shared" si="13"/>
        <v>1</v>
      </c>
      <c r="G154" s="5" t="str">
        <f t="shared" si="14"/>
        <v>1</v>
      </c>
      <c r="H154" t="s">
        <v>1986</v>
      </c>
      <c r="I154" t="s">
        <v>1987</v>
      </c>
      <c r="K154" t="s">
        <v>1988</v>
      </c>
      <c r="L154" t="s">
        <v>1989</v>
      </c>
      <c r="M154" t="s">
        <v>1990</v>
      </c>
      <c r="N154" t="s">
        <v>1991</v>
      </c>
      <c r="O154" t="s">
        <v>177</v>
      </c>
      <c r="P154" t="s">
        <v>179</v>
      </c>
      <c r="Q154" t="s">
        <v>179</v>
      </c>
      <c r="R154" t="s">
        <v>180</v>
      </c>
      <c r="S154" t="s">
        <v>181</v>
      </c>
      <c r="T154" t="s">
        <v>216</v>
      </c>
      <c r="U154" t="s">
        <v>324</v>
      </c>
      <c r="V154" t="s">
        <v>1992</v>
      </c>
      <c r="W154" t="s">
        <v>179</v>
      </c>
      <c r="X154" t="s">
        <v>185</v>
      </c>
      <c r="Y154" t="s">
        <v>324</v>
      </c>
      <c r="Z154" t="s">
        <v>186</v>
      </c>
      <c r="AA154">
        <v>5</v>
      </c>
      <c r="AB154" t="s">
        <v>1993</v>
      </c>
      <c r="AC154" t="s">
        <v>205</v>
      </c>
      <c r="AF154" t="s">
        <v>186</v>
      </c>
      <c r="AG154">
        <v>5</v>
      </c>
      <c r="AH154" t="s">
        <v>1993</v>
      </c>
      <c r="AI154" t="s">
        <v>1994</v>
      </c>
      <c r="AJ154" t="s">
        <v>1995</v>
      </c>
      <c r="AK154" t="s">
        <v>189</v>
      </c>
      <c r="AL154" t="s">
        <v>189</v>
      </c>
      <c r="AM154" t="s">
        <v>189</v>
      </c>
      <c r="AN154" t="s">
        <v>1996</v>
      </c>
      <c r="AO154" t="s">
        <v>282</v>
      </c>
      <c r="AP154" t="s">
        <v>179</v>
      </c>
      <c r="AQ154" t="s">
        <v>375</v>
      </c>
      <c r="AR154" t="s">
        <v>375</v>
      </c>
      <c r="AS154" t="s">
        <v>375</v>
      </c>
      <c r="AT154" t="s">
        <v>375</v>
      </c>
      <c r="AU154" t="s">
        <v>375</v>
      </c>
      <c r="AV154" t="s">
        <v>375</v>
      </c>
      <c r="AW154" t="s">
        <v>375</v>
      </c>
      <c r="AX154" t="s">
        <v>1997</v>
      </c>
      <c r="AY154" t="s">
        <v>191</v>
      </c>
      <c r="AZ154" t="s">
        <v>179</v>
      </c>
      <c r="BB154" t="s">
        <v>191</v>
      </c>
      <c r="BC154" t="s">
        <v>179</v>
      </c>
      <c r="BE154" t="s">
        <v>192</v>
      </c>
      <c r="BH154">
        <v>3</v>
      </c>
      <c r="BI154">
        <v>7</v>
      </c>
      <c r="BJ154">
        <v>5</v>
      </c>
      <c r="BK154">
        <v>6</v>
      </c>
      <c r="BL154">
        <v>2</v>
      </c>
      <c r="BM154">
        <v>4</v>
      </c>
      <c r="BN154">
        <v>1</v>
      </c>
      <c r="BP154" t="s">
        <v>193</v>
      </c>
    </row>
    <row r="155" spans="1:68">
      <c r="A155" s="4">
        <v>309059081002</v>
      </c>
      <c r="B155" s="4" t="s">
        <v>1998</v>
      </c>
      <c r="C155" s="1" t="s">
        <v>245</v>
      </c>
      <c r="D155" s="5" t="str">
        <f t="shared" si="12"/>
        <v>0</v>
      </c>
      <c r="E155" s="5" t="str">
        <f>IFERROR(IF(VLOOKUP(A155,Base!AA:AA,1,0)&gt;0,"1","0"),"0")</f>
        <v>0</v>
      </c>
      <c r="F155" s="5" t="str">
        <f t="shared" si="13"/>
        <v>-</v>
      </c>
      <c r="G155" s="5" t="str">
        <f t="shared" si="14"/>
        <v>1</v>
      </c>
      <c r="H155" t="s">
        <v>1999</v>
      </c>
      <c r="I155" t="s">
        <v>2000</v>
      </c>
      <c r="K155" t="s">
        <v>1998</v>
      </c>
      <c r="L155" t="s">
        <v>2001</v>
      </c>
      <c r="M155" t="s">
        <v>2002</v>
      </c>
      <c r="N155" t="s">
        <v>2003</v>
      </c>
      <c r="O155" t="s">
        <v>215</v>
      </c>
      <c r="P155" t="s">
        <v>178</v>
      </c>
      <c r="Q155" t="s">
        <v>54</v>
      </c>
      <c r="R155" t="s">
        <v>355</v>
      </c>
      <c r="S155" t="s">
        <v>202</v>
      </c>
      <c r="T155" t="s">
        <v>2004</v>
      </c>
      <c r="V155" t="s">
        <v>767</v>
      </c>
      <c r="W155" t="s">
        <v>184</v>
      </c>
      <c r="X155" t="s">
        <v>2005</v>
      </c>
      <c r="Z155" t="s">
        <v>186</v>
      </c>
      <c r="AA155">
        <v>5</v>
      </c>
      <c r="AC155" t="s">
        <v>186</v>
      </c>
      <c r="AD155">
        <v>5</v>
      </c>
      <c r="AF155" t="s">
        <v>205</v>
      </c>
      <c r="AI155" t="s">
        <v>219</v>
      </c>
      <c r="AK155" t="s">
        <v>188</v>
      </c>
      <c r="AL155" t="s">
        <v>188</v>
      </c>
      <c r="AM155" t="s">
        <v>220</v>
      </c>
      <c r="AN155" t="s">
        <v>2006</v>
      </c>
      <c r="AO155" t="s">
        <v>292</v>
      </c>
      <c r="AP155" t="s">
        <v>179</v>
      </c>
      <c r="AQ155" t="s">
        <v>254</v>
      </c>
      <c r="AR155" t="s">
        <v>254</v>
      </c>
      <c r="AS155" t="s">
        <v>180</v>
      </c>
      <c r="AT155" t="s">
        <v>254</v>
      </c>
      <c r="AU155" t="s">
        <v>180</v>
      </c>
      <c r="AV155" t="s">
        <v>180</v>
      </c>
      <c r="AW155" t="s">
        <v>180</v>
      </c>
      <c r="AY155" t="s">
        <v>192</v>
      </c>
      <c r="BB155" t="s">
        <v>191</v>
      </c>
      <c r="BC155" t="s">
        <v>55</v>
      </c>
      <c r="BD155" t="s">
        <v>2007</v>
      </c>
      <c r="BE155" t="s">
        <v>192</v>
      </c>
      <c r="BH155">
        <v>4</v>
      </c>
      <c r="BI155">
        <v>6</v>
      </c>
      <c r="BJ155">
        <v>5</v>
      </c>
      <c r="BK155">
        <v>2</v>
      </c>
      <c r="BL155">
        <v>1</v>
      </c>
      <c r="BM155">
        <v>7</v>
      </c>
      <c r="BN155">
        <v>3</v>
      </c>
      <c r="BP155" t="s">
        <v>193</v>
      </c>
    </row>
    <row r="156" spans="1:68">
      <c r="A156" s="4">
        <v>45146550802</v>
      </c>
      <c r="B156" s="4" t="s">
        <v>2008</v>
      </c>
      <c r="C156" s="1" t="s">
        <v>39</v>
      </c>
      <c r="D156" s="5" t="str">
        <f t="shared" si="12"/>
        <v>1</v>
      </c>
      <c r="E156" s="5" t="str">
        <f>IFERROR(IF(VLOOKUP(A156,Base!AA:AA,1,0)&gt;0,"1","0"),"0")</f>
        <v>1</v>
      </c>
      <c r="F156" s="5" t="str">
        <f t="shared" si="13"/>
        <v>-</v>
      </c>
      <c r="G156" s="5" t="str">
        <f t="shared" si="14"/>
        <v>0</v>
      </c>
      <c r="H156" t="s">
        <v>2009</v>
      </c>
      <c r="I156" t="s">
        <v>2010</v>
      </c>
      <c r="K156" t="s">
        <v>2011</v>
      </c>
      <c r="L156">
        <v>45146550802</v>
      </c>
      <c r="M156" t="s">
        <v>2012</v>
      </c>
      <c r="N156" t="s">
        <v>2013</v>
      </c>
      <c r="O156" t="s">
        <v>177</v>
      </c>
      <c r="P156" t="s">
        <v>179</v>
      </c>
      <c r="Q156" t="s">
        <v>179</v>
      </c>
      <c r="R156" t="s">
        <v>180</v>
      </c>
      <c r="S156" t="s">
        <v>202</v>
      </c>
      <c r="T156" t="s">
        <v>216</v>
      </c>
      <c r="U156" t="s">
        <v>2014</v>
      </c>
      <c r="V156" t="s">
        <v>292</v>
      </c>
      <c r="W156" t="s">
        <v>184</v>
      </c>
      <c r="X156" t="s">
        <v>185</v>
      </c>
      <c r="Y156" t="s">
        <v>2015</v>
      </c>
      <c r="Z156" t="s">
        <v>186</v>
      </c>
      <c r="AA156">
        <v>5</v>
      </c>
      <c r="AB156" t="s">
        <v>2016</v>
      </c>
      <c r="AC156" t="s">
        <v>186</v>
      </c>
      <c r="AD156">
        <v>5</v>
      </c>
      <c r="AF156" t="s">
        <v>205</v>
      </c>
      <c r="AI156" t="s">
        <v>2017</v>
      </c>
      <c r="AK156" t="s">
        <v>189</v>
      </c>
      <c r="AL156" t="s">
        <v>189</v>
      </c>
      <c r="AM156" t="s">
        <v>189</v>
      </c>
      <c r="AO156" t="s">
        <v>1900</v>
      </c>
      <c r="AP156" t="s">
        <v>179</v>
      </c>
      <c r="AQ156" t="s">
        <v>180</v>
      </c>
      <c r="AR156" t="s">
        <v>180</v>
      </c>
      <c r="AS156" t="s">
        <v>180</v>
      </c>
      <c r="AT156" t="s">
        <v>180</v>
      </c>
      <c r="AU156" t="s">
        <v>180</v>
      </c>
      <c r="AV156" t="s">
        <v>180</v>
      </c>
      <c r="AW156" t="s">
        <v>180</v>
      </c>
      <c r="AY156" t="s">
        <v>192</v>
      </c>
      <c r="BB156" t="s">
        <v>192</v>
      </c>
      <c r="BE156" t="s">
        <v>192</v>
      </c>
      <c r="BH156">
        <v>1</v>
      </c>
      <c r="BI156">
        <v>5</v>
      </c>
      <c r="BJ156">
        <v>7</v>
      </c>
      <c r="BK156">
        <v>4</v>
      </c>
      <c r="BL156">
        <v>2</v>
      </c>
      <c r="BM156">
        <v>6</v>
      </c>
      <c r="BN156">
        <v>3</v>
      </c>
      <c r="BP156" t="s">
        <v>193</v>
      </c>
    </row>
    <row r="157" spans="1:68">
      <c r="A157" s="4">
        <v>93900917902</v>
      </c>
      <c r="B157" s="4" t="s">
        <v>2018</v>
      </c>
      <c r="C157" s="1" t="s">
        <v>100</v>
      </c>
      <c r="D157" s="5" t="str">
        <f t="shared" si="12"/>
        <v>1</v>
      </c>
      <c r="E157" s="5" t="str">
        <f>IFERROR(IF(VLOOKUP(A157,Base!AA:AA,1,0)&gt;0,"1","0"),"0")</f>
        <v>1</v>
      </c>
      <c r="F157" s="5" t="str">
        <f t="shared" si="13"/>
        <v>-</v>
      </c>
      <c r="G157" s="5" t="str">
        <f t="shared" si="14"/>
        <v>0</v>
      </c>
      <c r="H157" t="s">
        <v>2019</v>
      </c>
      <c r="I157" t="s">
        <v>2020</v>
      </c>
      <c r="K157" t="s">
        <v>2021</v>
      </c>
      <c r="L157" t="s">
        <v>2022</v>
      </c>
      <c r="M157" t="s">
        <v>2023</v>
      </c>
      <c r="N157" t="s">
        <v>2024</v>
      </c>
      <c r="O157" t="s">
        <v>177</v>
      </c>
      <c r="P157" t="s">
        <v>179</v>
      </c>
      <c r="Q157" t="s">
        <v>179</v>
      </c>
      <c r="R157" t="s">
        <v>180</v>
      </c>
      <c r="S157" t="s">
        <v>181</v>
      </c>
      <c r="T157" t="s">
        <v>216</v>
      </c>
      <c r="U157" t="s">
        <v>2025</v>
      </c>
      <c r="V157" t="s">
        <v>523</v>
      </c>
      <c r="W157" t="s">
        <v>179</v>
      </c>
      <c r="X157" t="s">
        <v>185</v>
      </c>
      <c r="Z157" t="s">
        <v>186</v>
      </c>
      <c r="AA157">
        <v>5</v>
      </c>
      <c r="AC157" t="s">
        <v>186</v>
      </c>
      <c r="AD157">
        <v>5</v>
      </c>
      <c r="AF157" t="s">
        <v>205</v>
      </c>
      <c r="AI157" t="s">
        <v>2026</v>
      </c>
      <c r="AK157" t="s">
        <v>220</v>
      </c>
      <c r="AL157" t="s">
        <v>220</v>
      </c>
      <c r="AM157" t="s">
        <v>220</v>
      </c>
      <c r="AO157" t="s">
        <v>1900</v>
      </c>
      <c r="AP157" t="s">
        <v>54</v>
      </c>
      <c r="AQ157" t="s">
        <v>355</v>
      </c>
      <c r="AR157" t="s">
        <v>355</v>
      </c>
      <c r="AS157" t="s">
        <v>355</v>
      </c>
      <c r="AT157" t="s">
        <v>354</v>
      </c>
      <c r="AU157" t="s">
        <v>180</v>
      </c>
      <c r="AV157" t="s">
        <v>355</v>
      </c>
      <c r="AW157" t="s">
        <v>180</v>
      </c>
      <c r="AY157" t="s">
        <v>192</v>
      </c>
      <c r="BB157" t="s">
        <v>192</v>
      </c>
      <c r="BE157" t="s">
        <v>192</v>
      </c>
      <c r="BH157">
        <v>2</v>
      </c>
      <c r="BI157">
        <v>5</v>
      </c>
      <c r="BJ157">
        <v>4</v>
      </c>
      <c r="BK157">
        <v>3</v>
      </c>
      <c r="BL157">
        <v>1</v>
      </c>
      <c r="BM157">
        <v>6</v>
      </c>
      <c r="BN157">
        <v>7</v>
      </c>
      <c r="BP157" t="s">
        <v>193</v>
      </c>
    </row>
    <row r="158" spans="1:68">
      <c r="A158" s="4">
        <v>377459760802</v>
      </c>
      <c r="B158" s="4" t="s">
        <v>2027</v>
      </c>
      <c r="C158" s="1" t="s">
        <v>245</v>
      </c>
      <c r="D158" s="5" t="str">
        <f t="shared" si="12"/>
        <v>0</v>
      </c>
      <c r="E158" s="5" t="str">
        <f>IFERROR(IF(VLOOKUP(A158,Base!AA:AA,1,0)&gt;0,"1","0"),"0")</f>
        <v>0</v>
      </c>
      <c r="F158" s="5" t="str">
        <f t="shared" si="13"/>
        <v>-</v>
      </c>
      <c r="G158" s="5" t="str">
        <f t="shared" si="14"/>
        <v>0</v>
      </c>
      <c r="H158" t="s">
        <v>2028</v>
      </c>
      <c r="I158" t="s">
        <v>2029</v>
      </c>
      <c r="K158" t="s">
        <v>2027</v>
      </c>
      <c r="L158" t="s">
        <v>2030</v>
      </c>
      <c r="M158" t="s">
        <v>2031</v>
      </c>
      <c r="N158" t="s">
        <v>2032</v>
      </c>
      <c r="O158" t="s">
        <v>215</v>
      </c>
      <c r="P158" t="s">
        <v>178</v>
      </c>
      <c r="Q158" t="s">
        <v>178</v>
      </c>
      <c r="R158" t="s">
        <v>180</v>
      </c>
      <c r="S158" t="s">
        <v>181</v>
      </c>
      <c r="T158" t="s">
        <v>216</v>
      </c>
      <c r="U158" t="s">
        <v>2033</v>
      </c>
      <c r="V158" t="s">
        <v>2034</v>
      </c>
      <c r="W158" t="s">
        <v>184</v>
      </c>
      <c r="X158" t="s">
        <v>2035</v>
      </c>
      <c r="Z158" t="s">
        <v>205</v>
      </c>
      <c r="AC158" t="s">
        <v>186</v>
      </c>
      <c r="AD158">
        <v>5</v>
      </c>
      <c r="AF158" t="s">
        <v>205</v>
      </c>
      <c r="AI158" t="s">
        <v>2036</v>
      </c>
      <c r="AK158" t="s">
        <v>189</v>
      </c>
      <c r="AL158" t="s">
        <v>188</v>
      </c>
      <c r="AM158" t="s">
        <v>189</v>
      </c>
      <c r="AN158" t="s">
        <v>2037</v>
      </c>
      <c r="AO158" t="s">
        <v>2038</v>
      </c>
      <c r="AP158" t="s">
        <v>179</v>
      </c>
      <c r="AQ158" t="s">
        <v>180</v>
      </c>
      <c r="AR158" t="s">
        <v>180</v>
      </c>
      <c r="AS158" t="s">
        <v>180</v>
      </c>
      <c r="AT158" t="s">
        <v>180</v>
      </c>
      <c r="AU158" t="s">
        <v>180</v>
      </c>
      <c r="AV158" t="s">
        <v>180</v>
      </c>
      <c r="AW158" t="s">
        <v>180</v>
      </c>
      <c r="AY158" t="s">
        <v>191</v>
      </c>
      <c r="AZ158" t="s">
        <v>178</v>
      </c>
      <c r="BA158" t="s">
        <v>2039</v>
      </c>
      <c r="BB158" t="s">
        <v>192</v>
      </c>
      <c r="BE158" t="s">
        <v>192</v>
      </c>
      <c r="BH158">
        <v>4</v>
      </c>
      <c r="BI158">
        <v>1</v>
      </c>
      <c r="BJ158">
        <v>7</v>
      </c>
      <c r="BK158">
        <v>5</v>
      </c>
      <c r="BL158">
        <v>2</v>
      </c>
      <c r="BM158">
        <v>3</v>
      </c>
      <c r="BN158">
        <v>6</v>
      </c>
      <c r="BP158" t="s">
        <v>193</v>
      </c>
    </row>
    <row r="159" spans="1:68">
      <c r="A159" s="4">
        <v>98998632802</v>
      </c>
      <c r="B159" s="4" t="s">
        <v>2040</v>
      </c>
      <c r="C159" s="1" t="s">
        <v>100</v>
      </c>
      <c r="D159" s="5" t="str">
        <f t="shared" si="12"/>
        <v>1</v>
      </c>
      <c r="E159" s="5" t="str">
        <f>IFERROR(IF(VLOOKUP(A159,Base!AA:AA,1,0)&gt;0,"1","0"),"0")</f>
        <v>1</v>
      </c>
      <c r="F159" s="5" t="str">
        <f t="shared" si="13"/>
        <v>-</v>
      </c>
      <c r="G159" s="5" t="str">
        <f t="shared" si="14"/>
        <v>0</v>
      </c>
      <c r="H159" t="s">
        <v>2041</v>
      </c>
      <c r="I159" t="s">
        <v>2042</v>
      </c>
      <c r="K159" t="s">
        <v>2043</v>
      </c>
      <c r="L159" t="s">
        <v>2044</v>
      </c>
      <c r="M159" t="s">
        <v>2045</v>
      </c>
      <c r="N159" t="s">
        <v>2046</v>
      </c>
      <c r="O159" t="s">
        <v>215</v>
      </c>
      <c r="P159" t="s">
        <v>179</v>
      </c>
      <c r="Q159" t="s">
        <v>179</v>
      </c>
      <c r="R159" t="s">
        <v>180</v>
      </c>
      <c r="S159" t="s">
        <v>181</v>
      </c>
      <c r="T159" t="s">
        <v>216</v>
      </c>
      <c r="V159" t="s">
        <v>937</v>
      </c>
      <c r="W159" t="s">
        <v>179</v>
      </c>
      <c r="X159" t="s">
        <v>185</v>
      </c>
      <c r="Z159" t="s">
        <v>186</v>
      </c>
      <c r="AA159">
        <v>5</v>
      </c>
      <c r="AC159" t="s">
        <v>186</v>
      </c>
      <c r="AD159">
        <v>5</v>
      </c>
      <c r="AF159" t="s">
        <v>205</v>
      </c>
      <c r="AI159" t="s">
        <v>2047</v>
      </c>
      <c r="AK159" t="s">
        <v>189</v>
      </c>
      <c r="AL159" t="s">
        <v>189</v>
      </c>
      <c r="AM159" t="s">
        <v>188</v>
      </c>
      <c r="AO159" t="s">
        <v>309</v>
      </c>
      <c r="AP159" t="s">
        <v>179</v>
      </c>
      <c r="AQ159" t="s">
        <v>180</v>
      </c>
      <c r="AR159" t="s">
        <v>254</v>
      </c>
      <c r="AS159" t="s">
        <v>180</v>
      </c>
      <c r="AT159" t="s">
        <v>180</v>
      </c>
      <c r="AU159" t="s">
        <v>180</v>
      </c>
      <c r="AV159" t="s">
        <v>180</v>
      </c>
      <c r="AW159" t="s">
        <v>180</v>
      </c>
      <c r="AY159" t="s">
        <v>192</v>
      </c>
      <c r="BB159" t="s">
        <v>192</v>
      </c>
      <c r="BE159" t="s">
        <v>192</v>
      </c>
      <c r="BH159">
        <v>4</v>
      </c>
      <c r="BI159">
        <v>7</v>
      </c>
      <c r="BJ159">
        <v>5</v>
      </c>
      <c r="BK159">
        <v>2</v>
      </c>
      <c r="BL159">
        <v>3</v>
      </c>
      <c r="BM159">
        <v>1</v>
      </c>
      <c r="BN159">
        <v>6</v>
      </c>
      <c r="BP159" t="s">
        <v>193</v>
      </c>
    </row>
    <row r="160" spans="1:68">
      <c r="A160" s="4">
        <v>58318994402</v>
      </c>
      <c r="B160" s="4" t="s">
        <v>2048</v>
      </c>
      <c r="C160" s="1" t="s">
        <v>245</v>
      </c>
      <c r="D160" s="5" t="str">
        <f t="shared" si="12"/>
        <v>0</v>
      </c>
      <c r="E160" s="5" t="str">
        <f>IFERROR(IF(VLOOKUP(A160,Base!AA:AA,1,0)&gt;0,"1","0"),"0")</f>
        <v>0</v>
      </c>
      <c r="F160" s="5" t="str">
        <f t="shared" si="13"/>
        <v>-</v>
      </c>
      <c r="G160" s="5" t="str">
        <f t="shared" si="14"/>
        <v>0</v>
      </c>
      <c r="H160" t="s">
        <v>2049</v>
      </c>
      <c r="I160" t="s">
        <v>2050</v>
      </c>
      <c r="K160" t="s">
        <v>2048</v>
      </c>
      <c r="L160">
        <v>58318994402</v>
      </c>
      <c r="M160" t="s">
        <v>2051</v>
      </c>
      <c r="N160" t="s">
        <v>2052</v>
      </c>
      <c r="O160" t="s">
        <v>215</v>
      </c>
      <c r="P160" t="s">
        <v>178</v>
      </c>
      <c r="Q160" t="s">
        <v>178</v>
      </c>
      <c r="R160" t="s">
        <v>180</v>
      </c>
      <c r="S160" t="s">
        <v>181</v>
      </c>
      <c r="T160" t="s">
        <v>926</v>
      </c>
      <c r="V160" t="s">
        <v>472</v>
      </c>
      <c r="W160" t="s">
        <v>184</v>
      </c>
      <c r="X160" t="s">
        <v>185</v>
      </c>
      <c r="Z160" t="s">
        <v>186</v>
      </c>
      <c r="AA160">
        <v>4</v>
      </c>
      <c r="AC160" t="s">
        <v>186</v>
      </c>
      <c r="AD160">
        <v>4</v>
      </c>
      <c r="AF160" t="s">
        <v>205</v>
      </c>
      <c r="AI160" t="s">
        <v>2053</v>
      </c>
      <c r="AK160" t="s">
        <v>188</v>
      </c>
      <c r="AL160" t="s">
        <v>188</v>
      </c>
      <c r="AM160" t="s">
        <v>252</v>
      </c>
      <c r="AN160" t="s">
        <v>2054</v>
      </c>
      <c r="AO160" t="s">
        <v>266</v>
      </c>
      <c r="AP160" t="s">
        <v>178</v>
      </c>
      <c r="AQ160" t="s">
        <v>180</v>
      </c>
      <c r="AR160" t="s">
        <v>180</v>
      </c>
      <c r="AS160" t="s">
        <v>180</v>
      </c>
      <c r="AT160" t="s">
        <v>180</v>
      </c>
      <c r="AU160" t="s">
        <v>180</v>
      </c>
      <c r="AV160" t="s">
        <v>254</v>
      </c>
      <c r="AW160" t="s">
        <v>180</v>
      </c>
      <c r="AY160" t="s">
        <v>192</v>
      </c>
      <c r="BB160" t="s">
        <v>192</v>
      </c>
      <c r="BE160" t="s">
        <v>191</v>
      </c>
      <c r="BF160" t="s">
        <v>54</v>
      </c>
      <c r="BH160">
        <v>2</v>
      </c>
      <c r="BI160">
        <v>7</v>
      </c>
      <c r="BJ160">
        <v>3</v>
      </c>
      <c r="BK160">
        <v>5</v>
      </c>
      <c r="BL160">
        <v>1</v>
      </c>
      <c r="BM160">
        <v>4</v>
      </c>
      <c r="BN160">
        <v>6</v>
      </c>
      <c r="BP160" t="s">
        <v>193</v>
      </c>
    </row>
    <row r="161" spans="1:68">
      <c r="A161" s="4">
        <v>12650981605</v>
      </c>
      <c r="B161" s="4" t="s">
        <v>2055</v>
      </c>
      <c r="C161" s="1" t="s">
        <v>245</v>
      </c>
      <c r="D161" s="5" t="str">
        <f t="shared" si="12"/>
        <v>0</v>
      </c>
      <c r="E161" s="5" t="str">
        <f>IFERROR(IF(VLOOKUP(A161,Base!AA:AA,1,0)&gt;0,"1","0"),"0")</f>
        <v>0</v>
      </c>
      <c r="F161" s="5" t="str">
        <f t="shared" si="13"/>
        <v>-</v>
      </c>
      <c r="G161" s="5" t="str">
        <f t="shared" si="14"/>
        <v>0</v>
      </c>
      <c r="H161" t="s">
        <v>2056</v>
      </c>
      <c r="I161" t="s">
        <v>2057</v>
      </c>
      <c r="K161" t="s">
        <v>2058</v>
      </c>
      <c r="L161" t="s">
        <v>2059</v>
      </c>
      <c r="M161" t="s">
        <v>2060</v>
      </c>
      <c r="N161" t="s">
        <v>2061</v>
      </c>
      <c r="O161" t="s">
        <v>215</v>
      </c>
      <c r="P161" t="s">
        <v>179</v>
      </c>
      <c r="Q161" t="s">
        <v>179</v>
      </c>
      <c r="R161" t="s">
        <v>180</v>
      </c>
      <c r="S161" t="s">
        <v>181</v>
      </c>
      <c r="T161" t="s">
        <v>1770</v>
      </c>
      <c r="U161" t="s">
        <v>2062</v>
      </c>
      <c r="V161" t="s">
        <v>472</v>
      </c>
      <c r="W161" t="s">
        <v>179</v>
      </c>
      <c r="X161" t="s">
        <v>185</v>
      </c>
      <c r="Y161" t="s">
        <v>2063</v>
      </c>
      <c r="Z161" t="s">
        <v>205</v>
      </c>
      <c r="AC161" t="s">
        <v>205</v>
      </c>
      <c r="AF161" t="s">
        <v>205</v>
      </c>
      <c r="AI161" t="s">
        <v>2064</v>
      </c>
      <c r="AJ161" t="s">
        <v>2065</v>
      </c>
      <c r="AK161" t="s">
        <v>189</v>
      </c>
      <c r="AL161" t="s">
        <v>188</v>
      </c>
      <c r="AM161" t="s">
        <v>188</v>
      </c>
      <c r="AN161" t="s">
        <v>2066</v>
      </c>
      <c r="AO161" t="s">
        <v>2067</v>
      </c>
      <c r="AP161" t="s">
        <v>179</v>
      </c>
      <c r="AQ161" t="s">
        <v>180</v>
      </c>
      <c r="AR161" t="s">
        <v>180</v>
      </c>
      <c r="AS161" t="s">
        <v>180</v>
      </c>
      <c r="AT161" t="s">
        <v>180</v>
      </c>
      <c r="AU161" t="s">
        <v>180</v>
      </c>
      <c r="AV161" t="s">
        <v>180</v>
      </c>
      <c r="AW161" t="s">
        <v>180</v>
      </c>
      <c r="AX161" t="s">
        <v>2068</v>
      </c>
      <c r="AY161" t="s">
        <v>192</v>
      </c>
      <c r="BB161" t="s">
        <v>192</v>
      </c>
      <c r="BE161" t="s">
        <v>192</v>
      </c>
      <c r="BH161">
        <v>4</v>
      </c>
      <c r="BI161">
        <v>5</v>
      </c>
      <c r="BJ161">
        <v>6</v>
      </c>
      <c r="BK161">
        <v>2</v>
      </c>
      <c r="BL161">
        <v>1</v>
      </c>
      <c r="BM161">
        <v>7</v>
      </c>
      <c r="BN161">
        <v>3</v>
      </c>
      <c r="BO161" t="s">
        <v>2069</v>
      </c>
      <c r="BP161" t="s">
        <v>193</v>
      </c>
    </row>
    <row r="162" spans="1:68">
      <c r="A162" s="4">
        <v>589580604602</v>
      </c>
      <c r="B162" s="4" t="s">
        <v>2070</v>
      </c>
      <c r="C162" s="1" t="s">
        <v>39</v>
      </c>
      <c r="D162" s="5" t="str">
        <f t="shared" si="12"/>
        <v>1</v>
      </c>
      <c r="E162" s="5" t="str">
        <f>IFERROR(IF(VLOOKUP(A162,Base!AA:AA,1,0)&gt;0,"1","0"),"0")</f>
        <v>1</v>
      </c>
      <c r="F162" s="5" t="str">
        <f t="shared" si="13"/>
        <v>1</v>
      </c>
      <c r="G162" s="5" t="str">
        <f t="shared" si="14"/>
        <v>1</v>
      </c>
      <c r="H162" t="s">
        <v>2071</v>
      </c>
      <c r="I162" t="s">
        <v>2072</v>
      </c>
      <c r="K162" t="s">
        <v>2073</v>
      </c>
      <c r="L162" t="s">
        <v>2074</v>
      </c>
      <c r="M162" t="s">
        <v>2075</v>
      </c>
      <c r="N162" t="s">
        <v>2076</v>
      </c>
      <c r="O162" t="s">
        <v>215</v>
      </c>
      <c r="P162" t="s">
        <v>178</v>
      </c>
      <c r="Q162" t="s">
        <v>179</v>
      </c>
      <c r="R162" t="s">
        <v>180</v>
      </c>
      <c r="S162" t="s">
        <v>202</v>
      </c>
      <c r="T162" t="s">
        <v>216</v>
      </c>
      <c r="V162" t="s">
        <v>292</v>
      </c>
      <c r="W162" t="s">
        <v>179</v>
      </c>
      <c r="X162" t="s">
        <v>185</v>
      </c>
      <c r="Z162" t="s">
        <v>186</v>
      </c>
      <c r="AA162">
        <v>4</v>
      </c>
      <c r="AB162" t="s">
        <v>2077</v>
      </c>
      <c r="AC162" t="s">
        <v>186</v>
      </c>
      <c r="AD162">
        <v>5</v>
      </c>
      <c r="AF162" t="s">
        <v>205</v>
      </c>
      <c r="AI162" t="s">
        <v>2078</v>
      </c>
      <c r="AK162" t="s">
        <v>189</v>
      </c>
      <c r="AL162" t="s">
        <v>188</v>
      </c>
      <c r="AM162" t="s">
        <v>252</v>
      </c>
      <c r="AN162" t="s">
        <v>2079</v>
      </c>
      <c r="AO162" t="s">
        <v>2080</v>
      </c>
      <c r="AP162" t="s">
        <v>55</v>
      </c>
      <c r="AQ162" t="s">
        <v>254</v>
      </c>
      <c r="AR162" t="s">
        <v>355</v>
      </c>
      <c r="AS162" t="s">
        <v>254</v>
      </c>
      <c r="AT162" t="s">
        <v>355</v>
      </c>
      <c r="AU162" t="s">
        <v>254</v>
      </c>
      <c r="AV162" t="s">
        <v>354</v>
      </c>
      <c r="AW162" t="s">
        <v>354</v>
      </c>
      <c r="AX162" t="s">
        <v>2081</v>
      </c>
      <c r="AY162" t="s">
        <v>191</v>
      </c>
      <c r="AZ162" t="s">
        <v>179</v>
      </c>
      <c r="BA162" t="s">
        <v>2082</v>
      </c>
      <c r="BB162" t="s">
        <v>191</v>
      </c>
      <c r="BC162" t="s">
        <v>178</v>
      </c>
      <c r="BD162" t="s">
        <v>2083</v>
      </c>
      <c r="BE162" t="s">
        <v>192</v>
      </c>
      <c r="BH162">
        <v>6</v>
      </c>
      <c r="BI162">
        <v>7</v>
      </c>
      <c r="BJ162">
        <v>4</v>
      </c>
      <c r="BK162">
        <v>1</v>
      </c>
      <c r="BL162">
        <v>3</v>
      </c>
      <c r="BM162">
        <v>5</v>
      </c>
      <c r="BN162">
        <v>2</v>
      </c>
      <c r="BO162" t="s">
        <v>2084</v>
      </c>
      <c r="BP162" t="s">
        <v>193</v>
      </c>
    </row>
    <row r="163" spans="1:68">
      <c r="A163" s="4">
        <v>118772541402</v>
      </c>
      <c r="B163" s="4" t="s">
        <v>2085</v>
      </c>
      <c r="C163" s="1" t="s">
        <v>245</v>
      </c>
      <c r="D163" s="5" t="str">
        <f t="shared" ref="D163:D179" si="15">IF(C163="","0","1")</f>
        <v>0</v>
      </c>
      <c r="E163" s="5" t="str">
        <f>IFERROR(IF(VLOOKUP(A163,Base!AA:AA,1,0)&gt;0,"1","0"),"0")</f>
        <v>0</v>
      </c>
      <c r="F163" s="5" t="str">
        <f t="shared" ref="F163:F179" si="16">IF(OR(C163="",E163="0"),"-",IF(BC163="","-",IF(OR(BC163="Muito satisfeito",BC163="Satisfeito"),"1","0")))</f>
        <v>-</v>
      </c>
      <c r="G163" s="5" t="str">
        <f t="shared" ref="G163:G179" si="17">IF(BC163="","0","1")</f>
        <v>1</v>
      </c>
      <c r="H163" t="s">
        <v>2086</v>
      </c>
      <c r="I163" t="s">
        <v>2087</v>
      </c>
      <c r="K163" t="s">
        <v>2088</v>
      </c>
      <c r="L163" t="s">
        <v>2089</v>
      </c>
      <c r="M163" t="s">
        <v>2090</v>
      </c>
      <c r="N163" t="s">
        <v>2091</v>
      </c>
      <c r="O163" t="s">
        <v>201</v>
      </c>
      <c r="P163" t="s">
        <v>179</v>
      </c>
      <c r="Q163" t="s">
        <v>178</v>
      </c>
      <c r="R163" t="s">
        <v>254</v>
      </c>
      <c r="S163" t="s">
        <v>202</v>
      </c>
      <c r="T163" t="s">
        <v>2092</v>
      </c>
      <c r="V163" t="s">
        <v>190</v>
      </c>
      <c r="W163" t="s">
        <v>594</v>
      </c>
      <c r="X163" t="s">
        <v>2093</v>
      </c>
      <c r="Z163" t="s">
        <v>205</v>
      </c>
      <c r="AC163" t="s">
        <v>186</v>
      </c>
      <c r="AD163">
        <v>2</v>
      </c>
      <c r="AE163" t="s">
        <v>2094</v>
      </c>
      <c r="AF163" t="s">
        <v>186</v>
      </c>
      <c r="AG163">
        <v>3</v>
      </c>
      <c r="AI163" t="s">
        <v>2095</v>
      </c>
      <c r="AK163" t="s">
        <v>188</v>
      </c>
      <c r="AL163" t="s">
        <v>188</v>
      </c>
      <c r="AM163" t="s">
        <v>188</v>
      </c>
      <c r="AN163" t="s">
        <v>2096</v>
      </c>
      <c r="AO163" t="s">
        <v>1579</v>
      </c>
      <c r="AP163" t="s">
        <v>179</v>
      </c>
      <c r="AQ163" t="s">
        <v>180</v>
      </c>
      <c r="AR163" t="s">
        <v>254</v>
      </c>
      <c r="AS163" t="s">
        <v>180</v>
      </c>
      <c r="AT163" t="s">
        <v>180</v>
      </c>
      <c r="AU163" t="s">
        <v>180</v>
      </c>
      <c r="AV163" t="s">
        <v>180</v>
      </c>
      <c r="AW163" t="s">
        <v>180</v>
      </c>
      <c r="AX163" t="s">
        <v>2097</v>
      </c>
      <c r="AY163" t="s">
        <v>191</v>
      </c>
      <c r="AZ163" t="s">
        <v>178</v>
      </c>
      <c r="BB163" t="s">
        <v>191</v>
      </c>
      <c r="BC163" t="s">
        <v>179</v>
      </c>
      <c r="BE163" t="s">
        <v>191</v>
      </c>
      <c r="BF163" t="s">
        <v>179</v>
      </c>
      <c r="BG163" t="s">
        <v>2098</v>
      </c>
      <c r="BH163">
        <v>2</v>
      </c>
      <c r="BI163">
        <v>6</v>
      </c>
      <c r="BJ163">
        <v>7</v>
      </c>
      <c r="BK163">
        <v>4</v>
      </c>
      <c r="BL163">
        <v>1</v>
      </c>
      <c r="BM163">
        <v>5</v>
      </c>
      <c r="BN163">
        <v>3</v>
      </c>
      <c r="BP163" t="s">
        <v>193</v>
      </c>
    </row>
    <row r="164" spans="1:68">
      <c r="A164" s="4">
        <v>150738856702</v>
      </c>
      <c r="B164" s="4" t="s">
        <v>2099</v>
      </c>
      <c r="C164" s="1" t="s">
        <v>245</v>
      </c>
      <c r="D164" s="5" t="str">
        <f t="shared" si="15"/>
        <v>0</v>
      </c>
      <c r="E164" s="5" t="str">
        <f>IFERROR(IF(VLOOKUP(A164,Base!AA:AA,1,0)&gt;0,"1","0"),"0")</f>
        <v>0</v>
      </c>
      <c r="F164" s="5" t="str">
        <f t="shared" si="16"/>
        <v>-</v>
      </c>
      <c r="G164" s="5" t="str">
        <f t="shared" si="17"/>
        <v>1</v>
      </c>
      <c r="H164" t="s">
        <v>2100</v>
      </c>
      <c r="I164" t="s">
        <v>2101</v>
      </c>
      <c r="K164" t="s">
        <v>2102</v>
      </c>
      <c r="L164" t="s">
        <v>2103</v>
      </c>
      <c r="M164" t="s">
        <v>2104</v>
      </c>
      <c r="N164" t="s">
        <v>2105</v>
      </c>
      <c r="O164" t="s">
        <v>201</v>
      </c>
      <c r="P164" t="s">
        <v>178</v>
      </c>
      <c r="Q164" t="s">
        <v>178</v>
      </c>
      <c r="R164" t="s">
        <v>254</v>
      </c>
      <c r="S164" t="s">
        <v>202</v>
      </c>
      <c r="T164" t="s">
        <v>2106</v>
      </c>
      <c r="V164" t="s">
        <v>1439</v>
      </c>
      <c r="W164" t="s">
        <v>594</v>
      </c>
      <c r="X164" t="s">
        <v>2107</v>
      </c>
      <c r="Z164" t="s">
        <v>205</v>
      </c>
      <c r="AC164" t="s">
        <v>205</v>
      </c>
      <c r="AF164" t="s">
        <v>205</v>
      </c>
      <c r="AI164" t="s">
        <v>2108</v>
      </c>
      <c r="AK164" t="s">
        <v>189</v>
      </c>
      <c r="AL164" t="s">
        <v>189</v>
      </c>
      <c r="AM164" t="s">
        <v>189</v>
      </c>
      <c r="AO164" t="s">
        <v>243</v>
      </c>
      <c r="AP164" t="s">
        <v>178</v>
      </c>
      <c r="AQ164" t="s">
        <v>254</v>
      </c>
      <c r="AR164" t="s">
        <v>180</v>
      </c>
      <c r="AS164" t="s">
        <v>180</v>
      </c>
      <c r="AT164" t="s">
        <v>180</v>
      </c>
      <c r="AU164" t="s">
        <v>180</v>
      </c>
      <c r="AV164" t="s">
        <v>180</v>
      </c>
      <c r="AW164" t="s">
        <v>180</v>
      </c>
      <c r="AY164" t="s">
        <v>192</v>
      </c>
      <c r="BB164" t="s">
        <v>191</v>
      </c>
      <c r="BC164" t="s">
        <v>178</v>
      </c>
      <c r="BE164" t="s">
        <v>192</v>
      </c>
      <c r="BH164">
        <v>7</v>
      </c>
      <c r="BI164">
        <v>5</v>
      </c>
      <c r="BJ164">
        <v>6</v>
      </c>
      <c r="BK164">
        <v>1</v>
      </c>
      <c r="BL164">
        <v>3</v>
      </c>
      <c r="BM164">
        <v>2</v>
      </c>
      <c r="BN164">
        <v>4</v>
      </c>
      <c r="BP164" t="s">
        <v>193</v>
      </c>
    </row>
    <row r="165" spans="1:68">
      <c r="A165" s="4">
        <v>159666680002</v>
      </c>
      <c r="B165" s="4" t="s">
        <v>2109</v>
      </c>
      <c r="C165" s="1" t="s">
        <v>100</v>
      </c>
      <c r="D165" s="5" t="str">
        <f t="shared" si="15"/>
        <v>1</v>
      </c>
      <c r="E165" s="5" t="str">
        <f>IFERROR(IF(VLOOKUP(A165,Base!AA:AA,1,0)&gt;0,"1","0"),"0")</f>
        <v>1</v>
      </c>
      <c r="F165" s="5" t="str">
        <f t="shared" si="16"/>
        <v>1</v>
      </c>
      <c r="G165" s="5" t="str">
        <f t="shared" si="17"/>
        <v>1</v>
      </c>
      <c r="H165" t="s">
        <v>2110</v>
      </c>
      <c r="I165" t="s">
        <v>2111</v>
      </c>
      <c r="K165" t="s">
        <v>2112</v>
      </c>
      <c r="L165" t="s">
        <v>2113</v>
      </c>
      <c r="M165" t="s">
        <v>2114</v>
      </c>
      <c r="N165" t="s">
        <v>2115</v>
      </c>
      <c r="O165" t="s">
        <v>177</v>
      </c>
      <c r="P165" t="s">
        <v>54</v>
      </c>
      <c r="Q165" t="s">
        <v>179</v>
      </c>
      <c r="R165" t="s">
        <v>254</v>
      </c>
      <c r="S165" t="s">
        <v>202</v>
      </c>
      <c r="T165" t="s">
        <v>2116</v>
      </c>
      <c r="V165" t="s">
        <v>282</v>
      </c>
      <c r="W165" t="s">
        <v>179</v>
      </c>
      <c r="X165" t="s">
        <v>185</v>
      </c>
      <c r="Z165" t="s">
        <v>186</v>
      </c>
      <c r="AA165">
        <v>4</v>
      </c>
      <c r="AC165" t="s">
        <v>186</v>
      </c>
      <c r="AD165">
        <v>4</v>
      </c>
      <c r="AF165" t="s">
        <v>205</v>
      </c>
      <c r="AI165" t="s">
        <v>2117</v>
      </c>
      <c r="AK165" t="s">
        <v>188</v>
      </c>
      <c r="AL165" t="s">
        <v>188</v>
      </c>
      <c r="AM165" t="s">
        <v>220</v>
      </c>
      <c r="AO165" t="s">
        <v>266</v>
      </c>
      <c r="AP165" t="s">
        <v>178</v>
      </c>
      <c r="AQ165" t="s">
        <v>254</v>
      </c>
      <c r="AR165" t="s">
        <v>254</v>
      </c>
      <c r="AS165" t="s">
        <v>180</v>
      </c>
      <c r="AT165" t="s">
        <v>254</v>
      </c>
      <c r="AU165" t="s">
        <v>180</v>
      </c>
      <c r="AV165" t="s">
        <v>180</v>
      </c>
      <c r="AW165" t="s">
        <v>180</v>
      </c>
      <c r="AY165" t="s">
        <v>191</v>
      </c>
      <c r="AZ165" t="s">
        <v>178</v>
      </c>
      <c r="BB165" t="s">
        <v>191</v>
      </c>
      <c r="BC165" t="s">
        <v>178</v>
      </c>
      <c r="BE165" t="s">
        <v>191</v>
      </c>
      <c r="BF165" t="s">
        <v>178</v>
      </c>
      <c r="BH165">
        <v>2</v>
      </c>
      <c r="BI165">
        <v>4</v>
      </c>
      <c r="BJ165">
        <v>3</v>
      </c>
      <c r="BK165">
        <v>7</v>
      </c>
      <c r="BL165">
        <v>1</v>
      </c>
      <c r="BM165">
        <v>5</v>
      </c>
      <c r="BN165">
        <v>6</v>
      </c>
      <c r="BP165" t="s">
        <v>193</v>
      </c>
    </row>
    <row r="166" spans="1:68">
      <c r="A166" s="4">
        <v>97759973202</v>
      </c>
      <c r="B166" s="4" t="s">
        <v>2118</v>
      </c>
      <c r="C166" s="1" t="s">
        <v>100</v>
      </c>
      <c r="D166" s="5" t="str">
        <f t="shared" si="15"/>
        <v>1</v>
      </c>
      <c r="E166" s="5" t="str">
        <f>IFERROR(IF(VLOOKUP(A166,Base!AA:AA,1,0)&gt;0,"1","0"),"0")</f>
        <v>1</v>
      </c>
      <c r="F166" s="5" t="str">
        <f t="shared" si="16"/>
        <v>-</v>
      </c>
      <c r="G166" s="5" t="str">
        <f t="shared" si="17"/>
        <v>0</v>
      </c>
      <c r="H166" t="s">
        <v>2119</v>
      </c>
      <c r="I166" t="s">
        <v>2120</v>
      </c>
      <c r="K166" t="s">
        <v>2121</v>
      </c>
      <c r="L166" t="s">
        <v>2122</v>
      </c>
      <c r="M166" t="s">
        <v>2123</v>
      </c>
      <c r="N166" t="s">
        <v>2124</v>
      </c>
      <c r="O166" t="s">
        <v>201</v>
      </c>
      <c r="P166" t="s">
        <v>179</v>
      </c>
      <c r="Q166" t="s">
        <v>179</v>
      </c>
      <c r="R166" t="s">
        <v>180</v>
      </c>
      <c r="S166" t="s">
        <v>202</v>
      </c>
      <c r="T166" t="s">
        <v>607</v>
      </c>
      <c r="V166" t="s">
        <v>282</v>
      </c>
      <c r="W166" t="s">
        <v>184</v>
      </c>
      <c r="X166" t="s">
        <v>185</v>
      </c>
      <c r="Z166" t="s">
        <v>186</v>
      </c>
      <c r="AA166">
        <v>5</v>
      </c>
      <c r="AC166" t="s">
        <v>186</v>
      </c>
      <c r="AD166">
        <v>5</v>
      </c>
      <c r="AE166" t="s">
        <v>2125</v>
      </c>
      <c r="AF166" t="s">
        <v>186</v>
      </c>
      <c r="AG166">
        <v>4</v>
      </c>
      <c r="AI166" t="s">
        <v>744</v>
      </c>
      <c r="AK166" t="s">
        <v>189</v>
      </c>
      <c r="AL166" t="s">
        <v>188</v>
      </c>
      <c r="AM166" t="s">
        <v>189</v>
      </c>
      <c r="AN166" t="s">
        <v>2126</v>
      </c>
      <c r="AO166" t="s">
        <v>282</v>
      </c>
      <c r="AP166" t="s">
        <v>179</v>
      </c>
      <c r="AQ166" t="s">
        <v>375</v>
      </c>
      <c r="AR166" t="s">
        <v>375</v>
      </c>
      <c r="AS166" t="s">
        <v>375</v>
      </c>
      <c r="AT166" t="s">
        <v>375</v>
      </c>
      <c r="AU166" t="s">
        <v>375</v>
      </c>
      <c r="AV166" t="s">
        <v>375</v>
      </c>
      <c r="AW166" t="s">
        <v>375</v>
      </c>
      <c r="AX166" t="s">
        <v>2127</v>
      </c>
      <c r="AY166" t="s">
        <v>191</v>
      </c>
      <c r="AZ166" t="s">
        <v>54</v>
      </c>
      <c r="BA166" t="s">
        <v>2128</v>
      </c>
      <c r="BB166" t="s">
        <v>192</v>
      </c>
      <c r="BE166" t="s">
        <v>192</v>
      </c>
      <c r="BH166">
        <v>2</v>
      </c>
      <c r="BI166">
        <v>3</v>
      </c>
      <c r="BJ166">
        <v>4</v>
      </c>
      <c r="BK166">
        <v>5</v>
      </c>
      <c r="BL166">
        <v>6</v>
      </c>
      <c r="BM166">
        <v>1</v>
      </c>
      <c r="BN166">
        <v>7</v>
      </c>
      <c r="BO166" t="s">
        <v>2129</v>
      </c>
      <c r="BP166" t="s">
        <v>193</v>
      </c>
    </row>
    <row r="167" spans="1:68">
      <c r="A167" s="4">
        <v>301392154502</v>
      </c>
      <c r="B167" s="4" t="s">
        <v>2130</v>
      </c>
      <c r="C167" s="1" t="s">
        <v>245</v>
      </c>
      <c r="D167" s="5" t="str">
        <f t="shared" si="15"/>
        <v>0</v>
      </c>
      <c r="E167" s="5" t="str">
        <f>IFERROR(IF(VLOOKUP(A167,Base!AA:AA,1,0)&gt;0,"1","0"),"0")</f>
        <v>0</v>
      </c>
      <c r="F167" s="5" t="str">
        <f t="shared" si="16"/>
        <v>-</v>
      </c>
      <c r="G167" s="5" t="str">
        <f t="shared" si="17"/>
        <v>1</v>
      </c>
      <c r="H167" t="s">
        <v>2131</v>
      </c>
      <c r="I167" t="s">
        <v>2132</v>
      </c>
      <c r="K167" t="s">
        <v>2133</v>
      </c>
      <c r="L167" t="s">
        <v>2134</v>
      </c>
      <c r="M167" t="s">
        <v>2135</v>
      </c>
      <c r="N167" t="s">
        <v>2136</v>
      </c>
      <c r="O167" t="s">
        <v>177</v>
      </c>
      <c r="P167" t="s">
        <v>178</v>
      </c>
      <c r="Q167" t="s">
        <v>178</v>
      </c>
      <c r="R167" t="s">
        <v>254</v>
      </c>
      <c r="S167" t="s">
        <v>202</v>
      </c>
      <c r="T167" t="s">
        <v>2137</v>
      </c>
      <c r="V167" t="s">
        <v>1702</v>
      </c>
      <c r="W167" t="s">
        <v>179</v>
      </c>
      <c r="X167" t="s">
        <v>1938</v>
      </c>
      <c r="Z167" t="s">
        <v>186</v>
      </c>
      <c r="AA167">
        <v>2</v>
      </c>
      <c r="AC167" t="s">
        <v>186</v>
      </c>
      <c r="AD167">
        <v>4</v>
      </c>
      <c r="AF167" t="s">
        <v>205</v>
      </c>
      <c r="AI167" t="s">
        <v>2138</v>
      </c>
      <c r="AK167" t="s">
        <v>189</v>
      </c>
      <c r="AL167" t="s">
        <v>189</v>
      </c>
      <c r="AM167" t="s">
        <v>189</v>
      </c>
      <c r="AN167" t="s">
        <v>2139</v>
      </c>
      <c r="AO167" t="s">
        <v>1296</v>
      </c>
      <c r="AP167" t="s">
        <v>56</v>
      </c>
      <c r="AQ167" t="s">
        <v>180</v>
      </c>
      <c r="AR167" t="s">
        <v>180</v>
      </c>
      <c r="AS167" t="s">
        <v>180</v>
      </c>
      <c r="AT167" t="s">
        <v>180</v>
      </c>
      <c r="AU167" t="s">
        <v>180</v>
      </c>
      <c r="AV167" t="s">
        <v>180</v>
      </c>
      <c r="AW167" t="s">
        <v>180</v>
      </c>
      <c r="AX167" t="s">
        <v>2140</v>
      </c>
      <c r="AY167" t="s">
        <v>191</v>
      </c>
      <c r="AZ167" t="s">
        <v>178</v>
      </c>
      <c r="BB167" t="s">
        <v>191</v>
      </c>
      <c r="BC167" t="s">
        <v>56</v>
      </c>
      <c r="BE167" t="s">
        <v>191</v>
      </c>
      <c r="BF167" t="s">
        <v>56</v>
      </c>
      <c r="BH167">
        <v>5</v>
      </c>
      <c r="BI167">
        <v>3</v>
      </c>
      <c r="BJ167">
        <v>2</v>
      </c>
      <c r="BK167">
        <v>7</v>
      </c>
      <c r="BL167">
        <v>4</v>
      </c>
      <c r="BM167">
        <v>6</v>
      </c>
      <c r="BN167">
        <v>1</v>
      </c>
      <c r="BP167" t="s">
        <v>193</v>
      </c>
    </row>
    <row r="168" spans="1:68">
      <c r="A168" s="4">
        <v>60769061802</v>
      </c>
      <c r="B168" s="4" t="s">
        <v>2141</v>
      </c>
      <c r="C168" s="1" t="s">
        <v>36</v>
      </c>
      <c r="D168" s="5" t="str">
        <f t="shared" si="15"/>
        <v>1</v>
      </c>
      <c r="E168" s="5" t="str">
        <f>IFERROR(IF(VLOOKUP(A168,Base!AA:AA,1,0)&gt;0,"1","0"),"0")</f>
        <v>1</v>
      </c>
      <c r="F168" s="5" t="str">
        <f t="shared" si="16"/>
        <v>0</v>
      </c>
      <c r="G168" s="5" t="str">
        <f t="shared" si="17"/>
        <v>1</v>
      </c>
      <c r="H168" t="s">
        <v>2142</v>
      </c>
      <c r="I168" t="s">
        <v>2143</v>
      </c>
      <c r="K168" t="s">
        <v>2144</v>
      </c>
      <c r="L168" t="s">
        <v>2145</v>
      </c>
      <c r="M168" t="s">
        <v>2146</v>
      </c>
      <c r="N168" t="s">
        <v>2147</v>
      </c>
      <c r="O168" t="s">
        <v>215</v>
      </c>
      <c r="P168" t="s">
        <v>179</v>
      </c>
      <c r="Q168" t="s">
        <v>179</v>
      </c>
      <c r="R168" t="s">
        <v>180</v>
      </c>
      <c r="S168" t="s">
        <v>181</v>
      </c>
      <c r="T168" t="s">
        <v>1139</v>
      </c>
      <c r="U168" t="s">
        <v>1864</v>
      </c>
      <c r="V168" t="s">
        <v>2148</v>
      </c>
      <c r="W168" t="s">
        <v>179</v>
      </c>
      <c r="X168" t="s">
        <v>185</v>
      </c>
      <c r="Y168" t="s">
        <v>1864</v>
      </c>
      <c r="Z168" t="s">
        <v>205</v>
      </c>
      <c r="AC168" t="s">
        <v>205</v>
      </c>
      <c r="AF168" t="s">
        <v>205</v>
      </c>
      <c r="AI168" t="s">
        <v>1535</v>
      </c>
      <c r="AJ168" t="s">
        <v>2149</v>
      </c>
      <c r="AK168" t="s">
        <v>188</v>
      </c>
      <c r="AL168" t="s">
        <v>188</v>
      </c>
      <c r="AM168" t="s">
        <v>188</v>
      </c>
      <c r="AN168" t="s">
        <v>2150</v>
      </c>
      <c r="AO168" t="s">
        <v>311</v>
      </c>
      <c r="AP168" t="s">
        <v>179</v>
      </c>
      <c r="AQ168" t="s">
        <v>254</v>
      </c>
      <c r="AR168" t="s">
        <v>254</v>
      </c>
      <c r="AS168" t="s">
        <v>355</v>
      </c>
      <c r="AT168" t="s">
        <v>180</v>
      </c>
      <c r="AU168" t="s">
        <v>180</v>
      </c>
      <c r="AV168" t="s">
        <v>180</v>
      </c>
      <c r="AW168" t="s">
        <v>180</v>
      </c>
      <c r="AX168" t="s">
        <v>2151</v>
      </c>
      <c r="AY168" t="s">
        <v>192</v>
      </c>
      <c r="BB168" t="s">
        <v>191</v>
      </c>
      <c r="BC168" t="s">
        <v>54</v>
      </c>
      <c r="BD168" t="s">
        <v>2152</v>
      </c>
      <c r="BE168" t="s">
        <v>192</v>
      </c>
      <c r="BH168">
        <v>4</v>
      </c>
      <c r="BI168">
        <v>6</v>
      </c>
      <c r="BJ168">
        <v>7</v>
      </c>
      <c r="BK168">
        <v>5</v>
      </c>
      <c r="BL168">
        <v>3</v>
      </c>
      <c r="BM168">
        <v>2</v>
      </c>
      <c r="BN168">
        <v>1</v>
      </c>
      <c r="BO168" t="s">
        <v>2153</v>
      </c>
      <c r="BP168" t="s">
        <v>193</v>
      </c>
    </row>
    <row r="169" spans="1:68">
      <c r="A169" s="4">
        <v>282538163102</v>
      </c>
      <c r="B169" s="4" t="s">
        <v>2154</v>
      </c>
      <c r="C169" s="1" t="s">
        <v>37</v>
      </c>
      <c r="D169" s="5" t="str">
        <f t="shared" si="15"/>
        <v>1</v>
      </c>
      <c r="E169" s="5" t="str">
        <f>IFERROR(IF(VLOOKUP(A169,Base!AA:AA,1,0)&gt;0,"1","0"),"0")</f>
        <v>1</v>
      </c>
      <c r="F169" s="5" t="str">
        <f t="shared" si="16"/>
        <v>-</v>
      </c>
      <c r="G169" s="5" t="str">
        <f t="shared" si="17"/>
        <v>0</v>
      </c>
      <c r="H169" t="s">
        <v>2155</v>
      </c>
      <c r="I169" t="s">
        <v>2156</v>
      </c>
      <c r="K169" t="s">
        <v>2157</v>
      </c>
      <c r="L169" t="s">
        <v>2158</v>
      </c>
      <c r="M169" t="s">
        <v>2159</v>
      </c>
      <c r="N169" t="s">
        <v>2160</v>
      </c>
      <c r="O169" t="s">
        <v>177</v>
      </c>
      <c r="P169" t="s">
        <v>54</v>
      </c>
      <c r="Q169" t="s">
        <v>178</v>
      </c>
      <c r="R169" t="s">
        <v>254</v>
      </c>
      <c r="S169" t="s">
        <v>405</v>
      </c>
      <c r="T169" t="s">
        <v>2161</v>
      </c>
      <c r="U169" t="s">
        <v>2162</v>
      </c>
      <c r="V169" t="s">
        <v>472</v>
      </c>
      <c r="W169" t="s">
        <v>184</v>
      </c>
      <c r="X169" t="s">
        <v>2163</v>
      </c>
      <c r="Y169" t="s">
        <v>2164</v>
      </c>
      <c r="Z169" t="s">
        <v>186</v>
      </c>
      <c r="AA169">
        <v>4</v>
      </c>
      <c r="AB169" t="s">
        <v>2165</v>
      </c>
      <c r="AC169" t="s">
        <v>205</v>
      </c>
      <c r="AF169" t="s">
        <v>205</v>
      </c>
      <c r="AI169" t="s">
        <v>2166</v>
      </c>
      <c r="AJ169" t="s">
        <v>2167</v>
      </c>
      <c r="AK169" t="s">
        <v>188</v>
      </c>
      <c r="AL169" t="s">
        <v>188</v>
      </c>
      <c r="AM169" t="s">
        <v>189</v>
      </c>
      <c r="AN169" t="s">
        <v>2168</v>
      </c>
      <c r="AO169" t="s">
        <v>2169</v>
      </c>
      <c r="AP169" t="s">
        <v>178</v>
      </c>
      <c r="AQ169" t="s">
        <v>180</v>
      </c>
      <c r="AR169" t="s">
        <v>254</v>
      </c>
      <c r="AS169" t="s">
        <v>180</v>
      </c>
      <c r="AT169" t="s">
        <v>254</v>
      </c>
      <c r="AU169" t="s">
        <v>180</v>
      </c>
      <c r="AV169" t="s">
        <v>180</v>
      </c>
      <c r="AW169" t="s">
        <v>180</v>
      </c>
      <c r="AX169" t="s">
        <v>2170</v>
      </c>
      <c r="AY169" t="s">
        <v>191</v>
      </c>
      <c r="AZ169" t="s">
        <v>178</v>
      </c>
      <c r="BA169" t="s">
        <v>2171</v>
      </c>
      <c r="BB169" t="s">
        <v>192</v>
      </c>
      <c r="BE169" t="s">
        <v>192</v>
      </c>
      <c r="BH169">
        <v>3</v>
      </c>
      <c r="BI169">
        <v>6</v>
      </c>
      <c r="BJ169">
        <v>7</v>
      </c>
      <c r="BK169">
        <v>4</v>
      </c>
      <c r="BL169">
        <v>1</v>
      </c>
      <c r="BM169">
        <v>2</v>
      </c>
      <c r="BN169">
        <v>5</v>
      </c>
      <c r="BP169" t="s">
        <v>193</v>
      </c>
    </row>
    <row r="170" spans="1:68">
      <c r="A170" s="4">
        <v>21753463202</v>
      </c>
      <c r="B170" s="4" t="s">
        <v>2172</v>
      </c>
      <c r="C170" s="1" t="s">
        <v>38</v>
      </c>
      <c r="D170" s="5" t="str">
        <f t="shared" si="15"/>
        <v>1</v>
      </c>
      <c r="E170" s="5" t="str">
        <f>IFERROR(IF(VLOOKUP(A170,Base!AA:AA,1,0)&gt;0,"1","0"),"0")</f>
        <v>1</v>
      </c>
      <c r="F170" s="5" t="str">
        <f t="shared" si="16"/>
        <v>-</v>
      </c>
      <c r="G170" s="5" t="str">
        <f t="shared" si="17"/>
        <v>0</v>
      </c>
      <c r="H170" t="s">
        <v>2173</v>
      </c>
      <c r="I170" t="s">
        <v>2174</v>
      </c>
      <c r="K170" t="s">
        <v>2175</v>
      </c>
      <c r="L170" t="s">
        <v>2176</v>
      </c>
      <c r="M170" t="s">
        <v>2177</v>
      </c>
      <c r="N170" t="s">
        <v>2178</v>
      </c>
      <c r="O170" t="s">
        <v>201</v>
      </c>
      <c r="P170" t="s">
        <v>178</v>
      </c>
      <c r="Q170" t="s">
        <v>178</v>
      </c>
      <c r="R170" t="s">
        <v>254</v>
      </c>
      <c r="S170" t="s">
        <v>181</v>
      </c>
      <c r="T170" t="s">
        <v>926</v>
      </c>
      <c r="V170" t="s">
        <v>266</v>
      </c>
      <c r="W170" t="s">
        <v>179</v>
      </c>
      <c r="X170" t="s">
        <v>2035</v>
      </c>
      <c r="Z170" t="s">
        <v>205</v>
      </c>
      <c r="AC170" t="s">
        <v>205</v>
      </c>
      <c r="AF170" t="s">
        <v>186</v>
      </c>
      <c r="AG170">
        <v>4</v>
      </c>
      <c r="AI170" t="s">
        <v>2179</v>
      </c>
      <c r="AK170" t="s">
        <v>189</v>
      </c>
      <c r="AL170" t="s">
        <v>189</v>
      </c>
      <c r="AM170" t="s">
        <v>189</v>
      </c>
      <c r="AO170" t="s">
        <v>207</v>
      </c>
      <c r="AP170" t="s">
        <v>179</v>
      </c>
      <c r="AQ170" t="s">
        <v>375</v>
      </c>
      <c r="AR170" t="s">
        <v>375</v>
      </c>
      <c r="AS170" t="s">
        <v>375</v>
      </c>
      <c r="AT170" t="s">
        <v>375</v>
      </c>
      <c r="AU170" t="s">
        <v>375</v>
      </c>
      <c r="AV170" t="s">
        <v>375</v>
      </c>
      <c r="AW170" t="s">
        <v>375</v>
      </c>
      <c r="AY170" t="s">
        <v>192</v>
      </c>
      <c r="BB170" t="s">
        <v>192</v>
      </c>
      <c r="BE170" t="s">
        <v>191</v>
      </c>
      <c r="BF170" t="s">
        <v>178</v>
      </c>
      <c r="BH170">
        <v>1</v>
      </c>
      <c r="BI170">
        <v>2</v>
      </c>
      <c r="BJ170">
        <v>3</v>
      </c>
      <c r="BK170">
        <v>4</v>
      </c>
      <c r="BL170">
        <v>5</v>
      </c>
      <c r="BM170">
        <v>6</v>
      </c>
      <c r="BN170">
        <v>7</v>
      </c>
      <c r="BP170" t="s">
        <v>193</v>
      </c>
    </row>
    <row r="171" spans="1:68">
      <c r="A171" s="4">
        <v>170004727002</v>
      </c>
      <c r="B171" s="4" t="s">
        <v>2180</v>
      </c>
      <c r="C171" s="1" t="s">
        <v>38</v>
      </c>
      <c r="D171" s="5" t="str">
        <f t="shared" si="15"/>
        <v>1</v>
      </c>
      <c r="E171" s="5" t="str">
        <f>IFERROR(IF(VLOOKUP(A171,Base!AA:AA,1,0)&gt;0,"1","0"),"0")</f>
        <v>1</v>
      </c>
      <c r="F171" s="5" t="str">
        <f t="shared" si="16"/>
        <v>-</v>
      </c>
      <c r="G171" s="5" t="str">
        <f t="shared" si="17"/>
        <v>0</v>
      </c>
      <c r="H171" t="s">
        <v>2181</v>
      </c>
      <c r="I171" t="s">
        <v>2182</v>
      </c>
      <c r="K171" t="s">
        <v>2180</v>
      </c>
      <c r="L171">
        <v>170004727002</v>
      </c>
      <c r="M171" t="s">
        <v>2183</v>
      </c>
      <c r="N171" t="s">
        <v>2184</v>
      </c>
      <c r="O171" t="s">
        <v>201</v>
      </c>
      <c r="P171" t="s">
        <v>54</v>
      </c>
      <c r="Q171" t="s">
        <v>54</v>
      </c>
      <c r="R171" t="s">
        <v>254</v>
      </c>
      <c r="S171" t="s">
        <v>202</v>
      </c>
      <c r="T171" t="s">
        <v>307</v>
      </c>
      <c r="U171" t="s">
        <v>2185</v>
      </c>
      <c r="V171" t="s">
        <v>2186</v>
      </c>
      <c r="W171" t="s">
        <v>594</v>
      </c>
      <c r="X171" t="s">
        <v>2187</v>
      </c>
      <c r="Y171" t="s">
        <v>2188</v>
      </c>
      <c r="Z171" t="s">
        <v>186</v>
      </c>
      <c r="AA171">
        <v>4</v>
      </c>
      <c r="AB171" t="s">
        <v>1993</v>
      </c>
      <c r="AC171" t="s">
        <v>205</v>
      </c>
      <c r="AF171" t="s">
        <v>186</v>
      </c>
      <c r="AG171">
        <v>4</v>
      </c>
      <c r="AH171" t="s">
        <v>2189</v>
      </c>
      <c r="AI171" t="s">
        <v>2190</v>
      </c>
      <c r="AJ171" t="s">
        <v>2191</v>
      </c>
      <c r="AK171" t="s">
        <v>188</v>
      </c>
      <c r="AL171" t="s">
        <v>188</v>
      </c>
      <c r="AM171" t="s">
        <v>188</v>
      </c>
      <c r="AN171" t="s">
        <v>1150</v>
      </c>
      <c r="AO171" t="s">
        <v>1503</v>
      </c>
      <c r="AP171" t="s">
        <v>54</v>
      </c>
      <c r="AQ171" t="s">
        <v>355</v>
      </c>
      <c r="AR171" t="s">
        <v>355</v>
      </c>
      <c r="AS171" t="s">
        <v>355</v>
      </c>
      <c r="AT171" t="s">
        <v>355</v>
      </c>
      <c r="AU171" t="s">
        <v>355</v>
      </c>
      <c r="AV171" t="s">
        <v>355</v>
      </c>
      <c r="AW171" t="s">
        <v>355</v>
      </c>
      <c r="AX171" t="s">
        <v>2192</v>
      </c>
      <c r="AY171" t="s">
        <v>192</v>
      </c>
      <c r="BB171" t="s">
        <v>192</v>
      </c>
      <c r="BE171" t="s">
        <v>192</v>
      </c>
      <c r="BH171">
        <v>2</v>
      </c>
      <c r="BI171">
        <v>7</v>
      </c>
      <c r="BJ171">
        <v>5</v>
      </c>
      <c r="BK171">
        <v>1</v>
      </c>
      <c r="BL171">
        <v>4</v>
      </c>
      <c r="BM171">
        <v>3</v>
      </c>
      <c r="BN171">
        <v>6</v>
      </c>
      <c r="BP171" t="s">
        <v>193</v>
      </c>
    </row>
    <row r="172" spans="1:68">
      <c r="A172" s="4">
        <v>508996769902</v>
      </c>
      <c r="B172" s="4" t="s">
        <v>2193</v>
      </c>
      <c r="C172" s="1" t="s">
        <v>39</v>
      </c>
      <c r="D172" s="5" t="str">
        <f t="shared" si="15"/>
        <v>1</v>
      </c>
      <c r="E172" s="5" t="str">
        <f>IFERROR(IF(VLOOKUP(A172,Base!AA:AA,1,0)&gt;0,"1","0"),"0")</f>
        <v>1</v>
      </c>
      <c r="F172" s="5" t="str">
        <f t="shared" si="16"/>
        <v>0</v>
      </c>
      <c r="G172" s="5" t="str">
        <f t="shared" si="17"/>
        <v>1</v>
      </c>
      <c r="H172" t="s">
        <v>2194</v>
      </c>
      <c r="I172" t="s">
        <v>2195</v>
      </c>
      <c r="K172" t="s">
        <v>2196</v>
      </c>
      <c r="L172" t="s">
        <v>2197</v>
      </c>
      <c r="M172" t="s">
        <v>2198</v>
      </c>
      <c r="N172" t="s">
        <v>2199</v>
      </c>
      <c r="O172" t="s">
        <v>215</v>
      </c>
      <c r="P172" t="s">
        <v>179</v>
      </c>
      <c r="Q172" t="s">
        <v>179</v>
      </c>
      <c r="R172" t="s">
        <v>180</v>
      </c>
      <c r="S172" t="s">
        <v>181</v>
      </c>
      <c r="T172" t="s">
        <v>216</v>
      </c>
      <c r="V172" t="s">
        <v>282</v>
      </c>
      <c r="W172" t="s">
        <v>179</v>
      </c>
      <c r="X172" t="s">
        <v>185</v>
      </c>
      <c r="Y172" t="s">
        <v>2200</v>
      </c>
      <c r="Z172" t="s">
        <v>186</v>
      </c>
      <c r="AA172">
        <v>5</v>
      </c>
      <c r="AC172" t="s">
        <v>186</v>
      </c>
      <c r="AD172">
        <v>5</v>
      </c>
      <c r="AF172" t="s">
        <v>205</v>
      </c>
      <c r="AI172" t="s">
        <v>2201</v>
      </c>
      <c r="AK172" t="s">
        <v>189</v>
      </c>
      <c r="AL172" t="s">
        <v>189</v>
      </c>
      <c r="AM172" t="s">
        <v>189</v>
      </c>
      <c r="AO172" t="s">
        <v>1777</v>
      </c>
      <c r="AP172" t="s">
        <v>54</v>
      </c>
      <c r="AQ172" t="s">
        <v>254</v>
      </c>
      <c r="AR172" t="s">
        <v>254</v>
      </c>
      <c r="AS172" t="s">
        <v>254</v>
      </c>
      <c r="AT172" t="s">
        <v>375</v>
      </c>
      <c r="AU172" t="s">
        <v>254</v>
      </c>
      <c r="AV172" t="s">
        <v>355</v>
      </c>
      <c r="AW172" t="s">
        <v>180</v>
      </c>
      <c r="AY172" t="s">
        <v>191</v>
      </c>
      <c r="AZ172" t="s">
        <v>56</v>
      </c>
      <c r="BA172" t="s">
        <v>2202</v>
      </c>
      <c r="BB172" t="s">
        <v>191</v>
      </c>
      <c r="BC172" t="s">
        <v>54</v>
      </c>
      <c r="BE172" t="s">
        <v>191</v>
      </c>
      <c r="BF172" t="s">
        <v>178</v>
      </c>
      <c r="BH172">
        <v>4</v>
      </c>
      <c r="BI172">
        <v>5</v>
      </c>
      <c r="BJ172">
        <v>7</v>
      </c>
      <c r="BK172">
        <v>3</v>
      </c>
      <c r="BL172">
        <v>2</v>
      </c>
      <c r="BM172">
        <v>1</v>
      </c>
      <c r="BN172">
        <v>6</v>
      </c>
      <c r="BP172" t="s">
        <v>193</v>
      </c>
    </row>
    <row r="173" spans="1:68">
      <c r="A173" s="4">
        <v>597004571302</v>
      </c>
      <c r="B173" s="4" t="s">
        <v>2203</v>
      </c>
      <c r="C173" s="1" t="s">
        <v>38</v>
      </c>
      <c r="D173" s="5" t="str">
        <f t="shared" si="15"/>
        <v>1</v>
      </c>
      <c r="E173" s="5" t="str">
        <f>IFERROR(IF(VLOOKUP(A173,Base!AA:AA,1,0)&gt;0,"1","0"),"0")</f>
        <v>1</v>
      </c>
      <c r="F173" s="5" t="str">
        <f t="shared" si="16"/>
        <v>-</v>
      </c>
      <c r="G173" s="5" t="str">
        <f t="shared" si="17"/>
        <v>0</v>
      </c>
      <c r="H173" t="s">
        <v>2204</v>
      </c>
      <c r="I173" t="s">
        <v>2205</v>
      </c>
      <c r="K173" t="s">
        <v>2206</v>
      </c>
      <c r="L173">
        <v>1089853461002</v>
      </c>
      <c r="M173" t="s">
        <v>2207</v>
      </c>
      <c r="N173" t="s">
        <v>2208</v>
      </c>
      <c r="O173" t="s">
        <v>177</v>
      </c>
      <c r="P173" t="s">
        <v>178</v>
      </c>
      <c r="Q173" t="s">
        <v>178</v>
      </c>
      <c r="R173" t="s">
        <v>180</v>
      </c>
      <c r="S173" t="s">
        <v>181</v>
      </c>
      <c r="T173" t="s">
        <v>926</v>
      </c>
      <c r="V173" t="s">
        <v>266</v>
      </c>
      <c r="W173" t="s">
        <v>184</v>
      </c>
      <c r="X173" t="s">
        <v>1223</v>
      </c>
      <c r="Z173" t="s">
        <v>205</v>
      </c>
      <c r="AC173" t="s">
        <v>205</v>
      </c>
      <c r="AF173" t="s">
        <v>205</v>
      </c>
      <c r="AI173" t="s">
        <v>2209</v>
      </c>
      <c r="AK173" t="s">
        <v>252</v>
      </c>
      <c r="AL173" t="s">
        <v>252</v>
      </c>
      <c r="AM173" t="s">
        <v>220</v>
      </c>
      <c r="AN173" t="s">
        <v>2210</v>
      </c>
      <c r="AO173" t="s">
        <v>2211</v>
      </c>
      <c r="AP173" t="s">
        <v>178</v>
      </c>
      <c r="AQ173" t="s">
        <v>180</v>
      </c>
      <c r="AR173" t="s">
        <v>254</v>
      </c>
      <c r="AS173" t="s">
        <v>180</v>
      </c>
      <c r="AT173" t="s">
        <v>254</v>
      </c>
      <c r="AU173" t="s">
        <v>180</v>
      </c>
      <c r="AV173" t="s">
        <v>180</v>
      </c>
      <c r="AW173" t="s">
        <v>180</v>
      </c>
      <c r="AY173" t="s">
        <v>192</v>
      </c>
      <c r="BB173" t="s">
        <v>192</v>
      </c>
      <c r="BE173" t="s">
        <v>192</v>
      </c>
      <c r="BH173">
        <v>4</v>
      </c>
      <c r="BI173">
        <v>6</v>
      </c>
      <c r="BJ173">
        <v>7</v>
      </c>
      <c r="BK173">
        <v>1</v>
      </c>
      <c r="BL173">
        <v>2</v>
      </c>
      <c r="BM173">
        <v>3</v>
      </c>
      <c r="BN173">
        <v>5</v>
      </c>
      <c r="BP173" t="s">
        <v>193</v>
      </c>
    </row>
    <row r="174" spans="1:68">
      <c r="A174" s="4">
        <v>155525090602</v>
      </c>
      <c r="B174" s="4" t="s">
        <v>2212</v>
      </c>
      <c r="C174" s="1" t="s">
        <v>100</v>
      </c>
      <c r="D174" s="5" t="str">
        <f t="shared" si="15"/>
        <v>1</v>
      </c>
      <c r="E174" s="5" t="str">
        <f>IFERROR(IF(VLOOKUP(A174,Base!AA:AA,1,0)&gt;0,"1","0"),"0")</f>
        <v>1</v>
      </c>
      <c r="F174" s="5" t="str">
        <f t="shared" si="16"/>
        <v>1</v>
      </c>
      <c r="G174" s="5" t="str">
        <f t="shared" si="17"/>
        <v>1</v>
      </c>
      <c r="H174" t="s">
        <v>2213</v>
      </c>
      <c r="I174" t="s">
        <v>2214</v>
      </c>
      <c r="K174" t="s">
        <v>2215</v>
      </c>
      <c r="L174" t="s">
        <v>2216</v>
      </c>
      <c r="M174" t="s">
        <v>2217</v>
      </c>
      <c r="N174" t="s">
        <v>2218</v>
      </c>
      <c r="O174" t="s">
        <v>201</v>
      </c>
      <c r="P174" t="s">
        <v>179</v>
      </c>
      <c r="Q174" t="s">
        <v>179</v>
      </c>
      <c r="R174" t="s">
        <v>180</v>
      </c>
      <c r="S174" t="s">
        <v>181</v>
      </c>
      <c r="T174" t="s">
        <v>216</v>
      </c>
      <c r="V174" t="s">
        <v>190</v>
      </c>
      <c r="W174" t="s">
        <v>179</v>
      </c>
      <c r="X174" t="s">
        <v>185</v>
      </c>
      <c r="Z174" t="s">
        <v>205</v>
      </c>
      <c r="AC174" t="s">
        <v>186</v>
      </c>
      <c r="AD174">
        <v>5</v>
      </c>
      <c r="AF174" t="s">
        <v>205</v>
      </c>
      <c r="AI174" t="s">
        <v>2219</v>
      </c>
      <c r="AK174" t="s">
        <v>188</v>
      </c>
      <c r="AL174" t="s">
        <v>188</v>
      </c>
      <c r="AM174" t="s">
        <v>188</v>
      </c>
      <c r="AO174" t="s">
        <v>2220</v>
      </c>
      <c r="AP174" t="s">
        <v>179</v>
      </c>
      <c r="AQ174" t="s">
        <v>180</v>
      </c>
      <c r="AR174" t="s">
        <v>180</v>
      </c>
      <c r="AS174" t="s">
        <v>180</v>
      </c>
      <c r="AT174" t="s">
        <v>180</v>
      </c>
      <c r="AU174" t="s">
        <v>180</v>
      </c>
      <c r="AV174" t="s">
        <v>180</v>
      </c>
      <c r="AW174" t="s">
        <v>180</v>
      </c>
      <c r="AY174" t="s">
        <v>191</v>
      </c>
      <c r="AZ174" t="s">
        <v>178</v>
      </c>
      <c r="BB174" t="s">
        <v>191</v>
      </c>
      <c r="BC174" t="s">
        <v>178</v>
      </c>
      <c r="BE174" t="s">
        <v>191</v>
      </c>
      <c r="BF174" t="s">
        <v>178</v>
      </c>
      <c r="BH174">
        <v>1</v>
      </c>
      <c r="BI174">
        <v>2</v>
      </c>
      <c r="BJ174">
        <v>3</v>
      </c>
      <c r="BK174">
        <v>4</v>
      </c>
      <c r="BL174">
        <v>5</v>
      </c>
      <c r="BM174">
        <v>6</v>
      </c>
      <c r="BN174">
        <v>7</v>
      </c>
      <c r="BP174" t="s">
        <v>193</v>
      </c>
    </row>
    <row r="175" spans="1:68">
      <c r="A175" s="4">
        <v>160165983902</v>
      </c>
      <c r="B175" s="4" t="s">
        <v>2221</v>
      </c>
      <c r="C175" s="1" t="s">
        <v>39</v>
      </c>
      <c r="D175" s="5" t="str">
        <f t="shared" si="15"/>
        <v>1</v>
      </c>
      <c r="E175" s="5" t="str">
        <f>IFERROR(IF(VLOOKUP(A175,Base!AA:AA,1,0)&gt;0,"1","0"),"0")</f>
        <v>1</v>
      </c>
      <c r="F175" s="5" t="str">
        <f t="shared" si="16"/>
        <v>1</v>
      </c>
      <c r="G175" s="5" t="str">
        <f t="shared" si="17"/>
        <v>1</v>
      </c>
      <c r="H175" t="s">
        <v>2222</v>
      </c>
      <c r="I175" t="s">
        <v>2223</v>
      </c>
      <c r="K175" t="s">
        <v>2224</v>
      </c>
      <c r="L175" t="s">
        <v>2225</v>
      </c>
      <c r="M175" t="s">
        <v>2226</v>
      </c>
      <c r="N175" t="s">
        <v>2227</v>
      </c>
      <c r="O175" t="s">
        <v>177</v>
      </c>
      <c r="P175" t="s">
        <v>179</v>
      </c>
      <c r="Q175" t="s">
        <v>179</v>
      </c>
      <c r="R175" t="s">
        <v>180</v>
      </c>
      <c r="S175" t="s">
        <v>181</v>
      </c>
      <c r="T175" t="s">
        <v>216</v>
      </c>
      <c r="V175" t="s">
        <v>282</v>
      </c>
      <c r="W175" t="s">
        <v>179</v>
      </c>
      <c r="X175" t="s">
        <v>185</v>
      </c>
      <c r="Z175" t="s">
        <v>186</v>
      </c>
      <c r="AA175">
        <v>4</v>
      </c>
      <c r="AC175" t="s">
        <v>186</v>
      </c>
      <c r="AD175">
        <v>5</v>
      </c>
      <c r="AF175" t="s">
        <v>186</v>
      </c>
      <c r="AG175">
        <v>5</v>
      </c>
      <c r="AI175" t="s">
        <v>2228</v>
      </c>
      <c r="AK175" t="s">
        <v>189</v>
      </c>
      <c r="AL175" t="s">
        <v>188</v>
      </c>
      <c r="AM175" t="s">
        <v>189</v>
      </c>
      <c r="AN175" t="s">
        <v>2229</v>
      </c>
      <c r="AO175" t="s">
        <v>2230</v>
      </c>
      <c r="AP175" t="s">
        <v>178</v>
      </c>
      <c r="AQ175" t="s">
        <v>254</v>
      </c>
      <c r="AR175" t="s">
        <v>254</v>
      </c>
      <c r="AS175" t="s">
        <v>355</v>
      </c>
      <c r="AT175" t="s">
        <v>254</v>
      </c>
      <c r="AU175" t="s">
        <v>254</v>
      </c>
      <c r="AV175" t="s">
        <v>355</v>
      </c>
      <c r="AW175" t="s">
        <v>254</v>
      </c>
      <c r="AX175" t="s">
        <v>2231</v>
      </c>
      <c r="AY175" t="s">
        <v>192</v>
      </c>
      <c r="BB175" t="s">
        <v>191</v>
      </c>
      <c r="BC175" t="s">
        <v>178</v>
      </c>
      <c r="BE175" t="s">
        <v>192</v>
      </c>
      <c r="BH175">
        <v>1</v>
      </c>
      <c r="BI175">
        <v>2</v>
      </c>
      <c r="BJ175">
        <v>3</v>
      </c>
      <c r="BK175">
        <v>4</v>
      </c>
      <c r="BL175">
        <v>5</v>
      </c>
      <c r="BM175">
        <v>6</v>
      </c>
      <c r="BN175">
        <v>7</v>
      </c>
      <c r="BP175" t="s">
        <v>193</v>
      </c>
    </row>
    <row r="176" spans="1:68">
      <c r="A176" s="4">
        <v>106288180002</v>
      </c>
      <c r="B176" s="4" t="s">
        <v>2232</v>
      </c>
      <c r="C176" s="1" t="s">
        <v>245</v>
      </c>
      <c r="D176" s="5" t="str">
        <f t="shared" si="15"/>
        <v>0</v>
      </c>
      <c r="E176" s="5" t="str">
        <f>IFERROR(IF(VLOOKUP(A176,Base!AA:AA,1,0)&gt;0,"1","0"),"0")</f>
        <v>0</v>
      </c>
      <c r="F176" s="5" t="str">
        <f t="shared" si="16"/>
        <v>-</v>
      </c>
      <c r="G176" s="5" t="str">
        <f t="shared" si="17"/>
        <v>1</v>
      </c>
      <c r="H176" t="s">
        <v>2233</v>
      </c>
      <c r="I176" t="s">
        <v>2234</v>
      </c>
      <c r="K176" t="s">
        <v>2232</v>
      </c>
      <c r="L176" t="s">
        <v>2235</v>
      </c>
      <c r="M176" t="s">
        <v>2236</v>
      </c>
      <c r="N176" t="s">
        <v>2237</v>
      </c>
      <c r="O176" t="s">
        <v>201</v>
      </c>
      <c r="P176" t="s">
        <v>178</v>
      </c>
      <c r="Q176" t="s">
        <v>56</v>
      </c>
      <c r="R176" t="s">
        <v>354</v>
      </c>
      <c r="S176" t="s">
        <v>1243</v>
      </c>
      <c r="T176" t="s">
        <v>216</v>
      </c>
      <c r="U176" t="s">
        <v>2238</v>
      </c>
      <c r="V176" t="s">
        <v>1900</v>
      </c>
      <c r="W176" t="s">
        <v>55</v>
      </c>
      <c r="X176" t="s">
        <v>2239</v>
      </c>
      <c r="Y176" t="s">
        <v>2240</v>
      </c>
      <c r="Z176" t="s">
        <v>186</v>
      </c>
      <c r="AA176">
        <v>4</v>
      </c>
      <c r="AB176" t="s">
        <v>2241</v>
      </c>
      <c r="AC176" t="s">
        <v>205</v>
      </c>
      <c r="AF176" t="s">
        <v>205</v>
      </c>
      <c r="AI176" t="s">
        <v>2242</v>
      </c>
      <c r="AK176" t="s">
        <v>189</v>
      </c>
      <c r="AL176" t="s">
        <v>189</v>
      </c>
      <c r="AM176" t="s">
        <v>189</v>
      </c>
      <c r="AO176" t="s">
        <v>292</v>
      </c>
      <c r="AP176" t="s">
        <v>54</v>
      </c>
      <c r="AQ176" t="s">
        <v>355</v>
      </c>
      <c r="AR176" t="s">
        <v>355</v>
      </c>
      <c r="AS176" t="s">
        <v>254</v>
      </c>
      <c r="AT176" t="s">
        <v>254</v>
      </c>
      <c r="AU176" t="s">
        <v>355</v>
      </c>
      <c r="AV176" t="s">
        <v>355</v>
      </c>
      <c r="AW176" t="s">
        <v>355</v>
      </c>
      <c r="AY176" t="s">
        <v>191</v>
      </c>
      <c r="AZ176" t="s">
        <v>179</v>
      </c>
      <c r="BB176" t="s">
        <v>191</v>
      </c>
      <c r="BC176" t="s">
        <v>179</v>
      </c>
      <c r="BE176" t="s">
        <v>192</v>
      </c>
      <c r="BH176">
        <v>5</v>
      </c>
      <c r="BI176">
        <v>6</v>
      </c>
      <c r="BJ176">
        <v>7</v>
      </c>
      <c r="BK176">
        <v>3</v>
      </c>
      <c r="BL176">
        <v>4</v>
      </c>
      <c r="BM176">
        <v>1</v>
      </c>
      <c r="BN176">
        <v>2</v>
      </c>
      <c r="BP176" t="s">
        <v>193</v>
      </c>
    </row>
    <row r="177" spans="1:68">
      <c r="A177" s="4">
        <v>397021068802</v>
      </c>
      <c r="B177" s="4" t="s">
        <v>2243</v>
      </c>
      <c r="C177" s="1" t="s">
        <v>245</v>
      </c>
      <c r="D177" s="5" t="str">
        <f t="shared" si="15"/>
        <v>0</v>
      </c>
      <c r="E177" s="5" t="str">
        <f>IFERROR(IF(VLOOKUP(A177,Base!AA:AA,1,0)&gt;0,"1","0"),"0")</f>
        <v>0</v>
      </c>
      <c r="F177" s="5" t="str">
        <f t="shared" si="16"/>
        <v>-</v>
      </c>
      <c r="G177" s="5" t="str">
        <f t="shared" si="17"/>
        <v>0</v>
      </c>
      <c r="H177" t="s">
        <v>2244</v>
      </c>
      <c r="I177" t="s">
        <v>2245</v>
      </c>
      <c r="K177" t="s">
        <v>2246</v>
      </c>
      <c r="L177" t="s">
        <v>2247</v>
      </c>
      <c r="M177" t="s">
        <v>2248</v>
      </c>
      <c r="N177" t="s">
        <v>2249</v>
      </c>
      <c r="O177" t="s">
        <v>215</v>
      </c>
      <c r="P177" t="s">
        <v>179</v>
      </c>
      <c r="Q177" t="s">
        <v>54</v>
      </c>
      <c r="R177" t="s">
        <v>355</v>
      </c>
      <c r="S177" t="s">
        <v>997</v>
      </c>
      <c r="T177" t="s">
        <v>926</v>
      </c>
      <c r="V177" t="s">
        <v>1900</v>
      </c>
      <c r="W177" t="s">
        <v>179</v>
      </c>
      <c r="X177" t="s">
        <v>185</v>
      </c>
      <c r="Z177" t="s">
        <v>205</v>
      </c>
      <c r="AC177" t="s">
        <v>205</v>
      </c>
      <c r="AF177" t="s">
        <v>205</v>
      </c>
      <c r="AI177" t="s">
        <v>2250</v>
      </c>
      <c r="AK177" t="s">
        <v>189</v>
      </c>
      <c r="AL177" t="s">
        <v>189</v>
      </c>
      <c r="AM177" t="s">
        <v>189</v>
      </c>
      <c r="AN177" t="s">
        <v>2251</v>
      </c>
      <c r="AO177" t="s">
        <v>204</v>
      </c>
      <c r="AP177" t="s">
        <v>54</v>
      </c>
      <c r="AQ177" t="s">
        <v>254</v>
      </c>
      <c r="AR177" t="s">
        <v>254</v>
      </c>
      <c r="AS177" t="s">
        <v>254</v>
      </c>
      <c r="AT177" t="s">
        <v>355</v>
      </c>
      <c r="AU177" t="s">
        <v>180</v>
      </c>
      <c r="AV177" t="s">
        <v>180</v>
      </c>
      <c r="AW177" t="s">
        <v>180</v>
      </c>
      <c r="AX177" t="s">
        <v>2252</v>
      </c>
      <c r="AY177" t="s">
        <v>192</v>
      </c>
      <c r="BB177" t="s">
        <v>192</v>
      </c>
      <c r="BE177" t="s">
        <v>192</v>
      </c>
      <c r="BH177">
        <v>2</v>
      </c>
      <c r="BI177">
        <v>4</v>
      </c>
      <c r="BJ177">
        <v>5</v>
      </c>
      <c r="BK177">
        <v>6</v>
      </c>
      <c r="BL177">
        <v>1</v>
      </c>
      <c r="BM177">
        <v>3</v>
      </c>
      <c r="BN177">
        <v>7</v>
      </c>
      <c r="BP177" t="s">
        <v>193</v>
      </c>
    </row>
    <row r="178" spans="1:68">
      <c r="A178" s="4">
        <v>322287200702</v>
      </c>
      <c r="B178" s="4" t="s">
        <v>2253</v>
      </c>
      <c r="C178" s="1" t="s">
        <v>38</v>
      </c>
      <c r="D178" s="5" t="str">
        <f t="shared" si="15"/>
        <v>1</v>
      </c>
      <c r="E178" s="5" t="str">
        <f>IFERROR(IF(VLOOKUP(A178,Base!AA:AA,1,0)&gt;0,"1","0"),"0")</f>
        <v>0</v>
      </c>
      <c r="F178" s="5" t="str">
        <f t="shared" si="16"/>
        <v>-</v>
      </c>
      <c r="G178" s="5" t="str">
        <f t="shared" si="17"/>
        <v>1</v>
      </c>
      <c r="H178" t="s">
        <v>2254</v>
      </c>
      <c r="I178" t="s">
        <v>2255</v>
      </c>
      <c r="K178" t="s">
        <v>2256</v>
      </c>
      <c r="L178" t="s">
        <v>2257</v>
      </c>
      <c r="M178" t="s">
        <v>2258</v>
      </c>
      <c r="N178" t="s">
        <v>2259</v>
      </c>
      <c r="O178" t="s">
        <v>201</v>
      </c>
      <c r="P178" t="s">
        <v>178</v>
      </c>
      <c r="Q178" t="s">
        <v>178</v>
      </c>
      <c r="R178" t="s">
        <v>254</v>
      </c>
      <c r="S178" t="s">
        <v>405</v>
      </c>
      <c r="T178" t="s">
        <v>2260</v>
      </c>
      <c r="U178" t="s">
        <v>2261</v>
      </c>
      <c r="V178" t="s">
        <v>2262</v>
      </c>
      <c r="W178" t="s">
        <v>184</v>
      </c>
      <c r="X178" t="s">
        <v>806</v>
      </c>
      <c r="Z178" t="s">
        <v>205</v>
      </c>
      <c r="AC178" t="s">
        <v>186</v>
      </c>
      <c r="AD178">
        <v>4</v>
      </c>
      <c r="AF178" t="s">
        <v>205</v>
      </c>
      <c r="AI178" t="s">
        <v>296</v>
      </c>
      <c r="AK178" t="s">
        <v>189</v>
      </c>
      <c r="AL178" t="s">
        <v>189</v>
      </c>
      <c r="AM178" t="s">
        <v>189</v>
      </c>
      <c r="AO178" t="s">
        <v>2263</v>
      </c>
      <c r="AP178" t="s">
        <v>179</v>
      </c>
      <c r="AQ178" t="s">
        <v>180</v>
      </c>
      <c r="AR178" t="s">
        <v>180</v>
      </c>
      <c r="AS178" t="s">
        <v>180</v>
      </c>
      <c r="AT178" t="s">
        <v>180</v>
      </c>
      <c r="AU178" t="s">
        <v>180</v>
      </c>
      <c r="AV178" t="s">
        <v>180</v>
      </c>
      <c r="AW178" t="s">
        <v>180</v>
      </c>
      <c r="AY178" t="s">
        <v>191</v>
      </c>
      <c r="AZ178" t="s">
        <v>179</v>
      </c>
      <c r="BB178" t="s">
        <v>191</v>
      </c>
      <c r="BC178" t="s">
        <v>179</v>
      </c>
      <c r="BE178" t="s">
        <v>191</v>
      </c>
      <c r="BF178" t="s">
        <v>179</v>
      </c>
      <c r="BH178">
        <v>3</v>
      </c>
      <c r="BI178">
        <v>6</v>
      </c>
      <c r="BJ178">
        <v>7</v>
      </c>
      <c r="BK178">
        <v>4</v>
      </c>
      <c r="BL178">
        <v>2</v>
      </c>
      <c r="BM178">
        <v>1</v>
      </c>
      <c r="BN178">
        <v>5</v>
      </c>
      <c r="BP178" t="s">
        <v>193</v>
      </c>
    </row>
    <row r="179" spans="1:68">
      <c r="A179" s="4">
        <v>56433406702</v>
      </c>
      <c r="B179" s="4" t="s">
        <v>2264</v>
      </c>
      <c r="C179" s="1" t="s">
        <v>38</v>
      </c>
      <c r="D179" s="5" t="str">
        <f t="shared" si="15"/>
        <v>1</v>
      </c>
      <c r="E179" s="5" t="str">
        <f>IFERROR(IF(VLOOKUP(A179,Base!AA:AA,1,0)&gt;0,"1","0"),"0")</f>
        <v>0</v>
      </c>
      <c r="F179" s="5" t="str">
        <f t="shared" si="16"/>
        <v>-</v>
      </c>
      <c r="G179" s="5" t="str">
        <f t="shared" si="17"/>
        <v>0</v>
      </c>
      <c r="H179" t="s">
        <v>2265</v>
      </c>
      <c r="I179" t="s">
        <v>2266</v>
      </c>
      <c r="K179" t="s">
        <v>2264</v>
      </c>
      <c r="L179" t="s">
        <v>2267</v>
      </c>
      <c r="M179" t="s">
        <v>2268</v>
      </c>
      <c r="N179" t="s">
        <v>2269</v>
      </c>
      <c r="O179" t="s">
        <v>201</v>
      </c>
      <c r="P179" t="s">
        <v>178</v>
      </c>
      <c r="Q179" t="s">
        <v>179</v>
      </c>
      <c r="R179" t="s">
        <v>180</v>
      </c>
      <c r="S179" t="s">
        <v>181</v>
      </c>
      <c r="T179" t="s">
        <v>566</v>
      </c>
      <c r="V179" t="s">
        <v>204</v>
      </c>
      <c r="W179" t="s">
        <v>179</v>
      </c>
      <c r="X179" t="s">
        <v>185</v>
      </c>
      <c r="Z179" t="s">
        <v>205</v>
      </c>
      <c r="AC179" t="s">
        <v>186</v>
      </c>
      <c r="AD179">
        <v>3</v>
      </c>
      <c r="AF179" t="s">
        <v>186</v>
      </c>
      <c r="AG179">
        <v>1</v>
      </c>
      <c r="AI179" t="s">
        <v>2270</v>
      </c>
      <c r="AK179" t="s">
        <v>252</v>
      </c>
      <c r="AL179" t="s">
        <v>252</v>
      </c>
      <c r="AM179" t="s">
        <v>188</v>
      </c>
      <c r="AN179" t="s">
        <v>2271</v>
      </c>
      <c r="AO179" t="s">
        <v>2272</v>
      </c>
      <c r="AP179" t="s">
        <v>178</v>
      </c>
      <c r="AQ179" t="s">
        <v>180</v>
      </c>
      <c r="AR179" t="s">
        <v>180</v>
      </c>
      <c r="AS179" t="s">
        <v>254</v>
      </c>
      <c r="AT179" t="s">
        <v>254</v>
      </c>
      <c r="AU179" t="s">
        <v>254</v>
      </c>
      <c r="AV179" t="s">
        <v>254</v>
      </c>
      <c r="AW179" t="s">
        <v>254</v>
      </c>
      <c r="AX179" t="s">
        <v>2273</v>
      </c>
      <c r="AY179" t="s">
        <v>191</v>
      </c>
      <c r="AZ179" t="s">
        <v>55</v>
      </c>
      <c r="BA179" t="s">
        <v>2274</v>
      </c>
      <c r="BB179" t="s">
        <v>192</v>
      </c>
      <c r="BE179" t="s">
        <v>191</v>
      </c>
      <c r="BF179" t="s">
        <v>178</v>
      </c>
      <c r="BG179" t="s">
        <v>2275</v>
      </c>
      <c r="BH179">
        <v>7</v>
      </c>
      <c r="BI179">
        <v>4</v>
      </c>
      <c r="BJ179">
        <v>3</v>
      </c>
      <c r="BK179">
        <v>2</v>
      </c>
      <c r="BL179">
        <v>6</v>
      </c>
      <c r="BM179">
        <v>5</v>
      </c>
      <c r="BN179">
        <v>1</v>
      </c>
      <c r="BP179" t="s">
        <v>193</v>
      </c>
    </row>
    <row r="180" spans="1:68">
      <c r="C180" s="1" t="str">
        <f>IFERROR(IF(VLOOKUP(A180,'Sellers Pro'!A:F,6,0)=0,"",VLOOKUP(A180,'Sellers Pro'!A:F,6,0)),"")</f>
        <v/>
      </c>
    </row>
    <row r="181" spans="1:68">
      <c r="C181" s="1" t="str">
        <f>IFERROR(IF(VLOOKUP(A181,'Sellers Pro'!A:F,6,0)=0,"",VLOOKUP(A181,'Sellers Pro'!A:F,6,0)),"")</f>
        <v/>
      </c>
    </row>
    <row r="182" spans="1:68">
      <c r="C182" s="1" t="str">
        <f>IFERROR(IF(VLOOKUP(A182,'Sellers Pro'!A:F,6,0)=0,"",VLOOKUP(A182,'Sellers Pro'!A:F,6,0)),"")</f>
        <v/>
      </c>
    </row>
    <row r="183" spans="1:68">
      <c r="C183" s="1" t="str">
        <f>IFERROR(IF(VLOOKUP(A183,'Sellers Pro'!A:F,6,0)=0,"",VLOOKUP(A183,'Sellers Pro'!A:F,6,0)),"")</f>
        <v/>
      </c>
    </row>
    <row r="184" spans="1:68">
      <c r="C184" s="1" t="str">
        <f>IFERROR(IF(VLOOKUP(A184,'Sellers Pro'!A:F,6,0)=0,"",VLOOKUP(A184,'Sellers Pro'!A:F,6,0)),"")</f>
        <v/>
      </c>
    </row>
    <row r="185" spans="1:68">
      <c r="C185" s="1" t="str">
        <f>IFERROR(IF(VLOOKUP(A185,'Sellers Pro'!A:F,6,0)=0,"",VLOOKUP(A185,'Sellers Pro'!A:F,6,0)),"")</f>
        <v/>
      </c>
      <c r="F185" s="29"/>
    </row>
    <row r="186" spans="1:68">
      <c r="C186" s="1" t="str">
        <f>IFERROR(IF(VLOOKUP(A186,'Sellers Pro'!A:F,6,0)=0,"",VLOOKUP(A186,'Sellers Pro'!A:F,6,0)),"")</f>
        <v/>
      </c>
    </row>
    <row r="187" spans="1:68">
      <c r="C187" s="1" t="str">
        <f>IFERROR(IF(VLOOKUP(A187,'Sellers Pro'!A:F,6,0)=0,"",VLOOKUP(A187,'Sellers Pro'!A:F,6,0)),"")</f>
        <v/>
      </c>
    </row>
    <row r="188" spans="1:68">
      <c r="C188" s="1" t="str">
        <f>IFERROR(IF(VLOOKUP(A188,'Sellers Pro'!A:F,6,0)=0,"",VLOOKUP(A188,'Sellers Pro'!A:F,6,0)),"")</f>
        <v/>
      </c>
    </row>
    <row r="189" spans="1:68">
      <c r="C189" s="1" t="str">
        <f>IFERROR(IF(VLOOKUP(A189,'Sellers Pro'!A:F,6,0)=0,"",VLOOKUP(A189,'Sellers Pro'!A:F,6,0)),"")</f>
        <v/>
      </c>
    </row>
    <row r="190" spans="1:68">
      <c r="C190" s="1" t="str">
        <f>IFERROR(IF(VLOOKUP(A190,'Sellers Pro'!A:F,6,0)=0,"",VLOOKUP(A190,'Sellers Pro'!A:F,6,0)),"")</f>
        <v/>
      </c>
    </row>
    <row r="191" spans="1:68">
      <c r="C191" s="1" t="str">
        <f>IFERROR(IF(VLOOKUP(A191,'Sellers Pro'!A:F,6,0)=0,"",VLOOKUP(A191,'Sellers Pro'!A:F,6,0)),"")</f>
        <v/>
      </c>
    </row>
    <row r="192" spans="1:68">
      <c r="C192" s="1" t="str">
        <f>IFERROR(IF(VLOOKUP(A192,'Sellers Pro'!A:F,6,0)=0,"",VLOOKUP(A192,'Sellers Pro'!A:F,6,0)),"")</f>
        <v/>
      </c>
    </row>
    <row r="193" spans="3:3">
      <c r="C193" s="1" t="str">
        <f>IFERROR(IF(VLOOKUP(A193,'Sellers Pro'!A:F,6,0)=0,"",VLOOKUP(A193,'Sellers Pro'!A:F,6,0)),"")</f>
        <v/>
      </c>
    </row>
    <row r="194" spans="3:3">
      <c r="C194" s="1" t="str">
        <f>IFERROR(IF(VLOOKUP(A194,'Sellers Pro'!A:F,6,0)=0,"",VLOOKUP(A194,'Sellers Pro'!A:F,6,0)),"")</f>
        <v/>
      </c>
    </row>
    <row r="195" spans="3:3">
      <c r="C195" s="1" t="str">
        <f>IFERROR(IF(VLOOKUP(A195,'Sellers Pro'!A:F,6,0)=0,"",VLOOKUP(A195,'Sellers Pro'!A:F,6,0)),"")</f>
        <v/>
      </c>
    </row>
    <row r="196" spans="3:3">
      <c r="C196" s="1" t="str">
        <f>IFERROR(IF(VLOOKUP(A196,'Sellers Pro'!A:F,6,0)=0,"",VLOOKUP(A196,'Sellers Pro'!A:F,6,0)),"")</f>
        <v/>
      </c>
    </row>
    <row r="197" spans="3:3">
      <c r="C197" s="1" t="str">
        <f>IFERROR(IF(VLOOKUP(A197,'Sellers Pro'!A:F,6,0)=0,"",VLOOKUP(A197,'Sellers Pro'!A:F,6,0)),"")</f>
        <v/>
      </c>
    </row>
    <row r="198" spans="3:3">
      <c r="C198" s="1" t="str">
        <f>IFERROR(IF(VLOOKUP(A198,'Sellers Pro'!A:F,6,0)=0,"",VLOOKUP(A198,'Sellers Pro'!A:F,6,0)),"")</f>
        <v/>
      </c>
    </row>
    <row r="199" spans="3:3">
      <c r="C199" s="1" t="str">
        <f>IFERROR(IF(VLOOKUP(A199,'Sellers Pro'!A:F,6,0)=0,"",VLOOKUP(A199,'Sellers Pro'!A:F,6,0)),"")</f>
        <v/>
      </c>
    </row>
    <row r="200" spans="3:3">
      <c r="C200" s="1" t="str">
        <f>IFERROR(IF(VLOOKUP(A200,'Sellers Pro'!A:F,6,0)=0,"",VLOOKUP(A200,'Sellers Pro'!A:F,6,0)),"")</f>
        <v/>
      </c>
    </row>
    <row r="201" spans="3:3">
      <c r="C201" s="1" t="str">
        <f>IFERROR(IF(VLOOKUP(A201,'Sellers Pro'!A:F,6,0)=0,"",VLOOKUP(A201,'Sellers Pro'!A:F,6,0)),"")</f>
        <v/>
      </c>
    </row>
    <row r="202" spans="3:3">
      <c r="C202" s="1" t="str">
        <f>IFERROR(IF(VLOOKUP(A202,'Sellers Pro'!A:F,6,0)=0,"",VLOOKUP(A202,'Sellers Pro'!A:F,6,0)),"")</f>
        <v/>
      </c>
    </row>
    <row r="203" spans="3:3">
      <c r="C203" s="1" t="str">
        <f>IFERROR(IF(VLOOKUP(A203,'Sellers Pro'!A:F,6,0)=0,"",VLOOKUP(A203,'Sellers Pro'!A:F,6,0)),"")</f>
        <v/>
      </c>
    </row>
    <row r="204" spans="3:3">
      <c r="C204" s="1" t="str">
        <f>IFERROR(IF(VLOOKUP(A204,'Sellers Pro'!A:F,6,0)=0,"",VLOOKUP(A204,'Sellers Pro'!A:F,6,0)),"")</f>
        <v/>
      </c>
    </row>
    <row r="205" spans="3:3">
      <c r="C205" s="1" t="str">
        <f>IFERROR(IF(VLOOKUP(A205,'Sellers Pro'!A:F,6,0)=0,"",VLOOKUP(A205,'Sellers Pro'!A:F,6,0)),"")</f>
        <v/>
      </c>
    </row>
    <row r="206" spans="3:3">
      <c r="C206" s="1" t="str">
        <f>IFERROR(IF(VLOOKUP(A206,'Sellers Pro'!A:F,6,0)=0,"",VLOOKUP(A206,'Sellers Pro'!A:F,6,0)),"")</f>
        <v/>
      </c>
    </row>
    <row r="207" spans="3:3">
      <c r="C207" s="1" t="str">
        <f>IFERROR(IF(VLOOKUP(A207,'Sellers Pro'!A:F,6,0)=0,"",VLOOKUP(A207,'Sellers Pro'!A:F,6,0)),"")</f>
        <v/>
      </c>
    </row>
    <row r="208" spans="3:3">
      <c r="C208" s="1" t="str">
        <f>IFERROR(IF(VLOOKUP(A208,'Sellers Pro'!A:F,6,0)=0,"",VLOOKUP(A208,'Sellers Pro'!A:F,6,0)),"")</f>
        <v/>
      </c>
    </row>
    <row r="209" spans="3:3">
      <c r="C209" s="1" t="str">
        <f>IFERROR(IF(VLOOKUP(A209,'Sellers Pro'!A:F,6,0)=0,"",VLOOKUP(A209,'Sellers Pro'!A:F,6,0)),"")</f>
        <v/>
      </c>
    </row>
    <row r="210" spans="3:3">
      <c r="C210" s="1" t="str">
        <f>IFERROR(IF(VLOOKUP(A210,'Sellers Pro'!A:F,6,0)=0,"",VLOOKUP(A210,'Sellers Pro'!A:F,6,0)),"")</f>
        <v/>
      </c>
    </row>
    <row r="211" spans="3:3">
      <c r="C211" s="1" t="str">
        <f>IFERROR(IF(VLOOKUP(A211,'Sellers Pro'!A:F,6,0)=0,"",VLOOKUP(A211,'Sellers Pro'!A:F,6,0)),"")</f>
        <v/>
      </c>
    </row>
    <row r="212" spans="3:3">
      <c r="C212" s="1" t="str">
        <f>IFERROR(IF(VLOOKUP(A212,'Sellers Pro'!A:F,6,0)=0,"",VLOOKUP(A212,'Sellers Pro'!A:F,6,0)),"")</f>
        <v/>
      </c>
    </row>
    <row r="213" spans="3:3">
      <c r="C213" s="1" t="str">
        <f>IFERROR(IF(VLOOKUP(A213,'Sellers Pro'!A:F,6,0)=0,"",VLOOKUP(A213,'Sellers Pro'!A:F,6,0)),"")</f>
        <v/>
      </c>
    </row>
    <row r="214" spans="3:3">
      <c r="C214" s="1" t="str">
        <f>IFERROR(IF(VLOOKUP(A214,'Sellers Pro'!A:F,6,0)=0,"",VLOOKUP(A214,'Sellers Pro'!A:F,6,0)),"")</f>
        <v/>
      </c>
    </row>
    <row r="215" spans="3:3">
      <c r="C215" s="1" t="str">
        <f>IFERROR(IF(VLOOKUP(A215,'Sellers Pro'!A:F,6,0)=0,"",VLOOKUP(A215,'Sellers Pro'!A:F,6,0)),"")</f>
        <v/>
      </c>
    </row>
    <row r="216" spans="3:3">
      <c r="C216" s="1" t="str">
        <f>IFERROR(IF(VLOOKUP(A216,'Sellers Pro'!A:F,6,0)=0,"",VLOOKUP(A216,'Sellers Pro'!A:F,6,0)),"")</f>
        <v/>
      </c>
    </row>
    <row r="217" spans="3:3">
      <c r="C217" s="1" t="str">
        <f>IFERROR(IF(VLOOKUP(A217,'Sellers Pro'!A:F,6,0)=0,"",VLOOKUP(A217,'Sellers Pro'!A:F,6,0)),"")</f>
        <v/>
      </c>
    </row>
    <row r="218" spans="3:3">
      <c r="C218" s="1" t="str">
        <f>IFERROR(IF(VLOOKUP(A218,'Sellers Pro'!A:F,6,0)=0,"",VLOOKUP(A218,'Sellers Pro'!A:F,6,0)),"")</f>
        <v/>
      </c>
    </row>
    <row r="219" spans="3:3">
      <c r="C219" s="1" t="str">
        <f>IFERROR(IF(VLOOKUP(A219,'Sellers Pro'!A:F,6,0)=0,"",VLOOKUP(A219,'Sellers Pro'!A:F,6,0)),"")</f>
        <v/>
      </c>
    </row>
    <row r="220" spans="3:3">
      <c r="C220" s="1" t="str">
        <f>IFERROR(IF(VLOOKUP(A220,'Sellers Pro'!A:F,6,0)=0,"",VLOOKUP(A220,'Sellers Pro'!A:F,6,0)),"")</f>
        <v/>
      </c>
    </row>
    <row r="221" spans="3:3">
      <c r="C221" s="1" t="str">
        <f>IFERROR(IF(VLOOKUP(A221,'Sellers Pro'!A:F,6,0)=0,"",VLOOKUP(A221,'Sellers Pro'!A:F,6,0)),"")</f>
        <v/>
      </c>
    </row>
    <row r="222" spans="3:3">
      <c r="C222" s="1" t="str">
        <f>IFERROR(IF(VLOOKUP(A222,'Sellers Pro'!A:F,6,0)=0,"",VLOOKUP(A222,'Sellers Pro'!A:F,6,0)),"")</f>
        <v/>
      </c>
    </row>
    <row r="223" spans="3:3">
      <c r="C223" s="1" t="str">
        <f>IFERROR(IF(VLOOKUP(A223,'Sellers Pro'!A:F,6,0)=0,"",VLOOKUP(A223,'Sellers Pro'!A:F,6,0)),"")</f>
        <v/>
      </c>
    </row>
    <row r="224" spans="3:3">
      <c r="C224" s="1" t="str">
        <f>IFERROR(IF(VLOOKUP(A224,'Sellers Pro'!A:F,6,0)=0,"",VLOOKUP(A224,'Sellers Pro'!A:F,6,0)),"")</f>
        <v/>
      </c>
    </row>
    <row r="225" spans="3:3">
      <c r="C225" s="1" t="str">
        <f>IFERROR(IF(VLOOKUP(A225,'Sellers Pro'!A:F,6,0)=0,"",VLOOKUP(A225,'Sellers Pro'!A:F,6,0)),"")</f>
        <v/>
      </c>
    </row>
    <row r="226" spans="3:3">
      <c r="C226" s="1" t="str">
        <f>IFERROR(IF(VLOOKUP(A226,'Sellers Pro'!A:F,6,0)=0,"",VLOOKUP(A226,'Sellers Pro'!A:F,6,0)),"")</f>
        <v/>
      </c>
    </row>
    <row r="227" spans="3:3">
      <c r="C227" s="1" t="str">
        <f>IFERROR(IF(VLOOKUP(A227,'Sellers Pro'!A:F,6,0)=0,"",VLOOKUP(A227,'Sellers Pro'!A:F,6,0)),"")</f>
        <v/>
      </c>
    </row>
    <row r="228" spans="3:3">
      <c r="C228" s="1" t="str">
        <f>IFERROR(IF(VLOOKUP(A228,'Sellers Pro'!A:F,6,0)=0,"",VLOOKUP(A228,'Sellers Pro'!A:F,6,0)),"")</f>
        <v/>
      </c>
    </row>
    <row r="229" spans="3:3">
      <c r="C229" s="1" t="str">
        <f>IFERROR(IF(VLOOKUP(A229,'Sellers Pro'!A:F,6,0)=0,"",VLOOKUP(A229,'Sellers Pro'!A:F,6,0)),"")</f>
        <v/>
      </c>
    </row>
    <row r="230" spans="3:3">
      <c r="C230" s="1" t="str">
        <f>IFERROR(IF(VLOOKUP(A230,'Sellers Pro'!A:F,6,0)=0,"",VLOOKUP(A230,'Sellers Pro'!A:F,6,0)),"")</f>
        <v/>
      </c>
    </row>
    <row r="231" spans="3:3">
      <c r="C231" s="1" t="str">
        <f>IFERROR(IF(VLOOKUP(A231,'Sellers Pro'!A:F,6,0)=0,"",VLOOKUP(A231,'Sellers Pro'!A:F,6,0)),"")</f>
        <v/>
      </c>
    </row>
    <row r="232" spans="3:3">
      <c r="C232" s="1" t="str">
        <f>IFERROR(IF(VLOOKUP(A232,'Sellers Pro'!A:F,6,0)=0,"",VLOOKUP(A232,'Sellers Pro'!A:F,6,0)),"")</f>
        <v/>
      </c>
    </row>
    <row r="233" spans="3:3">
      <c r="C233" s="1" t="str">
        <f>IFERROR(IF(VLOOKUP(A233,'Sellers Pro'!A:F,6,0)=0,"",VLOOKUP(A233,'Sellers Pro'!A:F,6,0)),"")</f>
        <v/>
      </c>
    </row>
    <row r="234" spans="3:3">
      <c r="C234" s="1" t="str">
        <f>IFERROR(IF(VLOOKUP(A234,'Sellers Pro'!A:F,6,0)=0,"",VLOOKUP(A234,'Sellers Pro'!A:F,6,0)),"")</f>
        <v/>
      </c>
    </row>
    <row r="235" spans="3:3">
      <c r="C235" s="1" t="str">
        <f>IFERROR(IF(VLOOKUP(A235,'Sellers Pro'!A:F,6,0)=0,"",VLOOKUP(A235,'Sellers Pro'!A:F,6,0)),"")</f>
        <v/>
      </c>
    </row>
    <row r="236" spans="3:3">
      <c r="C236" s="1" t="str">
        <f>IFERROR(IF(VLOOKUP(A236,'Sellers Pro'!A:F,6,0)=0,"",VLOOKUP(A236,'Sellers Pro'!A:F,6,0)),"")</f>
        <v/>
      </c>
    </row>
    <row r="237" spans="3:3">
      <c r="C237" s="1" t="str">
        <f>IFERROR(IF(VLOOKUP(A237,'Sellers Pro'!A:F,6,0)=0,"",VLOOKUP(A237,'Sellers Pro'!A:F,6,0)),"")</f>
        <v/>
      </c>
    </row>
    <row r="238" spans="3:3">
      <c r="C238" s="1" t="str">
        <f>IFERROR(IF(VLOOKUP(A238,'Sellers Pro'!A:F,6,0)=0,"",VLOOKUP(A238,'Sellers Pro'!A:F,6,0)),"")</f>
        <v/>
      </c>
    </row>
    <row r="239" spans="3:3">
      <c r="C239" s="1" t="str">
        <f>IFERROR(IF(VLOOKUP(A239,'Sellers Pro'!A:F,6,0)=0,"",VLOOKUP(A239,'Sellers Pro'!A:F,6,0)),"")</f>
        <v/>
      </c>
    </row>
    <row r="240" spans="3:3">
      <c r="C240" s="1" t="str">
        <f>IFERROR(IF(VLOOKUP(A240,'Sellers Pro'!A:F,6,0)=0,"",VLOOKUP(A240,'Sellers Pro'!A:F,6,0)),"")</f>
        <v/>
      </c>
    </row>
    <row r="241" spans="3:3">
      <c r="C241" s="1" t="str">
        <f>IFERROR(IF(VLOOKUP(A241,'Sellers Pro'!A:F,6,0)=0,"",VLOOKUP(A241,'Sellers Pro'!A:F,6,0)),"")</f>
        <v/>
      </c>
    </row>
    <row r="242" spans="3:3">
      <c r="C242" s="1" t="str">
        <f>IFERROR(IF(VLOOKUP(A242,'Sellers Pro'!A:F,6,0)=0,"",VLOOKUP(A242,'Sellers Pro'!A:F,6,0)),"")</f>
        <v/>
      </c>
    </row>
    <row r="243" spans="3:3">
      <c r="C243" s="1" t="str">
        <f>IFERROR(IF(VLOOKUP(A243,'Sellers Pro'!A:F,6,0)=0,"",VLOOKUP(A243,'Sellers Pro'!A:F,6,0)),"")</f>
        <v/>
      </c>
    </row>
    <row r="244" spans="3:3">
      <c r="C244" s="1" t="str">
        <f>IFERROR(IF(VLOOKUP(A244,'Sellers Pro'!A:F,6,0)=0,"",VLOOKUP(A244,'Sellers Pro'!A:F,6,0)),"")</f>
        <v/>
      </c>
    </row>
    <row r="245" spans="3:3">
      <c r="C245" s="1" t="str">
        <f>IFERROR(IF(VLOOKUP(A245,'Sellers Pro'!A:F,6,0)=0,"",VLOOKUP(A245,'Sellers Pro'!A:F,6,0)),"")</f>
        <v/>
      </c>
    </row>
    <row r="246" spans="3:3">
      <c r="C246" s="1" t="str">
        <f>IFERROR(IF(VLOOKUP(A246,'Sellers Pro'!A:F,6,0)=0,"",VLOOKUP(A246,'Sellers Pro'!A:F,6,0)),"")</f>
        <v/>
      </c>
    </row>
    <row r="247" spans="3:3">
      <c r="C247" s="1" t="str">
        <f>IFERROR(IF(VLOOKUP(A247,'Sellers Pro'!A:F,6,0)=0,"",VLOOKUP(A247,'Sellers Pro'!A:F,6,0)),"")</f>
        <v/>
      </c>
    </row>
    <row r="248" spans="3:3">
      <c r="C248" s="1" t="str">
        <f>IFERROR(IF(VLOOKUP(A248,'Sellers Pro'!A:F,6,0)=0,"",VLOOKUP(A248,'Sellers Pro'!A:F,6,0)),"")</f>
        <v/>
      </c>
    </row>
    <row r="249" spans="3:3">
      <c r="C249" s="1" t="str">
        <f>IFERROR(IF(VLOOKUP(A249,'Sellers Pro'!A:F,6,0)=0,"",VLOOKUP(A249,'Sellers Pro'!A:F,6,0)),"")</f>
        <v/>
      </c>
    </row>
    <row r="250" spans="3:3">
      <c r="C250" s="1" t="str">
        <f>IFERROR(IF(VLOOKUP(A250,'Sellers Pro'!A:F,6,0)=0,"",VLOOKUP(A250,'Sellers Pro'!A:F,6,0)),"")</f>
        <v/>
      </c>
    </row>
    <row r="251" spans="3:3">
      <c r="C251" s="1" t="str">
        <f>IFERROR(IF(VLOOKUP(A251,'Sellers Pro'!A:F,6,0)=0,"",VLOOKUP(A251,'Sellers Pro'!A:F,6,0)),"")</f>
        <v/>
      </c>
    </row>
    <row r="252" spans="3:3">
      <c r="C252" s="1" t="str">
        <f>IFERROR(IF(VLOOKUP(A252,'Sellers Pro'!A:F,6,0)=0,"",VLOOKUP(A252,'Sellers Pro'!A:F,6,0)),"")</f>
        <v/>
      </c>
    </row>
    <row r="253" spans="3:3">
      <c r="C253" s="1" t="str">
        <f>IFERROR(IF(VLOOKUP(A253,'Sellers Pro'!A:F,6,0)=0,"",VLOOKUP(A253,'Sellers Pro'!A:F,6,0)),"")</f>
        <v/>
      </c>
    </row>
    <row r="254" spans="3:3">
      <c r="C254" s="1" t="str">
        <f>IFERROR(IF(VLOOKUP(A254,'Sellers Pro'!A:F,6,0)=0,"",VLOOKUP(A254,'Sellers Pro'!A:F,6,0)),"")</f>
        <v/>
      </c>
    </row>
    <row r="255" spans="3:3">
      <c r="C255" s="1" t="str">
        <f>IFERROR(IF(VLOOKUP(A255,'Sellers Pro'!A:F,6,0)=0,"",VLOOKUP(A255,'Sellers Pro'!A:F,6,0)),"")</f>
        <v/>
      </c>
    </row>
    <row r="256" spans="3:3">
      <c r="C256" s="1" t="str">
        <f>IFERROR(IF(VLOOKUP(A256,'Sellers Pro'!A:F,6,0)=0,"",VLOOKUP(A256,'Sellers Pro'!A:F,6,0)),"")</f>
        <v/>
      </c>
    </row>
    <row r="257" spans="3:3">
      <c r="C257" s="1" t="str">
        <f>IFERROR(IF(VLOOKUP(A257,'Sellers Pro'!A:F,6,0)=0,"",VLOOKUP(A257,'Sellers Pro'!A:F,6,0)),"")</f>
        <v/>
      </c>
    </row>
    <row r="258" spans="3:3">
      <c r="C258" s="1" t="str">
        <f>IFERROR(IF(VLOOKUP(A258,'Sellers Pro'!A:F,6,0)=0,"",VLOOKUP(A258,'Sellers Pro'!A:F,6,0)),"")</f>
        <v/>
      </c>
    </row>
    <row r="259" spans="3:3">
      <c r="C259" s="1" t="str">
        <f>IFERROR(IF(VLOOKUP(A259,'Sellers Pro'!A:F,6,0)=0,"",VLOOKUP(A259,'Sellers Pro'!A:F,6,0)),"")</f>
        <v/>
      </c>
    </row>
    <row r="260" spans="3:3">
      <c r="C260" s="1" t="str">
        <f>IFERROR(IF(VLOOKUP(A260,'Sellers Pro'!A:F,6,0)=0,"",VLOOKUP(A260,'Sellers Pro'!A:F,6,0)),"")</f>
        <v/>
      </c>
    </row>
    <row r="261" spans="3:3">
      <c r="C261" s="1" t="str">
        <f>IFERROR(IF(VLOOKUP(A261,'Sellers Pro'!A:F,6,0)=0,"",VLOOKUP(A261,'Sellers Pro'!A:F,6,0)),"")</f>
        <v/>
      </c>
    </row>
    <row r="262" spans="3:3">
      <c r="C262" s="1" t="str">
        <f>IFERROR(IF(VLOOKUP(A262,'Sellers Pro'!A:F,6,0)=0,"",VLOOKUP(A262,'Sellers Pro'!A:F,6,0)),"")</f>
        <v/>
      </c>
    </row>
    <row r="263" spans="3:3">
      <c r="C263" s="1" t="str">
        <f>IFERROR(IF(VLOOKUP(A263,'Sellers Pro'!A:F,6,0)=0,"",VLOOKUP(A263,'Sellers Pro'!A:F,6,0)),"")</f>
        <v/>
      </c>
    </row>
    <row r="264" spans="3:3">
      <c r="C264" s="1" t="str">
        <f>IFERROR(IF(VLOOKUP(A264,'Sellers Pro'!A:F,6,0)=0,"",VLOOKUP(A264,'Sellers Pro'!A:F,6,0)),"")</f>
        <v/>
      </c>
    </row>
    <row r="265" spans="3:3">
      <c r="C265" s="1" t="str">
        <f>IFERROR(IF(VLOOKUP(A265,'Sellers Pro'!A:F,6,0)=0,"",VLOOKUP(A265,'Sellers Pro'!A:F,6,0)),"")</f>
        <v/>
      </c>
    </row>
    <row r="266" spans="3:3">
      <c r="C266" s="1" t="str">
        <f>IFERROR(IF(VLOOKUP(A266,'Sellers Pro'!A:F,6,0)=0,"",VLOOKUP(A266,'Sellers Pro'!A:F,6,0)),"")</f>
        <v/>
      </c>
    </row>
    <row r="267" spans="3:3">
      <c r="C267" s="1" t="str">
        <f>IFERROR(IF(VLOOKUP(A267,'Sellers Pro'!A:F,6,0)=0,"",VLOOKUP(A267,'Sellers Pro'!A:F,6,0)),"")</f>
        <v/>
      </c>
    </row>
    <row r="268" spans="3:3">
      <c r="C268" s="1" t="str">
        <f>IFERROR(IF(VLOOKUP(A268,'Sellers Pro'!A:F,6,0)=0,"",VLOOKUP(A268,'Sellers Pro'!A:F,6,0)),"")</f>
        <v/>
      </c>
    </row>
    <row r="269" spans="3:3">
      <c r="C269" s="1" t="str">
        <f>IFERROR(IF(VLOOKUP(A269,'Sellers Pro'!A:F,6,0)=0,"",VLOOKUP(A269,'Sellers Pro'!A:F,6,0)),"")</f>
        <v/>
      </c>
    </row>
    <row r="270" spans="3:3">
      <c r="C270" s="1" t="str">
        <f>IFERROR(IF(VLOOKUP(A270,'Sellers Pro'!A:F,6,0)=0,"",VLOOKUP(A270,'Sellers Pro'!A:F,6,0)),"")</f>
        <v/>
      </c>
    </row>
    <row r="271" spans="3:3">
      <c r="C271" s="1" t="str">
        <f>IFERROR(IF(VLOOKUP(A271,'Sellers Pro'!A:F,6,0)=0,"",VLOOKUP(A271,'Sellers Pro'!A:F,6,0)),"")</f>
        <v/>
      </c>
    </row>
    <row r="272" spans="3:3">
      <c r="C272" s="1" t="str">
        <f>IFERROR(IF(VLOOKUP(A272,'Sellers Pro'!A:F,6,0)=0,"",VLOOKUP(A272,'Sellers Pro'!A:F,6,0)),"")</f>
        <v/>
      </c>
    </row>
    <row r="273" spans="3:3">
      <c r="C273" s="1" t="str">
        <f>IFERROR(IF(VLOOKUP(A273,'Sellers Pro'!A:F,6,0)=0,"",VLOOKUP(A273,'Sellers Pro'!A:F,6,0)),"")</f>
        <v/>
      </c>
    </row>
    <row r="274" spans="3:3">
      <c r="C274" s="1" t="str">
        <f>IFERROR(IF(VLOOKUP(A274,'Sellers Pro'!A:F,6,0)=0,"",VLOOKUP(A274,'Sellers Pro'!A:F,6,0)),"")</f>
        <v/>
      </c>
    </row>
    <row r="275" spans="3:3">
      <c r="C275" s="1" t="str">
        <f>IFERROR(IF(VLOOKUP(A275,'Sellers Pro'!A:F,6,0)=0,"",VLOOKUP(A275,'Sellers Pro'!A:F,6,0)),"")</f>
        <v/>
      </c>
    </row>
    <row r="276" spans="3:3">
      <c r="C276" s="1" t="str">
        <f>IFERROR(IF(VLOOKUP(A276,'Sellers Pro'!A:F,6,0)=0,"",VLOOKUP(A276,'Sellers Pro'!A:F,6,0)),"")</f>
        <v/>
      </c>
    </row>
    <row r="277" spans="3:3">
      <c r="C277" s="1" t="str">
        <f>IFERROR(IF(VLOOKUP(A277,'Sellers Pro'!A:F,6,0)=0,"",VLOOKUP(A277,'Sellers Pro'!A:F,6,0)),"")</f>
        <v/>
      </c>
    </row>
    <row r="278" spans="3:3">
      <c r="C278" s="1" t="str">
        <f>IFERROR(IF(VLOOKUP(A278,'Sellers Pro'!A:F,6,0)=0,"",VLOOKUP(A278,'Sellers Pro'!A:F,6,0)),"")</f>
        <v/>
      </c>
    </row>
    <row r="279" spans="3:3">
      <c r="C279" s="1" t="str">
        <f>IFERROR(IF(VLOOKUP(A279,'Sellers Pro'!A:F,6,0)=0,"",VLOOKUP(A279,'Sellers Pro'!A:F,6,0)),"")</f>
        <v/>
      </c>
    </row>
    <row r="280" spans="3:3">
      <c r="C280" s="1" t="str">
        <f>IFERROR(IF(VLOOKUP(A280,'Sellers Pro'!A:F,6,0)=0,"",VLOOKUP(A280,'Sellers Pro'!A:F,6,0)),"")</f>
        <v/>
      </c>
    </row>
    <row r="281" spans="3:3">
      <c r="C281" s="1" t="str">
        <f>IFERROR(IF(VLOOKUP(A281,'Sellers Pro'!A:F,6,0)=0,"",VLOOKUP(A281,'Sellers Pro'!A:F,6,0)),"")</f>
        <v/>
      </c>
    </row>
    <row r="282" spans="3:3">
      <c r="C282" s="1" t="str">
        <f>IFERROR(IF(VLOOKUP(A282,'Sellers Pro'!A:F,6,0)=0,"",VLOOKUP(A282,'Sellers Pro'!A:F,6,0)),"")</f>
        <v/>
      </c>
    </row>
    <row r="283" spans="3:3">
      <c r="C283" s="1" t="str">
        <f>IFERROR(IF(VLOOKUP(A283,'Sellers Pro'!A:F,6,0)=0,"",VLOOKUP(A283,'Sellers Pro'!A:F,6,0)),"")</f>
        <v/>
      </c>
    </row>
    <row r="284" spans="3:3">
      <c r="C284" s="1" t="str">
        <f>IFERROR(IF(VLOOKUP(A284,'Sellers Pro'!A:F,6,0)=0,"",VLOOKUP(A284,'Sellers Pro'!A:F,6,0)),"")</f>
        <v/>
      </c>
    </row>
    <row r="285" spans="3:3">
      <c r="C285" s="1" t="str">
        <f>IFERROR(IF(VLOOKUP(A285,'Sellers Pro'!A:F,6,0)=0,"",VLOOKUP(A285,'Sellers Pro'!A:F,6,0)),"")</f>
        <v/>
      </c>
    </row>
    <row r="286" spans="3:3">
      <c r="C286" s="1" t="str">
        <f>IFERROR(IF(VLOOKUP(A286,'Sellers Pro'!A:F,6,0)=0,"",VLOOKUP(A286,'Sellers Pro'!A:F,6,0)),"")</f>
        <v/>
      </c>
    </row>
    <row r="287" spans="3:3">
      <c r="C287" s="1" t="str">
        <f>IFERROR(IF(VLOOKUP(A287,'Sellers Pro'!A:F,6,0)=0,"",VLOOKUP(A287,'Sellers Pro'!A:F,6,0)),"")</f>
        <v/>
      </c>
    </row>
    <row r="288" spans="3:3">
      <c r="C288" s="1" t="str">
        <f>IFERROR(IF(VLOOKUP(A288,'Sellers Pro'!A:F,6,0)=0,"",VLOOKUP(A288,'Sellers Pro'!A:F,6,0)),"")</f>
        <v/>
      </c>
    </row>
    <row r="289" spans="3:3">
      <c r="C289" s="1" t="str">
        <f>IFERROR(IF(VLOOKUP(A289,'Sellers Pro'!A:F,6,0)=0,"",VLOOKUP(A289,'Sellers Pro'!A:F,6,0)),"")</f>
        <v/>
      </c>
    </row>
    <row r="290" spans="3:3">
      <c r="C290" s="1" t="str">
        <f>IFERROR(IF(VLOOKUP(A290,'Sellers Pro'!A:F,6,0)=0,"",VLOOKUP(A290,'Sellers Pro'!A:F,6,0)),"")</f>
        <v/>
      </c>
    </row>
    <row r="291" spans="3:3">
      <c r="C291" s="1" t="str">
        <f>IFERROR(IF(VLOOKUP(A291,'Sellers Pro'!A:F,6,0)=0,"",VLOOKUP(A291,'Sellers Pro'!A:F,6,0)),"")</f>
        <v/>
      </c>
    </row>
    <row r="292" spans="3:3">
      <c r="C292" s="1" t="str">
        <f>IFERROR(IF(VLOOKUP(A292,'Sellers Pro'!A:F,6,0)=0,"",VLOOKUP(A292,'Sellers Pro'!A:F,6,0)),"")</f>
        <v/>
      </c>
    </row>
    <row r="293" spans="3:3">
      <c r="C293" s="1" t="str">
        <f>IFERROR(IF(VLOOKUP(A293,'Sellers Pro'!A:F,6,0)=0,"",VLOOKUP(A293,'Sellers Pro'!A:F,6,0)),"")</f>
        <v/>
      </c>
    </row>
    <row r="294" spans="3:3">
      <c r="C294" s="1" t="str">
        <f>IFERROR(IF(VLOOKUP(A294,'Sellers Pro'!A:F,6,0)=0,"",VLOOKUP(A294,'Sellers Pro'!A:F,6,0)),"")</f>
        <v/>
      </c>
    </row>
    <row r="295" spans="3:3">
      <c r="C295" s="1" t="str">
        <f>IFERROR(IF(VLOOKUP(A295,'Sellers Pro'!A:F,6,0)=0,"",VLOOKUP(A295,'Sellers Pro'!A:F,6,0)),"")</f>
        <v/>
      </c>
    </row>
    <row r="296" spans="3:3">
      <c r="C296" s="1" t="str">
        <f>IFERROR(IF(VLOOKUP(A296,'Sellers Pro'!A:F,6,0)=0,"",VLOOKUP(A296,'Sellers Pro'!A:F,6,0)),"")</f>
        <v/>
      </c>
    </row>
    <row r="297" spans="3:3">
      <c r="C297" s="1" t="str">
        <f>IFERROR(IF(VLOOKUP(A297,'Sellers Pro'!A:F,6,0)=0,"",VLOOKUP(A297,'Sellers Pro'!A:F,6,0)),"")</f>
        <v/>
      </c>
    </row>
    <row r="298" spans="3:3">
      <c r="C298" s="1" t="str">
        <f>IFERROR(IF(VLOOKUP(A298,'Sellers Pro'!A:F,6,0)=0,"",VLOOKUP(A298,'Sellers Pro'!A:F,6,0)),"")</f>
        <v/>
      </c>
    </row>
    <row r="299" spans="3:3">
      <c r="C299" s="1" t="str">
        <f>IFERROR(IF(VLOOKUP(A299,'Sellers Pro'!A:F,6,0)=0,"",VLOOKUP(A299,'Sellers Pro'!A:F,6,0)),"")</f>
        <v/>
      </c>
    </row>
    <row r="300" spans="3:3">
      <c r="C300" s="1" t="str">
        <f>IFERROR(IF(VLOOKUP(A300,'Sellers Pro'!A:F,6,0)=0,"",VLOOKUP(A300,'Sellers Pro'!A:F,6,0)),"")</f>
        <v/>
      </c>
    </row>
    <row r="301" spans="3:3">
      <c r="C301" s="1" t="str">
        <f>IFERROR(IF(VLOOKUP(A301,'Sellers Pro'!A:F,6,0)=0,"",VLOOKUP(A301,'Sellers Pro'!A:F,6,0)),"")</f>
        <v/>
      </c>
    </row>
    <row r="302" spans="3:3">
      <c r="C302" s="1" t="str">
        <f>IFERROR(IF(VLOOKUP(A302,'Sellers Pro'!A:F,6,0)=0,"",VLOOKUP(A302,'Sellers Pro'!A:F,6,0)),"")</f>
        <v/>
      </c>
    </row>
    <row r="303" spans="3:3">
      <c r="C303" s="1" t="str">
        <f>IFERROR(IF(VLOOKUP(A303,'Sellers Pro'!A:F,6,0)=0,"",VLOOKUP(A303,'Sellers Pro'!A:F,6,0)),"")</f>
        <v/>
      </c>
    </row>
    <row r="304" spans="3:3">
      <c r="C304" s="1" t="str">
        <f>IFERROR(IF(VLOOKUP(A304,'Sellers Pro'!A:F,6,0)=0,"",VLOOKUP(A304,'Sellers Pro'!A:F,6,0)),"")</f>
        <v/>
      </c>
    </row>
    <row r="305" spans="3:3">
      <c r="C305" s="1" t="str">
        <f>IFERROR(IF(VLOOKUP(A305,'Sellers Pro'!A:F,6,0)=0,"",VLOOKUP(A305,'Sellers Pro'!A:F,6,0)),"")</f>
        <v/>
      </c>
    </row>
    <row r="306" spans="3:3">
      <c r="C306" s="1" t="str">
        <f>IFERROR(IF(VLOOKUP(A306,'Sellers Pro'!A:F,6,0)=0,"",VLOOKUP(A306,'Sellers Pro'!A:F,6,0)),"")</f>
        <v/>
      </c>
    </row>
    <row r="307" spans="3:3">
      <c r="C307" s="1" t="str">
        <f>IFERROR(IF(VLOOKUP(A307,'Sellers Pro'!A:F,6,0)=0,"",VLOOKUP(A307,'Sellers Pro'!A:F,6,0)),"")</f>
        <v/>
      </c>
    </row>
    <row r="308" spans="3:3">
      <c r="C308" s="1" t="str">
        <f>IFERROR(IF(VLOOKUP(A308,'Sellers Pro'!A:F,6,0)=0,"",VLOOKUP(A308,'Sellers Pro'!A:F,6,0)),"")</f>
        <v/>
      </c>
    </row>
    <row r="309" spans="3:3">
      <c r="C309" s="1" t="str">
        <f>IFERROR(IF(VLOOKUP(A309,'Sellers Pro'!A:F,6,0)=0,"",VLOOKUP(A309,'Sellers Pro'!A:F,6,0)),"")</f>
        <v/>
      </c>
    </row>
    <row r="310" spans="3:3">
      <c r="C310" s="1" t="str">
        <f>IFERROR(IF(VLOOKUP(A310,'Sellers Pro'!A:F,6,0)=0,"",VLOOKUP(A310,'Sellers Pro'!A:F,6,0)),"")</f>
        <v/>
      </c>
    </row>
    <row r="311" spans="3:3">
      <c r="C311" s="1" t="str">
        <f>IFERROR(IF(VLOOKUP(A311,'Sellers Pro'!A:F,6,0)=0,"",VLOOKUP(A311,'Sellers Pro'!A:F,6,0)),"")</f>
        <v/>
      </c>
    </row>
    <row r="312" spans="3:3">
      <c r="C312" s="1" t="str">
        <f>IFERROR(IF(VLOOKUP(A312,'Sellers Pro'!A:F,6,0)=0,"",VLOOKUP(A312,'Sellers Pro'!A:F,6,0)),"")</f>
        <v/>
      </c>
    </row>
    <row r="313" spans="3:3">
      <c r="C313" s="1" t="str">
        <f>IFERROR(IF(VLOOKUP(A313,'Sellers Pro'!A:F,6,0)=0,"",VLOOKUP(A313,'Sellers Pro'!A:F,6,0)),"")</f>
        <v/>
      </c>
    </row>
    <row r="314" spans="3:3">
      <c r="C314" s="1" t="str">
        <f>IFERROR(IF(VLOOKUP(A314,'Sellers Pro'!A:F,6,0)=0,"",VLOOKUP(A314,'Sellers Pro'!A:F,6,0)),"")</f>
        <v/>
      </c>
    </row>
    <row r="315" spans="3:3">
      <c r="C315" s="1" t="str">
        <f>IFERROR(IF(VLOOKUP(A315,'Sellers Pro'!A:F,6,0)=0,"",VLOOKUP(A315,'Sellers Pro'!A:F,6,0)),"")</f>
        <v/>
      </c>
    </row>
    <row r="316" spans="3:3">
      <c r="C316" s="1" t="str">
        <f>IFERROR(IF(VLOOKUP(A316,'Sellers Pro'!A:F,6,0)=0,"",VLOOKUP(A316,'Sellers Pro'!A:F,6,0)),"")</f>
        <v/>
      </c>
    </row>
    <row r="317" spans="3:3">
      <c r="C317" s="1" t="str">
        <f>IFERROR(IF(VLOOKUP(A317,'Sellers Pro'!A:F,6,0)=0,"",VLOOKUP(A317,'Sellers Pro'!A:F,6,0)),"")</f>
        <v/>
      </c>
    </row>
    <row r="318" spans="3:3">
      <c r="C318" s="1" t="str">
        <f>IFERROR(IF(VLOOKUP(A318,'Sellers Pro'!A:F,6,0)=0,"",VLOOKUP(A318,'Sellers Pro'!A:F,6,0)),"")</f>
        <v/>
      </c>
    </row>
    <row r="319" spans="3:3">
      <c r="C319" s="1" t="str">
        <f>IFERROR(IF(VLOOKUP(A319,'Sellers Pro'!A:F,6,0)=0,"",VLOOKUP(A319,'Sellers Pro'!A:F,6,0)),"")</f>
        <v/>
      </c>
    </row>
    <row r="320" spans="3:3">
      <c r="C320" s="1" t="str">
        <f>IFERROR(IF(VLOOKUP(A320,'Sellers Pro'!A:F,6,0)=0,"",VLOOKUP(A320,'Sellers Pro'!A:F,6,0)),"")</f>
        <v/>
      </c>
    </row>
    <row r="321" spans="3:3">
      <c r="C321" s="1" t="str">
        <f>IFERROR(IF(VLOOKUP(A321,'Sellers Pro'!A:F,6,0)=0,"",VLOOKUP(A321,'Sellers Pro'!A:F,6,0)),"")</f>
        <v/>
      </c>
    </row>
    <row r="322" spans="3:3">
      <c r="C322" s="1" t="str">
        <f>IFERROR(IF(VLOOKUP(A322,'Sellers Pro'!A:F,6,0)=0,"",VLOOKUP(A322,'Sellers Pro'!A:F,6,0)),"")</f>
        <v/>
      </c>
    </row>
    <row r="323" spans="3:3">
      <c r="C323" s="1" t="str">
        <f>IFERROR(IF(VLOOKUP(A323,'Sellers Pro'!A:F,6,0)=0,"",VLOOKUP(A323,'Sellers Pro'!A:F,6,0)),"")</f>
        <v/>
      </c>
    </row>
    <row r="324" spans="3:3">
      <c r="C324" s="1" t="str">
        <f>IFERROR(IF(VLOOKUP(A324,'Sellers Pro'!A:F,6,0)=0,"",VLOOKUP(A324,'Sellers Pro'!A:F,6,0)),"")</f>
        <v/>
      </c>
    </row>
    <row r="325" spans="3:3">
      <c r="C325" s="1" t="str">
        <f>IFERROR(IF(VLOOKUP(A325,'Sellers Pro'!A:F,6,0)=0,"",VLOOKUP(A325,'Sellers Pro'!A:F,6,0)),"")</f>
        <v/>
      </c>
    </row>
    <row r="326" spans="3:3">
      <c r="C326" s="1" t="str">
        <f>IFERROR(IF(VLOOKUP(A326,'Sellers Pro'!A:F,6,0)=0,"",VLOOKUP(A326,'Sellers Pro'!A:F,6,0)),"")</f>
        <v/>
      </c>
    </row>
    <row r="327" spans="3:3">
      <c r="C327" s="1" t="str">
        <f>IFERROR(IF(VLOOKUP(A327,'Sellers Pro'!A:F,6,0)=0,"",VLOOKUP(A327,'Sellers Pro'!A:F,6,0)),"")</f>
        <v/>
      </c>
    </row>
    <row r="328" spans="3:3">
      <c r="C328" s="1" t="str">
        <f>IFERROR(IF(VLOOKUP(A328,'Sellers Pro'!A:F,6,0)=0,"",VLOOKUP(A328,'Sellers Pro'!A:F,6,0)),"")</f>
        <v/>
      </c>
    </row>
    <row r="329" spans="3:3">
      <c r="C329" s="1" t="str">
        <f>IFERROR(IF(VLOOKUP(A329,'Sellers Pro'!A:F,6,0)=0,"",VLOOKUP(A329,'Sellers Pro'!A:F,6,0)),"")</f>
        <v/>
      </c>
    </row>
    <row r="330" spans="3:3">
      <c r="C330" s="1" t="str">
        <f>IFERROR(IF(VLOOKUP(A330,'Sellers Pro'!A:F,6,0)=0,"",VLOOKUP(A330,'Sellers Pro'!A:F,6,0)),"")</f>
        <v/>
      </c>
    </row>
    <row r="331" spans="3:3">
      <c r="C331" s="1" t="str">
        <f>IFERROR(IF(VLOOKUP(A331,'Sellers Pro'!A:F,6,0)=0,"",VLOOKUP(A331,'Sellers Pro'!A:F,6,0)),"")</f>
        <v/>
      </c>
    </row>
    <row r="332" spans="3:3">
      <c r="C332" s="1" t="str">
        <f>IFERROR(IF(VLOOKUP(A332,'Sellers Pro'!A:F,6,0)=0,"",VLOOKUP(A332,'Sellers Pro'!A:F,6,0)),"")</f>
        <v/>
      </c>
    </row>
    <row r="333" spans="3:3">
      <c r="C333" s="1" t="str">
        <f>IFERROR(IF(VLOOKUP(A333,'Sellers Pro'!A:F,6,0)=0,"",VLOOKUP(A333,'Sellers Pro'!A:F,6,0)),"")</f>
        <v/>
      </c>
    </row>
    <row r="334" spans="3:3">
      <c r="C334" s="1" t="str">
        <f>IFERROR(IF(VLOOKUP(A334,'Sellers Pro'!A:F,6,0)=0,"",VLOOKUP(A334,'Sellers Pro'!A:F,6,0)),"")</f>
        <v/>
      </c>
    </row>
    <row r="335" spans="3:3">
      <c r="C335" s="1" t="str">
        <f>IFERROR(IF(VLOOKUP(A335,'Sellers Pro'!A:F,6,0)=0,"",VLOOKUP(A335,'Sellers Pro'!A:F,6,0)),"")</f>
        <v/>
      </c>
    </row>
    <row r="336" spans="3:3">
      <c r="C336" s="1" t="str">
        <f>IFERROR(IF(VLOOKUP(A336,'Sellers Pro'!A:F,6,0)=0,"",VLOOKUP(A336,'Sellers Pro'!A:F,6,0)),"")</f>
        <v/>
      </c>
    </row>
    <row r="337" spans="3:3">
      <c r="C337" s="1" t="str">
        <f>IFERROR(IF(VLOOKUP(A337,'Sellers Pro'!A:F,6,0)=0,"",VLOOKUP(A337,'Sellers Pro'!A:F,6,0)),"")</f>
        <v/>
      </c>
    </row>
    <row r="338" spans="3:3">
      <c r="C338" s="1" t="str">
        <f>IFERROR(IF(VLOOKUP(A338,'Sellers Pro'!A:F,6,0)=0,"",VLOOKUP(A338,'Sellers Pro'!A:F,6,0)),"")</f>
        <v/>
      </c>
    </row>
    <row r="339" spans="3:3">
      <c r="C339" s="1" t="str">
        <f>IFERROR(IF(VLOOKUP(A339,'Sellers Pro'!A:F,6,0)=0,"",VLOOKUP(A339,'Sellers Pro'!A:F,6,0)),"")</f>
        <v/>
      </c>
    </row>
    <row r="340" spans="3:3">
      <c r="C340" s="1" t="str">
        <f>IFERROR(IF(VLOOKUP(A340,'Sellers Pro'!A:F,6,0)=0,"",VLOOKUP(A340,'Sellers Pro'!A:F,6,0)),"")</f>
        <v/>
      </c>
    </row>
    <row r="341" spans="3:3">
      <c r="C341" s="1" t="str">
        <f>IFERROR(IF(VLOOKUP(A341,'Sellers Pro'!A:F,6,0)=0,"",VLOOKUP(A341,'Sellers Pro'!A:F,6,0)),"")</f>
        <v/>
      </c>
    </row>
    <row r="342" spans="3:3">
      <c r="C342" s="1" t="str">
        <f>IFERROR(IF(VLOOKUP(A342,'Sellers Pro'!A:F,6,0)=0,"",VLOOKUP(A342,'Sellers Pro'!A:F,6,0)),"")</f>
        <v/>
      </c>
    </row>
    <row r="343" spans="3:3">
      <c r="C343" s="1" t="str">
        <f>IFERROR(IF(VLOOKUP(A343,'Sellers Pro'!A:F,6,0)=0,"",VLOOKUP(A343,'Sellers Pro'!A:F,6,0)),"")</f>
        <v/>
      </c>
    </row>
    <row r="344" spans="3:3">
      <c r="C344" s="1" t="str">
        <f>IFERROR(IF(VLOOKUP(A344,'Sellers Pro'!A:F,6,0)=0,"",VLOOKUP(A344,'Sellers Pro'!A:F,6,0)),"")</f>
        <v/>
      </c>
    </row>
    <row r="345" spans="3:3">
      <c r="C345" s="1" t="str">
        <f>IFERROR(IF(VLOOKUP(A345,'Sellers Pro'!A:F,6,0)=0,"",VLOOKUP(A345,'Sellers Pro'!A:F,6,0)),"")</f>
        <v/>
      </c>
    </row>
    <row r="346" spans="3:3">
      <c r="C346" s="1" t="str">
        <f>IFERROR(IF(VLOOKUP(A346,'Sellers Pro'!A:F,6,0)=0,"",VLOOKUP(A346,'Sellers Pro'!A:F,6,0)),"")</f>
        <v/>
      </c>
    </row>
    <row r="347" spans="3:3">
      <c r="C347" s="1" t="str">
        <f>IFERROR(IF(VLOOKUP(A347,'Sellers Pro'!A:F,6,0)=0,"",VLOOKUP(A347,'Sellers Pro'!A:F,6,0)),"")</f>
        <v/>
      </c>
    </row>
    <row r="348" spans="3:3">
      <c r="C348" s="1" t="str">
        <f>IFERROR(IF(VLOOKUP(A348,'Sellers Pro'!A:F,6,0)=0,"",VLOOKUP(A348,'Sellers Pro'!A:F,6,0)),"")</f>
        <v/>
      </c>
    </row>
    <row r="349" spans="3:3">
      <c r="C349" s="1" t="str">
        <f>IFERROR(IF(VLOOKUP(A349,'Sellers Pro'!A:F,6,0)=0,"",VLOOKUP(A349,'Sellers Pro'!A:F,6,0)),"")</f>
        <v/>
      </c>
    </row>
    <row r="350" spans="3:3">
      <c r="C350" s="1" t="str">
        <f>IFERROR(IF(VLOOKUP(A350,'Sellers Pro'!A:F,6,0)=0,"",VLOOKUP(A350,'Sellers Pro'!A:F,6,0)),"")</f>
        <v/>
      </c>
    </row>
    <row r="351" spans="3:3">
      <c r="C351" s="1" t="str">
        <f>IFERROR(IF(VLOOKUP(A351,'Sellers Pro'!A:F,6,0)=0,"",VLOOKUP(A351,'Sellers Pro'!A:F,6,0)),"")</f>
        <v/>
      </c>
    </row>
    <row r="352" spans="3:3">
      <c r="C352" s="1" t="str">
        <f>IFERROR(IF(VLOOKUP(A352,'Sellers Pro'!A:F,6,0)=0,"",VLOOKUP(A352,'Sellers Pro'!A:F,6,0)),"")</f>
        <v/>
      </c>
    </row>
    <row r="353" spans="3:3">
      <c r="C353" s="1" t="str">
        <f>IFERROR(IF(VLOOKUP(A353,'Sellers Pro'!A:F,6,0)=0,"",VLOOKUP(A353,'Sellers Pro'!A:F,6,0)),"")</f>
        <v/>
      </c>
    </row>
    <row r="354" spans="3:3">
      <c r="C354" s="1" t="str">
        <f>IFERROR(IF(VLOOKUP(A354,'Sellers Pro'!A:F,6,0)=0,"",VLOOKUP(A354,'Sellers Pro'!A:F,6,0)),"")</f>
        <v/>
      </c>
    </row>
    <row r="355" spans="3:3">
      <c r="C355" s="1" t="str">
        <f>IFERROR(IF(VLOOKUP(A355,'Sellers Pro'!A:F,6,0)=0,"",VLOOKUP(A355,'Sellers Pro'!A:F,6,0)),"")</f>
        <v/>
      </c>
    </row>
    <row r="356" spans="3:3">
      <c r="C356" s="1" t="str">
        <f>IFERROR(IF(VLOOKUP(A356,'Sellers Pro'!A:F,6,0)=0,"",VLOOKUP(A356,'Sellers Pro'!A:F,6,0)),"")</f>
        <v/>
      </c>
    </row>
    <row r="357" spans="3:3">
      <c r="C357" s="1" t="str">
        <f>IFERROR(IF(VLOOKUP(A357,'Sellers Pro'!A:F,6,0)=0,"",VLOOKUP(A357,'Sellers Pro'!A:F,6,0)),"")</f>
        <v/>
      </c>
    </row>
    <row r="358" spans="3:3">
      <c r="C358" s="1" t="str">
        <f>IFERROR(IF(VLOOKUP(A358,'Sellers Pro'!A:F,6,0)=0,"",VLOOKUP(A358,'Sellers Pro'!A:F,6,0)),"")</f>
        <v/>
      </c>
    </row>
    <row r="359" spans="3:3">
      <c r="C359" s="1" t="str">
        <f>IFERROR(IF(VLOOKUP(A359,'Sellers Pro'!A:F,6,0)=0,"",VLOOKUP(A359,'Sellers Pro'!A:F,6,0)),"")</f>
        <v/>
      </c>
    </row>
    <row r="360" spans="3:3">
      <c r="C360" s="1" t="str">
        <f>IFERROR(IF(VLOOKUP(A360,'Sellers Pro'!A:F,6,0)=0,"",VLOOKUP(A360,'Sellers Pro'!A:F,6,0)),"")</f>
        <v/>
      </c>
    </row>
    <row r="361" spans="3:3">
      <c r="C361" s="1" t="str">
        <f>IFERROR(IF(VLOOKUP(A361,'Sellers Pro'!A:F,6,0)=0,"",VLOOKUP(A361,'Sellers Pro'!A:F,6,0)),"")</f>
        <v/>
      </c>
    </row>
    <row r="362" spans="3:3">
      <c r="C362" s="1" t="str">
        <f>IFERROR(IF(VLOOKUP(A362,'Sellers Pro'!A:F,6,0)=0,"",VLOOKUP(A362,'Sellers Pro'!A:F,6,0)),"")</f>
        <v/>
      </c>
    </row>
    <row r="363" spans="3:3">
      <c r="C363" s="1" t="str">
        <f>IFERROR(IF(VLOOKUP(A363,'Sellers Pro'!A:F,6,0)=0,"",VLOOKUP(A363,'Sellers Pro'!A:F,6,0)),"")</f>
        <v/>
      </c>
    </row>
    <row r="364" spans="3:3">
      <c r="C364" s="1" t="str">
        <f>IFERROR(IF(VLOOKUP(A364,'Sellers Pro'!A:F,6,0)=0,"",VLOOKUP(A364,'Sellers Pro'!A:F,6,0)),"")</f>
        <v/>
      </c>
    </row>
    <row r="365" spans="3:3">
      <c r="C365" s="1" t="str">
        <f>IFERROR(IF(VLOOKUP(A365,'Sellers Pro'!A:F,6,0)=0,"",VLOOKUP(A365,'Sellers Pro'!A:F,6,0)),"")</f>
        <v/>
      </c>
    </row>
    <row r="366" spans="3:3">
      <c r="C366" s="1" t="str">
        <f>IFERROR(IF(VLOOKUP(A366,'Sellers Pro'!A:F,6,0)=0,"",VLOOKUP(A366,'Sellers Pro'!A:F,6,0)),"")</f>
        <v/>
      </c>
    </row>
    <row r="367" spans="3:3">
      <c r="C367" s="1" t="str">
        <f>IFERROR(IF(VLOOKUP(A367,'Sellers Pro'!A:F,6,0)=0,"",VLOOKUP(A367,'Sellers Pro'!A:F,6,0)),"")</f>
        <v/>
      </c>
    </row>
    <row r="368" spans="3:3">
      <c r="C368" s="1" t="str">
        <f>IFERROR(IF(VLOOKUP(A368,'Sellers Pro'!A:F,6,0)=0,"",VLOOKUP(A368,'Sellers Pro'!A:F,6,0)),"")</f>
        <v/>
      </c>
    </row>
    <row r="369" spans="3:3">
      <c r="C369" s="1" t="str">
        <f>IFERROR(IF(VLOOKUP(A369,'Sellers Pro'!A:F,6,0)=0,"",VLOOKUP(A369,'Sellers Pro'!A:F,6,0)),"")</f>
        <v/>
      </c>
    </row>
    <row r="370" spans="3:3">
      <c r="C370" s="1" t="str">
        <f>IFERROR(IF(VLOOKUP(A370,'Sellers Pro'!A:F,6,0)=0,"",VLOOKUP(A370,'Sellers Pro'!A:F,6,0)),"")</f>
        <v/>
      </c>
    </row>
    <row r="371" spans="3:3">
      <c r="C371" s="1" t="str">
        <f>IFERROR(IF(VLOOKUP(A371,'Sellers Pro'!A:F,6,0)=0,"",VLOOKUP(A371,'Sellers Pro'!A:F,6,0)),"")</f>
        <v/>
      </c>
    </row>
    <row r="372" spans="3:3">
      <c r="C372" s="1" t="str">
        <f>IFERROR(IF(VLOOKUP(A372,'Sellers Pro'!A:F,6,0)=0,"",VLOOKUP(A372,'Sellers Pro'!A:F,6,0)),"")</f>
        <v/>
      </c>
    </row>
    <row r="373" spans="3:3">
      <c r="C373" s="1" t="str">
        <f>IFERROR(IF(VLOOKUP(A373,'Sellers Pro'!A:F,6,0)=0,"",VLOOKUP(A373,'Sellers Pro'!A:F,6,0)),"")</f>
        <v/>
      </c>
    </row>
    <row r="374" spans="3:3">
      <c r="C374" s="1" t="str">
        <f>IFERROR(IF(VLOOKUP(A374,'Sellers Pro'!A:F,6,0)=0,"",VLOOKUP(A374,'Sellers Pro'!A:F,6,0)),"")</f>
        <v/>
      </c>
    </row>
    <row r="375" spans="3:3">
      <c r="C375" s="1" t="str">
        <f>IFERROR(IF(VLOOKUP(A375,'Sellers Pro'!A:F,6,0)=0,"",VLOOKUP(A375,'Sellers Pro'!A:F,6,0)),"")</f>
        <v/>
      </c>
    </row>
    <row r="376" spans="3:3">
      <c r="C376" s="1" t="str">
        <f>IFERROR(IF(VLOOKUP(A376,'Sellers Pro'!A:F,6,0)=0,"",VLOOKUP(A376,'Sellers Pro'!A:F,6,0)),"")</f>
        <v/>
      </c>
    </row>
    <row r="377" spans="3:3">
      <c r="C377" s="1" t="str">
        <f>IFERROR(IF(VLOOKUP(A377,'Sellers Pro'!A:F,6,0)=0,"",VLOOKUP(A377,'Sellers Pro'!A:F,6,0)),"")</f>
        <v/>
      </c>
    </row>
    <row r="378" spans="3:3">
      <c r="C378" s="1" t="str">
        <f>IFERROR(IF(VLOOKUP(A378,'Sellers Pro'!A:F,6,0)=0,"",VLOOKUP(A378,'Sellers Pro'!A:F,6,0)),"")</f>
        <v/>
      </c>
    </row>
    <row r="379" spans="3:3">
      <c r="C379" s="1" t="str">
        <f>IFERROR(IF(VLOOKUP(A379,'Sellers Pro'!A:F,6,0)=0,"",VLOOKUP(A379,'Sellers Pro'!A:F,6,0)),"")</f>
        <v/>
      </c>
    </row>
    <row r="380" spans="3:3">
      <c r="C380" s="1" t="str">
        <f>IFERROR(IF(VLOOKUP(A380,'Sellers Pro'!A:F,6,0)=0,"",VLOOKUP(A380,'Sellers Pro'!A:F,6,0)),"")</f>
        <v/>
      </c>
    </row>
    <row r="381" spans="3:3">
      <c r="C381" s="1" t="str">
        <f>IFERROR(IF(VLOOKUP(A381,'Sellers Pro'!A:F,6,0)=0,"",VLOOKUP(A381,'Sellers Pro'!A:F,6,0)),"")</f>
        <v/>
      </c>
    </row>
    <row r="382" spans="3:3">
      <c r="C382" s="1" t="str">
        <f>IFERROR(IF(VLOOKUP(A382,'Sellers Pro'!A:F,6,0)=0,"",VLOOKUP(A382,'Sellers Pro'!A:F,6,0)),"")</f>
        <v/>
      </c>
    </row>
    <row r="383" spans="3:3">
      <c r="C383" s="1" t="str">
        <f>IFERROR(IF(VLOOKUP(A383,'Sellers Pro'!A:F,6,0)=0,"",VLOOKUP(A383,'Sellers Pro'!A:F,6,0)),"")</f>
        <v/>
      </c>
    </row>
    <row r="384" spans="3:3">
      <c r="C384" s="1" t="str">
        <f>IFERROR(IF(VLOOKUP(A384,'Sellers Pro'!A:F,6,0)=0,"",VLOOKUP(A384,'Sellers Pro'!A:F,6,0)),"")</f>
        <v/>
      </c>
    </row>
    <row r="385" spans="3:3">
      <c r="C385" s="1" t="str">
        <f>IFERROR(IF(VLOOKUP(A385,'Sellers Pro'!A:F,6,0)=0,"",VLOOKUP(A385,'Sellers Pro'!A:F,6,0)),"")</f>
        <v/>
      </c>
    </row>
    <row r="386" spans="3:3">
      <c r="C386" s="1" t="str">
        <f>IFERROR(IF(VLOOKUP(A386,'Sellers Pro'!A:F,6,0)=0,"",VLOOKUP(A386,'Sellers Pro'!A:F,6,0)),"")</f>
        <v/>
      </c>
    </row>
    <row r="387" spans="3:3">
      <c r="C387" s="1" t="str">
        <f>IFERROR(IF(VLOOKUP(A387,'Sellers Pro'!A:F,6,0)=0,"",VLOOKUP(A387,'Sellers Pro'!A:F,6,0)),"")</f>
        <v/>
      </c>
    </row>
    <row r="388" spans="3:3">
      <c r="C388" s="1" t="str">
        <f>IFERROR(IF(VLOOKUP(A388,'Sellers Pro'!A:F,6,0)=0,"",VLOOKUP(A388,'Sellers Pro'!A:F,6,0)),"")</f>
        <v/>
      </c>
    </row>
    <row r="389" spans="3:3">
      <c r="C389" s="1" t="str">
        <f>IFERROR(IF(VLOOKUP(A389,'Sellers Pro'!A:F,6,0)=0,"",VLOOKUP(A389,'Sellers Pro'!A:F,6,0)),"")</f>
        <v/>
      </c>
    </row>
    <row r="390" spans="3:3">
      <c r="C390" s="1" t="str">
        <f>IFERROR(IF(VLOOKUP(A390,'Sellers Pro'!A:F,6,0)=0,"",VLOOKUP(A390,'Sellers Pro'!A:F,6,0)),"")</f>
        <v/>
      </c>
    </row>
    <row r="391" spans="3:3">
      <c r="C391" s="1" t="str">
        <f>IFERROR(IF(VLOOKUP(A391,'Sellers Pro'!A:F,6,0)=0,"",VLOOKUP(A391,'Sellers Pro'!A:F,6,0)),"")</f>
        <v/>
      </c>
    </row>
    <row r="392" spans="3:3">
      <c r="C392" s="1" t="str">
        <f>IFERROR(IF(VLOOKUP(A392,'Sellers Pro'!A:F,6,0)=0,"",VLOOKUP(A392,'Sellers Pro'!A:F,6,0)),"")</f>
        <v/>
      </c>
    </row>
    <row r="393" spans="3:3">
      <c r="C393" s="1" t="str">
        <f>IFERROR(IF(VLOOKUP(A393,'Sellers Pro'!A:F,6,0)=0,"",VLOOKUP(A393,'Sellers Pro'!A:F,6,0)),"")</f>
        <v/>
      </c>
    </row>
    <row r="394" spans="3:3">
      <c r="C394" s="1" t="str">
        <f>IFERROR(IF(VLOOKUP(A394,'Sellers Pro'!A:F,6,0)=0,"",VLOOKUP(A394,'Sellers Pro'!A:F,6,0)),"")</f>
        <v/>
      </c>
    </row>
    <row r="395" spans="3:3">
      <c r="C395" s="1" t="str">
        <f>IFERROR(IF(VLOOKUP(A395,'Sellers Pro'!A:F,6,0)=0,"",VLOOKUP(A395,'Sellers Pro'!A:F,6,0)),"")</f>
        <v/>
      </c>
    </row>
    <row r="396" spans="3:3">
      <c r="C396" s="1" t="str">
        <f>IFERROR(IF(VLOOKUP(A396,'Sellers Pro'!A:F,6,0)=0,"",VLOOKUP(A396,'Sellers Pro'!A:F,6,0)),"")</f>
        <v/>
      </c>
    </row>
    <row r="397" spans="3:3">
      <c r="C397" s="1" t="str">
        <f>IFERROR(IF(VLOOKUP(A397,'Sellers Pro'!A:F,6,0)=0,"",VLOOKUP(A397,'Sellers Pro'!A:F,6,0)),"")</f>
        <v/>
      </c>
    </row>
    <row r="398" spans="3:3">
      <c r="C398" s="1" t="str">
        <f>IFERROR(IF(VLOOKUP(A398,'Sellers Pro'!A:F,6,0)=0,"",VLOOKUP(A398,'Sellers Pro'!A:F,6,0)),"")</f>
        <v/>
      </c>
    </row>
    <row r="399" spans="3:3">
      <c r="C399" s="1" t="str">
        <f>IFERROR(IF(VLOOKUP(A399,'Sellers Pro'!A:F,6,0)=0,"",VLOOKUP(A399,'Sellers Pro'!A:F,6,0)),"")</f>
        <v/>
      </c>
    </row>
    <row r="400" spans="3:3">
      <c r="C400" s="1" t="str">
        <f>IFERROR(IF(VLOOKUP(A400,'Sellers Pro'!A:F,6,0)=0,"",VLOOKUP(A400,'Sellers Pro'!A:F,6,0)),"")</f>
        <v/>
      </c>
    </row>
    <row r="401" spans="3:3">
      <c r="C401" s="1" t="str">
        <f>IFERROR(IF(VLOOKUP(A401,'Sellers Pro'!A:F,6,0)=0,"",VLOOKUP(A401,'Sellers Pro'!A:F,6,0)),"")</f>
        <v/>
      </c>
    </row>
    <row r="402" spans="3:3">
      <c r="C402" s="1" t="str">
        <f>IFERROR(IF(VLOOKUP(A402,'Sellers Pro'!A:F,6,0)=0,"",VLOOKUP(A402,'Sellers Pro'!A:F,6,0)),"")</f>
        <v/>
      </c>
    </row>
    <row r="403" spans="3:3">
      <c r="C403" s="1" t="str">
        <f>IFERROR(IF(VLOOKUP(A403,'Sellers Pro'!A:F,6,0)=0,"",VLOOKUP(A403,'Sellers Pro'!A:F,6,0)),"")</f>
        <v/>
      </c>
    </row>
    <row r="404" spans="3:3">
      <c r="C404" s="1" t="str">
        <f>IFERROR(IF(VLOOKUP(A404,'Sellers Pro'!A:F,6,0)=0,"",VLOOKUP(A404,'Sellers Pro'!A:F,6,0)),"")</f>
        <v/>
      </c>
    </row>
    <row r="405" spans="3:3">
      <c r="C405" s="1" t="str">
        <f>IFERROR(IF(VLOOKUP(A405,'Sellers Pro'!A:F,6,0)=0,"",VLOOKUP(A405,'Sellers Pro'!A:F,6,0)),"")</f>
        <v/>
      </c>
    </row>
    <row r="406" spans="3:3">
      <c r="C406" s="1" t="str">
        <f>IFERROR(IF(VLOOKUP(A406,'Sellers Pro'!A:F,6,0)=0,"",VLOOKUP(A406,'Sellers Pro'!A:F,6,0)),"")</f>
        <v/>
      </c>
    </row>
    <row r="407" spans="3:3">
      <c r="C407" s="1" t="str">
        <f>IFERROR(IF(VLOOKUP(A407,'Sellers Pro'!A:F,6,0)=0,"",VLOOKUP(A407,'Sellers Pro'!A:F,6,0)),"")</f>
        <v/>
      </c>
    </row>
    <row r="408" spans="3:3">
      <c r="C408" s="1" t="str">
        <f>IFERROR(IF(VLOOKUP(A408,'Sellers Pro'!A:F,6,0)=0,"",VLOOKUP(A408,'Sellers Pro'!A:F,6,0)),"")</f>
        <v/>
      </c>
    </row>
    <row r="409" spans="3:3">
      <c r="C409" s="1" t="str">
        <f>IFERROR(IF(VLOOKUP(A409,'Sellers Pro'!A:F,6,0)=0,"",VLOOKUP(A409,'Sellers Pro'!A:F,6,0)),"")</f>
        <v/>
      </c>
    </row>
    <row r="410" spans="3:3">
      <c r="C410" s="1" t="str">
        <f>IFERROR(IF(VLOOKUP(A410,'Sellers Pro'!A:F,6,0)=0,"",VLOOKUP(A410,'Sellers Pro'!A:F,6,0)),"")</f>
        <v/>
      </c>
    </row>
    <row r="411" spans="3:3">
      <c r="C411" s="1" t="str">
        <f>IFERROR(IF(VLOOKUP(A411,'Sellers Pro'!A:F,6,0)=0,"",VLOOKUP(A411,'Sellers Pro'!A:F,6,0)),"")</f>
        <v/>
      </c>
    </row>
    <row r="412" spans="3:3">
      <c r="C412" s="1" t="str">
        <f>IFERROR(IF(VLOOKUP(A412,'Sellers Pro'!A:F,6,0)=0,"",VLOOKUP(A412,'Sellers Pro'!A:F,6,0)),"")</f>
        <v/>
      </c>
    </row>
    <row r="413" spans="3:3">
      <c r="C413" s="1" t="str">
        <f>IFERROR(IF(VLOOKUP(A413,'Sellers Pro'!A:F,6,0)=0,"",VLOOKUP(A413,'Sellers Pro'!A:F,6,0)),"")</f>
        <v/>
      </c>
    </row>
    <row r="414" spans="3:3">
      <c r="C414" s="1" t="str">
        <f>IFERROR(IF(VLOOKUP(A414,'Sellers Pro'!A:F,6,0)=0,"",VLOOKUP(A414,'Sellers Pro'!A:F,6,0)),"")</f>
        <v/>
      </c>
    </row>
    <row r="415" spans="3:3">
      <c r="C415" s="1" t="str">
        <f>IFERROR(IF(VLOOKUP(A415,'Sellers Pro'!A:F,6,0)=0,"",VLOOKUP(A415,'Sellers Pro'!A:F,6,0)),"")</f>
        <v/>
      </c>
    </row>
    <row r="416" spans="3:3">
      <c r="C416" s="1" t="str">
        <f>IFERROR(IF(VLOOKUP(A416,'Sellers Pro'!A:F,6,0)=0,"",VLOOKUP(A416,'Sellers Pro'!A:F,6,0)),"")</f>
        <v/>
      </c>
    </row>
    <row r="417" spans="3:3">
      <c r="C417" s="1" t="str">
        <f>IFERROR(IF(VLOOKUP(A417,'Sellers Pro'!A:F,6,0)=0,"",VLOOKUP(A417,'Sellers Pro'!A:F,6,0)),"")</f>
        <v/>
      </c>
    </row>
    <row r="418" spans="3:3">
      <c r="C418" s="1" t="str">
        <f>IFERROR(IF(VLOOKUP(A418,'Sellers Pro'!A:F,6,0)=0,"",VLOOKUP(A418,'Sellers Pro'!A:F,6,0)),"")</f>
        <v/>
      </c>
    </row>
    <row r="419" spans="3:3">
      <c r="C419" s="1" t="str">
        <f>IFERROR(IF(VLOOKUP(A419,'Sellers Pro'!A:F,6,0)=0,"",VLOOKUP(A419,'Sellers Pro'!A:F,6,0)),"")</f>
        <v/>
      </c>
    </row>
    <row r="420" spans="3:3">
      <c r="C420" s="1" t="str">
        <f>IFERROR(IF(VLOOKUP(A420,'Sellers Pro'!A:F,6,0)=0,"",VLOOKUP(A420,'Sellers Pro'!A:F,6,0)),"")</f>
        <v/>
      </c>
    </row>
    <row r="421" spans="3:3">
      <c r="C421" s="1" t="str">
        <f>IFERROR(IF(VLOOKUP(A421,'Sellers Pro'!A:F,6,0)=0,"",VLOOKUP(A421,'Sellers Pro'!A:F,6,0)),"")</f>
        <v/>
      </c>
    </row>
    <row r="422" spans="3:3">
      <c r="C422" s="1" t="str">
        <f>IFERROR(IF(VLOOKUP(A422,'Sellers Pro'!A:F,6,0)=0,"",VLOOKUP(A422,'Sellers Pro'!A:F,6,0)),"")</f>
        <v/>
      </c>
    </row>
    <row r="423" spans="3:3">
      <c r="C423" s="1" t="str">
        <f>IFERROR(IF(VLOOKUP(A423,'Sellers Pro'!A:F,6,0)=0,"",VLOOKUP(A423,'Sellers Pro'!A:F,6,0)),"")</f>
        <v/>
      </c>
    </row>
  </sheetData>
  <autoFilter ref="A2:BP423"/>
  <conditionalFormatting sqref="A1:A179">
    <cfRule type="duplicateValues" dxfId="7" priority="6"/>
  </conditionalFormatting>
  <conditionalFormatting sqref="A3:A179">
    <cfRule type="duplicateValues" dxfId="6" priority="7"/>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O210"/>
  <sheetViews>
    <sheetView workbookViewId="0">
      <selection activeCell="C3" sqref="C3"/>
    </sheetView>
  </sheetViews>
  <sheetFormatPr defaultRowHeight="14.45"/>
  <cols>
    <col min="1" max="1" width="14.875" customWidth="1"/>
    <col min="2" max="2" width="28" bestFit="1" customWidth="1"/>
    <col min="3" max="3" width="10.125" customWidth="1"/>
    <col min="5" max="5" width="12.875" bestFit="1" customWidth="1"/>
    <col min="6" max="6" width="19.875" bestFit="1" customWidth="1"/>
    <col min="7" max="7" width="17.5" customWidth="1"/>
    <col min="8" max="9" width="14.125" bestFit="1" customWidth="1"/>
    <col min="15" max="15" width="15.125" bestFit="1" customWidth="1"/>
  </cols>
  <sheetData>
    <row r="1" spans="1:67">
      <c r="A1" s="4"/>
      <c r="B1" s="4"/>
      <c r="C1" s="4"/>
      <c r="D1" s="5"/>
      <c r="E1" s="5"/>
      <c r="F1" s="5"/>
      <c r="G1" s="5"/>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row>
    <row r="2" spans="1:67">
      <c r="A2" s="7" t="s">
        <v>104</v>
      </c>
      <c r="B2" s="7" t="s">
        <v>105</v>
      </c>
      <c r="C2" s="7" t="s">
        <v>3</v>
      </c>
      <c r="D2" s="8" t="s">
        <v>106</v>
      </c>
      <c r="E2" s="8" t="s">
        <v>107</v>
      </c>
      <c r="F2" s="8" t="s">
        <v>108</v>
      </c>
      <c r="G2" s="8" t="s">
        <v>109</v>
      </c>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row>
    <row r="3" spans="1:67">
      <c r="A3" s="4">
        <v>247227556102</v>
      </c>
      <c r="B3" s="4" t="s">
        <v>270</v>
      </c>
      <c r="C3" s="1" t="e">
        <f ca="1">_xlfn.XLOOKUP(A3,'[1]Sellers Pro'!$C:$C,'[1]Sellers Pro'!$F:$F)</f>
        <v>#NAME?</v>
      </c>
      <c r="D3" s="5" t="e">
        <f>IF(C3="","0","1")</f>
        <v>#NAME?</v>
      </c>
      <c r="E3" s="5" t="str">
        <f>IFERROR(IF(VLOOKUP(A3,Base!AA:AA,1,0)&gt;0,"1","0"),"0")</f>
        <v>1</v>
      </c>
      <c r="F3" s="5" t="e">
        <f>IF(C3="","-",IF(OR(BC3="Muito satisfeito",BC3="Satisfeito"),"1","0"))</f>
        <v>#NAME?</v>
      </c>
      <c r="G3" s="5" t="str">
        <f>IF(BC3="","0","1")</f>
        <v>0</v>
      </c>
      <c r="H3" s="1"/>
      <c r="I3" s="1"/>
      <c r="J3" s="9"/>
      <c r="K3" s="9"/>
      <c r="N3" s="9"/>
      <c r="O3" s="1"/>
      <c r="P3" s="9"/>
      <c r="Q3" s="9"/>
      <c r="R3" s="9"/>
      <c r="S3" s="9"/>
      <c r="T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N3" s="9"/>
      <c r="BO3" s="9"/>
    </row>
    <row r="4" spans="1:67">
      <c r="A4" s="4">
        <v>656484931002</v>
      </c>
      <c r="B4" s="4" t="s">
        <v>2276</v>
      </c>
      <c r="C4" s="1"/>
      <c r="D4" s="5" t="str">
        <f t="shared" ref="D4:D67" si="0">IF(C4="","0","1")</f>
        <v>0</v>
      </c>
      <c r="E4" s="5">
        <v>0</v>
      </c>
      <c r="F4" s="5" t="str">
        <f t="shared" ref="F4:F67" si="1">IF(C4="","-",IF(OR(BC4="Muito satisfeito",BC4="Satisfeito"),"1","0"))</f>
        <v>-</v>
      </c>
      <c r="G4" s="5" t="str">
        <f t="shared" ref="G4:G67" si="2">IF(BC4="","0","1")</f>
        <v>0</v>
      </c>
      <c r="H4" s="1"/>
      <c r="I4" s="1"/>
      <c r="J4" s="9"/>
      <c r="K4" s="9"/>
      <c r="N4" s="9"/>
      <c r="O4" s="1"/>
      <c r="P4" s="9"/>
      <c r="Q4" s="9"/>
      <c r="R4" s="9"/>
      <c r="S4" s="9"/>
      <c r="T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N4" s="9"/>
      <c r="BO4" s="9"/>
    </row>
    <row r="5" spans="1:67">
      <c r="A5" s="4">
        <v>577689852902</v>
      </c>
      <c r="B5" s="4" t="s">
        <v>2277</v>
      </c>
      <c r="C5" s="1"/>
      <c r="D5" s="5" t="str">
        <f t="shared" si="0"/>
        <v>0</v>
      </c>
      <c r="E5" s="5" t="str">
        <f>IFERROR(IF(VLOOKUP(A5,Base!AA:AA,1,0)&gt;0,"1","0"),"0")</f>
        <v>0</v>
      </c>
      <c r="F5" s="5" t="str">
        <f t="shared" si="1"/>
        <v>-</v>
      </c>
      <c r="G5" s="5" t="str">
        <f t="shared" si="2"/>
        <v>0</v>
      </c>
      <c r="H5" s="1"/>
      <c r="I5" s="1"/>
      <c r="J5" s="9"/>
      <c r="K5" s="9"/>
      <c r="N5" s="9"/>
      <c r="O5" s="1"/>
      <c r="P5" s="9"/>
      <c r="Q5" s="9"/>
      <c r="R5" s="9"/>
      <c r="S5" s="9"/>
      <c r="T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N5" s="9"/>
      <c r="BO5" s="9"/>
    </row>
    <row r="6" spans="1:67">
      <c r="A6" s="4">
        <v>45610153402</v>
      </c>
      <c r="B6" s="4" t="s">
        <v>2278</v>
      </c>
      <c r="C6" s="1"/>
      <c r="D6" s="5" t="str">
        <f t="shared" si="0"/>
        <v>0</v>
      </c>
      <c r="E6" s="5" t="str">
        <f>IFERROR(IF(VLOOKUP(A6,Base!AA:AA,1,0)&gt;0,"1","0"),"0")</f>
        <v>0</v>
      </c>
      <c r="F6" s="5" t="str">
        <f t="shared" si="1"/>
        <v>-</v>
      </c>
      <c r="G6" s="5" t="str">
        <f t="shared" si="2"/>
        <v>0</v>
      </c>
      <c r="H6" s="1"/>
      <c r="I6" s="1"/>
      <c r="J6" s="9"/>
      <c r="K6" s="9"/>
      <c r="N6" s="9"/>
      <c r="O6" s="1"/>
      <c r="P6" s="9"/>
      <c r="Q6" s="9"/>
      <c r="R6" s="9"/>
      <c r="S6" s="9"/>
      <c r="T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N6" s="9"/>
      <c r="BO6" s="9"/>
    </row>
    <row r="7" spans="1:67">
      <c r="A7" s="4">
        <v>69746651</v>
      </c>
      <c r="B7" s="4" t="s">
        <v>944</v>
      </c>
      <c r="C7" s="1" t="e">
        <f ca="1">_xlfn.XLOOKUP(A7,'[1]Sellers Pro'!$C:$C,'[1]Sellers Pro'!$F:$F)</f>
        <v>#NAME?</v>
      </c>
      <c r="D7" s="5" t="e">
        <f t="shared" si="0"/>
        <v>#NAME?</v>
      </c>
      <c r="E7" s="5" t="str">
        <f>IFERROR(IF(VLOOKUP(A7,Base!AA:AA,1,0)&gt;0,"1","0"),"0")</f>
        <v>1</v>
      </c>
      <c r="F7" s="5" t="e">
        <f t="shared" si="1"/>
        <v>#NAME?</v>
      </c>
      <c r="G7" s="5" t="str">
        <f t="shared" si="2"/>
        <v>0</v>
      </c>
      <c r="H7" s="1"/>
      <c r="I7" s="1"/>
      <c r="J7" s="9"/>
      <c r="K7" s="9"/>
      <c r="N7" s="9"/>
      <c r="O7" s="1"/>
      <c r="P7" s="9"/>
      <c r="Q7" s="9"/>
      <c r="R7" s="9"/>
      <c r="S7" s="9"/>
      <c r="T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N7" s="9"/>
      <c r="BO7" s="9"/>
    </row>
    <row r="8" spans="1:67">
      <c r="A8" s="4">
        <v>434163431202</v>
      </c>
      <c r="B8" s="4" t="s">
        <v>1258</v>
      </c>
      <c r="C8" s="1" t="e">
        <f ca="1">_xlfn.XLOOKUP(A8,'[1]Sellers Pro'!$C:$C,'[1]Sellers Pro'!$F:$F)</f>
        <v>#NAME?</v>
      </c>
      <c r="D8" s="5" t="e">
        <f t="shared" si="0"/>
        <v>#NAME?</v>
      </c>
      <c r="E8" s="5" t="str">
        <f>IFERROR(IF(VLOOKUP(A8,Base!AA:AA,1,0)&gt;0,"1","0"),"0")</f>
        <v>1</v>
      </c>
      <c r="F8" s="5" t="e">
        <f t="shared" si="1"/>
        <v>#NAME?</v>
      </c>
      <c r="G8" s="5" t="str">
        <f t="shared" si="2"/>
        <v>0</v>
      </c>
      <c r="H8" s="1"/>
      <c r="I8" s="1"/>
      <c r="J8" s="9"/>
      <c r="K8" s="9"/>
      <c r="N8" s="9"/>
      <c r="O8" s="1"/>
      <c r="P8" s="9"/>
      <c r="Q8" s="9"/>
      <c r="R8" s="9"/>
      <c r="S8" s="9"/>
      <c r="T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N8" s="9"/>
      <c r="BO8" s="9"/>
    </row>
    <row r="9" spans="1:67">
      <c r="A9" s="4">
        <v>774349555502</v>
      </c>
      <c r="B9" s="4" t="s">
        <v>2279</v>
      </c>
      <c r="C9" s="1"/>
      <c r="D9" s="5" t="str">
        <f t="shared" si="0"/>
        <v>0</v>
      </c>
      <c r="E9" s="5" t="str">
        <f>IFERROR(IF(VLOOKUP(A9,Base!AA:AA,1,0)&gt;0,"1","0"),"0")</f>
        <v>0</v>
      </c>
      <c r="F9" s="5" t="str">
        <f t="shared" si="1"/>
        <v>-</v>
      </c>
      <c r="G9" s="5" t="str">
        <f t="shared" si="2"/>
        <v>0</v>
      </c>
      <c r="H9" s="1"/>
      <c r="I9" s="1"/>
      <c r="J9" s="9"/>
      <c r="K9" s="9"/>
      <c r="N9" s="9"/>
      <c r="O9" s="1"/>
      <c r="P9" s="9"/>
      <c r="Q9" s="9"/>
      <c r="R9" s="9"/>
      <c r="S9" s="9"/>
      <c r="T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N9" s="9"/>
      <c r="BO9" s="9"/>
    </row>
    <row r="10" spans="1:67">
      <c r="A10" s="4">
        <v>97759973202</v>
      </c>
      <c r="B10" s="4" t="s">
        <v>2118</v>
      </c>
      <c r="C10" s="1" t="e">
        <f ca="1">_xlfn.XLOOKUP(A10,'[1]Sellers Pro'!$C:$C,'[1]Sellers Pro'!$F:$F)</f>
        <v>#NAME?</v>
      </c>
      <c r="D10" s="5" t="e">
        <f t="shared" si="0"/>
        <v>#NAME?</v>
      </c>
      <c r="E10" s="5" t="str">
        <f>IFERROR(IF(VLOOKUP(A10,Base!AA:AA,1,0)&gt;0,"1","0"),"0")</f>
        <v>1</v>
      </c>
      <c r="F10" s="5" t="e">
        <f t="shared" si="1"/>
        <v>#NAME?</v>
      </c>
      <c r="G10" s="5" t="str">
        <f t="shared" si="2"/>
        <v>0</v>
      </c>
      <c r="H10" s="1"/>
      <c r="I10" s="1"/>
      <c r="J10" s="9"/>
      <c r="K10" s="9"/>
      <c r="N10" s="9"/>
      <c r="O10" s="1"/>
      <c r="P10" s="9"/>
      <c r="Q10" s="9"/>
      <c r="R10" s="9"/>
      <c r="S10" s="9"/>
      <c r="T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N10" s="9"/>
      <c r="BO10" s="9"/>
    </row>
    <row r="11" spans="1:67">
      <c r="A11" s="4">
        <v>627010921602</v>
      </c>
      <c r="B11" s="4" t="s">
        <v>1204</v>
      </c>
      <c r="C11" s="1" t="e">
        <f ca="1">_xlfn.XLOOKUP(A11,'[1]Sellers Pro'!$C:$C,'[1]Sellers Pro'!$F:$F)</f>
        <v>#NAME?</v>
      </c>
      <c r="D11" s="5" t="e">
        <f t="shared" si="0"/>
        <v>#NAME?</v>
      </c>
      <c r="E11" s="5" t="str">
        <f>IFERROR(IF(VLOOKUP(A11,Base!AA:AA,1,0)&gt;0,"1","0"),"0")</f>
        <v>1</v>
      </c>
      <c r="F11" s="5" t="e">
        <f t="shared" si="1"/>
        <v>#NAME?</v>
      </c>
      <c r="G11" s="5" t="str">
        <f t="shared" si="2"/>
        <v>0</v>
      </c>
      <c r="H11" s="1"/>
      <c r="I11" s="1"/>
      <c r="J11" s="9"/>
      <c r="K11" s="9"/>
      <c r="N11" s="9"/>
      <c r="O11" s="1"/>
      <c r="P11" s="9"/>
      <c r="Q11" s="9"/>
      <c r="R11" s="9"/>
      <c r="S11" s="9"/>
      <c r="T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N11" s="9"/>
      <c r="BO11" s="9"/>
    </row>
    <row r="12" spans="1:67">
      <c r="A12" s="4">
        <v>97596278102</v>
      </c>
      <c r="B12" s="4" t="s">
        <v>343</v>
      </c>
      <c r="C12" s="1" t="e">
        <f ca="1">_xlfn.XLOOKUP(A12,'[1]Sellers Pro'!$C:$C,'[1]Sellers Pro'!$F:$F)</f>
        <v>#NAME?</v>
      </c>
      <c r="D12" s="5" t="e">
        <f t="shared" si="0"/>
        <v>#NAME?</v>
      </c>
      <c r="E12" s="5" t="str">
        <f>IFERROR(IF(VLOOKUP(A12,Base!AA:AA,1,0)&gt;0,"1","0"),"0")</f>
        <v>1</v>
      </c>
      <c r="F12" s="5" t="e">
        <f t="shared" si="1"/>
        <v>#NAME?</v>
      </c>
      <c r="G12" s="5" t="str">
        <f t="shared" si="2"/>
        <v>0</v>
      </c>
      <c r="H12" s="1"/>
      <c r="I12" s="1"/>
      <c r="J12" s="9"/>
      <c r="K12" s="9"/>
      <c r="N12" s="9"/>
      <c r="O12" s="1"/>
      <c r="P12" s="9"/>
      <c r="Q12" s="9"/>
      <c r="R12" s="9"/>
      <c r="S12" s="9"/>
      <c r="T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N12" s="9"/>
      <c r="BO12" s="9"/>
    </row>
    <row r="13" spans="1:67">
      <c r="A13" s="4">
        <v>487573149502</v>
      </c>
      <c r="B13" s="4" t="s">
        <v>244</v>
      </c>
      <c r="C13" s="1"/>
      <c r="D13" s="5" t="str">
        <f t="shared" si="0"/>
        <v>0</v>
      </c>
      <c r="E13" s="5" t="str">
        <f>IFERROR(IF(VLOOKUP(A13,Base!AA:AA,1,0)&gt;0,"1","0"),"0")</f>
        <v>0</v>
      </c>
      <c r="F13" s="5" t="str">
        <f t="shared" si="1"/>
        <v>-</v>
      </c>
      <c r="G13" s="5" t="str">
        <f t="shared" si="2"/>
        <v>0</v>
      </c>
      <c r="H13" s="1"/>
      <c r="I13" s="1"/>
      <c r="J13" s="9"/>
      <c r="K13" s="9"/>
      <c r="N13" s="9"/>
      <c r="O13" s="1"/>
      <c r="P13" s="9"/>
      <c r="Q13" s="9"/>
      <c r="R13" s="9"/>
      <c r="S13" s="9"/>
      <c r="T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N13" s="9"/>
      <c r="BO13" s="9"/>
    </row>
    <row r="14" spans="1:67">
      <c r="A14" s="4">
        <v>685488901302</v>
      </c>
      <c r="B14" s="4" t="s">
        <v>414</v>
      </c>
      <c r="C14" s="1" t="e">
        <f ca="1">_xlfn.XLOOKUP(A14,'[1]Sellers Pro'!$C:$C,'[1]Sellers Pro'!$F:$F)</f>
        <v>#NAME?</v>
      </c>
      <c r="D14" s="5" t="e">
        <f t="shared" si="0"/>
        <v>#NAME?</v>
      </c>
      <c r="E14" s="5" t="str">
        <f>IFERROR(IF(VLOOKUP(A14,Base!AA:AA,1,0)&gt;0,"1","0"),"0")</f>
        <v>1</v>
      </c>
      <c r="F14" s="5" t="e">
        <f t="shared" si="1"/>
        <v>#NAME?</v>
      </c>
      <c r="G14" s="5" t="str">
        <f t="shared" si="2"/>
        <v>0</v>
      </c>
      <c r="H14" s="1"/>
      <c r="I14" s="1"/>
      <c r="J14" s="9"/>
      <c r="K14" s="9"/>
      <c r="N14" s="9"/>
      <c r="O14" s="1"/>
      <c r="P14" s="9"/>
      <c r="Q14" s="9"/>
      <c r="R14" s="9"/>
      <c r="S14" s="9"/>
      <c r="T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N14" s="9"/>
      <c r="BO14" s="9"/>
    </row>
    <row r="15" spans="1:67">
      <c r="A15" s="4">
        <v>302130688502</v>
      </c>
      <c r="B15" s="4" t="s">
        <v>991</v>
      </c>
      <c r="C15" s="1"/>
      <c r="D15" s="5" t="str">
        <f t="shared" si="0"/>
        <v>0</v>
      </c>
      <c r="E15" s="5" t="str">
        <f>IFERROR(IF(VLOOKUP(A15,Base!AA:AA,1,0)&gt;0,"1","0"),"0")</f>
        <v>0</v>
      </c>
      <c r="F15" s="5" t="str">
        <f t="shared" si="1"/>
        <v>-</v>
      </c>
      <c r="G15" s="5" t="str">
        <f t="shared" si="2"/>
        <v>0</v>
      </c>
      <c r="H15" s="1"/>
      <c r="I15" s="1"/>
      <c r="J15" s="9"/>
      <c r="K15" s="9"/>
      <c r="N15" s="9"/>
      <c r="O15" s="1"/>
      <c r="P15" s="9"/>
      <c r="Q15" s="9"/>
      <c r="R15" s="9"/>
      <c r="S15" s="9"/>
      <c r="T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N15" s="9"/>
      <c r="BO15" s="9"/>
    </row>
    <row r="16" spans="1:67">
      <c r="A16" s="4">
        <v>125288528002</v>
      </c>
      <c r="B16" s="4" t="s">
        <v>668</v>
      </c>
      <c r="C16" s="1" t="e">
        <f ca="1">_xlfn.XLOOKUP(A16,'[1]Sellers Pro'!$C:$C,'[1]Sellers Pro'!$F:$F)</f>
        <v>#NAME?</v>
      </c>
      <c r="D16" s="5" t="e">
        <f t="shared" si="0"/>
        <v>#NAME?</v>
      </c>
      <c r="E16" s="5" t="str">
        <f>IFERROR(IF(VLOOKUP(A16,Base!AA:AA,1,0)&gt;0,"1","0"),"0")</f>
        <v>1</v>
      </c>
      <c r="F16" s="5" t="e">
        <f t="shared" si="1"/>
        <v>#NAME?</v>
      </c>
      <c r="G16" s="5" t="str">
        <f t="shared" si="2"/>
        <v>0</v>
      </c>
      <c r="H16" s="1"/>
      <c r="I16" s="1"/>
      <c r="J16" s="9"/>
      <c r="K16" s="9"/>
      <c r="N16" s="9"/>
      <c r="O16" s="1"/>
      <c r="P16" s="9"/>
      <c r="Q16" s="9"/>
      <c r="R16" s="9"/>
      <c r="S16" s="9"/>
      <c r="T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N16" s="9"/>
      <c r="BO16" s="9"/>
    </row>
    <row r="17" spans="1:67">
      <c r="A17" s="4">
        <v>837253102702</v>
      </c>
      <c r="B17" s="4" t="s">
        <v>1197</v>
      </c>
      <c r="C17" s="1"/>
      <c r="D17" s="5" t="str">
        <f t="shared" si="0"/>
        <v>0</v>
      </c>
      <c r="E17" s="5" t="str">
        <f>IFERROR(IF(VLOOKUP(A17,Base!AA:AA,1,0)&gt;0,"1","0"),"0")</f>
        <v>0</v>
      </c>
      <c r="F17" s="5" t="str">
        <f t="shared" si="1"/>
        <v>-</v>
      </c>
      <c r="G17" s="5" t="str">
        <f t="shared" si="2"/>
        <v>0</v>
      </c>
      <c r="H17" s="1"/>
      <c r="I17" s="1"/>
      <c r="J17" s="9"/>
      <c r="K17" s="9"/>
      <c r="N17" s="9"/>
      <c r="O17" s="1"/>
      <c r="P17" s="9"/>
      <c r="Q17" s="9"/>
      <c r="R17" s="9"/>
      <c r="S17" s="9"/>
      <c r="T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N17" s="9"/>
      <c r="BO17" s="9"/>
    </row>
    <row r="18" spans="1:67">
      <c r="A18" s="4">
        <v>277711423902</v>
      </c>
      <c r="B18" s="4" t="s">
        <v>737</v>
      </c>
      <c r="C18" s="1" t="e">
        <f ca="1">_xlfn.XLOOKUP(A18,'[1]Sellers Pro'!$C:$C,'[1]Sellers Pro'!$F:$F)</f>
        <v>#NAME?</v>
      </c>
      <c r="D18" s="5" t="e">
        <f t="shared" si="0"/>
        <v>#NAME?</v>
      </c>
      <c r="E18" s="5" t="str">
        <f>IFERROR(IF(VLOOKUP(A18,Base!AA:AA,1,0)&gt;0,"1","0"),"0")</f>
        <v>1</v>
      </c>
      <c r="F18" s="5" t="e">
        <f t="shared" si="1"/>
        <v>#NAME?</v>
      </c>
      <c r="G18" s="5" t="str">
        <f t="shared" si="2"/>
        <v>0</v>
      </c>
      <c r="H18" s="1"/>
      <c r="I18" s="1"/>
      <c r="J18" s="9"/>
      <c r="K18" s="9"/>
      <c r="N18" s="9"/>
      <c r="O18" s="1"/>
      <c r="P18" s="9"/>
      <c r="Q18" s="9"/>
      <c r="R18" s="9"/>
      <c r="S18" s="9"/>
      <c r="T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N18" s="9"/>
      <c r="BO18" s="9"/>
    </row>
    <row r="19" spans="1:67">
      <c r="A19" s="4">
        <v>193343155102</v>
      </c>
      <c r="B19" s="4" t="s">
        <v>781</v>
      </c>
      <c r="C19" s="1" t="e">
        <f ca="1">_xlfn.XLOOKUP(A19,'[1]Sellers Pro'!$C:$C,'[1]Sellers Pro'!$F:$F)</f>
        <v>#NAME?</v>
      </c>
      <c r="D19" s="5" t="e">
        <f t="shared" si="0"/>
        <v>#NAME?</v>
      </c>
      <c r="E19" s="5" t="str">
        <f>IFERROR(IF(VLOOKUP(A19,Base!AA:AA,1,0)&gt;0,"1","0"),"0")</f>
        <v>1</v>
      </c>
      <c r="F19" s="5" t="e">
        <f t="shared" si="1"/>
        <v>#NAME?</v>
      </c>
      <c r="G19" s="5" t="str">
        <f t="shared" si="2"/>
        <v>0</v>
      </c>
      <c r="H19" s="1"/>
      <c r="I19" s="1"/>
      <c r="J19" s="9"/>
      <c r="K19" s="9"/>
      <c r="N19" s="9"/>
      <c r="O19" s="1"/>
      <c r="P19" s="9"/>
      <c r="Q19" s="9"/>
      <c r="R19" s="9"/>
      <c r="S19" s="9"/>
      <c r="T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N19" s="9"/>
      <c r="BO19" s="9"/>
    </row>
    <row r="20" spans="1:67">
      <c r="A20" s="4">
        <v>619747148002</v>
      </c>
      <c r="B20" s="4" t="s">
        <v>828</v>
      </c>
      <c r="C20" s="1" t="e">
        <f ca="1">_xlfn.XLOOKUP(A20,'[1]Sellers Pro'!$C:$C,'[1]Sellers Pro'!$F:$F)</f>
        <v>#NAME?</v>
      </c>
      <c r="D20" s="5" t="e">
        <f t="shared" si="0"/>
        <v>#NAME?</v>
      </c>
      <c r="E20" s="5" t="str">
        <f>IFERROR(IF(VLOOKUP(A20,Base!AA:AA,1,0)&gt;0,"1","0"),"0")</f>
        <v>1</v>
      </c>
      <c r="F20" s="5" t="e">
        <f t="shared" si="1"/>
        <v>#NAME?</v>
      </c>
      <c r="G20" s="5" t="str">
        <f t="shared" si="2"/>
        <v>0</v>
      </c>
      <c r="H20" s="1"/>
      <c r="I20" s="1"/>
      <c r="J20" s="9"/>
      <c r="K20" s="9"/>
      <c r="N20" s="9"/>
      <c r="O20" s="1"/>
      <c r="P20" s="9"/>
      <c r="Q20" s="9"/>
      <c r="R20" s="9"/>
      <c r="S20" s="9"/>
      <c r="T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N20" s="9"/>
      <c r="BO20" s="9"/>
    </row>
    <row r="21" spans="1:67">
      <c r="A21" s="4">
        <v>542325043802</v>
      </c>
      <c r="B21" s="4" t="s">
        <v>448</v>
      </c>
      <c r="C21" s="1" t="e">
        <f ca="1">_xlfn.XLOOKUP(A21,'[1]Sellers Pro'!$C:$C,'[1]Sellers Pro'!$F:$F)</f>
        <v>#NAME?</v>
      </c>
      <c r="D21" s="5" t="e">
        <f t="shared" si="0"/>
        <v>#NAME?</v>
      </c>
      <c r="E21" s="5" t="str">
        <f>IFERROR(IF(VLOOKUP(A21,Base!AA:AA,1,0)&gt;0,"1","0"),"0")</f>
        <v>1</v>
      </c>
      <c r="F21" s="5" t="e">
        <f t="shared" si="1"/>
        <v>#NAME?</v>
      </c>
      <c r="G21" s="5" t="str">
        <f t="shared" si="2"/>
        <v>0</v>
      </c>
      <c r="H21" s="1"/>
      <c r="I21" s="1"/>
      <c r="J21" s="9"/>
      <c r="K21" s="9"/>
      <c r="N21" s="9"/>
      <c r="O21" s="1"/>
      <c r="P21" s="9"/>
      <c r="Q21" s="9"/>
      <c r="R21" s="9"/>
      <c r="S21" s="9"/>
      <c r="T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N21" s="9"/>
      <c r="BO21" s="9"/>
    </row>
    <row r="22" spans="1:67">
      <c r="A22" s="4">
        <v>12218349602</v>
      </c>
      <c r="B22" s="4" t="s">
        <v>1399</v>
      </c>
      <c r="C22" s="1" t="e">
        <f ca="1">_xlfn.XLOOKUP(A22,'[1]Sellers Pro'!$C:$C,'[1]Sellers Pro'!$F:$F)</f>
        <v>#NAME?</v>
      </c>
      <c r="D22" s="5" t="e">
        <f t="shared" si="0"/>
        <v>#NAME?</v>
      </c>
      <c r="E22" s="5" t="str">
        <f>IFERROR(IF(VLOOKUP(A22,Base!AA:AA,1,0)&gt;0,"1","0"),"0")</f>
        <v>0</v>
      </c>
      <c r="F22" s="5" t="e">
        <f t="shared" si="1"/>
        <v>#NAME?</v>
      </c>
      <c r="G22" s="5" t="str">
        <f t="shared" si="2"/>
        <v>0</v>
      </c>
      <c r="H22" s="1"/>
      <c r="I22" s="1"/>
      <c r="J22" s="9"/>
      <c r="K22" s="9"/>
      <c r="N22" s="9"/>
      <c r="O22" s="1"/>
      <c r="P22" s="9"/>
      <c r="Q22" s="9"/>
      <c r="R22" s="9"/>
      <c r="S22" s="9"/>
      <c r="T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N22" s="9"/>
      <c r="BO22" s="9"/>
    </row>
    <row r="23" spans="1:67">
      <c r="A23" s="4">
        <v>355214089002</v>
      </c>
      <c r="B23" s="4" t="s">
        <v>101</v>
      </c>
      <c r="C23" s="1" t="e">
        <f ca="1">_xlfn.XLOOKUP(A23,'[1]Sellers Pro'!$C:$C,'[1]Sellers Pro'!$F:$F)</f>
        <v>#NAME?</v>
      </c>
      <c r="D23" s="5" t="e">
        <f t="shared" si="0"/>
        <v>#NAME?</v>
      </c>
      <c r="E23" s="5" t="str">
        <f>IFERROR(IF(VLOOKUP(A23,Base!AA:AA,1,0)&gt;0,"1","0"),"0")</f>
        <v>1</v>
      </c>
      <c r="F23" s="5" t="e">
        <f t="shared" si="1"/>
        <v>#NAME?</v>
      </c>
      <c r="G23" s="5" t="str">
        <f t="shared" si="2"/>
        <v>0</v>
      </c>
      <c r="H23" s="1"/>
      <c r="I23" s="1"/>
      <c r="J23" s="9"/>
      <c r="K23" s="9"/>
      <c r="N23" s="9"/>
      <c r="O23" s="1"/>
      <c r="P23" s="9"/>
      <c r="Q23" s="9"/>
      <c r="R23" s="9"/>
      <c r="S23" s="9"/>
      <c r="T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N23" s="9"/>
      <c r="BO23" s="9"/>
    </row>
    <row r="24" spans="1:67">
      <c r="A24" s="4">
        <v>188325185102</v>
      </c>
      <c r="B24" s="4" t="s">
        <v>499</v>
      </c>
      <c r="C24" s="1"/>
      <c r="D24" s="5" t="str">
        <f t="shared" si="0"/>
        <v>0</v>
      </c>
      <c r="E24" s="5" t="str">
        <f>IFERROR(IF(VLOOKUP(A24,Base!AA:AA,1,0)&gt;0,"1","0"),"0")</f>
        <v>0</v>
      </c>
      <c r="F24" s="5" t="str">
        <f t="shared" si="1"/>
        <v>-</v>
      </c>
      <c r="G24" s="5" t="str">
        <f t="shared" si="2"/>
        <v>0</v>
      </c>
      <c r="H24" s="1"/>
      <c r="I24" s="1"/>
      <c r="J24" s="9"/>
      <c r="K24" s="9"/>
      <c r="N24" s="9"/>
      <c r="O24" s="1"/>
      <c r="P24" s="9"/>
      <c r="Q24" s="9"/>
      <c r="R24" s="9"/>
      <c r="S24" s="9"/>
      <c r="T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N24" s="9"/>
      <c r="BO24" s="9"/>
    </row>
    <row r="25" spans="1:67">
      <c r="A25" s="4">
        <v>101837981602</v>
      </c>
      <c r="B25" s="4" t="s">
        <v>746</v>
      </c>
      <c r="C25" s="1" t="e">
        <f ca="1">_xlfn.XLOOKUP(A25,'[1]Sellers Pro'!$C:$C,'[1]Sellers Pro'!$F:$F)</f>
        <v>#NAME?</v>
      </c>
      <c r="D25" s="5" t="e">
        <f t="shared" si="0"/>
        <v>#NAME?</v>
      </c>
      <c r="E25" s="5" t="str">
        <f>IFERROR(IF(VLOOKUP(A25,Base!AA:AA,1,0)&gt;0,"1","0"),"0")</f>
        <v>1</v>
      </c>
      <c r="F25" s="5" t="e">
        <f t="shared" si="1"/>
        <v>#NAME?</v>
      </c>
      <c r="G25" s="5" t="str">
        <f t="shared" si="2"/>
        <v>0</v>
      </c>
      <c r="H25" s="1"/>
      <c r="I25" s="1"/>
      <c r="J25" s="9"/>
      <c r="K25" s="9"/>
      <c r="N25" s="9"/>
      <c r="O25" s="1"/>
      <c r="P25" s="9"/>
      <c r="Q25" s="9"/>
      <c r="R25" s="9"/>
      <c r="S25" s="9"/>
      <c r="T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N25" s="9"/>
      <c r="BO25" s="9"/>
    </row>
    <row r="26" spans="1:67">
      <c r="A26" s="4">
        <v>704737347202</v>
      </c>
      <c r="B26" s="4" t="s">
        <v>2280</v>
      </c>
      <c r="C26" s="1" t="e">
        <f ca="1">_xlfn.XLOOKUP(A26,'[1]Sellers Pro'!$C:$C,'[1]Sellers Pro'!$F:$F)</f>
        <v>#NAME?</v>
      </c>
      <c r="D26" s="5" t="e">
        <f t="shared" si="0"/>
        <v>#NAME?</v>
      </c>
      <c r="E26" s="5" t="str">
        <f>IFERROR(IF(VLOOKUP(A26,Base!AA:AA,1,0)&gt;0,"1","0"),"0")</f>
        <v>0</v>
      </c>
      <c r="F26" s="5" t="e">
        <f t="shared" si="1"/>
        <v>#NAME?</v>
      </c>
      <c r="G26" s="5" t="str">
        <f t="shared" si="2"/>
        <v>0</v>
      </c>
      <c r="H26" s="1"/>
      <c r="I26" s="1"/>
      <c r="J26" s="9"/>
      <c r="K26" s="9"/>
      <c r="N26" s="9"/>
      <c r="O26" s="1"/>
      <c r="P26" s="9"/>
      <c r="Q26" s="9"/>
      <c r="R26" s="9"/>
      <c r="S26" s="9"/>
      <c r="T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N26" s="9"/>
      <c r="BO26" s="9"/>
    </row>
    <row r="27" spans="1:67">
      <c r="A27" s="4">
        <v>13351599302</v>
      </c>
      <c r="B27" s="4" t="s">
        <v>1583</v>
      </c>
      <c r="C27" s="1" t="e">
        <f ca="1">_xlfn.XLOOKUP(A27,'[1]Sellers Pro'!$C:$C,'[1]Sellers Pro'!$F:$F)</f>
        <v>#NAME?</v>
      </c>
      <c r="D27" s="5" t="e">
        <f t="shared" si="0"/>
        <v>#NAME?</v>
      </c>
      <c r="E27" s="5" t="str">
        <f>IFERROR(IF(VLOOKUP(A27,Base!AA:AA,1,0)&gt;0,"1","0"),"0")</f>
        <v>1</v>
      </c>
      <c r="F27" s="5" t="e">
        <f t="shared" si="1"/>
        <v>#NAME?</v>
      </c>
      <c r="G27" s="5" t="str">
        <f t="shared" si="2"/>
        <v>0</v>
      </c>
      <c r="H27" s="1"/>
      <c r="I27" s="1"/>
      <c r="J27" s="9"/>
      <c r="K27" s="9"/>
      <c r="N27" s="9"/>
      <c r="O27" s="1"/>
      <c r="P27" s="9"/>
      <c r="Q27" s="9"/>
      <c r="R27" s="9"/>
      <c r="S27" s="9"/>
      <c r="T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N27" s="9"/>
      <c r="BO27" s="9"/>
    </row>
    <row r="28" spans="1:67">
      <c r="A28" s="4">
        <v>22861251602</v>
      </c>
      <c r="B28" s="4" t="s">
        <v>2281</v>
      </c>
      <c r="C28" s="1" t="e">
        <f ca="1">_xlfn.XLOOKUP(A28,'[1]Sellers Pro'!$C:$C,'[1]Sellers Pro'!$F:$F)</f>
        <v>#NAME?</v>
      </c>
      <c r="D28" s="5" t="e">
        <f t="shared" si="0"/>
        <v>#NAME?</v>
      </c>
      <c r="E28" s="5" t="str">
        <f>IFERROR(IF(VLOOKUP(A28,Base!AA:AA,1,0)&gt;0,"1","0"),"0")</f>
        <v>0</v>
      </c>
      <c r="F28" s="5" t="e">
        <f t="shared" si="1"/>
        <v>#NAME?</v>
      </c>
      <c r="G28" s="5" t="str">
        <f t="shared" si="2"/>
        <v>0</v>
      </c>
      <c r="H28" s="1"/>
      <c r="I28" s="1"/>
      <c r="J28" s="9"/>
      <c r="K28" s="9"/>
      <c r="N28" s="9"/>
      <c r="O28" s="1"/>
      <c r="P28" s="9"/>
      <c r="Q28" s="9"/>
      <c r="R28" s="9"/>
      <c r="S28" s="9"/>
      <c r="T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N28" s="9"/>
      <c r="BO28" s="9"/>
    </row>
    <row r="29" spans="1:67">
      <c r="A29" s="4">
        <v>384216553002</v>
      </c>
      <c r="B29" s="4" t="s">
        <v>1901</v>
      </c>
      <c r="C29" s="1"/>
      <c r="D29" s="5" t="str">
        <f t="shared" si="0"/>
        <v>0</v>
      </c>
      <c r="E29" s="5" t="str">
        <f>IFERROR(IF(VLOOKUP(A29,Base!AA:AA,1,0)&gt;0,"1","0"),"0")</f>
        <v>0</v>
      </c>
      <c r="F29" s="5" t="str">
        <f t="shared" si="1"/>
        <v>-</v>
      </c>
      <c r="G29" s="5" t="str">
        <f t="shared" si="2"/>
        <v>0</v>
      </c>
      <c r="H29" s="1"/>
      <c r="I29" s="1"/>
      <c r="J29" s="9"/>
      <c r="K29" s="9"/>
      <c r="N29" s="9"/>
      <c r="O29" s="1"/>
      <c r="P29" s="9"/>
      <c r="Q29" s="9"/>
      <c r="R29" s="9"/>
      <c r="S29" s="9"/>
      <c r="T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N29" s="9"/>
      <c r="BO29" s="9"/>
    </row>
    <row r="30" spans="1:67">
      <c r="A30" s="4">
        <v>368561207102</v>
      </c>
      <c r="B30" s="4" t="s">
        <v>486</v>
      </c>
      <c r="C30" s="1" t="e">
        <f ca="1">_xlfn.XLOOKUP(A30,'[1]Sellers Pro'!$C:$C,'[1]Sellers Pro'!$F:$F)</f>
        <v>#NAME?</v>
      </c>
      <c r="D30" s="5" t="e">
        <f t="shared" si="0"/>
        <v>#NAME?</v>
      </c>
      <c r="E30" s="5" t="str">
        <f>IFERROR(IF(VLOOKUP(A30,Base!AA:AA,1,0)&gt;0,"1","0"),"0")</f>
        <v>0</v>
      </c>
      <c r="F30" s="5" t="e">
        <f t="shared" si="1"/>
        <v>#NAME?</v>
      </c>
      <c r="G30" s="5" t="str">
        <f t="shared" si="2"/>
        <v>0</v>
      </c>
      <c r="H30" s="1"/>
      <c r="I30" s="1"/>
      <c r="J30" s="9"/>
      <c r="K30" s="9"/>
      <c r="N30" s="9"/>
      <c r="O30" s="1"/>
      <c r="P30" s="9"/>
      <c r="Q30" s="9"/>
      <c r="R30" s="9"/>
      <c r="S30" s="9"/>
      <c r="T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N30" s="9"/>
      <c r="BO30" s="9"/>
    </row>
    <row r="31" spans="1:67">
      <c r="A31" s="4">
        <v>437878012202</v>
      </c>
      <c r="B31" s="4" t="s">
        <v>1236</v>
      </c>
      <c r="C31" s="1"/>
      <c r="D31" s="5" t="str">
        <f t="shared" si="0"/>
        <v>0</v>
      </c>
      <c r="E31" s="5" t="str">
        <f>IFERROR(IF(VLOOKUP(A31,Base!AA:AA,1,0)&gt;0,"1","0"),"0")</f>
        <v>0</v>
      </c>
      <c r="F31" s="5" t="str">
        <f t="shared" si="1"/>
        <v>-</v>
      </c>
      <c r="G31" s="5" t="str">
        <f t="shared" si="2"/>
        <v>0</v>
      </c>
      <c r="H31" s="1"/>
      <c r="I31" s="1"/>
      <c r="J31" s="9"/>
      <c r="K31" s="9"/>
      <c r="N31" s="9"/>
      <c r="O31" s="1"/>
      <c r="P31" s="9"/>
      <c r="Q31" s="9"/>
      <c r="R31" s="9"/>
      <c r="S31" s="9"/>
      <c r="T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N31" s="9"/>
      <c r="BO31" s="9"/>
    </row>
    <row r="32" spans="1:67">
      <c r="A32" s="4">
        <v>466723842102</v>
      </c>
      <c r="B32" s="4" t="s">
        <v>2282</v>
      </c>
      <c r="C32" s="1"/>
      <c r="D32" s="5" t="str">
        <f t="shared" si="0"/>
        <v>0</v>
      </c>
      <c r="E32" s="5" t="str">
        <f>IFERROR(IF(VLOOKUP(A32,Base!AA:AA,1,0)&gt;0,"1","0"),"0")</f>
        <v>0</v>
      </c>
      <c r="F32" s="5" t="str">
        <f t="shared" si="1"/>
        <v>-</v>
      </c>
      <c r="G32" s="5" t="str">
        <f t="shared" si="2"/>
        <v>0</v>
      </c>
      <c r="H32" s="1"/>
      <c r="I32" s="1"/>
      <c r="J32" s="9"/>
      <c r="K32" s="9"/>
      <c r="N32" s="9"/>
      <c r="O32" s="1"/>
      <c r="P32" s="9"/>
      <c r="Q32" s="9"/>
      <c r="R32" s="9"/>
      <c r="S32" s="9"/>
      <c r="T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N32" s="9"/>
      <c r="BO32" s="9"/>
    </row>
    <row r="33" spans="1:67">
      <c r="A33" s="4">
        <v>137029362402</v>
      </c>
      <c r="B33" s="4" t="s">
        <v>1441</v>
      </c>
      <c r="C33" s="1" t="e">
        <f ca="1">_xlfn.XLOOKUP(A33,'[1]Sellers Pro'!$C:$C,'[1]Sellers Pro'!$F:$F)</f>
        <v>#NAME?</v>
      </c>
      <c r="D33" s="5" t="e">
        <f t="shared" si="0"/>
        <v>#NAME?</v>
      </c>
      <c r="E33" s="5" t="str">
        <f>IFERROR(IF(VLOOKUP(A33,Base!AA:AA,1,0)&gt;0,"1","0"),"0")</f>
        <v>1</v>
      </c>
      <c r="F33" s="5" t="e">
        <f t="shared" si="1"/>
        <v>#NAME?</v>
      </c>
      <c r="G33" s="5" t="str">
        <f t="shared" si="2"/>
        <v>0</v>
      </c>
      <c r="H33" s="1"/>
      <c r="I33" s="1"/>
      <c r="J33" s="9"/>
      <c r="K33" s="9"/>
      <c r="N33" s="9"/>
      <c r="O33" s="1"/>
      <c r="P33" s="9"/>
      <c r="Q33" s="9"/>
      <c r="R33" s="9"/>
      <c r="S33" s="9"/>
      <c r="T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N33" s="9"/>
      <c r="BO33" s="9"/>
    </row>
    <row r="34" spans="1:67">
      <c r="A34" s="4">
        <v>625725137302</v>
      </c>
      <c r="B34" s="4" t="s">
        <v>1537</v>
      </c>
      <c r="C34" s="1" t="e">
        <f ca="1">_xlfn.XLOOKUP(A34,'[1]Sellers Pro'!$C:$C,'[1]Sellers Pro'!$F:$F)</f>
        <v>#NAME?</v>
      </c>
      <c r="D34" s="5" t="e">
        <f t="shared" si="0"/>
        <v>#NAME?</v>
      </c>
      <c r="E34" s="5" t="str">
        <f>IFERROR(IF(VLOOKUP(A34,Base!AA:AA,1,0)&gt;0,"1","0"),"0")</f>
        <v>1</v>
      </c>
      <c r="F34" s="5" t="e">
        <f t="shared" si="1"/>
        <v>#NAME?</v>
      </c>
      <c r="G34" s="5" t="str">
        <f t="shared" si="2"/>
        <v>0</v>
      </c>
      <c r="H34" s="1"/>
      <c r="I34" s="1"/>
      <c r="J34" s="9"/>
      <c r="K34" s="9"/>
      <c r="N34" s="9"/>
      <c r="O34" s="1"/>
      <c r="P34" s="9"/>
      <c r="Q34" s="9"/>
      <c r="R34" s="9"/>
      <c r="S34" s="9"/>
      <c r="T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N34" s="9"/>
      <c r="BO34" s="9"/>
    </row>
    <row r="35" spans="1:67">
      <c r="A35" s="4">
        <v>1078200608102</v>
      </c>
      <c r="B35" s="4" t="s">
        <v>1272</v>
      </c>
      <c r="C35" s="1" t="e">
        <f ca="1">_xlfn.XLOOKUP(A35,'[1]Sellers Pro'!$C:$C,'[1]Sellers Pro'!$F:$F)</f>
        <v>#NAME?</v>
      </c>
      <c r="D35" s="5" t="e">
        <f t="shared" si="0"/>
        <v>#NAME?</v>
      </c>
      <c r="E35" s="5" t="str">
        <f>IFERROR(IF(VLOOKUP(A35,Base!AA:AA,1,0)&gt;0,"1","0"),"0")</f>
        <v>1</v>
      </c>
      <c r="F35" s="5" t="e">
        <f t="shared" si="1"/>
        <v>#NAME?</v>
      </c>
      <c r="G35" s="5" t="str">
        <f t="shared" si="2"/>
        <v>0</v>
      </c>
      <c r="H35" s="1"/>
      <c r="I35" s="1"/>
      <c r="J35" s="9"/>
      <c r="K35" s="9"/>
      <c r="N35" s="9"/>
      <c r="O35" s="1"/>
      <c r="P35" s="9"/>
      <c r="Q35" s="9"/>
      <c r="R35" s="9"/>
      <c r="S35" s="9"/>
      <c r="T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N35" s="9"/>
      <c r="BO35" s="9"/>
    </row>
    <row r="36" spans="1:67">
      <c r="A36" s="4">
        <v>136831572602</v>
      </c>
      <c r="B36" s="4" t="s">
        <v>756</v>
      </c>
      <c r="C36" s="1"/>
      <c r="D36" s="5" t="str">
        <f t="shared" si="0"/>
        <v>0</v>
      </c>
      <c r="E36" s="5" t="str">
        <f>IFERROR(IF(VLOOKUP(A36,Base!AA:AA,1,0)&gt;0,"1","0"),"0")</f>
        <v>0</v>
      </c>
      <c r="F36" s="5" t="str">
        <f t="shared" si="1"/>
        <v>-</v>
      </c>
      <c r="G36" s="5" t="str">
        <f t="shared" si="2"/>
        <v>0</v>
      </c>
      <c r="H36" s="1"/>
      <c r="I36" s="1"/>
      <c r="J36" s="9"/>
      <c r="K36" s="9"/>
      <c r="N36" s="9"/>
      <c r="O36" s="1"/>
      <c r="P36" s="9"/>
      <c r="Q36" s="9"/>
      <c r="R36" s="9"/>
      <c r="S36" s="9"/>
      <c r="T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N36" s="9"/>
      <c r="BO36" s="9"/>
    </row>
    <row r="37" spans="1:67">
      <c r="A37" s="4">
        <v>40274588502</v>
      </c>
      <c r="B37" s="4" t="s">
        <v>866</v>
      </c>
      <c r="C37" s="1" t="e">
        <f ca="1">_xlfn.XLOOKUP(A37,'[1]Sellers Pro'!$C:$C,'[1]Sellers Pro'!$F:$F)</f>
        <v>#NAME?</v>
      </c>
      <c r="D37" s="5" t="e">
        <f t="shared" si="0"/>
        <v>#NAME?</v>
      </c>
      <c r="E37" s="5" t="str">
        <f>IFERROR(IF(VLOOKUP(A37,Base!AA:AA,1,0)&gt;0,"1","0"),"0")</f>
        <v>1</v>
      </c>
      <c r="F37" s="5" t="e">
        <f t="shared" si="1"/>
        <v>#NAME?</v>
      </c>
      <c r="G37" s="5" t="str">
        <f t="shared" si="2"/>
        <v>0</v>
      </c>
      <c r="H37" s="1"/>
      <c r="I37" s="1"/>
      <c r="J37" s="9"/>
      <c r="K37" s="9"/>
      <c r="N37" s="9"/>
      <c r="O37" s="1"/>
      <c r="P37" s="9"/>
      <c r="Q37" s="9"/>
      <c r="R37" s="9"/>
      <c r="S37" s="9"/>
      <c r="T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N37" s="9"/>
      <c r="BO37" s="9"/>
    </row>
    <row r="38" spans="1:67">
      <c r="A38" s="4">
        <v>60769061802</v>
      </c>
      <c r="B38" s="4" t="s">
        <v>2141</v>
      </c>
      <c r="C38" s="1" t="e">
        <f ca="1">_xlfn.XLOOKUP(A38,'[1]Sellers Pro'!$C:$C,'[1]Sellers Pro'!$F:$F)</f>
        <v>#NAME?</v>
      </c>
      <c r="D38" s="5" t="e">
        <f t="shared" si="0"/>
        <v>#NAME?</v>
      </c>
      <c r="E38" s="5" t="str">
        <f>IFERROR(IF(VLOOKUP(A38,Base!AA:AA,1,0)&gt;0,"1","0"),"0")</f>
        <v>1</v>
      </c>
      <c r="F38" s="5" t="e">
        <f t="shared" si="1"/>
        <v>#NAME?</v>
      </c>
      <c r="G38" s="5" t="str">
        <f t="shared" si="2"/>
        <v>0</v>
      </c>
      <c r="H38" s="1"/>
      <c r="I38" s="1"/>
      <c r="J38" s="9"/>
      <c r="K38" s="9"/>
      <c r="N38" s="9"/>
      <c r="O38" s="1"/>
      <c r="P38" s="9"/>
      <c r="Q38" s="9"/>
      <c r="R38" s="9"/>
      <c r="S38" s="9"/>
      <c r="T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N38" s="9"/>
      <c r="BO38" s="9"/>
    </row>
    <row r="39" spans="1:67">
      <c r="A39" s="4">
        <v>320035971002</v>
      </c>
      <c r="B39" s="4" t="s">
        <v>208</v>
      </c>
      <c r="C39" s="1" t="e">
        <f ca="1">_xlfn.XLOOKUP(A39,'[1]Sellers Pro'!$C:$C,'[1]Sellers Pro'!$F:$F)</f>
        <v>#NAME?</v>
      </c>
      <c r="D39" s="5" t="e">
        <f t="shared" si="0"/>
        <v>#NAME?</v>
      </c>
      <c r="E39" s="5" t="str">
        <f>IFERROR(IF(VLOOKUP(A39,Base!AA:AA,1,0)&gt;0,"1","0"),"0")</f>
        <v>1</v>
      </c>
      <c r="F39" s="5" t="e">
        <f t="shared" si="1"/>
        <v>#NAME?</v>
      </c>
      <c r="G39" s="5" t="str">
        <f t="shared" si="2"/>
        <v>0</v>
      </c>
      <c r="H39" s="1"/>
      <c r="I39" s="1"/>
      <c r="J39" s="9"/>
      <c r="K39" s="9"/>
      <c r="N39" s="9"/>
      <c r="O39" s="1"/>
      <c r="P39" s="9"/>
      <c r="Q39" s="9"/>
      <c r="R39" s="9"/>
      <c r="S39" s="9"/>
      <c r="T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N39" s="9"/>
      <c r="BO39" s="9"/>
    </row>
    <row r="40" spans="1:67">
      <c r="A40" s="4">
        <v>150738856702</v>
      </c>
      <c r="B40" s="4" t="s">
        <v>2099</v>
      </c>
      <c r="C40" s="1"/>
      <c r="D40" s="5" t="str">
        <f t="shared" si="0"/>
        <v>0</v>
      </c>
      <c r="E40" s="5" t="str">
        <f>IFERROR(IF(VLOOKUP(A40,Base!AA:AA,1,0)&gt;0,"1","0"),"0")</f>
        <v>0</v>
      </c>
      <c r="F40" s="5" t="str">
        <f t="shared" si="1"/>
        <v>-</v>
      </c>
      <c r="G40" s="5" t="str">
        <f t="shared" si="2"/>
        <v>0</v>
      </c>
      <c r="H40" s="1"/>
      <c r="I40" s="1"/>
      <c r="J40" s="9"/>
      <c r="K40" s="9"/>
      <c r="N40" s="9"/>
      <c r="O40" s="1"/>
      <c r="P40" s="9"/>
      <c r="Q40" s="9"/>
      <c r="R40" s="9"/>
      <c r="S40" s="9"/>
      <c r="T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N40" s="9"/>
      <c r="BO40" s="9"/>
    </row>
    <row r="41" spans="1:67">
      <c r="A41" s="4">
        <v>244366726002</v>
      </c>
      <c r="B41" s="4" t="s">
        <v>398</v>
      </c>
      <c r="C41" s="1" t="e">
        <f ca="1">_xlfn.XLOOKUP(A41,'[1]Sellers Pro'!$C:$C,'[1]Sellers Pro'!$F:$F)</f>
        <v>#NAME?</v>
      </c>
      <c r="D41" s="5" t="e">
        <f t="shared" si="0"/>
        <v>#NAME?</v>
      </c>
      <c r="E41" s="5" t="str">
        <f>IFERROR(IF(VLOOKUP(A41,Base!AA:AA,1,0)&gt;0,"1","0"),"0")</f>
        <v>1</v>
      </c>
      <c r="F41" s="5" t="e">
        <f t="shared" si="1"/>
        <v>#NAME?</v>
      </c>
      <c r="G41" s="5" t="str">
        <f t="shared" si="2"/>
        <v>0</v>
      </c>
    </row>
    <row r="42" spans="1:67">
      <c r="A42" s="4">
        <v>114045214402</v>
      </c>
      <c r="B42" s="4" t="s">
        <v>798</v>
      </c>
      <c r="C42" s="1"/>
      <c r="D42" s="5" t="str">
        <f t="shared" si="0"/>
        <v>0</v>
      </c>
      <c r="E42" s="5" t="str">
        <f>IFERROR(IF(VLOOKUP(A42,Base!AA:AA,1,0)&gt;0,"1","0"),"0")</f>
        <v>0</v>
      </c>
      <c r="F42" s="5" t="str">
        <f t="shared" si="1"/>
        <v>-</v>
      </c>
      <c r="G42" s="5" t="str">
        <f t="shared" si="2"/>
        <v>0</v>
      </c>
    </row>
    <row r="43" spans="1:67">
      <c r="A43" s="4">
        <v>24663245702</v>
      </c>
      <c r="B43" s="4" t="s">
        <v>1834</v>
      </c>
      <c r="C43" s="1"/>
      <c r="D43" s="5" t="str">
        <f t="shared" si="0"/>
        <v>0</v>
      </c>
      <c r="E43" s="5" t="str">
        <f>IFERROR(IF(VLOOKUP(A43,Base!AA:AA,1,0)&gt;0,"1","0"),"0")</f>
        <v>0</v>
      </c>
      <c r="F43" s="5" t="str">
        <f t="shared" si="1"/>
        <v>-</v>
      </c>
      <c r="G43" s="5" t="str">
        <f t="shared" si="2"/>
        <v>0</v>
      </c>
    </row>
    <row r="44" spans="1:67">
      <c r="A44" s="4">
        <v>755841394202</v>
      </c>
      <c r="B44" s="4" t="s">
        <v>376</v>
      </c>
      <c r="C44" s="1" t="e">
        <f ca="1">_xlfn.XLOOKUP(A44,'[1]Sellers Pro'!$C:$C,'[1]Sellers Pro'!$F:$F)</f>
        <v>#NAME?</v>
      </c>
      <c r="D44" s="5" t="e">
        <f t="shared" si="0"/>
        <v>#NAME?</v>
      </c>
      <c r="E44" s="5" t="str">
        <f>IFERROR(IF(VLOOKUP(A44,Base!AA:AA,1,0)&gt;0,"1","0"),"0")</f>
        <v>1</v>
      </c>
      <c r="F44" s="5" t="e">
        <f t="shared" si="1"/>
        <v>#NAME?</v>
      </c>
      <c r="G44" s="5" t="str">
        <f t="shared" si="2"/>
        <v>0</v>
      </c>
    </row>
    <row r="45" spans="1:67">
      <c r="A45" s="4">
        <v>27309334902</v>
      </c>
      <c r="B45" s="4" t="s">
        <v>1788</v>
      </c>
      <c r="C45" s="1"/>
      <c r="D45" s="5" t="str">
        <f t="shared" si="0"/>
        <v>0</v>
      </c>
      <c r="E45" s="5" t="str">
        <f>IFERROR(IF(VLOOKUP(A45,Base!AA:AA,1,0)&gt;0,"1","0"),"0")</f>
        <v>0</v>
      </c>
      <c r="F45" s="5" t="str">
        <f t="shared" si="1"/>
        <v>-</v>
      </c>
      <c r="G45" s="5" t="str">
        <f t="shared" si="2"/>
        <v>0</v>
      </c>
    </row>
    <row r="46" spans="1:67">
      <c r="A46" s="4">
        <v>302404890002</v>
      </c>
      <c r="B46" s="4" t="s">
        <v>1802</v>
      </c>
      <c r="C46" s="1"/>
      <c r="D46" s="5" t="str">
        <f t="shared" si="0"/>
        <v>0</v>
      </c>
      <c r="E46" s="5" t="str">
        <f>IFERROR(IF(VLOOKUP(A46,Base!AA:AA,1,0)&gt;0,"1","0"),"0")</f>
        <v>0</v>
      </c>
      <c r="F46" s="5" t="str">
        <f t="shared" si="1"/>
        <v>-</v>
      </c>
      <c r="G46" s="5" t="str">
        <f t="shared" si="2"/>
        <v>0</v>
      </c>
    </row>
    <row r="47" spans="1:67">
      <c r="A47" s="4">
        <v>46733383915</v>
      </c>
      <c r="B47" s="4" t="s">
        <v>839</v>
      </c>
      <c r="C47" s="1" t="e">
        <f ca="1">_xlfn.XLOOKUP(A47,'[1]Sellers Pro'!$C:$C,'[1]Sellers Pro'!$F:$F)</f>
        <v>#NAME?</v>
      </c>
      <c r="D47" s="5" t="e">
        <f t="shared" si="0"/>
        <v>#NAME?</v>
      </c>
      <c r="E47" s="5" t="str">
        <f>IFERROR(IF(VLOOKUP(A47,Base!AA:AA,1,0)&gt;0,"1","0"),"0")</f>
        <v>1</v>
      </c>
      <c r="F47" s="5" t="e">
        <f t="shared" si="1"/>
        <v>#NAME?</v>
      </c>
      <c r="G47" s="5" t="str">
        <f t="shared" si="2"/>
        <v>0</v>
      </c>
    </row>
    <row r="48" spans="1:67">
      <c r="A48" s="4">
        <v>307039143202</v>
      </c>
      <c r="B48" s="4" t="s">
        <v>1225</v>
      </c>
      <c r="C48" s="1"/>
      <c r="D48" s="5" t="str">
        <f t="shared" si="0"/>
        <v>0</v>
      </c>
      <c r="E48" s="5" t="str">
        <f>IFERROR(IF(VLOOKUP(A48,Base!AA:AA,1,0)&gt;0,"1","0"),"0")</f>
        <v>0</v>
      </c>
      <c r="F48" s="5" t="str">
        <f t="shared" si="1"/>
        <v>-</v>
      </c>
      <c r="G48" s="5" t="str">
        <f t="shared" si="2"/>
        <v>0</v>
      </c>
    </row>
    <row r="49" spans="1:7">
      <c r="A49" s="4">
        <v>117086860802</v>
      </c>
      <c r="B49" s="4" t="s">
        <v>876</v>
      </c>
      <c r="C49" s="1" t="e">
        <f ca="1">_xlfn.XLOOKUP(A49,'[1]Sellers Pro'!$C:$C,'[1]Sellers Pro'!$F:$F)</f>
        <v>#NAME?</v>
      </c>
      <c r="D49" s="5" t="e">
        <f t="shared" si="0"/>
        <v>#NAME?</v>
      </c>
      <c r="E49" s="5" t="str">
        <f>IFERROR(IF(VLOOKUP(A49,Base!AA:AA,1,0)&gt;0,"1","0"),"0")</f>
        <v>1</v>
      </c>
      <c r="F49" s="5" t="e">
        <f t="shared" si="1"/>
        <v>#NAME?</v>
      </c>
      <c r="G49" s="5" t="str">
        <f t="shared" si="2"/>
        <v>0</v>
      </c>
    </row>
    <row r="50" spans="1:7">
      <c r="A50" s="4">
        <v>108483856702</v>
      </c>
      <c r="B50" s="4" t="s">
        <v>1316</v>
      </c>
      <c r="C50" s="1" t="e">
        <f ca="1">_xlfn.XLOOKUP(A50,'[1]Sellers Pro'!$C:$C,'[1]Sellers Pro'!$F:$F)</f>
        <v>#NAME?</v>
      </c>
      <c r="D50" s="5" t="e">
        <f t="shared" si="0"/>
        <v>#NAME?</v>
      </c>
      <c r="E50" s="5" t="str">
        <f>IFERROR(IF(VLOOKUP(A50,Base!AA:AA,1,0)&gt;0,"1","0"),"0")</f>
        <v>1</v>
      </c>
      <c r="F50" s="5" t="e">
        <f t="shared" si="1"/>
        <v>#NAME?</v>
      </c>
      <c r="G50" s="5" t="str">
        <f t="shared" si="2"/>
        <v>0</v>
      </c>
    </row>
    <row r="51" spans="1:7">
      <c r="A51" s="4">
        <v>549848560202</v>
      </c>
      <c r="B51" s="4" t="s">
        <v>437</v>
      </c>
      <c r="C51" s="1" t="e">
        <f ca="1">_xlfn.XLOOKUP(A51,'[1]Sellers Pro'!$C:$C,'[1]Sellers Pro'!$F:$F)</f>
        <v>#NAME?</v>
      </c>
      <c r="D51" s="5" t="e">
        <f t="shared" si="0"/>
        <v>#NAME?</v>
      </c>
      <c r="E51" s="5" t="str">
        <f>IFERROR(IF(VLOOKUP(A51,Base!AA:AA,1,0)&gt;0,"1","0"),"0")</f>
        <v>1</v>
      </c>
      <c r="F51" s="5" t="e">
        <f t="shared" si="1"/>
        <v>#NAME?</v>
      </c>
      <c r="G51" s="5" t="str">
        <f t="shared" si="2"/>
        <v>0</v>
      </c>
    </row>
    <row r="52" spans="1:7">
      <c r="A52" s="4">
        <v>475112640202</v>
      </c>
      <c r="B52" s="4" t="s">
        <v>884</v>
      </c>
      <c r="C52" s="1" t="e">
        <f ca="1">_xlfn.XLOOKUP(A52,'[1]Sellers Pro'!$C:$C,'[1]Sellers Pro'!$F:$F)</f>
        <v>#NAME?</v>
      </c>
      <c r="D52" s="5" t="e">
        <f t="shared" si="0"/>
        <v>#NAME?</v>
      </c>
      <c r="E52" s="5" t="str">
        <f>IFERROR(IF(VLOOKUP(A52,Base!AA:AA,1,0)&gt;0,"1","0"),"0")</f>
        <v>1</v>
      </c>
      <c r="F52" s="5" t="e">
        <f t="shared" si="1"/>
        <v>#NAME?</v>
      </c>
      <c r="G52" s="5" t="str">
        <f t="shared" si="2"/>
        <v>0</v>
      </c>
    </row>
    <row r="53" spans="1:7">
      <c r="A53" s="4">
        <v>12650981605</v>
      </c>
      <c r="B53" s="4" t="s">
        <v>2055</v>
      </c>
      <c r="C53" s="1"/>
      <c r="D53" s="5" t="str">
        <f t="shared" si="0"/>
        <v>0</v>
      </c>
      <c r="E53" s="5" t="str">
        <f>IFERROR(IF(VLOOKUP(A53,Base!AA:AA,1,0)&gt;0,"1","0"),"0")</f>
        <v>0</v>
      </c>
      <c r="F53" s="5" t="str">
        <f t="shared" si="1"/>
        <v>-</v>
      </c>
      <c r="G53" s="5" t="str">
        <f t="shared" si="2"/>
        <v>0</v>
      </c>
    </row>
    <row r="54" spans="1:7">
      <c r="A54" s="4">
        <v>639370275302</v>
      </c>
      <c r="B54" s="4" t="s">
        <v>301</v>
      </c>
      <c r="C54" s="1" t="e">
        <f ca="1">_xlfn.XLOOKUP(A54,'[1]Sellers Pro'!$C:$C,'[1]Sellers Pro'!$F:$F)</f>
        <v>#NAME?</v>
      </c>
      <c r="D54" s="5" t="e">
        <f t="shared" si="0"/>
        <v>#NAME?</v>
      </c>
      <c r="E54" s="5" t="str">
        <f>IFERROR(IF(VLOOKUP(A54,Base!AA:AA,1,0)&gt;0,"1","0"),"0")</f>
        <v>1</v>
      </c>
      <c r="F54" s="5" t="e">
        <f t="shared" si="1"/>
        <v>#NAME?</v>
      </c>
      <c r="G54" s="5" t="str">
        <f t="shared" si="2"/>
        <v>0</v>
      </c>
    </row>
    <row r="55" spans="1:7">
      <c r="A55" s="4">
        <v>124638672202</v>
      </c>
      <c r="B55" s="4" t="s">
        <v>1891</v>
      </c>
      <c r="C55" s="1" t="e">
        <f ca="1">_xlfn.XLOOKUP(A55,'[1]Sellers Pro'!$C:$C,'[1]Sellers Pro'!$F:$F)</f>
        <v>#NAME?</v>
      </c>
      <c r="D55" s="5" t="e">
        <f t="shared" si="0"/>
        <v>#NAME?</v>
      </c>
      <c r="E55" s="5" t="str">
        <f>IFERROR(IF(VLOOKUP(A55,Base!AA:AA,1,0)&gt;0,"1","0"),"0")</f>
        <v>0</v>
      </c>
      <c r="F55" s="5" t="e">
        <f t="shared" si="1"/>
        <v>#NAME?</v>
      </c>
      <c r="G55" s="5" t="str">
        <f t="shared" si="2"/>
        <v>0</v>
      </c>
    </row>
    <row r="56" spans="1:7">
      <c r="A56" s="4">
        <v>25248213105</v>
      </c>
      <c r="B56" s="4" t="s">
        <v>1611</v>
      </c>
      <c r="C56" s="1" t="e">
        <f ca="1">_xlfn.XLOOKUP(A56,'[1]Sellers Pro'!$C:$C,'[1]Sellers Pro'!$F:$F)</f>
        <v>#NAME?</v>
      </c>
      <c r="D56" s="5" t="e">
        <f t="shared" si="0"/>
        <v>#NAME?</v>
      </c>
      <c r="E56" s="5" t="str">
        <f>IFERROR(IF(VLOOKUP(A56,Base!AA:AA,1,0)&gt;0,"1","0"),"0")</f>
        <v>1</v>
      </c>
      <c r="F56" s="5" t="e">
        <f t="shared" si="1"/>
        <v>#NAME?</v>
      </c>
      <c r="G56" s="5" t="str">
        <f t="shared" si="2"/>
        <v>0</v>
      </c>
    </row>
    <row r="57" spans="1:7">
      <c r="A57" s="4">
        <v>45146550802</v>
      </c>
      <c r="B57" s="4" t="s">
        <v>2008</v>
      </c>
      <c r="C57" s="1" t="e">
        <f ca="1">_xlfn.XLOOKUP(A57,'[1]Sellers Pro'!$C:$C,'[1]Sellers Pro'!$F:$F)</f>
        <v>#NAME?</v>
      </c>
      <c r="D57" s="5" t="e">
        <f t="shared" si="0"/>
        <v>#NAME?</v>
      </c>
      <c r="E57" s="5" t="str">
        <f>IFERROR(IF(VLOOKUP(A57,Base!AA:AA,1,0)&gt;0,"1","0"),"0")</f>
        <v>1</v>
      </c>
      <c r="F57" s="5" t="e">
        <f t="shared" si="1"/>
        <v>#NAME?</v>
      </c>
      <c r="G57" s="5" t="str">
        <f t="shared" si="2"/>
        <v>0</v>
      </c>
    </row>
    <row r="58" spans="1:7">
      <c r="A58" s="4">
        <v>481703768002</v>
      </c>
      <c r="B58" s="4" t="s">
        <v>258</v>
      </c>
      <c r="C58" s="1" t="e">
        <f ca="1">_xlfn.XLOOKUP(A58,'[1]Sellers Pro'!$C:$C,'[1]Sellers Pro'!$F:$F)</f>
        <v>#NAME?</v>
      </c>
      <c r="D58" s="5" t="e">
        <f t="shared" si="0"/>
        <v>#NAME?</v>
      </c>
      <c r="E58" s="5" t="str">
        <f>IFERROR(IF(VLOOKUP(A58,Base!AA:AA,1,0)&gt;0,"1","0"),"0")</f>
        <v>1</v>
      </c>
      <c r="F58" s="5" t="e">
        <f t="shared" si="1"/>
        <v>#NAME?</v>
      </c>
      <c r="G58" s="5" t="str">
        <f t="shared" si="2"/>
        <v>0</v>
      </c>
    </row>
    <row r="59" spans="1:7">
      <c r="A59" s="4">
        <v>1030040901202</v>
      </c>
      <c r="B59" s="4" t="s">
        <v>810</v>
      </c>
      <c r="C59" s="1" t="e">
        <f ca="1">_xlfn.XLOOKUP(A59,'[1]Sellers Pro'!$C:$C,'[1]Sellers Pro'!$F:$F)</f>
        <v>#NAME?</v>
      </c>
      <c r="D59" s="5" t="e">
        <f t="shared" si="0"/>
        <v>#NAME?</v>
      </c>
      <c r="E59" s="5" t="str">
        <f>IFERROR(IF(VLOOKUP(A59,Base!AA:AA,1,0)&gt;0,"1","0"),"0")</f>
        <v>1</v>
      </c>
      <c r="F59" s="5" t="e">
        <f t="shared" si="1"/>
        <v>#NAME?</v>
      </c>
      <c r="G59" s="5" t="str">
        <f t="shared" si="2"/>
        <v>0</v>
      </c>
    </row>
    <row r="60" spans="1:7">
      <c r="A60" s="4">
        <v>58401384302</v>
      </c>
      <c r="B60" s="4" t="s">
        <v>1152</v>
      </c>
      <c r="C60" s="1" t="e">
        <f ca="1">_xlfn.XLOOKUP(A60,'[1]Sellers Pro'!$C:$C,'[1]Sellers Pro'!$F:$F)</f>
        <v>#NAME?</v>
      </c>
      <c r="D60" s="5" t="e">
        <f t="shared" si="0"/>
        <v>#NAME?</v>
      </c>
      <c r="E60" s="5" t="str">
        <f>IFERROR(IF(VLOOKUP(A60,Base!AA:AA,1,0)&gt;0,"1","0"),"0")</f>
        <v>1</v>
      </c>
      <c r="F60" s="5" t="e">
        <f t="shared" si="1"/>
        <v>#NAME?</v>
      </c>
      <c r="G60" s="5" t="str">
        <f t="shared" si="2"/>
        <v>0</v>
      </c>
    </row>
    <row r="61" spans="1:7">
      <c r="A61" s="4">
        <v>93900917902</v>
      </c>
      <c r="B61" s="4" t="s">
        <v>2018</v>
      </c>
      <c r="C61" s="1" t="e">
        <f ca="1">_xlfn.XLOOKUP(A61,'[1]Sellers Pro'!$C:$C,'[1]Sellers Pro'!$F:$F)</f>
        <v>#NAME?</v>
      </c>
      <c r="D61" s="5" t="e">
        <f t="shared" si="0"/>
        <v>#NAME?</v>
      </c>
      <c r="E61" s="5" t="str">
        <f>IFERROR(IF(VLOOKUP(A61,Base!AA:AA,1,0)&gt;0,"1","0"),"0")</f>
        <v>1</v>
      </c>
      <c r="F61" s="5" t="e">
        <f t="shared" si="1"/>
        <v>#NAME?</v>
      </c>
      <c r="G61" s="5" t="str">
        <f t="shared" si="2"/>
        <v>0</v>
      </c>
    </row>
    <row r="62" spans="1:7">
      <c r="A62" s="4">
        <v>103928980802</v>
      </c>
      <c r="B62" s="4" t="s">
        <v>1764</v>
      </c>
      <c r="C62" s="1" t="e">
        <f ca="1">_xlfn.XLOOKUP(A62,'[1]Sellers Pro'!$C:$C,'[1]Sellers Pro'!$F:$F)</f>
        <v>#NAME?</v>
      </c>
      <c r="D62" s="5" t="e">
        <f t="shared" si="0"/>
        <v>#NAME?</v>
      </c>
      <c r="E62" s="5" t="str">
        <f>IFERROR(IF(VLOOKUP(A62,Base!AA:AA,1,0)&gt;0,"1","0"),"0")</f>
        <v>1</v>
      </c>
      <c r="F62" s="5" t="e">
        <f t="shared" si="1"/>
        <v>#NAME?</v>
      </c>
      <c r="G62" s="5" t="str">
        <f t="shared" si="2"/>
        <v>0</v>
      </c>
    </row>
    <row r="63" spans="1:7">
      <c r="A63" s="4">
        <v>377459760802</v>
      </c>
      <c r="B63" s="4" t="s">
        <v>2027</v>
      </c>
      <c r="C63" s="1"/>
      <c r="D63" s="5" t="str">
        <f t="shared" si="0"/>
        <v>0</v>
      </c>
      <c r="E63" s="5" t="str">
        <f>IFERROR(IF(VLOOKUP(A63,Base!AA:AA,1,0)&gt;0,"1","0"),"0")</f>
        <v>0</v>
      </c>
      <c r="F63" s="5" t="str">
        <f t="shared" si="1"/>
        <v>-</v>
      </c>
      <c r="G63" s="5" t="str">
        <f t="shared" si="2"/>
        <v>0</v>
      </c>
    </row>
    <row r="64" spans="1:7">
      <c r="A64" s="4">
        <v>133398128802</v>
      </c>
      <c r="B64" s="4" t="s">
        <v>1175</v>
      </c>
      <c r="C64" s="1"/>
      <c r="D64" s="5" t="str">
        <f t="shared" si="0"/>
        <v>0</v>
      </c>
      <c r="E64" s="5" t="str">
        <f>IFERROR(IF(VLOOKUP(A64,Base!AA:AA,1,0)&gt;0,"1","0"),"0")</f>
        <v>0</v>
      </c>
      <c r="F64" s="5" t="str">
        <f t="shared" si="1"/>
        <v>-</v>
      </c>
      <c r="G64" s="5" t="str">
        <f t="shared" si="2"/>
        <v>0</v>
      </c>
    </row>
    <row r="65" spans="1:7">
      <c r="A65" s="4">
        <v>351067276502</v>
      </c>
      <c r="B65" s="4" t="s">
        <v>284</v>
      </c>
      <c r="C65" s="1" t="e">
        <f ca="1">_xlfn.XLOOKUP(A65,'[1]Sellers Pro'!$C:$C,'[1]Sellers Pro'!$F:$F)</f>
        <v>#NAME?</v>
      </c>
      <c r="D65" s="5" t="e">
        <f t="shared" si="0"/>
        <v>#NAME?</v>
      </c>
      <c r="E65" s="5" t="str">
        <f>IFERROR(IF(VLOOKUP(A65,Base!AA:AA,1,0)&gt;0,"1","0"),"0")</f>
        <v>1</v>
      </c>
      <c r="F65" s="5" t="e">
        <f t="shared" si="1"/>
        <v>#NAME?</v>
      </c>
      <c r="G65" s="5" t="str">
        <f t="shared" si="2"/>
        <v>0</v>
      </c>
    </row>
    <row r="66" spans="1:7">
      <c r="A66" s="4">
        <v>433969027802</v>
      </c>
      <c r="B66" s="4" t="s">
        <v>1110</v>
      </c>
      <c r="C66" s="1" t="e">
        <f ca="1">_xlfn.XLOOKUP(A66,'[1]Sellers Pro'!$C:$C,'[1]Sellers Pro'!$F:$F)</f>
        <v>#NAME?</v>
      </c>
      <c r="D66" s="5" t="e">
        <f t="shared" si="0"/>
        <v>#NAME?</v>
      </c>
      <c r="E66" s="5" t="str">
        <f>IFERROR(IF(VLOOKUP(A66,Base!AA:AA,1,0)&gt;0,"1","0"),"0")</f>
        <v>0</v>
      </c>
      <c r="F66" s="5" t="e">
        <f t="shared" si="1"/>
        <v>#NAME?</v>
      </c>
      <c r="G66" s="5" t="str">
        <f t="shared" si="2"/>
        <v>0</v>
      </c>
    </row>
    <row r="67" spans="1:7">
      <c r="A67" s="4">
        <v>89297765302</v>
      </c>
      <c r="B67" s="4" t="s">
        <v>600</v>
      </c>
      <c r="C67" s="1"/>
      <c r="D67" s="5" t="str">
        <f t="shared" si="0"/>
        <v>0</v>
      </c>
      <c r="E67" s="5" t="str">
        <f>IFERROR(IF(VLOOKUP(A67,Base!AA:AA,1,0)&gt;0,"1","0"),"0")</f>
        <v>0</v>
      </c>
      <c r="F67" s="5" t="str">
        <f t="shared" si="1"/>
        <v>-</v>
      </c>
      <c r="G67" s="5" t="str">
        <f t="shared" si="2"/>
        <v>0</v>
      </c>
    </row>
    <row r="68" spans="1:7">
      <c r="A68" s="4">
        <v>642643854302</v>
      </c>
      <c r="B68" s="4" t="s">
        <v>1455</v>
      </c>
      <c r="C68" s="1" t="e">
        <f ca="1">_xlfn.XLOOKUP(A68,'[1]Sellers Pro'!$C:$C,'[1]Sellers Pro'!$F:$F)</f>
        <v>#NAME?</v>
      </c>
      <c r="D68" s="5" t="e">
        <f t="shared" ref="D68:D131" si="3">IF(C68="","0","1")</f>
        <v>#NAME?</v>
      </c>
      <c r="E68" s="5" t="str">
        <f>IFERROR(IF(VLOOKUP(A68,Base!AA:AA,1,0)&gt;0,"1","0"),"0")</f>
        <v>1</v>
      </c>
      <c r="F68" s="5" t="e">
        <f t="shared" ref="F68:F131" si="4">IF(C68="","-",IF(OR(BC68="Muito satisfeito",BC68="Satisfeito"),"1","0"))</f>
        <v>#NAME?</v>
      </c>
      <c r="G68" s="5" t="str">
        <f t="shared" ref="G68:G131" si="5">IF(BC68="","0","1")</f>
        <v>0</v>
      </c>
    </row>
    <row r="69" spans="1:7">
      <c r="A69" s="4">
        <v>560201489502</v>
      </c>
      <c r="B69" s="4" t="s">
        <v>1032</v>
      </c>
      <c r="C69" s="1" t="e">
        <f ca="1">_xlfn.XLOOKUP(A69,'[1]Sellers Pro'!$C:$C,'[1]Sellers Pro'!$F:$F)</f>
        <v>#NAME?</v>
      </c>
      <c r="D69" s="5" t="e">
        <f t="shared" si="3"/>
        <v>#NAME?</v>
      </c>
      <c r="E69" s="5" t="str">
        <f>IFERROR(IF(VLOOKUP(A69,Base!AA:AA,1,0)&gt;0,"1","0"),"0")</f>
        <v>1</v>
      </c>
      <c r="F69" s="5" t="e">
        <f t="shared" si="4"/>
        <v>#NAME?</v>
      </c>
      <c r="G69" s="5" t="str">
        <f t="shared" si="5"/>
        <v>0</v>
      </c>
    </row>
    <row r="70" spans="1:7">
      <c r="A70" s="4">
        <v>59283260402</v>
      </c>
      <c r="B70" s="4" t="s">
        <v>905</v>
      </c>
      <c r="C70" s="1" t="e">
        <f ca="1">_xlfn.XLOOKUP(A70,'[1]Sellers Pro'!$C:$C,'[1]Sellers Pro'!$F:$F)</f>
        <v>#NAME?</v>
      </c>
      <c r="D70" s="5" t="e">
        <f t="shared" si="3"/>
        <v>#NAME?</v>
      </c>
      <c r="E70" s="5" t="str">
        <f>IFERROR(IF(VLOOKUP(A70,Base!AA:AA,1,0)&gt;0,"1","0"),"0")</f>
        <v>1</v>
      </c>
      <c r="F70" s="5" t="e">
        <f t="shared" si="4"/>
        <v>#NAME?</v>
      </c>
      <c r="G70" s="5" t="str">
        <f t="shared" si="5"/>
        <v>0</v>
      </c>
    </row>
    <row r="71" spans="1:7">
      <c r="A71" s="4">
        <v>601998582602</v>
      </c>
      <c r="B71" s="4" t="s">
        <v>234</v>
      </c>
      <c r="C71" s="1" t="e">
        <f ca="1">_xlfn.XLOOKUP(A71,'[1]Sellers Pro'!$C:$C,'[1]Sellers Pro'!$F:$F)</f>
        <v>#NAME?</v>
      </c>
      <c r="D71" s="5" t="e">
        <f t="shared" si="3"/>
        <v>#NAME?</v>
      </c>
      <c r="E71" s="5" t="str">
        <f>IFERROR(IF(VLOOKUP(A71,Base!AA:AA,1,0)&gt;0,"1","0"),"0")</f>
        <v>1</v>
      </c>
      <c r="F71" s="5" t="e">
        <f t="shared" si="4"/>
        <v>#NAME?</v>
      </c>
      <c r="G71" s="5" t="str">
        <f t="shared" si="5"/>
        <v>0</v>
      </c>
    </row>
    <row r="72" spans="1:7">
      <c r="A72" s="4">
        <v>658814193902</v>
      </c>
      <c r="B72" s="4" t="s">
        <v>683</v>
      </c>
      <c r="C72" s="1" t="e">
        <f ca="1">_xlfn.XLOOKUP(A72,'[1]Sellers Pro'!$C:$C,'[1]Sellers Pro'!$F:$F)</f>
        <v>#NAME?</v>
      </c>
      <c r="D72" s="5" t="e">
        <f t="shared" si="3"/>
        <v>#NAME?</v>
      </c>
      <c r="E72" s="5" t="str">
        <f>IFERROR(IF(VLOOKUP(A72,Base!AA:AA,1,0)&gt;0,"1","0"),"0")</f>
        <v>1</v>
      </c>
      <c r="F72" s="5" t="e">
        <f t="shared" si="4"/>
        <v>#NAME?</v>
      </c>
      <c r="G72" s="5" t="str">
        <f t="shared" si="5"/>
        <v>0</v>
      </c>
    </row>
    <row r="73" spans="1:7">
      <c r="A73" s="4">
        <v>779493596402</v>
      </c>
      <c r="B73" s="4" t="s">
        <v>512</v>
      </c>
      <c r="C73" s="1"/>
      <c r="D73" s="5" t="str">
        <f t="shared" si="3"/>
        <v>0</v>
      </c>
      <c r="E73" s="5" t="str">
        <f>IFERROR(IF(VLOOKUP(A73,Base!AA:AA,1,0)&gt;0,"1","0"),"0")</f>
        <v>1</v>
      </c>
      <c r="F73" s="5" t="str">
        <f t="shared" si="4"/>
        <v>-</v>
      </c>
      <c r="G73" s="5" t="str">
        <f t="shared" si="5"/>
        <v>0</v>
      </c>
    </row>
    <row r="74" spans="1:7">
      <c r="A74" s="4">
        <v>58318994402</v>
      </c>
      <c r="B74" s="4" t="s">
        <v>2048</v>
      </c>
      <c r="C74" s="1"/>
      <c r="D74" s="5" t="str">
        <f t="shared" si="3"/>
        <v>0</v>
      </c>
      <c r="E74" s="5" t="str">
        <f>IFERROR(IF(VLOOKUP(A74,Base!AA:AA,1,0)&gt;0,"1","0"),"0")</f>
        <v>0</v>
      </c>
      <c r="F74" s="5" t="str">
        <f t="shared" si="4"/>
        <v>-</v>
      </c>
      <c r="G74" s="5" t="str">
        <f t="shared" si="5"/>
        <v>0</v>
      </c>
    </row>
    <row r="75" spans="1:7">
      <c r="A75" s="4">
        <v>551856008602</v>
      </c>
      <c r="B75" s="4" t="s">
        <v>1248</v>
      </c>
      <c r="C75" s="1" t="e">
        <f ca="1">_xlfn.XLOOKUP(A75,'[1]Sellers Pro'!$C:$C,'[1]Sellers Pro'!$F:$F)</f>
        <v>#NAME?</v>
      </c>
      <c r="D75" s="5" t="e">
        <f t="shared" si="3"/>
        <v>#NAME?</v>
      </c>
      <c r="E75" s="5" t="str">
        <f>IFERROR(IF(VLOOKUP(A75,Base!AA:AA,1,0)&gt;0,"1","0"),"0")</f>
        <v>1</v>
      </c>
      <c r="F75" s="5" t="e">
        <f t="shared" si="4"/>
        <v>#NAME?</v>
      </c>
      <c r="G75" s="5" t="str">
        <f t="shared" si="5"/>
        <v>0</v>
      </c>
    </row>
    <row r="76" spans="1:7">
      <c r="A76" s="4">
        <v>98835860802</v>
      </c>
      <c r="B76" s="4" t="s">
        <v>1667</v>
      </c>
      <c r="C76" s="1" t="e">
        <f ca="1">_xlfn.XLOOKUP(A76,'[1]Sellers Pro'!$C:$C,'[1]Sellers Pro'!$F:$F)</f>
        <v>#NAME?</v>
      </c>
      <c r="D76" s="5" t="e">
        <f t="shared" si="3"/>
        <v>#NAME?</v>
      </c>
      <c r="E76" s="5" t="str">
        <f>IFERROR(IF(VLOOKUP(A76,Base!AA:AA,1,0)&gt;0,"1","0"),"0")</f>
        <v>1</v>
      </c>
      <c r="F76" s="5" t="e">
        <f t="shared" si="4"/>
        <v>#NAME?</v>
      </c>
      <c r="G76" s="5" t="str">
        <f t="shared" si="5"/>
        <v>0</v>
      </c>
    </row>
    <row r="77" spans="1:7">
      <c r="A77" s="4">
        <v>653060435802</v>
      </c>
      <c r="B77" s="4" t="s">
        <v>851</v>
      </c>
      <c r="C77" s="1" t="e">
        <f ca="1">_xlfn.XLOOKUP(A77,'[1]Sellers Pro'!$C:$C,'[1]Sellers Pro'!$F:$F)</f>
        <v>#NAME?</v>
      </c>
      <c r="D77" s="5" t="e">
        <f t="shared" si="3"/>
        <v>#NAME?</v>
      </c>
      <c r="E77" s="5" t="str">
        <f>IFERROR(IF(VLOOKUP(A77,Base!AA:AA,1,0)&gt;0,"1","0"),"0")</f>
        <v>1</v>
      </c>
      <c r="F77" s="5" t="e">
        <f t="shared" si="4"/>
        <v>#NAME?</v>
      </c>
      <c r="G77" s="5" t="str">
        <f t="shared" si="5"/>
        <v>0</v>
      </c>
    </row>
    <row r="78" spans="1:7">
      <c r="A78" s="4">
        <v>20068852602</v>
      </c>
      <c r="B78" s="4" t="s">
        <v>427</v>
      </c>
      <c r="C78" s="1" t="e">
        <f ca="1">_xlfn.XLOOKUP(A78,'[1]Sellers Pro'!$C:$C,'[1]Sellers Pro'!$F:$F)</f>
        <v>#NAME?</v>
      </c>
      <c r="D78" s="5" t="e">
        <f t="shared" si="3"/>
        <v>#NAME?</v>
      </c>
      <c r="E78" s="5" t="str">
        <f>IFERROR(IF(VLOOKUP(A78,Base!AA:AA,1,0)&gt;0,"1","0"),"0")</f>
        <v>1</v>
      </c>
      <c r="F78" s="5" t="e">
        <f t="shared" si="4"/>
        <v>#NAME?</v>
      </c>
      <c r="G78" s="5" t="str">
        <f t="shared" si="5"/>
        <v>0</v>
      </c>
    </row>
    <row r="79" spans="1:7">
      <c r="A79" s="4">
        <v>72695582302</v>
      </c>
      <c r="B79" s="4" t="s">
        <v>707</v>
      </c>
      <c r="C79" s="1" t="e">
        <f ca="1">_xlfn.XLOOKUP(A79,'[1]Sellers Pro'!$C:$C,'[1]Sellers Pro'!$F:$F)</f>
        <v>#NAME?</v>
      </c>
      <c r="D79" s="5" t="e">
        <f t="shared" si="3"/>
        <v>#NAME?</v>
      </c>
      <c r="E79" s="5" t="str">
        <f>IFERROR(IF(VLOOKUP(A79,Base!AA:AA,1,0)&gt;0,"1","0"),"0")</f>
        <v>1</v>
      </c>
      <c r="F79" s="5" t="e">
        <f t="shared" si="4"/>
        <v>#NAME?</v>
      </c>
      <c r="G79" s="5" t="str">
        <f t="shared" si="5"/>
        <v>0</v>
      </c>
    </row>
    <row r="80" spans="1:7">
      <c r="A80" s="4">
        <v>241419664602</v>
      </c>
      <c r="B80" s="4" t="s">
        <v>628</v>
      </c>
      <c r="C80" s="1" t="e">
        <f ca="1">_xlfn.XLOOKUP(A80,'[1]Sellers Pro'!$C:$C,'[1]Sellers Pro'!$F:$F)</f>
        <v>#NAME?</v>
      </c>
      <c r="D80" s="5" t="e">
        <f t="shared" si="3"/>
        <v>#NAME?</v>
      </c>
      <c r="E80" s="5" t="str">
        <f>IFERROR(IF(VLOOKUP(A80,Base!AA:AA,1,0)&gt;0,"1","0"),"0")</f>
        <v>1</v>
      </c>
      <c r="F80" s="5" t="e">
        <f t="shared" si="4"/>
        <v>#NAME?</v>
      </c>
      <c r="G80" s="5" t="str">
        <f t="shared" si="5"/>
        <v>0</v>
      </c>
    </row>
    <row r="81" spans="1:7">
      <c r="A81" s="4">
        <v>7763660815</v>
      </c>
      <c r="B81" s="4" t="s">
        <v>895</v>
      </c>
      <c r="C81" s="1" t="e">
        <f ca="1">_xlfn.XLOOKUP(A81,'[1]Sellers Pro'!$C:$C,'[1]Sellers Pro'!$F:$F)</f>
        <v>#NAME?</v>
      </c>
      <c r="D81" s="5" t="e">
        <f t="shared" si="3"/>
        <v>#NAME?</v>
      </c>
      <c r="E81" s="5" t="str">
        <f>IFERROR(IF(VLOOKUP(A81,Base!AA:AA,1,0)&gt;0,"1","0"),"0")</f>
        <v>1</v>
      </c>
      <c r="F81" s="5" t="e">
        <f t="shared" si="4"/>
        <v>#NAME?</v>
      </c>
      <c r="G81" s="5" t="str">
        <f t="shared" si="5"/>
        <v>0</v>
      </c>
    </row>
    <row r="82" spans="1:7">
      <c r="A82" s="4">
        <v>862944388002</v>
      </c>
      <c r="B82" s="4" t="s">
        <v>1392</v>
      </c>
      <c r="C82" s="1"/>
      <c r="D82" s="5" t="str">
        <f t="shared" si="3"/>
        <v>0</v>
      </c>
      <c r="E82" s="5" t="str">
        <f>IFERROR(IF(VLOOKUP(A82,Base!AA:AA,1,0)&gt;0,"1","0"),"0")</f>
        <v>0</v>
      </c>
      <c r="F82" s="5" t="str">
        <f t="shared" si="4"/>
        <v>-</v>
      </c>
      <c r="G82" s="5" t="str">
        <f t="shared" si="5"/>
        <v>0</v>
      </c>
    </row>
    <row r="83" spans="1:7">
      <c r="A83" s="4">
        <v>133844711902</v>
      </c>
      <c r="B83" s="4" t="s">
        <v>2283</v>
      </c>
      <c r="C83" s="1" t="e">
        <f ca="1">_xlfn.XLOOKUP(A83,'[1]Sellers Pro'!$C:$C,'[1]Sellers Pro'!$F:$F)</f>
        <v>#NAME?</v>
      </c>
      <c r="D83" s="5" t="e">
        <f t="shared" si="3"/>
        <v>#NAME?</v>
      </c>
      <c r="E83" s="5" t="str">
        <f>IFERROR(IF(VLOOKUP(A83,Base!AA:AA,1,0)&gt;0,"1","0"),"0")</f>
        <v>1</v>
      </c>
      <c r="F83" s="5" t="e">
        <f t="shared" si="4"/>
        <v>#NAME?</v>
      </c>
      <c r="G83" s="5" t="str">
        <f t="shared" si="5"/>
        <v>0</v>
      </c>
    </row>
    <row r="84" spans="1:7">
      <c r="A84" s="4">
        <v>358205651902</v>
      </c>
      <c r="B84" s="4" t="s">
        <v>1408</v>
      </c>
      <c r="C84" s="1" t="e">
        <f ca="1">_xlfn.XLOOKUP(A84,'[1]Sellers Pro'!$C:$C,'[1]Sellers Pro'!$F:$F)</f>
        <v>#NAME?</v>
      </c>
      <c r="D84" s="5" t="e">
        <f t="shared" si="3"/>
        <v>#NAME?</v>
      </c>
      <c r="E84" s="5" t="str">
        <f>IFERROR(IF(VLOOKUP(A84,Base!AA:AA,1,0)&gt;0,"1","0"),"0")</f>
        <v>1</v>
      </c>
      <c r="F84" s="5" t="e">
        <f t="shared" si="4"/>
        <v>#NAME?</v>
      </c>
      <c r="G84" s="5" t="str">
        <f t="shared" si="5"/>
        <v>0</v>
      </c>
    </row>
    <row r="85" spans="1:7">
      <c r="A85" s="4">
        <v>20208037402</v>
      </c>
      <c r="B85" s="4" t="s">
        <v>1678</v>
      </c>
      <c r="C85" s="1" t="e">
        <f ca="1">_xlfn.XLOOKUP(A85,'[1]Sellers Pro'!$C:$C,'[1]Sellers Pro'!$F:$F)</f>
        <v>#NAME?</v>
      </c>
      <c r="D85" s="5" t="e">
        <f t="shared" si="3"/>
        <v>#NAME?</v>
      </c>
      <c r="E85" s="5" t="str">
        <f>IFERROR(IF(VLOOKUP(A85,Base!AA:AA,1,0)&gt;0,"1","0"),"0")</f>
        <v>1</v>
      </c>
      <c r="F85" s="5" t="e">
        <f t="shared" si="4"/>
        <v>#NAME?</v>
      </c>
      <c r="G85" s="5" t="str">
        <f t="shared" si="5"/>
        <v>0</v>
      </c>
    </row>
    <row r="86" spans="1:7">
      <c r="A86" s="4">
        <v>474741185002</v>
      </c>
      <c r="B86" s="4" t="s">
        <v>1812</v>
      </c>
      <c r="C86" s="1" t="e">
        <f ca="1">_xlfn.XLOOKUP(A86,'[1]Sellers Pro'!$C:$C,'[1]Sellers Pro'!$F:$F)</f>
        <v>#NAME?</v>
      </c>
      <c r="D86" s="5" t="e">
        <f t="shared" si="3"/>
        <v>#NAME?</v>
      </c>
      <c r="E86" s="5" t="str">
        <f>IFERROR(IF(VLOOKUP(A86,Base!AA:AA,1,0)&gt;0,"1","0"),"0")</f>
        <v>1</v>
      </c>
      <c r="F86" s="5" t="e">
        <f t="shared" si="4"/>
        <v>#NAME?</v>
      </c>
      <c r="G86" s="5" t="str">
        <f t="shared" si="5"/>
        <v>0</v>
      </c>
    </row>
    <row r="87" spans="1:7">
      <c r="A87" s="4">
        <v>28945506502</v>
      </c>
      <c r="B87" s="4" t="s">
        <v>820</v>
      </c>
      <c r="C87" s="1" t="e">
        <f ca="1">_xlfn.XLOOKUP(A87,'[1]Sellers Pro'!$C:$C,'[1]Sellers Pro'!$F:$F)</f>
        <v>#NAME?</v>
      </c>
      <c r="D87" s="5" t="e">
        <f t="shared" si="3"/>
        <v>#NAME?</v>
      </c>
      <c r="E87" s="5" t="str">
        <f>IFERROR(IF(VLOOKUP(A87,Base!AA:AA,1,0)&gt;0,"1","0"),"0")</f>
        <v>1</v>
      </c>
      <c r="F87" s="5" t="e">
        <f t="shared" si="4"/>
        <v>#NAME?</v>
      </c>
      <c r="G87" s="5" t="str">
        <f t="shared" si="5"/>
        <v>0</v>
      </c>
    </row>
    <row r="88" spans="1:7">
      <c r="A88" s="4">
        <v>314278248802</v>
      </c>
      <c r="B88" s="4" t="s">
        <v>194</v>
      </c>
      <c r="C88" s="1" t="e">
        <f ca="1">_xlfn.XLOOKUP(A88,'[1]Sellers Pro'!$C:$C,'[1]Sellers Pro'!$F:$F)</f>
        <v>#NAME?</v>
      </c>
      <c r="D88" s="5" t="e">
        <f t="shared" si="3"/>
        <v>#NAME?</v>
      </c>
      <c r="E88" s="5" t="str">
        <f>IFERROR(IF(VLOOKUP(A88,Base!AA:AA,1,0)&gt;0,"1","0"),"0")</f>
        <v>1</v>
      </c>
      <c r="F88" s="5" t="e">
        <f t="shared" si="4"/>
        <v>#NAME?</v>
      </c>
      <c r="G88" s="5" t="str">
        <f t="shared" si="5"/>
        <v>0</v>
      </c>
    </row>
    <row r="89" spans="1:7">
      <c r="A89" s="4">
        <v>26774818902</v>
      </c>
      <c r="B89" s="4" t="s">
        <v>1125</v>
      </c>
      <c r="C89" s="1" t="e">
        <f ca="1">_xlfn.XLOOKUP(A89,'[1]Sellers Pro'!$C:$C,'[1]Sellers Pro'!$F:$F)</f>
        <v>#NAME?</v>
      </c>
      <c r="D89" s="5" t="e">
        <f t="shared" si="3"/>
        <v>#NAME?</v>
      </c>
      <c r="E89" s="5" t="str">
        <f>IFERROR(IF(VLOOKUP(A89,Base!AA:AA,1,0)&gt;0,"1","0"),"0")</f>
        <v>1</v>
      </c>
      <c r="F89" s="5" t="e">
        <f t="shared" si="4"/>
        <v>#NAME?</v>
      </c>
      <c r="G89" s="5" t="str">
        <f t="shared" si="5"/>
        <v>0</v>
      </c>
    </row>
    <row r="90" spans="1:7">
      <c r="A90" s="4">
        <v>435346364602</v>
      </c>
      <c r="B90" s="4" t="s">
        <v>1636</v>
      </c>
      <c r="C90" s="1" t="e">
        <f ca="1">_xlfn.XLOOKUP(A90,'[1]Sellers Pro'!$C:$C,'[1]Sellers Pro'!$F:$F)</f>
        <v>#NAME?</v>
      </c>
      <c r="D90" s="5" t="e">
        <f t="shared" si="3"/>
        <v>#NAME?</v>
      </c>
      <c r="E90" s="5" t="str">
        <f>IFERROR(IF(VLOOKUP(A90,Base!AA:AA,1,0)&gt;0,"1","0"),"0")</f>
        <v>1</v>
      </c>
      <c r="F90" s="5" t="e">
        <f t="shared" si="4"/>
        <v>#NAME?</v>
      </c>
      <c r="G90" s="5" t="str">
        <f t="shared" si="5"/>
        <v>0</v>
      </c>
    </row>
    <row r="91" spans="1:7">
      <c r="A91" s="4">
        <v>128837707402</v>
      </c>
      <c r="B91" s="4" t="s">
        <v>390</v>
      </c>
      <c r="C91" s="1" t="e">
        <f ca="1">_xlfn.XLOOKUP(A91,'[1]Sellers Pro'!$C:$C,'[1]Sellers Pro'!$F:$F)</f>
        <v>#NAME?</v>
      </c>
      <c r="D91" s="5" t="e">
        <f t="shared" si="3"/>
        <v>#NAME?</v>
      </c>
      <c r="E91" s="5" t="str">
        <f>IFERROR(IF(VLOOKUP(A91,Base!AA:AA,1,0)&gt;0,"1","0"),"0")</f>
        <v>1</v>
      </c>
      <c r="F91" s="5" t="e">
        <f t="shared" si="4"/>
        <v>#NAME?</v>
      </c>
      <c r="G91" s="5" t="str">
        <f t="shared" si="5"/>
        <v>0</v>
      </c>
    </row>
    <row r="92" spans="1:7">
      <c r="A92" s="4">
        <v>276705576602</v>
      </c>
      <c r="B92" s="4" t="s">
        <v>1694</v>
      </c>
      <c r="C92" s="1" t="e">
        <f ca="1">_xlfn.XLOOKUP(A92,'[1]Sellers Pro'!$C:$C,'[1]Sellers Pro'!$F:$F)</f>
        <v>#NAME?</v>
      </c>
      <c r="D92" s="5" t="e">
        <f t="shared" si="3"/>
        <v>#NAME?</v>
      </c>
      <c r="E92" s="5" t="str">
        <f>IFERROR(IF(VLOOKUP(A92,Base!AA:AA,1,0)&gt;0,"1","0"),"0")</f>
        <v>1</v>
      </c>
      <c r="F92" s="5" t="e">
        <f t="shared" si="4"/>
        <v>#NAME?</v>
      </c>
      <c r="G92" s="5" t="str">
        <f t="shared" si="5"/>
        <v>0</v>
      </c>
    </row>
    <row r="93" spans="1:7">
      <c r="A93" s="4">
        <v>24383333802</v>
      </c>
      <c r="B93" s="4" t="s">
        <v>1342</v>
      </c>
      <c r="C93" s="1" t="e">
        <f ca="1">_xlfn.XLOOKUP(A93,'[1]Sellers Pro'!$C:$C,'[1]Sellers Pro'!$F:$F)</f>
        <v>#NAME?</v>
      </c>
      <c r="D93" s="5" t="e">
        <f t="shared" si="3"/>
        <v>#NAME?</v>
      </c>
      <c r="E93" s="5" t="str">
        <f>IFERROR(IF(VLOOKUP(A93,Base!AA:AA,1,0)&gt;0,"1","0"),"0")</f>
        <v>1</v>
      </c>
      <c r="F93" s="5" t="e">
        <f t="shared" si="4"/>
        <v>#NAME?</v>
      </c>
      <c r="G93" s="5" t="str">
        <f t="shared" si="5"/>
        <v>0</v>
      </c>
    </row>
    <row r="94" spans="1:7">
      <c r="A94" s="4">
        <v>28882816002</v>
      </c>
      <c r="B94" s="4" t="s">
        <v>1740</v>
      </c>
      <c r="C94" s="1"/>
      <c r="D94" s="5" t="str">
        <f t="shared" si="3"/>
        <v>0</v>
      </c>
      <c r="E94" s="5" t="str">
        <f>IFERROR(IF(VLOOKUP(A94,Base!AA:AA,1,0)&gt;0,"1","0"),"0")</f>
        <v>0</v>
      </c>
      <c r="F94" s="5" t="str">
        <f t="shared" si="4"/>
        <v>-</v>
      </c>
      <c r="G94" s="5" t="str">
        <f t="shared" si="5"/>
        <v>0</v>
      </c>
    </row>
    <row r="95" spans="1:7">
      <c r="A95" s="4">
        <v>92771955402</v>
      </c>
      <c r="B95" s="4" t="s">
        <v>645</v>
      </c>
      <c r="C95" s="1" t="e">
        <f ca="1">_xlfn.XLOOKUP(A95,'[1]Sellers Pro'!$C:$C,'[1]Sellers Pro'!$F:$F)</f>
        <v>#NAME?</v>
      </c>
      <c r="D95" s="5" t="e">
        <f t="shared" si="3"/>
        <v>#NAME?</v>
      </c>
      <c r="E95" s="5" t="str">
        <f>IFERROR(IF(VLOOKUP(A95,Base!AA:AA,1,0)&gt;0,"1","0"),"0")</f>
        <v>1</v>
      </c>
      <c r="F95" s="5" t="e">
        <f t="shared" si="4"/>
        <v>#NAME?</v>
      </c>
      <c r="G95" s="5" t="str">
        <f t="shared" si="5"/>
        <v>0</v>
      </c>
    </row>
    <row r="96" spans="1:7">
      <c r="A96" s="4">
        <v>438747217402</v>
      </c>
      <c r="B96" s="4" t="s">
        <v>1377</v>
      </c>
      <c r="C96" s="1" t="e">
        <f ca="1">_xlfn.XLOOKUP(A96,'[1]Sellers Pro'!$C:$C,'[1]Sellers Pro'!$F:$F)</f>
        <v>#NAME?</v>
      </c>
      <c r="D96" s="5" t="e">
        <f t="shared" si="3"/>
        <v>#NAME?</v>
      </c>
      <c r="E96" s="5" t="str">
        <f>IFERROR(IF(VLOOKUP(A96,Base!AA:AA,1,0)&gt;0,"1","0"),"0")</f>
        <v>1</v>
      </c>
      <c r="F96" s="5" t="e">
        <f t="shared" si="4"/>
        <v>#NAME?</v>
      </c>
      <c r="G96" s="5" t="str">
        <f t="shared" si="5"/>
        <v>0</v>
      </c>
    </row>
    <row r="97" spans="1:7">
      <c r="A97" s="4">
        <v>98385811302</v>
      </c>
      <c r="B97" s="4" t="s">
        <v>1591</v>
      </c>
      <c r="C97" s="1" t="e">
        <f ca="1">_xlfn.XLOOKUP(A97,'[1]Sellers Pro'!$C:$C,'[1]Sellers Pro'!$F:$F)</f>
        <v>#NAME?</v>
      </c>
      <c r="D97" s="5" t="e">
        <f t="shared" si="3"/>
        <v>#NAME?</v>
      </c>
      <c r="E97" s="5" t="str">
        <f>IFERROR(IF(VLOOKUP(A97,Base!AA:AA,1,0)&gt;0,"1","0"),"0")</f>
        <v>1</v>
      </c>
      <c r="F97" s="5" t="e">
        <f t="shared" si="4"/>
        <v>#NAME?</v>
      </c>
      <c r="G97" s="5" t="str">
        <f t="shared" si="5"/>
        <v>0</v>
      </c>
    </row>
    <row r="98" spans="1:7">
      <c r="A98" s="4">
        <v>30887912302</v>
      </c>
      <c r="B98" s="4" t="s">
        <v>366</v>
      </c>
      <c r="C98" s="1" t="e">
        <f ca="1">_xlfn.XLOOKUP(A98,'[1]Sellers Pro'!$C:$C,'[1]Sellers Pro'!$F:$F)</f>
        <v>#NAME?</v>
      </c>
      <c r="D98" s="5" t="e">
        <f t="shared" si="3"/>
        <v>#NAME?</v>
      </c>
      <c r="E98" s="5" t="str">
        <f>IFERROR(IF(VLOOKUP(A98,Base!AA:AA,1,0)&gt;0,"1","0"),"0")</f>
        <v>1</v>
      </c>
      <c r="F98" s="5" t="e">
        <f t="shared" si="4"/>
        <v>#NAME?</v>
      </c>
      <c r="G98" s="5" t="str">
        <f t="shared" si="5"/>
        <v>0</v>
      </c>
    </row>
    <row r="99" spans="1:7">
      <c r="A99" s="4">
        <v>187533500102</v>
      </c>
      <c r="B99" s="4" t="s">
        <v>1717</v>
      </c>
      <c r="C99" s="1" t="e">
        <f ca="1">_xlfn.XLOOKUP(A99,'[1]Sellers Pro'!$C:$C,'[1]Sellers Pro'!$F:$F)</f>
        <v>#NAME?</v>
      </c>
      <c r="D99" s="5" t="e">
        <f t="shared" si="3"/>
        <v>#NAME?</v>
      </c>
      <c r="E99" s="5" t="str">
        <f>IFERROR(IF(VLOOKUP(A99,Base!AA:AA,1,0)&gt;0,"1","0"),"0")</f>
        <v>1</v>
      </c>
      <c r="F99" s="5" t="e">
        <f t="shared" si="4"/>
        <v>#NAME?</v>
      </c>
      <c r="G99" s="5" t="str">
        <f t="shared" si="5"/>
        <v>0</v>
      </c>
    </row>
    <row r="100" spans="1:7">
      <c r="A100" s="4">
        <v>309059081002</v>
      </c>
      <c r="B100" s="4" t="s">
        <v>1998</v>
      </c>
      <c r="C100" s="1"/>
      <c r="D100" s="5" t="str">
        <f t="shared" si="3"/>
        <v>0</v>
      </c>
      <c r="E100" s="5" t="str">
        <f>IFERROR(IF(VLOOKUP(A100,Base!AA:AA,1,0)&gt;0,"1","0"),"0")</f>
        <v>0</v>
      </c>
      <c r="F100" s="5" t="str">
        <f t="shared" si="4"/>
        <v>-</v>
      </c>
      <c r="G100" s="5" t="str">
        <f t="shared" si="5"/>
        <v>0</v>
      </c>
    </row>
    <row r="101" spans="1:7">
      <c r="A101" s="4">
        <v>60238888002</v>
      </c>
      <c r="B101" s="4" t="s">
        <v>1024</v>
      </c>
      <c r="C101" s="1" t="e">
        <f ca="1">_xlfn.XLOOKUP(A101,'[1]Sellers Pro'!$C:$C,'[1]Sellers Pro'!$F:$F)</f>
        <v>#NAME?</v>
      </c>
      <c r="D101" s="5" t="e">
        <f t="shared" si="3"/>
        <v>#NAME?</v>
      </c>
      <c r="E101" s="5" t="str">
        <f>IFERROR(IF(VLOOKUP(A101,Base!AA:AA,1,0)&gt;0,"1","0"),"0")</f>
        <v>1</v>
      </c>
      <c r="F101" s="5" t="e">
        <f t="shared" si="4"/>
        <v>#NAME?</v>
      </c>
      <c r="G101" s="5" t="str">
        <f t="shared" si="5"/>
        <v>0</v>
      </c>
    </row>
    <row r="102" spans="1:7">
      <c r="A102" s="4">
        <v>45030065502</v>
      </c>
      <c r="B102" s="4" t="s">
        <v>2284</v>
      </c>
      <c r="C102" s="1" t="e">
        <f ca="1">_xlfn.XLOOKUP(A102,'[1]Sellers Pro'!$C:$C,'[1]Sellers Pro'!$F:$F)</f>
        <v>#NAME?</v>
      </c>
      <c r="D102" s="5" t="e">
        <f t="shared" si="3"/>
        <v>#NAME?</v>
      </c>
      <c r="E102" s="5" t="str">
        <f>IFERROR(IF(VLOOKUP(A102,Base!AA:AA,1,0)&gt;0,"1","0"),"0")</f>
        <v>1</v>
      </c>
      <c r="F102" s="5" t="e">
        <f t="shared" si="4"/>
        <v>#NAME?</v>
      </c>
      <c r="G102" s="5" t="str">
        <f t="shared" si="5"/>
        <v>0</v>
      </c>
    </row>
    <row r="103" spans="1:7">
      <c r="A103" s="4">
        <v>301429377802</v>
      </c>
      <c r="B103" s="4" t="s">
        <v>1868</v>
      </c>
      <c r="C103" s="1" t="e">
        <f ca="1">_xlfn.XLOOKUP(A103,'[1]Sellers Pro'!$C:$C,'[1]Sellers Pro'!$F:$F)</f>
        <v>#NAME?</v>
      </c>
      <c r="D103" s="5" t="e">
        <f t="shared" si="3"/>
        <v>#NAME?</v>
      </c>
      <c r="E103" s="5" t="str">
        <f>IFERROR(IF(VLOOKUP(A103,Base!AA:AA,1,0)&gt;0,"1","0"),"0")</f>
        <v>1</v>
      </c>
      <c r="F103" s="5" t="e">
        <f t="shared" si="4"/>
        <v>#NAME?</v>
      </c>
      <c r="G103" s="5" t="str">
        <f t="shared" si="5"/>
        <v>0</v>
      </c>
    </row>
    <row r="104" spans="1:7">
      <c r="A104" s="4">
        <v>589580604602</v>
      </c>
      <c r="B104" s="4" t="s">
        <v>2070</v>
      </c>
      <c r="C104" s="1" t="e">
        <f ca="1">_xlfn.XLOOKUP(A104,'[1]Sellers Pro'!$C:$C,'[1]Sellers Pro'!$F:$F)</f>
        <v>#NAME?</v>
      </c>
      <c r="D104" s="5" t="e">
        <f t="shared" si="3"/>
        <v>#NAME?</v>
      </c>
      <c r="E104" s="5" t="str">
        <f>IFERROR(IF(VLOOKUP(A104,Base!AA:AA,1,0)&gt;0,"1","0"),"0")</f>
        <v>1</v>
      </c>
      <c r="F104" s="5" t="e">
        <f t="shared" si="4"/>
        <v>#NAME?</v>
      </c>
      <c r="G104" s="5" t="str">
        <f t="shared" si="5"/>
        <v>0</v>
      </c>
    </row>
    <row r="105" spans="1:7">
      <c r="A105" s="4">
        <v>24386750602</v>
      </c>
      <c r="B105" s="4" t="s">
        <v>1847</v>
      </c>
      <c r="C105" s="1" t="e">
        <f ca="1">_xlfn.XLOOKUP(A105,'[1]Sellers Pro'!$C:$C,'[1]Sellers Pro'!$F:$F)</f>
        <v>#NAME?</v>
      </c>
      <c r="D105" s="5" t="e">
        <f t="shared" si="3"/>
        <v>#NAME?</v>
      </c>
      <c r="E105" s="5" t="str">
        <f>IFERROR(IF(VLOOKUP(A105,Base!AA:AA,1,0)&gt;0,"1","0"),"0")</f>
        <v>1</v>
      </c>
      <c r="F105" s="5" t="e">
        <f t="shared" si="4"/>
        <v>#NAME?</v>
      </c>
      <c r="G105" s="5" t="str">
        <f t="shared" si="5"/>
        <v>0</v>
      </c>
    </row>
    <row r="106" spans="1:7">
      <c r="A106" s="4">
        <v>14279576402</v>
      </c>
      <c r="B106" s="4" t="s">
        <v>2285</v>
      </c>
      <c r="C106" s="1" t="e">
        <f ca="1">_xlfn.XLOOKUP(A106,'[1]Sellers Pro'!$C:$C,'[1]Sellers Pro'!$F:$F)</f>
        <v>#NAME?</v>
      </c>
      <c r="D106" s="5" t="e">
        <f t="shared" si="3"/>
        <v>#NAME?</v>
      </c>
      <c r="E106" s="5" t="str">
        <f>IFERROR(IF(VLOOKUP(A106,Base!AA:AA,1,0)&gt;0,"1","0"),"0")</f>
        <v>0</v>
      </c>
      <c r="F106" s="5" t="e">
        <f t="shared" si="4"/>
        <v>#NAME?</v>
      </c>
      <c r="G106" s="5" t="str">
        <f t="shared" si="5"/>
        <v>0</v>
      </c>
    </row>
    <row r="107" spans="1:7">
      <c r="A107" s="4">
        <v>20025747402</v>
      </c>
      <c r="B107" s="4" t="s">
        <v>524</v>
      </c>
      <c r="C107" s="1" t="e">
        <f ca="1">_xlfn.XLOOKUP(A107,'[1]Sellers Pro'!$C:$C,'[1]Sellers Pro'!$F:$F)</f>
        <v>#NAME?</v>
      </c>
      <c r="D107" s="5" t="e">
        <f t="shared" si="3"/>
        <v>#NAME?</v>
      </c>
      <c r="E107" s="5" t="str">
        <f>IFERROR(IF(VLOOKUP(A107,Base!AA:AA,1,0)&gt;0,"1","0"),"0")</f>
        <v>1</v>
      </c>
      <c r="F107" s="5" t="e">
        <f t="shared" si="4"/>
        <v>#NAME?</v>
      </c>
      <c r="G107" s="5" t="str">
        <f t="shared" si="5"/>
        <v>0</v>
      </c>
    </row>
    <row r="108" spans="1:7">
      <c r="A108" s="4">
        <v>191336978502</v>
      </c>
      <c r="B108" s="4" t="s">
        <v>768</v>
      </c>
      <c r="C108" s="1" t="e">
        <f ca="1">_xlfn.XLOOKUP(A108,'[1]Sellers Pro'!$C:$C,'[1]Sellers Pro'!$F:$F)</f>
        <v>#NAME?</v>
      </c>
      <c r="D108" s="5" t="e">
        <f t="shared" si="3"/>
        <v>#NAME?</v>
      </c>
      <c r="E108" s="5" t="str">
        <f>IFERROR(IF(VLOOKUP(A108,Base!AA:AA,1,0)&gt;0,"1","0"),"0")</f>
        <v>1</v>
      </c>
      <c r="F108" s="5" t="e">
        <f t="shared" si="4"/>
        <v>#NAME?</v>
      </c>
      <c r="G108" s="5" t="str">
        <f t="shared" si="5"/>
        <v>0</v>
      </c>
    </row>
    <row r="109" spans="1:7">
      <c r="A109" s="4">
        <v>316318935902</v>
      </c>
      <c r="B109" s="4" t="s">
        <v>2286</v>
      </c>
      <c r="C109" s="1"/>
      <c r="D109" s="5" t="str">
        <f t="shared" si="3"/>
        <v>0</v>
      </c>
      <c r="E109" s="5" t="str">
        <f>IFERROR(IF(VLOOKUP(A109,Base!AA:AA,1,0)&gt;0,"1","0"),"0")</f>
        <v>0</v>
      </c>
      <c r="F109" s="5" t="str">
        <f t="shared" si="4"/>
        <v>-</v>
      </c>
      <c r="G109" s="5" t="str">
        <f t="shared" si="5"/>
        <v>0</v>
      </c>
    </row>
    <row r="110" spans="1:7">
      <c r="A110" s="4">
        <v>24558652202</v>
      </c>
      <c r="B110" s="4" t="s">
        <v>102</v>
      </c>
      <c r="C110" s="1" t="e">
        <f ca="1">_xlfn.XLOOKUP(A110,'[1]Sellers Pro'!$C:$C,'[1]Sellers Pro'!$F:$F)</f>
        <v>#NAME?</v>
      </c>
      <c r="D110" s="5" t="e">
        <f t="shared" si="3"/>
        <v>#NAME?</v>
      </c>
      <c r="E110" s="5" t="str">
        <f>IFERROR(IF(VLOOKUP(A110,Base!AA:AA,1,0)&gt;0,"1","0"),"0")</f>
        <v>1</v>
      </c>
      <c r="F110" s="5" t="e">
        <f t="shared" si="4"/>
        <v>#NAME?</v>
      </c>
      <c r="G110" s="5" t="str">
        <f t="shared" si="5"/>
        <v>0</v>
      </c>
    </row>
    <row r="111" spans="1:7">
      <c r="A111" s="4">
        <v>15954434402</v>
      </c>
      <c r="B111" s="4" t="s">
        <v>1525</v>
      </c>
      <c r="C111" s="1"/>
      <c r="D111" s="5" t="str">
        <f t="shared" si="3"/>
        <v>0</v>
      </c>
      <c r="E111" s="5" t="str">
        <f>IFERROR(IF(VLOOKUP(A111,Base!AA:AA,1,0)&gt;0,"1","0"),"0")</f>
        <v>0</v>
      </c>
      <c r="F111" s="5" t="str">
        <f t="shared" si="4"/>
        <v>-</v>
      </c>
      <c r="G111" s="5" t="str">
        <f t="shared" si="5"/>
        <v>0</v>
      </c>
    </row>
    <row r="112" spans="1:7">
      <c r="A112" s="4">
        <v>453606604502</v>
      </c>
      <c r="B112" s="4" t="s">
        <v>658</v>
      </c>
      <c r="C112" s="1" t="e">
        <f ca="1">_xlfn.XLOOKUP(A112,'[1]Sellers Pro'!$C:$C,'[1]Sellers Pro'!$F:$F)</f>
        <v>#NAME?</v>
      </c>
      <c r="D112" s="5" t="e">
        <f t="shared" si="3"/>
        <v>#NAME?</v>
      </c>
      <c r="E112" s="5" t="str">
        <f>IFERROR(IF(VLOOKUP(A112,Base!AA:AA,1,0)&gt;0,"1","0"),"0")</f>
        <v>0</v>
      </c>
      <c r="F112" s="5" t="e">
        <f t="shared" si="4"/>
        <v>#NAME?</v>
      </c>
      <c r="G112" s="5" t="str">
        <f t="shared" si="5"/>
        <v>0</v>
      </c>
    </row>
    <row r="113" spans="1:7">
      <c r="A113" s="4">
        <v>312652842702</v>
      </c>
      <c r="B113" s="4" t="s">
        <v>1348</v>
      </c>
      <c r="C113" s="1"/>
      <c r="D113" s="5" t="str">
        <f t="shared" si="3"/>
        <v>0</v>
      </c>
      <c r="E113" s="5" t="str">
        <f>IFERROR(IF(VLOOKUP(A113,Base!AA:AA,1,0)&gt;0,"1","0"),"0")</f>
        <v>0</v>
      </c>
      <c r="F113" s="5" t="str">
        <f t="shared" si="4"/>
        <v>-</v>
      </c>
      <c r="G113" s="5" t="str">
        <f t="shared" si="5"/>
        <v>0</v>
      </c>
    </row>
    <row r="114" spans="1:7">
      <c r="A114" s="4">
        <v>395118894802</v>
      </c>
      <c r="B114" s="4" t="s">
        <v>2287</v>
      </c>
      <c r="C114" s="1"/>
      <c r="D114" s="5" t="str">
        <f t="shared" si="3"/>
        <v>0</v>
      </c>
      <c r="E114" s="5" t="str">
        <f>IFERROR(IF(VLOOKUP(A114,Base!AA:AA,1,0)&gt;0,"1","0"),"0")</f>
        <v>0</v>
      </c>
      <c r="F114" s="5" t="str">
        <f t="shared" si="4"/>
        <v>-</v>
      </c>
      <c r="G114" s="5" t="str">
        <f t="shared" si="5"/>
        <v>0</v>
      </c>
    </row>
    <row r="115" spans="1:7">
      <c r="A115" s="4">
        <v>155525090602</v>
      </c>
      <c r="B115" s="4" t="s">
        <v>2212</v>
      </c>
      <c r="C115" s="1" t="e">
        <f ca="1">_xlfn.XLOOKUP(A115,'[1]Sellers Pro'!$C:$C,'[1]Sellers Pro'!$F:$F)</f>
        <v>#NAME?</v>
      </c>
      <c r="D115" s="5" t="e">
        <f t="shared" si="3"/>
        <v>#NAME?</v>
      </c>
      <c r="E115" s="5" t="str">
        <f>IFERROR(IF(VLOOKUP(A115,Base!AA:AA,1,0)&gt;0,"1","0"),"0")</f>
        <v>1</v>
      </c>
      <c r="F115" s="5" t="e">
        <f t="shared" si="4"/>
        <v>#NAME?</v>
      </c>
      <c r="G115" s="5" t="str">
        <f t="shared" si="5"/>
        <v>0</v>
      </c>
    </row>
    <row r="116" spans="1:7">
      <c r="A116" s="4">
        <v>175133439302</v>
      </c>
      <c r="B116" s="4" t="s">
        <v>920</v>
      </c>
      <c r="C116" s="1" t="e">
        <f ca="1">_xlfn.XLOOKUP(A116,'[1]Sellers Pro'!$C:$C,'[1]Sellers Pro'!$F:$F)</f>
        <v>#NAME?</v>
      </c>
      <c r="D116" s="5" t="e">
        <f t="shared" si="3"/>
        <v>#NAME?</v>
      </c>
      <c r="E116" s="5" t="str">
        <f>IFERROR(IF(VLOOKUP(A116,Base!AA:AA,1,0)&gt;0,"1","0"),"0")</f>
        <v>1</v>
      </c>
      <c r="F116" s="5" t="e">
        <f t="shared" si="4"/>
        <v>#NAME?</v>
      </c>
      <c r="G116" s="5" t="str">
        <f t="shared" si="5"/>
        <v>0</v>
      </c>
    </row>
    <row r="117" spans="1:7">
      <c r="A117" s="4">
        <v>816067318102</v>
      </c>
      <c r="B117" s="4" t="s">
        <v>1643</v>
      </c>
      <c r="C117" s="1" t="e">
        <f ca="1">_xlfn.XLOOKUP(A117,'[1]Sellers Pro'!$C:$C,'[1]Sellers Pro'!$F:$F)</f>
        <v>#NAME?</v>
      </c>
      <c r="D117" s="5" t="e">
        <f t="shared" si="3"/>
        <v>#NAME?</v>
      </c>
      <c r="E117" s="5" t="str">
        <f>IFERROR(IF(VLOOKUP(A117,Base!AA:AA,1,0)&gt;0,"1","0"),"0")</f>
        <v>1</v>
      </c>
      <c r="F117" s="5" t="e">
        <f t="shared" si="4"/>
        <v>#NAME?</v>
      </c>
      <c r="G117" s="5" t="str">
        <f t="shared" si="5"/>
        <v>0</v>
      </c>
    </row>
    <row r="118" spans="1:7">
      <c r="A118" s="4">
        <v>352653660902</v>
      </c>
      <c r="B118" s="4" t="s">
        <v>1013</v>
      </c>
      <c r="C118" s="1"/>
      <c r="D118" s="5" t="str">
        <f t="shared" si="3"/>
        <v>0</v>
      </c>
      <c r="E118" s="5" t="str">
        <f>IFERROR(IF(VLOOKUP(A118,Base!AA:AA,1,0)&gt;0,"1","0"),"0")</f>
        <v>0</v>
      </c>
      <c r="F118" s="5" t="str">
        <f t="shared" si="4"/>
        <v>-</v>
      </c>
      <c r="G118" s="5" t="str">
        <f t="shared" si="5"/>
        <v>0</v>
      </c>
    </row>
    <row r="119" spans="1:7">
      <c r="A119" s="4">
        <v>475342556402</v>
      </c>
      <c r="B119" s="4" t="s">
        <v>1415</v>
      </c>
      <c r="C119" s="1" t="e">
        <f ca="1">_xlfn.XLOOKUP(A119,'[1]Sellers Pro'!$C:$C,'[1]Sellers Pro'!$F:$F)</f>
        <v>#NAME?</v>
      </c>
      <c r="D119" s="5" t="e">
        <f t="shared" si="3"/>
        <v>#NAME?</v>
      </c>
      <c r="E119" s="5" t="str">
        <f>IFERROR(IF(VLOOKUP(A119,Base!AA:AA,1,0)&gt;0,"1","0"),"0")</f>
        <v>1</v>
      </c>
      <c r="F119" s="5" t="e">
        <f t="shared" si="4"/>
        <v>#NAME?</v>
      </c>
      <c r="G119" s="5" t="str">
        <f t="shared" si="5"/>
        <v>0</v>
      </c>
    </row>
    <row r="120" spans="1:7">
      <c r="A120" s="4">
        <v>301135555502</v>
      </c>
      <c r="B120" s="4" t="s">
        <v>1548</v>
      </c>
      <c r="C120" s="1"/>
      <c r="D120" s="5" t="str">
        <f t="shared" si="3"/>
        <v>0</v>
      </c>
      <c r="E120" s="5" t="str">
        <f>IFERROR(IF(VLOOKUP(A120,Base!AA:AA,1,0)&gt;0,"1","0"),"0")</f>
        <v>0</v>
      </c>
      <c r="F120" s="5" t="str">
        <f t="shared" si="4"/>
        <v>-</v>
      </c>
      <c r="G120" s="5" t="str">
        <f t="shared" si="5"/>
        <v>0</v>
      </c>
    </row>
    <row r="121" spans="1:7">
      <c r="A121" s="4">
        <v>322177938302</v>
      </c>
      <c r="B121" s="4" t="s">
        <v>2288</v>
      </c>
      <c r="C121" s="1"/>
      <c r="D121" s="5" t="str">
        <f t="shared" si="3"/>
        <v>0</v>
      </c>
      <c r="E121" s="5" t="str">
        <f>IFERROR(IF(VLOOKUP(A121,Base!AA:AA,1,0)&gt;0,"1","0"),"0")</f>
        <v>0</v>
      </c>
      <c r="F121" s="5" t="str">
        <f t="shared" si="4"/>
        <v>-</v>
      </c>
      <c r="G121" s="5" t="str">
        <f t="shared" si="5"/>
        <v>0</v>
      </c>
    </row>
    <row r="122" spans="1:7">
      <c r="A122" s="4">
        <v>563654665702</v>
      </c>
      <c r="B122" s="4" t="s">
        <v>1823</v>
      </c>
      <c r="C122" s="1"/>
      <c r="D122" s="5" t="str">
        <f t="shared" si="3"/>
        <v>0</v>
      </c>
      <c r="E122" s="5" t="str">
        <f>IFERROR(IF(VLOOKUP(A122,Base!AA:AA,1,0)&gt;0,"1","0"),"0")</f>
        <v>0</v>
      </c>
      <c r="F122" s="5" t="str">
        <f t="shared" si="4"/>
        <v>-</v>
      </c>
      <c r="G122" s="5" t="str">
        <f t="shared" si="5"/>
        <v>0</v>
      </c>
    </row>
    <row r="123" spans="1:7">
      <c r="A123" s="4">
        <v>183456830502</v>
      </c>
      <c r="B123" s="4" t="s">
        <v>1466</v>
      </c>
      <c r="C123" s="1" t="e">
        <f ca="1">_xlfn.XLOOKUP(A123,'[1]Sellers Pro'!$C:$C,'[1]Sellers Pro'!$F:$F)</f>
        <v>#NAME?</v>
      </c>
      <c r="D123" s="5" t="e">
        <f t="shared" si="3"/>
        <v>#NAME?</v>
      </c>
      <c r="E123" s="5" t="str">
        <f>IFERROR(IF(VLOOKUP(A123,Base!AA:AA,1,0)&gt;0,"1","0"),"0")</f>
        <v>1</v>
      </c>
      <c r="F123" s="5" t="e">
        <f t="shared" si="4"/>
        <v>#NAME?</v>
      </c>
      <c r="G123" s="5" t="str">
        <f t="shared" si="5"/>
        <v>0</v>
      </c>
    </row>
    <row r="124" spans="1:7">
      <c r="A124" s="4">
        <v>241002216802</v>
      </c>
      <c r="B124" s="4" t="s">
        <v>1704</v>
      </c>
      <c r="C124" s="1" t="e">
        <f ca="1">_xlfn.XLOOKUP(A124,'[1]Sellers Pro'!$C:$C,'[1]Sellers Pro'!$F:$F)</f>
        <v>#NAME?</v>
      </c>
      <c r="D124" s="5" t="e">
        <f t="shared" si="3"/>
        <v>#NAME?</v>
      </c>
      <c r="E124" s="5" t="str">
        <f>IFERROR(IF(VLOOKUP(A124,Base!AA:AA,1,0)&gt;0,"1","0"),"0")</f>
        <v>1</v>
      </c>
      <c r="F124" s="5" t="e">
        <f t="shared" si="4"/>
        <v>#NAME?</v>
      </c>
      <c r="G124" s="5" t="str">
        <f t="shared" si="5"/>
        <v>0</v>
      </c>
    </row>
    <row r="125" spans="1:7">
      <c r="A125" s="4">
        <v>131648381902</v>
      </c>
      <c r="B125" s="4" t="s">
        <v>1142</v>
      </c>
      <c r="C125" s="1"/>
      <c r="D125" s="5" t="str">
        <f t="shared" si="3"/>
        <v>0</v>
      </c>
      <c r="E125" s="5" t="str">
        <f>IFERROR(IF(VLOOKUP(A125,Base!AA:AA,1,0)&gt;0,"1","0"),"0")</f>
        <v>0</v>
      </c>
      <c r="F125" s="5" t="str">
        <f t="shared" si="4"/>
        <v>-</v>
      </c>
      <c r="G125" s="5" t="str">
        <f t="shared" si="5"/>
        <v>0</v>
      </c>
    </row>
    <row r="126" spans="1:7">
      <c r="A126" s="4">
        <v>693491100202</v>
      </c>
      <c r="B126" s="4" t="s">
        <v>1187</v>
      </c>
      <c r="C126" s="1"/>
      <c r="D126" s="5" t="str">
        <f t="shared" si="3"/>
        <v>0</v>
      </c>
      <c r="E126" s="5" t="str">
        <f>IFERROR(IF(VLOOKUP(A126,Base!AA:AA,1,0)&gt;0,"1","0"),"0")</f>
        <v>0</v>
      </c>
      <c r="F126" s="5" t="str">
        <f t="shared" si="4"/>
        <v>-</v>
      </c>
      <c r="G126" s="5" t="str">
        <f t="shared" si="5"/>
        <v>0</v>
      </c>
    </row>
    <row r="127" spans="1:7">
      <c r="A127" s="4">
        <v>128174680202</v>
      </c>
      <c r="B127" s="4" t="s">
        <v>978</v>
      </c>
      <c r="C127" s="1" t="e">
        <f ca="1">_xlfn.XLOOKUP(A127,'[1]Sellers Pro'!$C:$C,'[1]Sellers Pro'!$F:$F)</f>
        <v>#NAME?</v>
      </c>
      <c r="D127" s="5" t="e">
        <f t="shared" si="3"/>
        <v>#NAME?</v>
      </c>
      <c r="E127" s="5" t="str">
        <f>IFERROR(IF(VLOOKUP(A127,Base!AA:AA,1,0)&gt;0,"1","0"),"0")</f>
        <v>1</v>
      </c>
      <c r="F127" s="5" t="e">
        <f t="shared" si="4"/>
        <v>#NAME?</v>
      </c>
      <c r="G127" s="5" t="str">
        <f t="shared" si="5"/>
        <v>0</v>
      </c>
    </row>
    <row r="128" spans="1:7">
      <c r="A128" s="4">
        <v>607776398302</v>
      </c>
      <c r="B128" s="4" t="s">
        <v>223</v>
      </c>
      <c r="C128" s="1" t="e">
        <f ca="1">_xlfn.XLOOKUP(A128,'[1]Sellers Pro'!$C:$C,'[1]Sellers Pro'!$F:$F)</f>
        <v>#NAME?</v>
      </c>
      <c r="D128" s="5" t="e">
        <f t="shared" si="3"/>
        <v>#NAME?</v>
      </c>
      <c r="E128" s="5" t="str">
        <f>IFERROR(IF(VLOOKUP(A128,Base!AA:AA,1,0)&gt;0,"1","0"),"0")</f>
        <v>0</v>
      </c>
      <c r="F128" s="5" t="e">
        <f t="shared" si="4"/>
        <v>#NAME?</v>
      </c>
      <c r="G128" s="5" t="str">
        <f t="shared" si="5"/>
        <v>0</v>
      </c>
    </row>
    <row r="129" spans="1:7">
      <c r="A129" s="4">
        <v>366327938802</v>
      </c>
      <c r="B129" s="4" t="s">
        <v>1985</v>
      </c>
      <c r="C129" s="1" t="s">
        <v>39</v>
      </c>
      <c r="D129" s="5" t="str">
        <f t="shared" si="3"/>
        <v>1</v>
      </c>
      <c r="E129" s="5" t="str">
        <f>IFERROR(IF(VLOOKUP(A129,Base!AA:AA,1,0)&gt;0,"1","0"),"0")</f>
        <v>1</v>
      </c>
      <c r="F129" s="5" t="str">
        <f t="shared" si="4"/>
        <v>0</v>
      </c>
      <c r="G129" s="5" t="str">
        <f t="shared" si="5"/>
        <v>0</v>
      </c>
    </row>
    <row r="130" spans="1:7">
      <c r="A130" s="4">
        <v>429663859202</v>
      </c>
      <c r="B130" s="4" t="s">
        <v>2289</v>
      </c>
      <c r="C130" s="1" t="e">
        <f ca="1">_xlfn.XLOOKUP(A130,'[1]Sellers Pro'!$C:$C,'[1]Sellers Pro'!$F:$F)</f>
        <v>#NAME?</v>
      </c>
      <c r="D130" s="5" t="e">
        <f t="shared" si="3"/>
        <v>#NAME?</v>
      </c>
      <c r="E130" s="5" t="str">
        <f>IFERROR(IF(VLOOKUP(A130,Base!AA:AA,1,0)&gt;0,"1","0"),"0")</f>
        <v>0</v>
      </c>
      <c r="F130" s="5" t="e">
        <f t="shared" si="4"/>
        <v>#NAME?</v>
      </c>
      <c r="G130" s="5" t="str">
        <f t="shared" si="5"/>
        <v>0</v>
      </c>
    </row>
    <row r="131" spans="1:7">
      <c r="A131" s="4">
        <v>25545596202</v>
      </c>
      <c r="B131" s="4" t="s">
        <v>696</v>
      </c>
      <c r="C131" s="1"/>
      <c r="D131" s="5" t="str">
        <f t="shared" si="3"/>
        <v>0</v>
      </c>
      <c r="E131" s="5" t="str">
        <f>IFERROR(IF(VLOOKUP(A131,Base!AA:AA,1,0)&gt;0,"1","0"),"0")</f>
        <v>0</v>
      </c>
      <c r="F131" s="5" t="str">
        <f t="shared" si="4"/>
        <v>-</v>
      </c>
      <c r="G131" s="5" t="str">
        <f t="shared" si="5"/>
        <v>0</v>
      </c>
    </row>
    <row r="132" spans="1:7">
      <c r="A132" s="4">
        <v>287368760702</v>
      </c>
      <c r="B132" s="4" t="s">
        <v>2290</v>
      </c>
      <c r="C132" s="1"/>
      <c r="D132" s="5" t="str">
        <f t="shared" ref="D132:D195" si="6">IF(C132="","0","1")</f>
        <v>0</v>
      </c>
      <c r="E132" s="5" t="str">
        <f>IFERROR(IF(VLOOKUP(A132,Base!AA:AA,1,0)&gt;0,"1","0"),"0")</f>
        <v>0</v>
      </c>
      <c r="F132" s="5" t="str">
        <f t="shared" ref="F132:F195" si="7">IF(C132="","-",IF(OR(BC132="Muito satisfeito",BC132="Satisfeito"),"1","0"))</f>
        <v>-</v>
      </c>
      <c r="G132" s="5" t="str">
        <f t="shared" ref="G132:G195" si="8">IF(BC132="","0","1")</f>
        <v>0</v>
      </c>
    </row>
    <row r="133" spans="1:7">
      <c r="A133" s="4">
        <v>16137818802</v>
      </c>
      <c r="B133" s="4" t="s">
        <v>1088</v>
      </c>
      <c r="C133" s="1" t="e">
        <f ca="1">_xlfn.XLOOKUP(A133,'[1]Sellers Pro'!$C:$C,'[1]Sellers Pro'!$F:$F)</f>
        <v>#NAME?</v>
      </c>
      <c r="D133" s="5" t="e">
        <f t="shared" si="6"/>
        <v>#NAME?</v>
      </c>
      <c r="E133" s="5" t="str">
        <f>IFERROR(IF(VLOOKUP(A133,Base!AA:AA,1,0)&gt;0,"1","0"),"0")</f>
        <v>1</v>
      </c>
      <c r="F133" s="5" t="e">
        <f t="shared" si="7"/>
        <v>#NAME?</v>
      </c>
      <c r="G133" s="5" t="str">
        <f t="shared" si="8"/>
        <v>0</v>
      </c>
    </row>
    <row r="134" spans="1:7">
      <c r="A134" s="4">
        <v>24807318802</v>
      </c>
      <c r="B134" s="4" t="s">
        <v>1098</v>
      </c>
      <c r="C134" s="1"/>
      <c r="D134" s="5" t="str">
        <f t="shared" si="6"/>
        <v>0</v>
      </c>
      <c r="E134" s="5" t="str">
        <f>IFERROR(IF(VLOOKUP(A134,Base!AA:AA,1,0)&gt;0,"1","0"),"0")</f>
        <v>0</v>
      </c>
      <c r="F134" s="5" t="str">
        <f t="shared" si="7"/>
        <v>-</v>
      </c>
      <c r="G134" s="5" t="str">
        <f t="shared" si="8"/>
        <v>0</v>
      </c>
    </row>
    <row r="135" spans="1:7">
      <c r="A135" s="4">
        <v>153775969402</v>
      </c>
      <c r="B135" s="4" t="s">
        <v>1002</v>
      </c>
      <c r="C135" s="1" t="e">
        <f ca="1">_xlfn.XLOOKUP(A135,'[1]Sellers Pro'!$C:$C,'[1]Sellers Pro'!$F:$F)</f>
        <v>#NAME?</v>
      </c>
      <c r="D135" s="5" t="e">
        <f t="shared" si="6"/>
        <v>#NAME?</v>
      </c>
      <c r="E135" s="5" t="str">
        <f>IFERROR(IF(VLOOKUP(A135,Base!AA:AA,1,0)&gt;0,"1","0"),"0")</f>
        <v>1</v>
      </c>
      <c r="F135" s="5" t="e">
        <f t="shared" si="7"/>
        <v>#NAME?</v>
      </c>
      <c r="G135" s="5" t="str">
        <f t="shared" si="8"/>
        <v>0</v>
      </c>
    </row>
    <row r="136" spans="1:7">
      <c r="A136" s="4">
        <v>16898656902</v>
      </c>
      <c r="B136" s="4" t="s">
        <v>1078</v>
      </c>
      <c r="C136" s="1" t="e">
        <f ca="1">_xlfn.XLOOKUP(A136,'[1]Sellers Pro'!$C:$C,'[1]Sellers Pro'!$F:$F)</f>
        <v>#NAME?</v>
      </c>
      <c r="D136" s="5" t="e">
        <f t="shared" si="6"/>
        <v>#NAME?</v>
      </c>
      <c r="E136" s="5" t="str">
        <f>IFERROR(IF(VLOOKUP(A136,Base!AA:AA,1,0)&gt;0,"1","0"),"0")</f>
        <v>1</v>
      </c>
      <c r="F136" s="5" t="e">
        <f t="shared" si="7"/>
        <v>#NAME?</v>
      </c>
      <c r="G136" s="5" t="str">
        <f t="shared" si="8"/>
        <v>0</v>
      </c>
    </row>
    <row r="137" spans="1:7">
      <c r="A137" s="4">
        <v>251774695102</v>
      </c>
      <c r="B137" s="4" t="s">
        <v>1058</v>
      </c>
      <c r="C137" s="1"/>
      <c r="D137" s="5" t="str">
        <f t="shared" si="6"/>
        <v>0</v>
      </c>
      <c r="E137" s="5" t="str">
        <f>IFERROR(IF(VLOOKUP(A137,Base!AA:AA,1,0)&gt;0,"1","0"),"0")</f>
        <v>0</v>
      </c>
      <c r="F137" s="5" t="str">
        <f t="shared" si="7"/>
        <v>-</v>
      </c>
      <c r="G137" s="5" t="str">
        <f t="shared" si="8"/>
        <v>0</v>
      </c>
    </row>
    <row r="138" spans="1:7">
      <c r="A138" s="4">
        <v>56433406702</v>
      </c>
      <c r="B138" s="4" t="s">
        <v>2264</v>
      </c>
      <c r="C138" s="1" t="e">
        <f ca="1">_xlfn.XLOOKUP(A138,'[1]Sellers Pro'!$C:$C,'[1]Sellers Pro'!$F:$F)</f>
        <v>#NAME?</v>
      </c>
      <c r="D138" s="5" t="e">
        <f t="shared" si="6"/>
        <v>#NAME?</v>
      </c>
      <c r="E138" s="5" t="str">
        <f>IFERROR(IF(VLOOKUP(A138,Base!AA:AA,1,0)&gt;0,"1","0"),"0")</f>
        <v>0</v>
      </c>
      <c r="F138" s="5" t="e">
        <f t="shared" si="7"/>
        <v>#NAME?</v>
      </c>
      <c r="G138" s="5" t="str">
        <f t="shared" si="8"/>
        <v>0</v>
      </c>
    </row>
    <row r="139" spans="1:7">
      <c r="A139" s="4">
        <v>358111169102</v>
      </c>
      <c r="B139" s="4" t="s">
        <v>1331</v>
      </c>
      <c r="C139" s="1"/>
      <c r="D139" s="5" t="str">
        <f t="shared" si="6"/>
        <v>0</v>
      </c>
      <c r="E139" s="5" t="str">
        <f>IFERROR(IF(VLOOKUP(A139,Base!AA:AA,1,0)&gt;0,"1","0"),"0")</f>
        <v>0</v>
      </c>
      <c r="F139" s="5" t="str">
        <f t="shared" si="7"/>
        <v>-</v>
      </c>
      <c r="G139" s="5" t="str">
        <f t="shared" si="8"/>
        <v>0</v>
      </c>
    </row>
    <row r="140" spans="1:7">
      <c r="A140" s="4">
        <v>10369153302</v>
      </c>
      <c r="B140" s="4" t="s">
        <v>329</v>
      </c>
      <c r="C140" s="1" t="e">
        <f ca="1">_xlfn.XLOOKUP(A140,'[1]Sellers Pro'!$C:$C,'[1]Sellers Pro'!$F:$F)</f>
        <v>#NAME?</v>
      </c>
      <c r="D140" s="5" t="e">
        <f t="shared" si="6"/>
        <v>#NAME?</v>
      </c>
      <c r="E140" s="5" t="str">
        <f>IFERROR(IF(VLOOKUP(A140,Base!AA:AA,1,0)&gt;0,"1","0"),"0")</f>
        <v>1</v>
      </c>
      <c r="F140" s="5" t="e">
        <f t="shared" si="7"/>
        <v>#NAME?</v>
      </c>
      <c r="G140" s="5" t="str">
        <f t="shared" si="8"/>
        <v>0</v>
      </c>
    </row>
    <row r="141" spans="1:7">
      <c r="A141" s="4">
        <v>19309418302</v>
      </c>
      <c r="B141" s="4" t="s">
        <v>2291</v>
      </c>
      <c r="C141" s="1"/>
      <c r="D141" s="5" t="str">
        <f t="shared" si="6"/>
        <v>0</v>
      </c>
      <c r="E141" s="5" t="str">
        <f>IFERROR(IF(VLOOKUP(A141,Base!AA:AA,1,0)&gt;0,"1","0"),"0")</f>
        <v>1</v>
      </c>
      <c r="F141" s="5" t="str">
        <f t="shared" si="7"/>
        <v>-</v>
      </c>
      <c r="G141" s="5" t="str">
        <f t="shared" si="8"/>
        <v>0</v>
      </c>
    </row>
    <row r="142" spans="1:7">
      <c r="A142" s="4">
        <v>596977542502</v>
      </c>
      <c r="B142" s="4" t="s">
        <v>2292</v>
      </c>
      <c r="C142" s="1" t="e">
        <f ca="1">_xlfn.XLOOKUP(A142,'[1]Sellers Pro'!$C:$C,'[1]Sellers Pro'!$F:$F)</f>
        <v>#NAME?</v>
      </c>
      <c r="D142" s="5" t="e">
        <f t="shared" si="6"/>
        <v>#NAME?</v>
      </c>
      <c r="E142" s="5" t="str">
        <f>IFERROR(IF(VLOOKUP(A142,Base!AA:AA,1,0)&gt;0,"1","0"),"0")</f>
        <v>0</v>
      </c>
      <c r="F142" s="5" t="e">
        <f t="shared" si="7"/>
        <v>#NAME?</v>
      </c>
      <c r="G142" s="5" t="str">
        <f t="shared" si="8"/>
        <v>0</v>
      </c>
    </row>
    <row r="143" spans="1:7">
      <c r="A143" s="4">
        <v>100982699102</v>
      </c>
      <c r="B143" s="4" t="s">
        <v>1779</v>
      </c>
      <c r="C143" s="1"/>
      <c r="D143" s="5" t="str">
        <f t="shared" si="6"/>
        <v>0</v>
      </c>
      <c r="E143" s="5" t="str">
        <f>IFERROR(IF(VLOOKUP(A143,Base!AA:AA,1,0)&gt;0,"1","0"),"0")</f>
        <v>0</v>
      </c>
      <c r="F143" s="5" t="str">
        <f t="shared" si="7"/>
        <v>-</v>
      </c>
      <c r="G143" s="5" t="str">
        <f t="shared" si="8"/>
        <v>0</v>
      </c>
    </row>
    <row r="144" spans="1:7">
      <c r="A144" s="4">
        <v>743495001802</v>
      </c>
      <c r="B144" s="4" t="s">
        <v>584</v>
      </c>
      <c r="C144" s="1"/>
      <c r="D144" s="5" t="str">
        <f t="shared" si="6"/>
        <v>0</v>
      </c>
      <c r="E144" s="5" t="str">
        <f>IFERROR(IF(VLOOKUP(A144,Base!AA:AA,1,0)&gt;0,"1","0"),"0")</f>
        <v>0</v>
      </c>
      <c r="F144" s="5" t="str">
        <f t="shared" si="7"/>
        <v>-</v>
      </c>
      <c r="G144" s="5" t="str">
        <f t="shared" si="8"/>
        <v>0</v>
      </c>
    </row>
    <row r="145" spans="1:7">
      <c r="A145" s="4">
        <v>22445894402</v>
      </c>
      <c r="B145" s="4" t="s">
        <v>573</v>
      </c>
      <c r="C145" s="1" t="e">
        <f ca="1">_xlfn.XLOOKUP(A145,'[1]Sellers Pro'!$C:$C,'[1]Sellers Pro'!$F:$F)</f>
        <v>#NAME?</v>
      </c>
      <c r="D145" s="5" t="e">
        <f t="shared" si="6"/>
        <v>#NAME?</v>
      </c>
      <c r="E145" s="5" t="str">
        <f>IFERROR(IF(VLOOKUP(A145,Base!AA:AA,1,0)&gt;0,"1","0"),"0")</f>
        <v>1</v>
      </c>
      <c r="F145" s="5" t="e">
        <f t="shared" si="7"/>
        <v>#NAME?</v>
      </c>
      <c r="G145" s="5" t="str">
        <f t="shared" si="8"/>
        <v>0</v>
      </c>
    </row>
    <row r="146" spans="1:7">
      <c r="A146" s="4">
        <v>696396556502</v>
      </c>
      <c r="B146" s="4" t="s">
        <v>1622</v>
      </c>
      <c r="C146" s="1" t="e">
        <f ca="1">_xlfn.XLOOKUP(A146,'[1]Sellers Pro'!$C:$C,'[1]Sellers Pro'!$F:$F)</f>
        <v>#NAME?</v>
      </c>
      <c r="D146" s="5" t="e">
        <f t="shared" si="6"/>
        <v>#NAME?</v>
      </c>
      <c r="E146" s="5" t="str">
        <f>IFERROR(IF(VLOOKUP(A146,Base!AA:AA,1,0)&gt;0,"1","0"),"0")</f>
        <v>0</v>
      </c>
      <c r="F146" s="5" t="e">
        <f t="shared" si="7"/>
        <v>#NAME?</v>
      </c>
      <c r="G146" s="5" t="str">
        <f t="shared" si="8"/>
        <v>0</v>
      </c>
    </row>
    <row r="147" spans="1:7">
      <c r="A147" s="4">
        <v>182760498402</v>
      </c>
      <c r="B147" s="4" t="s">
        <v>1754</v>
      </c>
      <c r="C147" s="1"/>
      <c r="D147" s="5" t="str">
        <f t="shared" si="6"/>
        <v>0</v>
      </c>
      <c r="E147" s="5" t="str">
        <f>IFERROR(IF(VLOOKUP(A147,Base!AA:AA,1,0)&gt;0,"1","0"),"0")</f>
        <v>0</v>
      </c>
      <c r="F147" s="5" t="str">
        <f t="shared" si="7"/>
        <v>-</v>
      </c>
      <c r="G147" s="5" t="str">
        <f t="shared" si="8"/>
        <v>0</v>
      </c>
    </row>
    <row r="148" spans="1:7">
      <c r="A148" s="4">
        <v>380157072302</v>
      </c>
      <c r="B148" s="4" t="s">
        <v>2293</v>
      </c>
      <c r="C148" s="1" t="e">
        <f ca="1">_xlfn.XLOOKUP(A148,'[1]Sellers Pro'!$C:$C,'[1]Sellers Pro'!$F:$F)</f>
        <v>#NAME?</v>
      </c>
      <c r="D148" s="5" t="e">
        <f t="shared" si="6"/>
        <v>#NAME?</v>
      </c>
      <c r="E148" s="5" t="str">
        <f>IFERROR(IF(VLOOKUP(A148,Base!AA:AA,1,0)&gt;0,"1","0"),"0")</f>
        <v>1</v>
      </c>
      <c r="F148" s="5" t="e">
        <f t="shared" si="7"/>
        <v>#NAME?</v>
      </c>
      <c r="G148" s="5" t="str">
        <f t="shared" si="8"/>
        <v>0</v>
      </c>
    </row>
    <row r="149" spans="1:7">
      <c r="A149" s="4">
        <v>24357990102</v>
      </c>
      <c r="B149" s="4" t="s">
        <v>1161</v>
      </c>
      <c r="C149" s="1" t="e">
        <f ca="1">_xlfn.XLOOKUP(A149,'[1]Sellers Pro'!$C:$C,'[1]Sellers Pro'!$F:$F)</f>
        <v>#NAME?</v>
      </c>
      <c r="D149" s="5" t="e">
        <f t="shared" si="6"/>
        <v>#NAME?</v>
      </c>
      <c r="E149" s="5" t="str">
        <f>IFERROR(IF(VLOOKUP(A149,Base!AA:AA,1,0)&gt;0,"1","0"),"0")</f>
        <v>1</v>
      </c>
      <c r="F149" s="5" t="e">
        <f t="shared" si="7"/>
        <v>#NAME?</v>
      </c>
      <c r="G149" s="5" t="str">
        <f t="shared" si="8"/>
        <v>0</v>
      </c>
    </row>
    <row r="150" spans="1:7">
      <c r="A150" s="4">
        <v>582151058602</v>
      </c>
      <c r="B150" s="4" t="s">
        <v>2294</v>
      </c>
      <c r="C150" s="1"/>
      <c r="D150" s="5" t="str">
        <f t="shared" si="6"/>
        <v>0</v>
      </c>
      <c r="E150" s="5" t="str">
        <f>IFERROR(IF(VLOOKUP(A150,Base!AA:AA,1,0)&gt;0,"1","0"),"0")</f>
        <v>0</v>
      </c>
      <c r="F150" s="5" t="str">
        <f t="shared" si="7"/>
        <v>-</v>
      </c>
      <c r="G150" s="5" t="str">
        <f t="shared" si="8"/>
        <v>0</v>
      </c>
    </row>
    <row r="151" spans="1:7">
      <c r="A151" s="4">
        <v>11103651302</v>
      </c>
      <c r="B151" s="4" t="s">
        <v>1482</v>
      </c>
      <c r="C151" s="1" t="e">
        <f ca="1">_xlfn.XLOOKUP(A151,'[1]Sellers Pro'!$C:$C,'[1]Sellers Pro'!$F:$F)</f>
        <v>#NAME?</v>
      </c>
      <c r="D151" s="5" t="e">
        <f t="shared" si="6"/>
        <v>#NAME?</v>
      </c>
      <c r="E151" s="5" t="str">
        <f>IFERROR(IF(VLOOKUP(A151,Base!AA:AA,1,0)&gt;0,"1","0"),"0")</f>
        <v>1</v>
      </c>
      <c r="F151" s="5" t="e">
        <f t="shared" si="7"/>
        <v>#NAME?</v>
      </c>
      <c r="G151" s="5" t="str">
        <f t="shared" si="8"/>
        <v>0</v>
      </c>
    </row>
    <row r="152" spans="1:7">
      <c r="A152" s="4">
        <v>130065728702</v>
      </c>
      <c r="B152" s="4" t="s">
        <v>1303</v>
      </c>
      <c r="C152" s="1" t="e">
        <f ca="1">_xlfn.XLOOKUP(A152,'[1]Sellers Pro'!$C:$C,'[1]Sellers Pro'!$F:$F)</f>
        <v>#NAME?</v>
      </c>
      <c r="D152" s="5" t="e">
        <f t="shared" si="6"/>
        <v>#NAME?</v>
      </c>
      <c r="E152" s="5" t="str">
        <f>IFERROR(IF(VLOOKUP(A152,Base!AA:AA,1,0)&gt;0,"1","0"),"0")</f>
        <v>1</v>
      </c>
      <c r="F152" s="5" t="e">
        <f t="shared" si="7"/>
        <v>#NAME?</v>
      </c>
      <c r="G152" s="5" t="str">
        <f t="shared" si="8"/>
        <v>0</v>
      </c>
    </row>
    <row r="153" spans="1:7">
      <c r="A153" s="4">
        <v>31616534302</v>
      </c>
      <c r="B153" s="4" t="s">
        <v>2295</v>
      </c>
      <c r="C153" s="1"/>
      <c r="D153" s="5" t="str">
        <f t="shared" si="6"/>
        <v>0</v>
      </c>
      <c r="E153" s="5" t="str">
        <f>IFERROR(IF(VLOOKUP(A153,Base!AA:AA,1,0)&gt;0,"1","0"),"0")</f>
        <v>0</v>
      </c>
      <c r="F153" s="5" t="str">
        <f t="shared" si="7"/>
        <v>-</v>
      </c>
      <c r="G153" s="5" t="str">
        <f t="shared" si="8"/>
        <v>0</v>
      </c>
    </row>
    <row r="154" spans="1:7">
      <c r="A154" s="4">
        <v>159666680002</v>
      </c>
      <c r="B154" s="4" t="s">
        <v>2109</v>
      </c>
      <c r="C154" s="1" t="e">
        <f ca="1">_xlfn.XLOOKUP(A154,'[1]Sellers Pro'!$C:$C,'[1]Sellers Pro'!$F:$F)</f>
        <v>#NAME?</v>
      </c>
      <c r="D154" s="5" t="e">
        <f t="shared" si="6"/>
        <v>#NAME?</v>
      </c>
      <c r="E154" s="5" t="str">
        <f>IFERROR(IF(VLOOKUP(A154,Base!AA:AA,1,0)&gt;0,"1","0"),"0")</f>
        <v>1</v>
      </c>
      <c r="F154" s="5" t="e">
        <f t="shared" si="7"/>
        <v>#NAME?</v>
      </c>
      <c r="G154" s="5" t="str">
        <f t="shared" si="8"/>
        <v>0</v>
      </c>
    </row>
    <row r="155" spans="1:7">
      <c r="A155" s="4">
        <v>301392154502</v>
      </c>
      <c r="B155" s="4" t="s">
        <v>2130</v>
      </c>
      <c r="C155" s="1"/>
      <c r="D155" s="5" t="str">
        <f t="shared" si="6"/>
        <v>0</v>
      </c>
      <c r="E155" s="5" t="str">
        <f>IFERROR(IF(VLOOKUP(A155,Base!AA:AA,1,0)&gt;0,"1","0"),"0")</f>
        <v>0</v>
      </c>
      <c r="F155" s="5" t="str">
        <f t="shared" si="7"/>
        <v>-</v>
      </c>
      <c r="G155" s="5" t="str">
        <f t="shared" si="8"/>
        <v>0</v>
      </c>
    </row>
    <row r="156" spans="1:7">
      <c r="A156" s="4">
        <v>397021068802</v>
      </c>
      <c r="B156" s="4" t="s">
        <v>2243</v>
      </c>
      <c r="C156" s="1"/>
      <c r="D156" s="5" t="str">
        <f t="shared" si="6"/>
        <v>0</v>
      </c>
      <c r="E156" s="5" t="str">
        <f>IFERROR(IF(VLOOKUP(A156,Base!AA:AA,1,0)&gt;0,"1","0"),"0")</f>
        <v>0</v>
      </c>
      <c r="F156" s="5" t="str">
        <f t="shared" si="7"/>
        <v>-</v>
      </c>
      <c r="G156" s="5" t="str">
        <f t="shared" si="8"/>
        <v>0</v>
      </c>
    </row>
    <row r="157" spans="1:7">
      <c r="A157" s="4">
        <v>374065566102</v>
      </c>
      <c r="B157" s="4" t="s">
        <v>2296</v>
      </c>
      <c r="C157" s="1"/>
      <c r="D157" s="5" t="str">
        <f t="shared" si="6"/>
        <v>0</v>
      </c>
      <c r="E157" s="5" t="str">
        <f>IFERROR(IF(VLOOKUP(A157,Base!AA:AA,1,0)&gt;0,"1","0"),"0")</f>
        <v>0</v>
      </c>
      <c r="F157" s="5" t="str">
        <f t="shared" si="7"/>
        <v>-</v>
      </c>
      <c r="G157" s="5" t="str">
        <f t="shared" si="8"/>
        <v>0</v>
      </c>
    </row>
    <row r="158" spans="1:7">
      <c r="A158" s="4">
        <v>106288180002</v>
      </c>
      <c r="B158" s="4" t="s">
        <v>2232</v>
      </c>
      <c r="C158" s="1"/>
      <c r="D158" s="5" t="str">
        <f t="shared" si="6"/>
        <v>0</v>
      </c>
      <c r="E158" s="5" t="str">
        <f>IFERROR(IF(VLOOKUP(A158,Base!AA:AA,1,0)&gt;0,"1","0"),"0")</f>
        <v>0</v>
      </c>
      <c r="F158" s="5" t="str">
        <f t="shared" si="7"/>
        <v>-</v>
      </c>
      <c r="G158" s="5" t="str">
        <f t="shared" si="8"/>
        <v>0</v>
      </c>
    </row>
    <row r="159" spans="1:7">
      <c r="A159" s="4">
        <v>24674493302</v>
      </c>
      <c r="B159" s="4" t="s">
        <v>551</v>
      </c>
      <c r="C159" s="1" t="e">
        <f ca="1">_xlfn.XLOOKUP(A159,'[1]Sellers Pro'!$C:$C,'[1]Sellers Pro'!$F:$F)</f>
        <v>#NAME?</v>
      </c>
      <c r="D159" s="5" t="e">
        <f t="shared" si="6"/>
        <v>#NAME?</v>
      </c>
      <c r="E159" s="5" t="str">
        <f>IFERROR(IF(VLOOKUP(A159,Base!AA:AA,1,0)&gt;0,"1","0"),"0")</f>
        <v>1</v>
      </c>
      <c r="F159" s="5" t="e">
        <f t="shared" si="7"/>
        <v>#NAME?</v>
      </c>
      <c r="G159" s="5" t="str">
        <f t="shared" si="8"/>
        <v>0</v>
      </c>
    </row>
    <row r="160" spans="1:7">
      <c r="A160" s="4">
        <v>597004571302</v>
      </c>
      <c r="B160" s="4" t="s">
        <v>2203</v>
      </c>
      <c r="C160" s="1" t="e">
        <f ca="1">_xlfn.XLOOKUP(A160,'[1]Sellers Pro'!$C:$C,'[1]Sellers Pro'!$F:$F)</f>
        <v>#NAME?</v>
      </c>
      <c r="D160" s="5" t="e">
        <f t="shared" si="6"/>
        <v>#NAME?</v>
      </c>
      <c r="E160" s="5" t="str">
        <f>IFERROR(IF(VLOOKUP(A160,Base!AA:AA,1,0)&gt;0,"1","0"),"0")</f>
        <v>1</v>
      </c>
      <c r="F160" s="5" t="e">
        <f t="shared" si="7"/>
        <v>#NAME?</v>
      </c>
      <c r="G160" s="5" t="str">
        <f t="shared" si="8"/>
        <v>0</v>
      </c>
    </row>
    <row r="161" spans="1:7">
      <c r="A161" s="4">
        <v>55427353102</v>
      </c>
      <c r="B161" s="4" t="s">
        <v>1972</v>
      </c>
      <c r="C161" s="1" t="s">
        <v>37</v>
      </c>
      <c r="D161" s="5" t="str">
        <f t="shared" si="6"/>
        <v>1</v>
      </c>
      <c r="E161" s="5" t="str">
        <f>IFERROR(IF(VLOOKUP(A161,Base!AA:AA,1,0)&gt;0,"1","0"),"0")</f>
        <v>1</v>
      </c>
      <c r="F161" s="5" t="str">
        <f t="shared" si="7"/>
        <v>0</v>
      </c>
      <c r="G161" s="5" t="str">
        <f t="shared" si="8"/>
        <v>0</v>
      </c>
    </row>
    <row r="162" spans="1:7">
      <c r="A162" s="4">
        <v>127737463602</v>
      </c>
      <c r="B162" s="4" t="s">
        <v>1066</v>
      </c>
      <c r="C162" s="1" t="e">
        <f ca="1">_xlfn.XLOOKUP(A162,'[1]Sellers Pro'!$C:$C,'[1]Sellers Pro'!$F:$F)</f>
        <v>#NAME?</v>
      </c>
      <c r="D162" s="5" t="e">
        <f t="shared" si="6"/>
        <v>#NAME?</v>
      </c>
      <c r="E162" s="5" t="str">
        <f>IFERROR(IF(VLOOKUP(A162,Base!AA:AA,1,0)&gt;0,"1","0"),"0")</f>
        <v>1</v>
      </c>
      <c r="F162" s="5" t="e">
        <f t="shared" si="7"/>
        <v>#NAME?</v>
      </c>
      <c r="G162" s="5" t="str">
        <f t="shared" si="8"/>
        <v>0</v>
      </c>
    </row>
    <row r="163" spans="1:7">
      <c r="A163" s="4">
        <v>430279805602</v>
      </c>
      <c r="B163" s="4" t="s">
        <v>1049</v>
      </c>
      <c r="C163" s="1" t="e">
        <f ca="1">_xlfn.XLOOKUP(A163,'[1]Sellers Pro'!$C:$C,'[1]Sellers Pro'!$F:$F)</f>
        <v>#NAME?</v>
      </c>
      <c r="D163" s="5" t="e">
        <f t="shared" si="6"/>
        <v>#NAME?</v>
      </c>
      <c r="E163" s="5" t="str">
        <f>IFERROR(IF(VLOOKUP(A163,Base!AA:AA,1,0)&gt;0,"1","0"),"0")</f>
        <v>1</v>
      </c>
      <c r="F163" s="5" t="e">
        <f t="shared" si="7"/>
        <v>#NAME?</v>
      </c>
      <c r="G163" s="5" t="str">
        <f t="shared" si="8"/>
        <v>0</v>
      </c>
    </row>
    <row r="164" spans="1:7">
      <c r="A164" s="4">
        <v>56875076002</v>
      </c>
      <c r="B164" s="4" t="s">
        <v>561</v>
      </c>
      <c r="C164" s="1"/>
      <c r="D164" s="5" t="str">
        <f t="shared" si="6"/>
        <v>0</v>
      </c>
      <c r="E164" s="5" t="str">
        <f>IFERROR(IF(VLOOKUP(A164,Base!AA:AA,1,0)&gt;0,"1","0"),"0")</f>
        <v>0</v>
      </c>
      <c r="F164" s="5" t="str">
        <f t="shared" si="7"/>
        <v>-</v>
      </c>
      <c r="G164" s="5" t="str">
        <f t="shared" si="8"/>
        <v>0</v>
      </c>
    </row>
    <row r="165" spans="1:7">
      <c r="A165" s="4">
        <v>21753463202</v>
      </c>
      <c r="B165" s="4" t="s">
        <v>2172</v>
      </c>
      <c r="C165" s="1" t="e">
        <f ca="1">_xlfn.XLOOKUP(A165,'[1]Sellers Pro'!$C:$C,'[1]Sellers Pro'!$F:$F)</f>
        <v>#NAME?</v>
      </c>
      <c r="D165" s="5" t="e">
        <f t="shared" si="6"/>
        <v>#NAME?</v>
      </c>
      <c r="E165" s="5" t="str">
        <f>IFERROR(IF(VLOOKUP(A165,Base!AA:AA,1,0)&gt;0,"1","0"),"0")</f>
        <v>1</v>
      </c>
      <c r="F165" s="5" t="e">
        <f t="shared" si="7"/>
        <v>#NAME?</v>
      </c>
      <c r="G165" s="5" t="str">
        <f t="shared" si="8"/>
        <v>0</v>
      </c>
    </row>
    <row r="166" spans="1:7">
      <c r="A166" s="4">
        <v>11613361102</v>
      </c>
      <c r="B166" s="4" t="s">
        <v>1880</v>
      </c>
      <c r="C166" s="1" t="e">
        <f ca="1">_xlfn.XLOOKUP(A166,'[1]Sellers Pro'!$C:$C,'[1]Sellers Pro'!$F:$F)</f>
        <v>#NAME?</v>
      </c>
      <c r="D166" s="5" t="e">
        <f t="shared" si="6"/>
        <v>#NAME?</v>
      </c>
      <c r="E166" s="5" t="str">
        <f>IFERROR(IF(VLOOKUP(A166,Base!AA:AA,1,0)&gt;0,"1","0"),"0")</f>
        <v>1</v>
      </c>
      <c r="F166" s="5" t="e">
        <f t="shared" si="7"/>
        <v>#NAME?</v>
      </c>
      <c r="G166" s="5" t="str">
        <f t="shared" si="8"/>
        <v>0</v>
      </c>
    </row>
    <row r="167" spans="1:7">
      <c r="A167" s="4">
        <v>530870446802</v>
      </c>
      <c r="B167" s="4" t="s">
        <v>1288</v>
      </c>
      <c r="C167" s="1" t="e">
        <f ca="1">_xlfn.XLOOKUP(A167,'[1]Sellers Pro'!$C:$C,'[1]Sellers Pro'!$F:$F)</f>
        <v>#NAME?</v>
      </c>
      <c r="D167" s="5" t="e">
        <f t="shared" si="6"/>
        <v>#NAME?</v>
      </c>
      <c r="E167" s="5" t="str">
        <f>IFERROR(IF(VLOOKUP(A167,Base!AA:AA,1,0)&gt;0,"1","0"),"0")</f>
        <v>1</v>
      </c>
      <c r="F167" s="5" t="e">
        <f t="shared" si="7"/>
        <v>#NAME?</v>
      </c>
      <c r="G167" s="5" t="str">
        <f t="shared" si="8"/>
        <v>0</v>
      </c>
    </row>
    <row r="168" spans="1:7">
      <c r="A168" s="4">
        <v>472181389102</v>
      </c>
      <c r="B168" s="4" t="s">
        <v>1914</v>
      </c>
      <c r="C168" s="1" t="e">
        <f ca="1">_xlfn.XLOOKUP(A168,'[1]Sellers Pro'!$C:$C,'[1]Sellers Pro'!$F:$F)</f>
        <v>#NAME?</v>
      </c>
      <c r="D168" s="5" t="e">
        <f t="shared" si="6"/>
        <v>#NAME?</v>
      </c>
      <c r="E168" s="5" t="str">
        <f>IFERROR(IF(VLOOKUP(A168,Base!AA:AA,1,0)&gt;0,"1","0"),"0")</f>
        <v>1</v>
      </c>
      <c r="F168" s="5" t="e">
        <f t="shared" si="7"/>
        <v>#NAME?</v>
      </c>
      <c r="G168" s="5" t="str">
        <f t="shared" si="8"/>
        <v>0</v>
      </c>
    </row>
    <row r="169" spans="1:7">
      <c r="A169" s="4">
        <v>508996769902</v>
      </c>
      <c r="B169" s="4" t="s">
        <v>2193</v>
      </c>
      <c r="C169" s="1" t="e">
        <f ca="1">_xlfn.XLOOKUP(A169,'[1]Sellers Pro'!$C:$C,'[1]Sellers Pro'!$F:$F)</f>
        <v>#NAME?</v>
      </c>
      <c r="D169" s="5" t="e">
        <f t="shared" si="6"/>
        <v>#NAME?</v>
      </c>
      <c r="E169" s="5" t="str">
        <f>IFERROR(IF(VLOOKUP(A169,Base!AA:AA,1,0)&gt;0,"1","0"),"0")</f>
        <v>1</v>
      </c>
      <c r="F169" s="5" t="e">
        <f t="shared" si="7"/>
        <v>#NAME?</v>
      </c>
      <c r="G169" s="5" t="str">
        <f t="shared" si="8"/>
        <v>0</v>
      </c>
    </row>
    <row r="170" spans="1:7">
      <c r="A170" s="4">
        <v>230755558102</v>
      </c>
      <c r="B170" s="4" t="s">
        <v>2297</v>
      </c>
      <c r="C170" s="1" t="e">
        <f ca="1">_xlfn.XLOOKUP(A170,'[1]Sellers Pro'!$C:$C,'[1]Sellers Pro'!$F:$F)</f>
        <v>#NAME?</v>
      </c>
      <c r="D170" s="5" t="e">
        <f t="shared" si="6"/>
        <v>#NAME?</v>
      </c>
      <c r="E170" s="5" t="str">
        <f>IFERROR(IF(VLOOKUP(A170,Base!AA:AA,1,0)&gt;0,"1","0"),"0")</f>
        <v>1</v>
      </c>
      <c r="F170" s="5" t="e">
        <f t="shared" si="7"/>
        <v>#NAME?</v>
      </c>
      <c r="G170" s="5" t="str">
        <f t="shared" si="8"/>
        <v>0</v>
      </c>
    </row>
    <row r="171" spans="1:7">
      <c r="A171" s="4">
        <v>316851710302</v>
      </c>
      <c r="B171" s="4" t="s">
        <v>1494</v>
      </c>
      <c r="C171" s="1"/>
      <c r="D171" s="5" t="str">
        <f t="shared" si="6"/>
        <v>0</v>
      </c>
      <c r="E171" s="5" t="str">
        <f>IFERROR(IF(VLOOKUP(A171,Base!AA:AA,1,0)&gt;0,"1","0"),"0")</f>
        <v>1</v>
      </c>
      <c r="F171" s="5" t="str">
        <f t="shared" si="7"/>
        <v>-</v>
      </c>
      <c r="G171" s="5" t="str">
        <f t="shared" si="8"/>
        <v>0</v>
      </c>
    </row>
    <row r="172" spans="1:7">
      <c r="A172" s="4">
        <v>449549597602</v>
      </c>
      <c r="B172" s="4" t="s">
        <v>1726</v>
      </c>
      <c r="C172" s="1" t="e">
        <f ca="1">_xlfn.XLOOKUP(A172,'[1]Sellers Pro'!$C:$C,'[1]Sellers Pro'!$F:$F)</f>
        <v>#NAME?</v>
      </c>
      <c r="D172" s="5" t="e">
        <f t="shared" si="6"/>
        <v>#NAME?</v>
      </c>
      <c r="E172" s="5" t="str">
        <f>IFERROR(IF(VLOOKUP(A172,Base!AA:AA,1,0)&gt;0,"1","0"),"0")</f>
        <v>1</v>
      </c>
      <c r="F172" s="5" t="e">
        <f t="shared" si="7"/>
        <v>#NAME?</v>
      </c>
      <c r="G172" s="5" t="str">
        <f t="shared" si="8"/>
        <v>0</v>
      </c>
    </row>
    <row r="173" spans="1:7">
      <c r="A173" s="4">
        <v>618906774602</v>
      </c>
      <c r="B173" s="4" t="s">
        <v>1430</v>
      </c>
      <c r="C173" s="1"/>
      <c r="D173" s="5" t="str">
        <f t="shared" si="6"/>
        <v>0</v>
      </c>
      <c r="E173" s="5" t="str">
        <f>IFERROR(IF(VLOOKUP(A173,Base!AA:AA,1,0)&gt;0,"1","0"),"0")</f>
        <v>0</v>
      </c>
      <c r="F173" s="5" t="str">
        <f t="shared" si="7"/>
        <v>-</v>
      </c>
      <c r="G173" s="5" t="str">
        <f t="shared" si="8"/>
        <v>0</v>
      </c>
    </row>
    <row r="174" spans="1:7">
      <c r="A174" s="4">
        <v>795323312102</v>
      </c>
      <c r="B174" s="4" t="s">
        <v>357</v>
      </c>
      <c r="C174" s="1" t="e">
        <f ca="1">_xlfn.XLOOKUP(A174,'[1]Sellers Pro'!$C:$C,'[1]Sellers Pro'!$F:$F)</f>
        <v>#NAME?</v>
      </c>
      <c r="D174" s="5" t="e">
        <f t="shared" si="6"/>
        <v>#NAME?</v>
      </c>
      <c r="E174" s="5" t="str">
        <f>IFERROR(IF(VLOOKUP(A174,Base!AA:AA,1,0)&gt;0,"1","0"),"0")</f>
        <v>1</v>
      </c>
      <c r="F174" s="5" t="e">
        <f t="shared" si="7"/>
        <v>#NAME?</v>
      </c>
      <c r="G174" s="5" t="str">
        <f t="shared" si="8"/>
        <v>0</v>
      </c>
    </row>
    <row r="175" spans="1:7">
      <c r="A175" s="4">
        <v>128664783802</v>
      </c>
      <c r="B175" s="4" t="s">
        <v>1216</v>
      </c>
      <c r="C175" s="1" t="e">
        <f ca="1">_xlfn.XLOOKUP(A175,'[1]Sellers Pro'!$C:$C,'[1]Sellers Pro'!$F:$F)</f>
        <v>#NAME?</v>
      </c>
      <c r="D175" s="5" t="e">
        <f t="shared" si="6"/>
        <v>#NAME?</v>
      </c>
      <c r="E175" s="5" t="str">
        <f>IFERROR(IF(VLOOKUP(A175,Base!AA:AA,1,0)&gt;0,"1","0"),"0")</f>
        <v>1</v>
      </c>
      <c r="F175" s="5" t="e">
        <f t="shared" si="7"/>
        <v>#NAME?</v>
      </c>
      <c r="G175" s="5" t="str">
        <f t="shared" si="8"/>
        <v>0</v>
      </c>
    </row>
    <row r="176" spans="1:7">
      <c r="A176" s="4">
        <v>361885515402</v>
      </c>
      <c r="B176" s="4" t="s">
        <v>1603</v>
      </c>
      <c r="C176" s="1" t="e">
        <f ca="1">_xlfn.XLOOKUP(A176,'[1]Sellers Pro'!$C:$C,'[1]Sellers Pro'!$F:$F)</f>
        <v>#NAME?</v>
      </c>
      <c r="D176" s="5" t="e">
        <f t="shared" si="6"/>
        <v>#NAME?</v>
      </c>
      <c r="E176" s="5" t="str">
        <f>IFERROR(IF(VLOOKUP(A176,Base!AA:AA,1,0)&gt;0,"1","0"),"0")</f>
        <v>1</v>
      </c>
      <c r="F176" s="5" t="e">
        <f t="shared" si="7"/>
        <v>#NAME?</v>
      </c>
      <c r="G176" s="5" t="str">
        <f t="shared" si="8"/>
        <v>0</v>
      </c>
    </row>
    <row r="177" spans="1:7">
      <c r="A177" s="4">
        <v>322287200702</v>
      </c>
      <c r="B177" s="4" t="s">
        <v>2253</v>
      </c>
      <c r="C177" s="1" t="e">
        <f ca="1">_xlfn.XLOOKUP(A177,'[1]Sellers Pro'!$C:$C,'[1]Sellers Pro'!$F:$F)</f>
        <v>#NAME?</v>
      </c>
      <c r="D177" s="5" t="e">
        <f t="shared" si="6"/>
        <v>#NAME?</v>
      </c>
      <c r="E177" s="5" t="str">
        <f>IFERROR(IF(VLOOKUP(A177,Base!AA:AA,1,0)&gt;0,"1","0"),"0")</f>
        <v>0</v>
      </c>
      <c r="F177" s="5" t="e">
        <f t="shared" si="7"/>
        <v>#NAME?</v>
      </c>
      <c r="G177" s="5" t="str">
        <f t="shared" si="8"/>
        <v>0</v>
      </c>
    </row>
    <row r="178" spans="1:7">
      <c r="A178" s="4">
        <v>160165983902</v>
      </c>
      <c r="B178" s="4" t="s">
        <v>2221</v>
      </c>
      <c r="C178" s="1" t="e">
        <f ca="1">_xlfn.XLOOKUP(A178,'[1]Sellers Pro'!$C:$C,'[1]Sellers Pro'!$F:$F)</f>
        <v>#NAME?</v>
      </c>
      <c r="D178" s="5" t="e">
        <f t="shared" si="6"/>
        <v>#NAME?</v>
      </c>
      <c r="E178" s="5" t="str">
        <f>IFERROR(IF(VLOOKUP(A178,Base!AA:AA,1,0)&gt;0,"1","0"),"0")</f>
        <v>1</v>
      </c>
      <c r="F178" s="5" t="e">
        <f t="shared" si="7"/>
        <v>#NAME?</v>
      </c>
      <c r="G178" s="5" t="str">
        <f t="shared" si="8"/>
        <v>0</v>
      </c>
    </row>
    <row r="179" spans="1:7">
      <c r="A179" s="4">
        <v>170004727002</v>
      </c>
      <c r="B179" s="4" t="s">
        <v>2180</v>
      </c>
      <c r="C179" s="1" t="e">
        <f ca="1">_xlfn.XLOOKUP(A179,'[1]Sellers Pro'!$C:$C,'[1]Sellers Pro'!$F:$F)</f>
        <v>#NAME?</v>
      </c>
      <c r="D179" s="5" t="e">
        <f t="shared" si="6"/>
        <v>#NAME?</v>
      </c>
      <c r="E179" s="5" t="str">
        <f>IFERROR(IF(VLOOKUP(A179,Base!AA:AA,1,0)&gt;0,"1","0"),"0")</f>
        <v>1</v>
      </c>
      <c r="F179" s="5" t="e">
        <f t="shared" si="7"/>
        <v>#NAME?</v>
      </c>
      <c r="G179" s="5" t="str">
        <f t="shared" si="8"/>
        <v>0</v>
      </c>
    </row>
    <row r="180" spans="1:7">
      <c r="A180" s="4">
        <v>365155485602</v>
      </c>
      <c r="B180" s="4" t="s">
        <v>1931</v>
      </c>
      <c r="C180" s="1" t="e">
        <f ca="1">_xlfn.XLOOKUP(A180,'[1]Sellers Pro'!$C:$C,'[1]Sellers Pro'!$F:$F)</f>
        <v>#NAME?</v>
      </c>
      <c r="D180" s="5" t="e">
        <f t="shared" si="6"/>
        <v>#NAME?</v>
      </c>
      <c r="E180" s="5" t="str">
        <f>IFERROR(IF(VLOOKUP(A180,Base!AA:AA,1,0)&gt;0,"1","0"),"0")</f>
        <v>1</v>
      </c>
      <c r="F180" s="5" t="e">
        <f t="shared" si="7"/>
        <v>#NAME?</v>
      </c>
      <c r="G180" s="5" t="str">
        <f t="shared" si="8"/>
        <v>0</v>
      </c>
    </row>
    <row r="181" spans="1:7">
      <c r="A181" s="4">
        <v>118772541402</v>
      </c>
      <c r="B181" s="4" t="s">
        <v>2085</v>
      </c>
      <c r="C181" s="1"/>
      <c r="D181" s="5" t="str">
        <f t="shared" si="6"/>
        <v>0</v>
      </c>
      <c r="E181" s="5" t="str">
        <f>IFERROR(IF(VLOOKUP(A181,Base!AA:AA,1,0)&gt;0,"1","0"),"0")</f>
        <v>0</v>
      </c>
      <c r="F181" s="5" t="str">
        <f t="shared" si="7"/>
        <v>-</v>
      </c>
      <c r="G181" s="5" t="str">
        <f t="shared" si="8"/>
        <v>0</v>
      </c>
    </row>
    <row r="182" spans="1:7">
      <c r="A182" s="4">
        <v>414165418502</v>
      </c>
      <c r="B182" s="4" t="s">
        <v>1569</v>
      </c>
      <c r="C182" s="1" t="e">
        <f ca="1">_xlfn.XLOOKUP(A182,'[1]Sellers Pro'!$C:$C,'[1]Sellers Pro'!$F:$F)</f>
        <v>#NAME?</v>
      </c>
      <c r="D182" s="5" t="e">
        <f t="shared" si="6"/>
        <v>#NAME?</v>
      </c>
      <c r="E182" s="5" t="str">
        <f>IFERROR(IF(VLOOKUP(A182,Base!AA:AA,1,0)&gt;0,"1","0"),"0")</f>
        <v>1</v>
      </c>
      <c r="F182" s="5" t="e">
        <f t="shared" si="7"/>
        <v>#NAME?</v>
      </c>
      <c r="G182" s="5" t="str">
        <f t="shared" si="8"/>
        <v>0</v>
      </c>
    </row>
    <row r="183" spans="1:7">
      <c r="A183" s="4">
        <v>16116314302</v>
      </c>
      <c r="B183" s="4" t="s">
        <v>1654</v>
      </c>
      <c r="C183" s="1" t="e">
        <f ca="1">_xlfn.XLOOKUP(A183,'[1]Sellers Pro'!$C:$C,'[1]Sellers Pro'!$F:$F)</f>
        <v>#NAME?</v>
      </c>
      <c r="D183" s="5" t="e">
        <f t="shared" si="6"/>
        <v>#NAME?</v>
      </c>
      <c r="E183" s="5" t="str">
        <f>IFERROR(IF(VLOOKUP(A183,Base!AA:AA,1,0)&gt;0,"1","0"),"0")</f>
        <v>1</v>
      </c>
      <c r="F183" s="5" t="e">
        <f t="shared" si="7"/>
        <v>#NAME?</v>
      </c>
      <c r="G183" s="5" t="str">
        <f t="shared" si="8"/>
        <v>0</v>
      </c>
    </row>
    <row r="184" spans="1:7">
      <c r="A184" s="4">
        <v>56744200802</v>
      </c>
      <c r="B184" s="4" t="s">
        <v>461</v>
      </c>
      <c r="C184" s="1" t="e">
        <f ca="1">_xlfn.XLOOKUP(A184,'[1]Sellers Pro'!$C:$C,'[1]Sellers Pro'!$F:$F)</f>
        <v>#NAME?</v>
      </c>
      <c r="D184" s="5" t="e">
        <f t="shared" si="6"/>
        <v>#NAME?</v>
      </c>
      <c r="E184" s="5" t="str">
        <f>IFERROR(IF(VLOOKUP(A184,Base!AA:AA,1,0)&gt;0,"1","0"),"0")</f>
        <v>0</v>
      </c>
      <c r="F184" s="5" t="e">
        <f t="shared" si="7"/>
        <v>#NAME?</v>
      </c>
      <c r="G184" s="5" t="str">
        <f t="shared" si="8"/>
        <v>0</v>
      </c>
    </row>
    <row r="185" spans="1:7">
      <c r="A185" s="4">
        <v>326312039202</v>
      </c>
      <c r="B185" s="4" t="s">
        <v>2298</v>
      </c>
      <c r="C185" s="1"/>
      <c r="D185" s="5" t="str">
        <f t="shared" si="6"/>
        <v>0</v>
      </c>
      <c r="E185" s="5" t="str">
        <f>IFERROR(IF(VLOOKUP(A185,Base!AA:AA,1,0)&gt;0,"1","0"),"0")</f>
        <v>0</v>
      </c>
      <c r="F185" s="5" t="str">
        <f t="shared" si="7"/>
        <v>-</v>
      </c>
      <c r="G185" s="5" t="str">
        <f t="shared" si="8"/>
        <v>0</v>
      </c>
    </row>
    <row r="186" spans="1:7">
      <c r="A186" s="4">
        <v>282538163102</v>
      </c>
      <c r="B186" s="4" t="s">
        <v>2154</v>
      </c>
      <c r="C186" s="1" t="e">
        <f ca="1">_xlfn.XLOOKUP(A186,'[1]Sellers Pro'!$C:$C,'[1]Sellers Pro'!$F:$F)</f>
        <v>#NAME?</v>
      </c>
      <c r="D186" s="5" t="e">
        <f t="shared" si="6"/>
        <v>#NAME?</v>
      </c>
      <c r="E186" s="5" t="str">
        <f>IFERROR(IF(VLOOKUP(A186,Base!AA:AA,1,0)&gt;0,"1","0"),"0")</f>
        <v>1</v>
      </c>
      <c r="F186" s="5" t="e">
        <f t="shared" si="7"/>
        <v>#NAME?</v>
      </c>
      <c r="G186" s="5" t="str">
        <f t="shared" si="8"/>
        <v>0</v>
      </c>
    </row>
    <row r="187" spans="1:7">
      <c r="A187" s="4">
        <v>375080537802</v>
      </c>
      <c r="B187" s="4" t="s">
        <v>2299</v>
      </c>
      <c r="C187" s="1" t="e">
        <f ca="1">_xlfn.XLOOKUP(A187,'[1]Sellers Pro'!$C:$C,'[1]Sellers Pro'!$F:$F)</f>
        <v>#NAME?</v>
      </c>
      <c r="D187" s="5" t="e">
        <f t="shared" si="6"/>
        <v>#NAME?</v>
      </c>
      <c r="E187" s="5" t="str">
        <f>IFERROR(IF(VLOOKUP(A187,Base!AA:AA,1,0)&gt;0,"1","0"),"0")</f>
        <v>1</v>
      </c>
      <c r="F187" s="5" t="e">
        <f t="shared" si="7"/>
        <v>#NAME?</v>
      </c>
      <c r="G187" s="5" t="str">
        <f t="shared" si="8"/>
        <v>0</v>
      </c>
    </row>
    <row r="188" spans="1:7">
      <c r="A188" s="4">
        <v>158701479502</v>
      </c>
      <c r="B188" s="4" t="s">
        <v>2300</v>
      </c>
      <c r="C188" s="1"/>
      <c r="D188" s="5" t="str">
        <f t="shared" si="6"/>
        <v>0</v>
      </c>
      <c r="E188" s="5" t="str">
        <f>IFERROR(IF(VLOOKUP(A188,Base!AA:AA,1,0)&gt;0,"1","0"),"0")</f>
        <v>0</v>
      </c>
      <c r="F188" s="5" t="str">
        <f t="shared" si="7"/>
        <v>-</v>
      </c>
      <c r="G188" s="5" t="str">
        <f t="shared" si="8"/>
        <v>0</v>
      </c>
    </row>
    <row r="189" spans="1:7">
      <c r="A189" s="4">
        <v>142720086902</v>
      </c>
      <c r="B189" s="4" t="s">
        <v>2301</v>
      </c>
      <c r="C189" s="1"/>
      <c r="D189" s="5" t="str">
        <f t="shared" si="6"/>
        <v>0</v>
      </c>
      <c r="E189" s="5" t="str">
        <f>IFERROR(IF(VLOOKUP(A189,Base!AA:AA,1,0)&gt;0,"1","0"),"0")</f>
        <v>0</v>
      </c>
      <c r="F189" s="5" t="str">
        <f t="shared" si="7"/>
        <v>-</v>
      </c>
      <c r="G189" s="5" t="str">
        <f t="shared" si="8"/>
        <v>0</v>
      </c>
    </row>
    <row r="190" spans="1:7">
      <c r="A190" s="4">
        <v>106892707902</v>
      </c>
      <c r="B190" s="4" t="s">
        <v>2302</v>
      </c>
      <c r="C190" s="1"/>
      <c r="D190" s="5" t="str">
        <f t="shared" si="6"/>
        <v>0</v>
      </c>
      <c r="E190" s="5" t="str">
        <f>IFERROR(IF(VLOOKUP(A190,Base!AA:AA,1,0)&gt;0,"1","0"),"0")</f>
        <v>0</v>
      </c>
      <c r="F190" s="5" t="str">
        <f t="shared" si="7"/>
        <v>-</v>
      </c>
      <c r="G190" s="5" t="str">
        <f t="shared" si="8"/>
        <v>0</v>
      </c>
    </row>
    <row r="191" spans="1:7">
      <c r="A191" s="4">
        <v>164556184602</v>
      </c>
      <c r="B191" s="4" t="s">
        <v>2303</v>
      </c>
      <c r="C191" s="1"/>
      <c r="D191" s="5" t="str">
        <f t="shared" si="6"/>
        <v>0</v>
      </c>
      <c r="E191" s="5" t="str">
        <f>IFERROR(IF(VLOOKUP(A191,Base!AA:AA,1,0)&gt;0,"1","0"),"0")</f>
        <v>0</v>
      </c>
      <c r="F191" s="5" t="str">
        <f t="shared" si="7"/>
        <v>-</v>
      </c>
      <c r="G191" s="5" t="str">
        <f t="shared" si="8"/>
        <v>0</v>
      </c>
    </row>
    <row r="192" spans="1:7">
      <c r="A192" s="4">
        <v>62421319902</v>
      </c>
      <c r="B192" s="4" t="s">
        <v>1944</v>
      </c>
      <c r="C192" s="1"/>
      <c r="D192" s="5" t="str">
        <f t="shared" si="6"/>
        <v>0</v>
      </c>
      <c r="E192" s="5" t="str">
        <f>IFERROR(IF(VLOOKUP(A192,Base!AA:AA,1,0)&gt;0,"1","0"),"0")</f>
        <v>0</v>
      </c>
      <c r="F192" s="5" t="str">
        <f t="shared" si="7"/>
        <v>-</v>
      </c>
      <c r="G192" s="5" t="str">
        <f t="shared" si="8"/>
        <v>0</v>
      </c>
    </row>
    <row r="193" spans="1:7">
      <c r="A193" s="4">
        <v>44765160202</v>
      </c>
      <c r="B193" s="4" t="s">
        <v>2304</v>
      </c>
      <c r="C193" s="1"/>
      <c r="D193" s="5" t="str">
        <f t="shared" si="6"/>
        <v>0</v>
      </c>
      <c r="E193" s="5" t="str">
        <f>IFERROR(IF(VLOOKUP(A193,Base!AA:AA,1,0)&gt;0,"1","0"),"0")</f>
        <v>0</v>
      </c>
      <c r="F193" s="5" t="str">
        <f t="shared" si="7"/>
        <v>-</v>
      </c>
      <c r="G193" s="5" t="str">
        <f t="shared" si="8"/>
        <v>0</v>
      </c>
    </row>
    <row r="194" spans="1:7">
      <c r="A194" s="4">
        <v>318109251502</v>
      </c>
      <c r="B194" s="4" t="s">
        <v>2305</v>
      </c>
      <c r="C194" s="1"/>
      <c r="D194" s="5" t="str">
        <f t="shared" si="6"/>
        <v>0</v>
      </c>
      <c r="E194" s="5" t="str">
        <f>IFERROR(IF(VLOOKUP(A194,Base!AA:AA,1,0)&gt;0,"1","0"),"0")</f>
        <v>0</v>
      </c>
      <c r="F194" s="5" t="str">
        <f t="shared" si="7"/>
        <v>-</v>
      </c>
      <c r="G194" s="5" t="str">
        <f t="shared" si="8"/>
        <v>0</v>
      </c>
    </row>
    <row r="195" spans="1:7">
      <c r="A195" s="4">
        <v>721128628302</v>
      </c>
      <c r="B195" s="4" t="s">
        <v>1362</v>
      </c>
      <c r="C195" s="1"/>
      <c r="D195" s="5" t="str">
        <f t="shared" si="6"/>
        <v>0</v>
      </c>
      <c r="E195" s="5" t="str">
        <f>IFERROR(IF(VLOOKUP(A195,Base!AA:AA,1,0)&gt;0,"1","0"),"0")</f>
        <v>0</v>
      </c>
      <c r="F195" s="5" t="str">
        <f t="shared" si="7"/>
        <v>-</v>
      </c>
      <c r="G195" s="5" t="str">
        <f t="shared" si="8"/>
        <v>0</v>
      </c>
    </row>
    <row r="196" spans="1:7">
      <c r="A196" s="4">
        <v>538911850502</v>
      </c>
      <c r="B196" s="4" t="s">
        <v>2306</v>
      </c>
      <c r="C196" s="1" t="e">
        <f ca="1">_xlfn.XLOOKUP(A196,'[1]Sellers Pro'!$C:$C,'[1]Sellers Pro'!$F:$F)</f>
        <v>#NAME?</v>
      </c>
      <c r="D196" s="5" t="e">
        <f t="shared" ref="D196:D204" si="9">IF(C196="","0","1")</f>
        <v>#NAME?</v>
      </c>
      <c r="E196" s="5" t="str">
        <f>IFERROR(IF(VLOOKUP(A196,Base!AA:AA,1,0)&gt;0,"1","0"),"0")</f>
        <v>1</v>
      </c>
      <c r="F196" s="5" t="e">
        <f t="shared" ref="F196:F204" si="10">IF(C196="","-",IF(OR(BC196="Muito satisfeito",BC196="Satisfeito"),"1","0"))</f>
        <v>#NAME?</v>
      </c>
      <c r="G196" s="5" t="str">
        <f t="shared" ref="G196:G204" si="11">IF(BC196="","0","1")</f>
        <v>0</v>
      </c>
    </row>
    <row r="197" spans="1:7">
      <c r="A197" s="4">
        <v>256525648402</v>
      </c>
      <c r="B197" s="4" t="s">
        <v>2307</v>
      </c>
      <c r="C197" s="1" t="e">
        <f ca="1">_xlfn.XLOOKUP(A197,'[1]Sellers Pro'!$C:$C,'[1]Sellers Pro'!$F:$F)</f>
        <v>#NAME?</v>
      </c>
      <c r="D197" s="5" t="e">
        <f t="shared" si="9"/>
        <v>#NAME?</v>
      </c>
      <c r="E197" s="5" t="str">
        <f>IFERROR(IF(VLOOKUP(A197,Base!AA:AA,1,0)&gt;0,"1","0"),"0")</f>
        <v>1</v>
      </c>
      <c r="F197" s="5" t="e">
        <f t="shared" si="10"/>
        <v>#NAME?</v>
      </c>
      <c r="G197" s="5" t="str">
        <f t="shared" si="11"/>
        <v>0</v>
      </c>
    </row>
    <row r="198" spans="1:7">
      <c r="A198" s="4">
        <v>124090551902</v>
      </c>
      <c r="B198" s="4" t="s">
        <v>1956</v>
      </c>
      <c r="C198" s="1" t="e">
        <f ca="1">_xlfn.XLOOKUP(A198,'[1]Sellers Pro'!$C:$C,'[1]Sellers Pro'!$F:$F)</f>
        <v>#NAME?</v>
      </c>
      <c r="D198" s="5" t="e">
        <f t="shared" si="9"/>
        <v>#NAME?</v>
      </c>
      <c r="E198" s="5" t="str">
        <f>IFERROR(IF(VLOOKUP(A198,Base!AA:AA,1,0)&gt;0,"1","0"),"0")</f>
        <v>1</v>
      </c>
      <c r="F198" s="5" t="e">
        <f t="shared" si="10"/>
        <v>#NAME?</v>
      </c>
      <c r="G198" s="5" t="str">
        <f t="shared" si="11"/>
        <v>0</v>
      </c>
    </row>
    <row r="199" spans="1:7">
      <c r="A199" s="4">
        <v>26322058702</v>
      </c>
      <c r="B199" s="4" t="s">
        <v>1559</v>
      </c>
      <c r="C199" s="1" t="e">
        <f ca="1">_xlfn.XLOOKUP(A199,'[1]Sellers Pro'!$C:$C,'[1]Sellers Pro'!$F:$F)</f>
        <v>#NAME?</v>
      </c>
      <c r="D199" s="5" t="e">
        <f t="shared" si="9"/>
        <v>#NAME?</v>
      </c>
      <c r="E199" s="5" t="str">
        <f>IFERROR(IF(VLOOKUP(A199,Base!AA:AA,1,0)&gt;0,"1","0"),"0")</f>
        <v>0</v>
      </c>
      <c r="F199" s="5" t="e">
        <f t="shared" si="10"/>
        <v>#NAME?</v>
      </c>
      <c r="G199" s="5" t="str">
        <f t="shared" si="11"/>
        <v>0</v>
      </c>
    </row>
    <row r="200" spans="1:7">
      <c r="A200" s="4">
        <v>844422866302</v>
      </c>
      <c r="B200" s="4" t="s">
        <v>2308</v>
      </c>
      <c r="C200" s="1" t="e">
        <f ca="1">_xlfn.XLOOKUP(A200,'[1]Sellers Pro'!$C:$C,'[1]Sellers Pro'!$F:$F)</f>
        <v>#NAME?</v>
      </c>
      <c r="D200" s="5" t="e">
        <f t="shared" si="9"/>
        <v>#NAME?</v>
      </c>
      <c r="E200" s="5" t="str">
        <f>IFERROR(IF(VLOOKUP(A200,Base!AA:AA,1,0)&gt;0,"1","0"),"0")</f>
        <v>1</v>
      </c>
      <c r="F200" s="5" t="e">
        <f t="shared" si="10"/>
        <v>#NAME?</v>
      </c>
      <c r="G200" s="5" t="str">
        <f t="shared" si="11"/>
        <v>0</v>
      </c>
    </row>
    <row r="201" spans="1:7">
      <c r="A201" s="4">
        <v>281658231902</v>
      </c>
      <c r="B201" s="4" t="s">
        <v>2309</v>
      </c>
      <c r="C201" s="1" t="e">
        <f ca="1">_xlfn.XLOOKUP(A201,'[1]Sellers Pro'!$C:$C,'[1]Sellers Pro'!$F:$F)</f>
        <v>#NAME?</v>
      </c>
      <c r="D201" s="5" t="e">
        <f t="shared" si="9"/>
        <v>#NAME?</v>
      </c>
      <c r="E201" s="5" t="str">
        <f>IFERROR(IF(VLOOKUP(A201,Base!AA:AA,1,0)&gt;0,"1","0"),"0")</f>
        <v>0</v>
      </c>
      <c r="F201" s="5" t="e">
        <f t="shared" si="10"/>
        <v>#NAME?</v>
      </c>
      <c r="G201" s="5" t="str">
        <f t="shared" si="11"/>
        <v>0</v>
      </c>
    </row>
    <row r="202" spans="1:7">
      <c r="A202" s="4">
        <v>838524899602</v>
      </c>
      <c r="B202" s="4" t="s">
        <v>2310</v>
      </c>
      <c r="C202" s="1" t="e">
        <f ca="1">_xlfn.XLOOKUP(A202,'[1]Sellers Pro'!$C:$C,'[1]Sellers Pro'!$F:$F)</f>
        <v>#NAME?</v>
      </c>
      <c r="D202" s="5" t="e">
        <f t="shared" si="9"/>
        <v>#NAME?</v>
      </c>
      <c r="E202" s="5" t="str">
        <f>IFERROR(IF(VLOOKUP(A202,Base!AA:AA,1,0)&gt;0,"1","0"),"0")</f>
        <v>0</v>
      </c>
      <c r="F202" s="5" t="e">
        <f t="shared" si="10"/>
        <v>#NAME?</v>
      </c>
      <c r="G202" s="5" t="str">
        <f t="shared" si="11"/>
        <v>0</v>
      </c>
    </row>
    <row r="203" spans="1:7">
      <c r="A203" s="4">
        <v>490336347502</v>
      </c>
      <c r="B203" s="4" t="s">
        <v>2311</v>
      </c>
      <c r="C203" s="1" t="e">
        <f ca="1">_xlfn.XLOOKUP(A203,'[1]Sellers Pro'!$C:$C,'[1]Sellers Pro'!$F:$F)</f>
        <v>#NAME?</v>
      </c>
      <c r="D203" s="5" t="e">
        <f t="shared" si="9"/>
        <v>#NAME?</v>
      </c>
      <c r="E203" s="5" t="str">
        <f>IFERROR(IF(VLOOKUP(A203,Base!AA:AA,1,0)&gt;0,"1","0"),"0")</f>
        <v>0</v>
      </c>
      <c r="F203" s="5" t="e">
        <f t="shared" si="10"/>
        <v>#NAME?</v>
      </c>
      <c r="G203" s="5" t="str">
        <f t="shared" si="11"/>
        <v>0</v>
      </c>
    </row>
    <row r="204" spans="1:7">
      <c r="A204" s="4">
        <v>1026263719202</v>
      </c>
      <c r="B204" s="4" t="s">
        <v>616</v>
      </c>
      <c r="C204" s="1" t="e">
        <f ca="1">_xlfn.XLOOKUP(A204,'[1]Sellers Pro'!$C:$C,'[1]Sellers Pro'!$F:$F)</f>
        <v>#NAME?</v>
      </c>
      <c r="D204" s="5" t="e">
        <f t="shared" si="9"/>
        <v>#NAME?</v>
      </c>
      <c r="E204" s="5" t="str">
        <f>IFERROR(IF(VLOOKUP(A204,Base!AA:AA,1,0)&gt;0,"1","0"),"0")</f>
        <v>1</v>
      </c>
      <c r="F204" s="5" t="e">
        <f t="shared" si="10"/>
        <v>#NAME?</v>
      </c>
      <c r="G204" s="5" t="str">
        <f t="shared" si="11"/>
        <v>0</v>
      </c>
    </row>
    <row r="210" spans="6:6">
      <c r="F210" s="29"/>
    </row>
  </sheetData>
  <conditionalFormatting sqref="A1:A204">
    <cfRule type="duplicateValues" dxfId="5" priority="1"/>
  </conditionalFormatting>
  <conditionalFormatting sqref="A3:A199">
    <cfRule type="duplicateValues" dxfId="4" priority="2"/>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O210"/>
  <sheetViews>
    <sheetView workbookViewId="0">
      <selection activeCell="H1" sqref="H1:BP184"/>
    </sheetView>
  </sheetViews>
  <sheetFormatPr defaultRowHeight="14.45"/>
  <cols>
    <col min="1" max="1" width="14.875" customWidth="1"/>
    <col min="2" max="2" width="28" bestFit="1" customWidth="1"/>
    <col min="3" max="3" width="10.125" customWidth="1"/>
    <col min="5" max="5" width="12.875" bestFit="1" customWidth="1"/>
    <col min="6" max="6" width="19.875" bestFit="1" customWidth="1"/>
    <col min="7" max="7" width="17.5" customWidth="1"/>
    <col min="8" max="9" width="14.125" bestFit="1" customWidth="1"/>
    <col min="15" max="15" width="15.125" bestFit="1" customWidth="1"/>
  </cols>
  <sheetData>
    <row r="1" spans="1:67">
      <c r="A1" s="4"/>
      <c r="B1" s="4"/>
      <c r="C1" s="4"/>
      <c r="D1" s="5"/>
      <c r="E1" s="5"/>
      <c r="F1" s="5"/>
      <c r="G1" s="5"/>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row>
    <row r="2" spans="1:67">
      <c r="A2" s="7" t="s">
        <v>104</v>
      </c>
      <c r="B2" s="7" t="s">
        <v>105</v>
      </c>
      <c r="C2" s="7" t="s">
        <v>3</v>
      </c>
      <c r="D2" s="8" t="s">
        <v>106</v>
      </c>
      <c r="E2" s="8" t="s">
        <v>107</v>
      </c>
      <c r="F2" s="8" t="s">
        <v>108</v>
      </c>
      <c r="G2" s="8" t="s">
        <v>109</v>
      </c>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row>
    <row r="3" spans="1:67">
      <c r="A3" s="4">
        <v>247227556102</v>
      </c>
      <c r="B3" s="4" t="s">
        <v>270</v>
      </c>
      <c r="C3" s="1" t="e">
        <f ca="1">_xlfn.XLOOKUP(A3,'[1]Sellers Pro'!$C:$C,'[1]Sellers Pro'!$F:$F)</f>
        <v>#NAME?</v>
      </c>
      <c r="D3" s="5" t="e">
        <f>IF(C3="","0","1")</f>
        <v>#NAME?</v>
      </c>
      <c r="E3" s="5" t="str">
        <f>IFERROR(IF(VLOOKUP(A3,Base!AA:AA,1,0)&gt;0,"1","0"),"0")</f>
        <v>1</v>
      </c>
      <c r="F3" s="5" t="e">
        <f>IF(C3="","-",IF(OR(BC3="Muito satisfeito",BC3="Satisfeito"),"1","0"))</f>
        <v>#NAME?</v>
      </c>
      <c r="G3" s="5" t="str">
        <f>IF(BC3="","0","1")</f>
        <v>0</v>
      </c>
      <c r="H3" s="1"/>
      <c r="I3" s="1"/>
      <c r="J3" s="9"/>
      <c r="K3" s="9"/>
      <c r="N3" s="9"/>
      <c r="O3" s="1"/>
      <c r="P3" s="9"/>
      <c r="Q3" s="9"/>
      <c r="R3" s="9"/>
      <c r="S3" s="9"/>
      <c r="T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N3" s="9"/>
      <c r="BO3" s="9"/>
    </row>
    <row r="4" spans="1:67">
      <c r="A4" s="4">
        <v>656484931002</v>
      </c>
      <c r="B4" s="4" t="s">
        <v>2276</v>
      </c>
      <c r="C4" s="1"/>
      <c r="D4" s="5" t="str">
        <f t="shared" ref="D4:D67" si="0">IF(C4="","0","1")</f>
        <v>0</v>
      </c>
      <c r="E4" s="5">
        <v>0</v>
      </c>
      <c r="F4" s="5" t="str">
        <f t="shared" ref="F4:F67" si="1">IF(C4="","-",IF(OR(BC4="Muito satisfeito",BC4="Satisfeito"),"1","0"))</f>
        <v>-</v>
      </c>
      <c r="G4" s="5" t="str">
        <f t="shared" ref="G4:G67" si="2">IF(BC4="","0","1")</f>
        <v>0</v>
      </c>
      <c r="H4" s="1"/>
      <c r="I4" s="1"/>
      <c r="J4" s="9"/>
      <c r="K4" s="9"/>
      <c r="N4" s="9"/>
      <c r="O4" s="1"/>
      <c r="P4" s="9"/>
      <c r="Q4" s="9"/>
      <c r="R4" s="9"/>
      <c r="S4" s="9"/>
      <c r="T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N4" s="9"/>
      <c r="BO4" s="9"/>
    </row>
    <row r="5" spans="1:67">
      <c r="A5" s="4">
        <v>577689852902</v>
      </c>
      <c r="B5" s="4" t="s">
        <v>2277</v>
      </c>
      <c r="C5" s="1"/>
      <c r="D5" s="5" t="str">
        <f t="shared" si="0"/>
        <v>0</v>
      </c>
      <c r="E5" s="5" t="str">
        <f>IFERROR(IF(VLOOKUP(A5,Base!AA:AA,1,0)&gt;0,"1","0"),"0")</f>
        <v>0</v>
      </c>
      <c r="F5" s="5" t="str">
        <f t="shared" si="1"/>
        <v>-</v>
      </c>
      <c r="G5" s="5" t="str">
        <f t="shared" si="2"/>
        <v>0</v>
      </c>
      <c r="H5" s="1"/>
      <c r="I5" s="1"/>
      <c r="J5" s="9"/>
      <c r="K5" s="9"/>
      <c r="N5" s="9"/>
      <c r="O5" s="1"/>
      <c r="P5" s="9"/>
      <c r="Q5" s="9"/>
      <c r="R5" s="9"/>
      <c r="S5" s="9"/>
      <c r="T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N5" s="9"/>
      <c r="BO5" s="9"/>
    </row>
    <row r="6" spans="1:67">
      <c r="A6" s="4">
        <v>45610153402</v>
      </c>
      <c r="B6" s="4" t="s">
        <v>2278</v>
      </c>
      <c r="C6" s="1"/>
      <c r="D6" s="5" t="str">
        <f t="shared" si="0"/>
        <v>0</v>
      </c>
      <c r="E6" s="5" t="str">
        <f>IFERROR(IF(VLOOKUP(A6,Base!AA:AA,1,0)&gt;0,"1","0"),"0")</f>
        <v>0</v>
      </c>
      <c r="F6" s="5" t="str">
        <f t="shared" si="1"/>
        <v>-</v>
      </c>
      <c r="G6" s="5" t="str">
        <f t="shared" si="2"/>
        <v>0</v>
      </c>
      <c r="H6" s="1"/>
      <c r="I6" s="1"/>
      <c r="J6" s="9"/>
      <c r="K6" s="9"/>
      <c r="N6" s="9"/>
      <c r="O6" s="1"/>
      <c r="P6" s="9"/>
      <c r="Q6" s="9"/>
      <c r="R6" s="9"/>
      <c r="S6" s="9"/>
      <c r="T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N6" s="9"/>
      <c r="BO6" s="9"/>
    </row>
    <row r="7" spans="1:67">
      <c r="A7" s="4">
        <v>69746651</v>
      </c>
      <c r="B7" s="4" t="s">
        <v>944</v>
      </c>
      <c r="C7" s="1" t="e">
        <f ca="1">_xlfn.XLOOKUP(A7,'[1]Sellers Pro'!$C:$C,'[1]Sellers Pro'!$F:$F)</f>
        <v>#NAME?</v>
      </c>
      <c r="D7" s="5" t="e">
        <f t="shared" si="0"/>
        <v>#NAME?</v>
      </c>
      <c r="E7" s="5" t="str">
        <f>IFERROR(IF(VLOOKUP(A7,Base!AA:AA,1,0)&gt;0,"1","0"),"0")</f>
        <v>1</v>
      </c>
      <c r="F7" s="5" t="e">
        <f t="shared" si="1"/>
        <v>#NAME?</v>
      </c>
      <c r="G7" s="5" t="str">
        <f t="shared" si="2"/>
        <v>0</v>
      </c>
      <c r="H7" s="1"/>
      <c r="I7" s="1"/>
      <c r="J7" s="9"/>
      <c r="K7" s="9"/>
      <c r="N7" s="9"/>
      <c r="O7" s="1"/>
      <c r="P7" s="9"/>
      <c r="Q7" s="9"/>
      <c r="R7" s="9"/>
      <c r="S7" s="9"/>
      <c r="T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N7" s="9"/>
      <c r="BO7" s="9"/>
    </row>
    <row r="8" spans="1:67">
      <c r="A8" s="4">
        <v>434163431202</v>
      </c>
      <c r="B8" s="4" t="s">
        <v>1258</v>
      </c>
      <c r="C8" s="1" t="e">
        <f ca="1">_xlfn.XLOOKUP(A8,'[1]Sellers Pro'!$C:$C,'[1]Sellers Pro'!$F:$F)</f>
        <v>#NAME?</v>
      </c>
      <c r="D8" s="5" t="e">
        <f t="shared" si="0"/>
        <v>#NAME?</v>
      </c>
      <c r="E8" s="5" t="str">
        <f>IFERROR(IF(VLOOKUP(A8,Base!AA:AA,1,0)&gt;0,"1","0"),"0")</f>
        <v>1</v>
      </c>
      <c r="F8" s="5" t="e">
        <f t="shared" si="1"/>
        <v>#NAME?</v>
      </c>
      <c r="G8" s="5" t="str">
        <f t="shared" si="2"/>
        <v>0</v>
      </c>
      <c r="H8" s="1"/>
      <c r="I8" s="1"/>
      <c r="J8" s="9"/>
      <c r="K8" s="9"/>
      <c r="N8" s="9"/>
      <c r="O8" s="1"/>
      <c r="P8" s="9"/>
      <c r="Q8" s="9"/>
      <c r="R8" s="9"/>
      <c r="S8" s="9"/>
      <c r="T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N8" s="9"/>
      <c r="BO8" s="9"/>
    </row>
    <row r="9" spans="1:67">
      <c r="A9" s="4">
        <v>774349555502</v>
      </c>
      <c r="B9" s="4" t="s">
        <v>2279</v>
      </c>
      <c r="C9" s="1"/>
      <c r="D9" s="5" t="str">
        <f t="shared" si="0"/>
        <v>0</v>
      </c>
      <c r="E9" s="5" t="str">
        <f>IFERROR(IF(VLOOKUP(A9,Base!AA:AA,1,0)&gt;0,"1","0"),"0")</f>
        <v>0</v>
      </c>
      <c r="F9" s="5" t="str">
        <f t="shared" si="1"/>
        <v>-</v>
      </c>
      <c r="G9" s="5" t="str">
        <f t="shared" si="2"/>
        <v>0</v>
      </c>
      <c r="H9" s="1"/>
      <c r="I9" s="1"/>
      <c r="J9" s="9"/>
      <c r="K9" s="9"/>
      <c r="N9" s="9"/>
      <c r="O9" s="1"/>
      <c r="P9" s="9"/>
      <c r="Q9" s="9"/>
      <c r="R9" s="9"/>
      <c r="S9" s="9"/>
      <c r="T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N9" s="9"/>
      <c r="BO9" s="9"/>
    </row>
    <row r="10" spans="1:67">
      <c r="A10" s="4">
        <v>97759973202</v>
      </c>
      <c r="B10" s="4" t="s">
        <v>2118</v>
      </c>
      <c r="C10" s="1" t="e">
        <f ca="1">_xlfn.XLOOKUP(A10,'[1]Sellers Pro'!$C:$C,'[1]Sellers Pro'!$F:$F)</f>
        <v>#NAME?</v>
      </c>
      <c r="D10" s="5" t="e">
        <f t="shared" si="0"/>
        <v>#NAME?</v>
      </c>
      <c r="E10" s="5" t="str">
        <f>IFERROR(IF(VLOOKUP(A10,Base!AA:AA,1,0)&gt;0,"1","0"),"0")</f>
        <v>1</v>
      </c>
      <c r="F10" s="5" t="e">
        <f t="shared" si="1"/>
        <v>#NAME?</v>
      </c>
      <c r="G10" s="5" t="str">
        <f t="shared" si="2"/>
        <v>0</v>
      </c>
      <c r="H10" s="1"/>
      <c r="I10" s="1"/>
      <c r="J10" s="9"/>
      <c r="K10" s="9"/>
      <c r="N10" s="9"/>
      <c r="O10" s="1"/>
      <c r="P10" s="9"/>
      <c r="Q10" s="9"/>
      <c r="R10" s="9"/>
      <c r="S10" s="9"/>
      <c r="T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N10" s="9"/>
      <c r="BO10" s="9"/>
    </row>
    <row r="11" spans="1:67">
      <c r="A11" s="4">
        <v>627010921602</v>
      </c>
      <c r="B11" s="4" t="s">
        <v>1204</v>
      </c>
      <c r="C11" s="1" t="e">
        <f ca="1">_xlfn.XLOOKUP(A11,'[1]Sellers Pro'!$C:$C,'[1]Sellers Pro'!$F:$F)</f>
        <v>#NAME?</v>
      </c>
      <c r="D11" s="5" t="e">
        <f t="shared" si="0"/>
        <v>#NAME?</v>
      </c>
      <c r="E11" s="5" t="str">
        <f>IFERROR(IF(VLOOKUP(A11,Base!AA:AA,1,0)&gt;0,"1","0"),"0")</f>
        <v>1</v>
      </c>
      <c r="F11" s="5" t="e">
        <f t="shared" si="1"/>
        <v>#NAME?</v>
      </c>
      <c r="G11" s="5" t="str">
        <f t="shared" si="2"/>
        <v>0</v>
      </c>
      <c r="H11" s="1"/>
      <c r="I11" s="1"/>
      <c r="J11" s="9"/>
      <c r="K11" s="9"/>
      <c r="N11" s="9"/>
      <c r="O11" s="1"/>
      <c r="P11" s="9"/>
      <c r="Q11" s="9"/>
      <c r="R11" s="9"/>
      <c r="S11" s="9"/>
      <c r="T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N11" s="9"/>
      <c r="BO11" s="9"/>
    </row>
    <row r="12" spans="1:67">
      <c r="A12" s="4">
        <v>97596278102</v>
      </c>
      <c r="B12" s="4" t="s">
        <v>343</v>
      </c>
      <c r="C12" s="1" t="e">
        <f ca="1">_xlfn.XLOOKUP(A12,'[1]Sellers Pro'!$C:$C,'[1]Sellers Pro'!$F:$F)</f>
        <v>#NAME?</v>
      </c>
      <c r="D12" s="5" t="e">
        <f t="shared" si="0"/>
        <v>#NAME?</v>
      </c>
      <c r="E12" s="5" t="str">
        <f>IFERROR(IF(VLOOKUP(A12,Base!AA:AA,1,0)&gt;0,"1","0"),"0")</f>
        <v>1</v>
      </c>
      <c r="F12" s="5" t="e">
        <f t="shared" si="1"/>
        <v>#NAME?</v>
      </c>
      <c r="G12" s="5" t="str">
        <f t="shared" si="2"/>
        <v>0</v>
      </c>
      <c r="H12" s="1"/>
      <c r="I12" s="1"/>
      <c r="J12" s="9"/>
      <c r="K12" s="9"/>
      <c r="N12" s="9"/>
      <c r="O12" s="1"/>
      <c r="P12" s="9"/>
      <c r="Q12" s="9"/>
      <c r="R12" s="9"/>
      <c r="S12" s="9"/>
      <c r="T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N12" s="9"/>
      <c r="BO12" s="9"/>
    </row>
    <row r="13" spans="1:67">
      <c r="A13" s="4">
        <v>487573149502</v>
      </c>
      <c r="B13" s="4" t="s">
        <v>244</v>
      </c>
      <c r="C13" s="1"/>
      <c r="D13" s="5" t="str">
        <f t="shared" si="0"/>
        <v>0</v>
      </c>
      <c r="E13" s="5" t="str">
        <f>IFERROR(IF(VLOOKUP(A13,Base!AA:AA,1,0)&gt;0,"1","0"),"0")</f>
        <v>0</v>
      </c>
      <c r="F13" s="5" t="str">
        <f t="shared" si="1"/>
        <v>-</v>
      </c>
      <c r="G13" s="5" t="str">
        <f t="shared" si="2"/>
        <v>0</v>
      </c>
      <c r="H13" s="1"/>
      <c r="I13" s="1"/>
      <c r="J13" s="9"/>
      <c r="K13" s="9"/>
      <c r="N13" s="9"/>
      <c r="O13" s="1"/>
      <c r="P13" s="9"/>
      <c r="Q13" s="9"/>
      <c r="R13" s="9"/>
      <c r="S13" s="9"/>
      <c r="T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N13" s="9"/>
      <c r="BO13" s="9"/>
    </row>
    <row r="14" spans="1:67">
      <c r="A14" s="4">
        <v>685488901302</v>
      </c>
      <c r="B14" s="4" t="s">
        <v>414</v>
      </c>
      <c r="C14" s="1" t="e">
        <f ca="1">_xlfn.XLOOKUP(A14,'[1]Sellers Pro'!$C:$C,'[1]Sellers Pro'!$F:$F)</f>
        <v>#NAME?</v>
      </c>
      <c r="D14" s="5" t="e">
        <f t="shared" si="0"/>
        <v>#NAME?</v>
      </c>
      <c r="E14" s="5" t="str">
        <f>IFERROR(IF(VLOOKUP(A14,Base!AA:AA,1,0)&gt;0,"1","0"),"0")</f>
        <v>1</v>
      </c>
      <c r="F14" s="5" t="e">
        <f t="shared" si="1"/>
        <v>#NAME?</v>
      </c>
      <c r="G14" s="5" t="str">
        <f t="shared" si="2"/>
        <v>0</v>
      </c>
      <c r="H14" s="1"/>
      <c r="I14" s="1"/>
      <c r="J14" s="9"/>
      <c r="K14" s="9"/>
      <c r="N14" s="9"/>
      <c r="O14" s="1"/>
      <c r="P14" s="9"/>
      <c r="Q14" s="9"/>
      <c r="R14" s="9"/>
      <c r="S14" s="9"/>
      <c r="T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N14" s="9"/>
      <c r="BO14" s="9"/>
    </row>
    <row r="15" spans="1:67">
      <c r="A15" s="4">
        <v>302130688502</v>
      </c>
      <c r="B15" s="4" t="s">
        <v>991</v>
      </c>
      <c r="C15" s="1"/>
      <c r="D15" s="5" t="str">
        <f t="shared" si="0"/>
        <v>0</v>
      </c>
      <c r="E15" s="5" t="str">
        <f>IFERROR(IF(VLOOKUP(A15,Base!AA:AA,1,0)&gt;0,"1","0"),"0")</f>
        <v>0</v>
      </c>
      <c r="F15" s="5" t="str">
        <f t="shared" si="1"/>
        <v>-</v>
      </c>
      <c r="G15" s="5" t="str">
        <f t="shared" si="2"/>
        <v>0</v>
      </c>
      <c r="H15" s="1"/>
      <c r="I15" s="1"/>
      <c r="J15" s="9"/>
      <c r="K15" s="9"/>
      <c r="N15" s="9"/>
      <c r="O15" s="1"/>
      <c r="P15" s="9"/>
      <c r="Q15" s="9"/>
      <c r="R15" s="9"/>
      <c r="S15" s="9"/>
      <c r="T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N15" s="9"/>
      <c r="BO15" s="9"/>
    </row>
    <row r="16" spans="1:67">
      <c r="A16" s="4">
        <v>125288528002</v>
      </c>
      <c r="B16" s="4" t="s">
        <v>668</v>
      </c>
      <c r="C16" s="1" t="e">
        <f ca="1">_xlfn.XLOOKUP(A16,'[1]Sellers Pro'!$C:$C,'[1]Sellers Pro'!$F:$F)</f>
        <v>#NAME?</v>
      </c>
      <c r="D16" s="5" t="e">
        <f t="shared" si="0"/>
        <v>#NAME?</v>
      </c>
      <c r="E16" s="5" t="str">
        <f>IFERROR(IF(VLOOKUP(A16,Base!AA:AA,1,0)&gt;0,"1","0"),"0")</f>
        <v>1</v>
      </c>
      <c r="F16" s="5" t="e">
        <f t="shared" si="1"/>
        <v>#NAME?</v>
      </c>
      <c r="G16" s="5" t="str">
        <f t="shared" si="2"/>
        <v>0</v>
      </c>
      <c r="H16" s="1"/>
      <c r="I16" s="1"/>
      <c r="J16" s="9"/>
      <c r="K16" s="9"/>
      <c r="N16" s="9"/>
      <c r="O16" s="1"/>
      <c r="P16" s="9"/>
      <c r="Q16" s="9"/>
      <c r="R16" s="9"/>
      <c r="S16" s="9"/>
      <c r="T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N16" s="9"/>
      <c r="BO16" s="9"/>
    </row>
    <row r="17" spans="1:67">
      <c r="A17" s="4">
        <v>837253102702</v>
      </c>
      <c r="B17" s="4" t="s">
        <v>1197</v>
      </c>
      <c r="C17" s="1"/>
      <c r="D17" s="5" t="str">
        <f t="shared" si="0"/>
        <v>0</v>
      </c>
      <c r="E17" s="5" t="str">
        <f>IFERROR(IF(VLOOKUP(A17,Base!AA:AA,1,0)&gt;0,"1","0"),"0")</f>
        <v>0</v>
      </c>
      <c r="F17" s="5" t="str">
        <f t="shared" si="1"/>
        <v>-</v>
      </c>
      <c r="G17" s="5" t="str">
        <f t="shared" si="2"/>
        <v>0</v>
      </c>
      <c r="H17" s="1"/>
      <c r="I17" s="1"/>
      <c r="J17" s="9"/>
      <c r="K17" s="9"/>
      <c r="N17" s="9"/>
      <c r="O17" s="1"/>
      <c r="P17" s="9"/>
      <c r="Q17" s="9"/>
      <c r="R17" s="9"/>
      <c r="S17" s="9"/>
      <c r="T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N17" s="9"/>
      <c r="BO17" s="9"/>
    </row>
    <row r="18" spans="1:67">
      <c r="A18" s="4">
        <v>277711423902</v>
      </c>
      <c r="B18" s="4" t="s">
        <v>737</v>
      </c>
      <c r="C18" s="1" t="e">
        <f ca="1">_xlfn.XLOOKUP(A18,'[1]Sellers Pro'!$C:$C,'[1]Sellers Pro'!$F:$F)</f>
        <v>#NAME?</v>
      </c>
      <c r="D18" s="5" t="e">
        <f t="shared" si="0"/>
        <v>#NAME?</v>
      </c>
      <c r="E18" s="5" t="str">
        <f>IFERROR(IF(VLOOKUP(A18,Base!AA:AA,1,0)&gt;0,"1","0"),"0")</f>
        <v>1</v>
      </c>
      <c r="F18" s="5" t="e">
        <f t="shared" si="1"/>
        <v>#NAME?</v>
      </c>
      <c r="G18" s="5" t="str">
        <f t="shared" si="2"/>
        <v>0</v>
      </c>
      <c r="H18" s="1"/>
      <c r="I18" s="1"/>
      <c r="J18" s="9"/>
      <c r="K18" s="9"/>
      <c r="N18" s="9"/>
      <c r="O18" s="1"/>
      <c r="P18" s="9"/>
      <c r="Q18" s="9"/>
      <c r="R18" s="9"/>
      <c r="S18" s="9"/>
      <c r="T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N18" s="9"/>
      <c r="BO18" s="9"/>
    </row>
    <row r="19" spans="1:67">
      <c r="A19" s="4">
        <v>193343155102</v>
      </c>
      <c r="B19" s="4" t="s">
        <v>781</v>
      </c>
      <c r="C19" s="1" t="e">
        <f ca="1">_xlfn.XLOOKUP(A19,'[1]Sellers Pro'!$C:$C,'[1]Sellers Pro'!$F:$F)</f>
        <v>#NAME?</v>
      </c>
      <c r="D19" s="5" t="e">
        <f t="shared" si="0"/>
        <v>#NAME?</v>
      </c>
      <c r="E19" s="5" t="str">
        <f>IFERROR(IF(VLOOKUP(A19,Base!AA:AA,1,0)&gt;0,"1","0"),"0")</f>
        <v>1</v>
      </c>
      <c r="F19" s="5" t="e">
        <f t="shared" si="1"/>
        <v>#NAME?</v>
      </c>
      <c r="G19" s="5" t="str">
        <f t="shared" si="2"/>
        <v>0</v>
      </c>
      <c r="H19" s="1"/>
      <c r="I19" s="1"/>
      <c r="J19" s="9"/>
      <c r="K19" s="9"/>
      <c r="N19" s="9"/>
      <c r="O19" s="1"/>
      <c r="P19" s="9"/>
      <c r="Q19" s="9"/>
      <c r="R19" s="9"/>
      <c r="S19" s="9"/>
      <c r="T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N19" s="9"/>
      <c r="BO19" s="9"/>
    </row>
    <row r="20" spans="1:67">
      <c r="A20" s="4">
        <v>619747148002</v>
      </c>
      <c r="B20" s="4" t="s">
        <v>828</v>
      </c>
      <c r="C20" s="1" t="e">
        <f ca="1">_xlfn.XLOOKUP(A20,'[1]Sellers Pro'!$C:$C,'[1]Sellers Pro'!$F:$F)</f>
        <v>#NAME?</v>
      </c>
      <c r="D20" s="5" t="e">
        <f t="shared" si="0"/>
        <v>#NAME?</v>
      </c>
      <c r="E20" s="5" t="str">
        <f>IFERROR(IF(VLOOKUP(A20,Base!AA:AA,1,0)&gt;0,"1","0"),"0")</f>
        <v>1</v>
      </c>
      <c r="F20" s="5" t="e">
        <f t="shared" si="1"/>
        <v>#NAME?</v>
      </c>
      <c r="G20" s="5" t="str">
        <f t="shared" si="2"/>
        <v>0</v>
      </c>
      <c r="H20" s="1"/>
      <c r="I20" s="1"/>
      <c r="J20" s="9"/>
      <c r="K20" s="9"/>
      <c r="N20" s="9"/>
      <c r="O20" s="1"/>
      <c r="P20" s="9"/>
      <c r="Q20" s="9"/>
      <c r="R20" s="9"/>
      <c r="S20" s="9"/>
      <c r="T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N20" s="9"/>
      <c r="BO20" s="9"/>
    </row>
    <row r="21" spans="1:67">
      <c r="A21" s="4">
        <v>542325043802</v>
      </c>
      <c r="B21" s="4" t="s">
        <v>448</v>
      </c>
      <c r="C21" s="1" t="e">
        <f ca="1">_xlfn.XLOOKUP(A21,'[1]Sellers Pro'!$C:$C,'[1]Sellers Pro'!$F:$F)</f>
        <v>#NAME?</v>
      </c>
      <c r="D21" s="5" t="e">
        <f t="shared" si="0"/>
        <v>#NAME?</v>
      </c>
      <c r="E21" s="5" t="str">
        <f>IFERROR(IF(VLOOKUP(A21,Base!AA:AA,1,0)&gt;0,"1","0"),"0")</f>
        <v>1</v>
      </c>
      <c r="F21" s="5" t="e">
        <f t="shared" si="1"/>
        <v>#NAME?</v>
      </c>
      <c r="G21" s="5" t="str">
        <f t="shared" si="2"/>
        <v>0</v>
      </c>
      <c r="H21" s="1"/>
      <c r="I21" s="1"/>
      <c r="J21" s="9"/>
      <c r="K21" s="9"/>
      <c r="N21" s="9"/>
      <c r="O21" s="1"/>
      <c r="P21" s="9"/>
      <c r="Q21" s="9"/>
      <c r="R21" s="9"/>
      <c r="S21" s="9"/>
      <c r="T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N21" s="9"/>
      <c r="BO21" s="9"/>
    </row>
    <row r="22" spans="1:67">
      <c r="A22" s="4">
        <v>12218349602</v>
      </c>
      <c r="B22" s="4" t="s">
        <v>1399</v>
      </c>
      <c r="C22" s="1" t="e">
        <f ca="1">_xlfn.XLOOKUP(A22,'[1]Sellers Pro'!$C:$C,'[1]Sellers Pro'!$F:$F)</f>
        <v>#NAME?</v>
      </c>
      <c r="D22" s="5" t="e">
        <f t="shared" si="0"/>
        <v>#NAME?</v>
      </c>
      <c r="E22" s="5" t="str">
        <f>IFERROR(IF(VLOOKUP(A22,Base!AA:AA,1,0)&gt;0,"1","0"),"0")</f>
        <v>0</v>
      </c>
      <c r="F22" s="5" t="e">
        <f t="shared" si="1"/>
        <v>#NAME?</v>
      </c>
      <c r="G22" s="5" t="str">
        <f t="shared" si="2"/>
        <v>0</v>
      </c>
      <c r="H22" s="1"/>
      <c r="I22" s="1"/>
      <c r="J22" s="9"/>
      <c r="K22" s="9"/>
      <c r="N22" s="9"/>
      <c r="O22" s="1"/>
      <c r="P22" s="9"/>
      <c r="Q22" s="9"/>
      <c r="R22" s="9"/>
      <c r="S22" s="9"/>
      <c r="T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N22" s="9"/>
      <c r="BO22" s="9"/>
    </row>
    <row r="23" spans="1:67">
      <c r="A23" s="4">
        <v>355214089002</v>
      </c>
      <c r="B23" s="4" t="s">
        <v>101</v>
      </c>
      <c r="C23" s="1" t="e">
        <f ca="1">_xlfn.XLOOKUP(A23,'[1]Sellers Pro'!$C:$C,'[1]Sellers Pro'!$F:$F)</f>
        <v>#NAME?</v>
      </c>
      <c r="D23" s="5" t="e">
        <f t="shared" si="0"/>
        <v>#NAME?</v>
      </c>
      <c r="E23" s="5" t="str">
        <f>IFERROR(IF(VLOOKUP(A23,Base!AA:AA,1,0)&gt;0,"1","0"),"0")</f>
        <v>1</v>
      </c>
      <c r="F23" s="5" t="e">
        <f t="shared" si="1"/>
        <v>#NAME?</v>
      </c>
      <c r="G23" s="5" t="str">
        <f t="shared" si="2"/>
        <v>0</v>
      </c>
      <c r="H23" s="1"/>
      <c r="I23" s="1"/>
      <c r="J23" s="9"/>
      <c r="K23" s="9"/>
      <c r="N23" s="9"/>
      <c r="O23" s="1"/>
      <c r="P23" s="9"/>
      <c r="Q23" s="9"/>
      <c r="R23" s="9"/>
      <c r="S23" s="9"/>
      <c r="T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N23" s="9"/>
      <c r="BO23" s="9"/>
    </row>
    <row r="24" spans="1:67">
      <c r="A24" s="4">
        <v>188325185102</v>
      </c>
      <c r="B24" s="4" t="s">
        <v>499</v>
      </c>
      <c r="C24" s="1"/>
      <c r="D24" s="5" t="str">
        <f t="shared" si="0"/>
        <v>0</v>
      </c>
      <c r="E24" s="5" t="str">
        <f>IFERROR(IF(VLOOKUP(A24,Base!AA:AA,1,0)&gt;0,"1","0"),"0")</f>
        <v>0</v>
      </c>
      <c r="F24" s="5" t="str">
        <f t="shared" si="1"/>
        <v>-</v>
      </c>
      <c r="G24" s="5" t="str">
        <f t="shared" si="2"/>
        <v>0</v>
      </c>
      <c r="H24" s="1"/>
      <c r="I24" s="1"/>
      <c r="J24" s="9"/>
      <c r="K24" s="9"/>
      <c r="N24" s="9"/>
      <c r="O24" s="1"/>
      <c r="P24" s="9"/>
      <c r="Q24" s="9"/>
      <c r="R24" s="9"/>
      <c r="S24" s="9"/>
      <c r="T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N24" s="9"/>
      <c r="BO24" s="9"/>
    </row>
    <row r="25" spans="1:67">
      <c r="A25" s="4">
        <v>101837981602</v>
      </c>
      <c r="B25" s="4" t="s">
        <v>746</v>
      </c>
      <c r="C25" s="1" t="e">
        <f ca="1">_xlfn.XLOOKUP(A25,'[1]Sellers Pro'!$C:$C,'[1]Sellers Pro'!$F:$F)</f>
        <v>#NAME?</v>
      </c>
      <c r="D25" s="5" t="e">
        <f t="shared" si="0"/>
        <v>#NAME?</v>
      </c>
      <c r="E25" s="5" t="str">
        <f>IFERROR(IF(VLOOKUP(A25,Base!AA:AA,1,0)&gt;0,"1","0"),"0")</f>
        <v>1</v>
      </c>
      <c r="F25" s="5" t="e">
        <f t="shared" si="1"/>
        <v>#NAME?</v>
      </c>
      <c r="G25" s="5" t="str">
        <f t="shared" si="2"/>
        <v>0</v>
      </c>
      <c r="H25" s="1"/>
      <c r="I25" s="1"/>
      <c r="J25" s="9"/>
      <c r="K25" s="9"/>
      <c r="N25" s="9"/>
      <c r="O25" s="1"/>
      <c r="P25" s="9"/>
      <c r="Q25" s="9"/>
      <c r="R25" s="9"/>
      <c r="S25" s="9"/>
      <c r="T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N25" s="9"/>
      <c r="BO25" s="9"/>
    </row>
    <row r="26" spans="1:67">
      <c r="A26" s="4">
        <v>704737347202</v>
      </c>
      <c r="B26" s="4" t="s">
        <v>2280</v>
      </c>
      <c r="C26" s="1" t="e">
        <f ca="1">_xlfn.XLOOKUP(A26,'[1]Sellers Pro'!$C:$C,'[1]Sellers Pro'!$F:$F)</f>
        <v>#NAME?</v>
      </c>
      <c r="D26" s="5" t="e">
        <f t="shared" si="0"/>
        <v>#NAME?</v>
      </c>
      <c r="E26" s="5" t="str">
        <f>IFERROR(IF(VLOOKUP(A26,Base!AA:AA,1,0)&gt;0,"1","0"),"0")</f>
        <v>0</v>
      </c>
      <c r="F26" s="5" t="e">
        <f t="shared" si="1"/>
        <v>#NAME?</v>
      </c>
      <c r="G26" s="5" t="str">
        <f t="shared" si="2"/>
        <v>0</v>
      </c>
      <c r="H26" s="1"/>
      <c r="I26" s="1"/>
      <c r="J26" s="9"/>
      <c r="K26" s="9"/>
      <c r="N26" s="9"/>
      <c r="O26" s="1"/>
      <c r="P26" s="9"/>
      <c r="Q26" s="9"/>
      <c r="R26" s="9"/>
      <c r="S26" s="9"/>
      <c r="T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N26" s="9"/>
      <c r="BO26" s="9"/>
    </row>
    <row r="27" spans="1:67">
      <c r="A27" s="4">
        <v>13351599302</v>
      </c>
      <c r="B27" s="4" t="s">
        <v>1583</v>
      </c>
      <c r="C27" s="1" t="e">
        <f ca="1">_xlfn.XLOOKUP(A27,'[1]Sellers Pro'!$C:$C,'[1]Sellers Pro'!$F:$F)</f>
        <v>#NAME?</v>
      </c>
      <c r="D27" s="5" t="e">
        <f t="shared" si="0"/>
        <v>#NAME?</v>
      </c>
      <c r="E27" s="5" t="str">
        <f>IFERROR(IF(VLOOKUP(A27,Base!AA:AA,1,0)&gt;0,"1","0"),"0")</f>
        <v>1</v>
      </c>
      <c r="F27" s="5" t="e">
        <f t="shared" si="1"/>
        <v>#NAME?</v>
      </c>
      <c r="G27" s="5" t="str">
        <f t="shared" si="2"/>
        <v>0</v>
      </c>
      <c r="H27" s="1"/>
      <c r="I27" s="1"/>
      <c r="J27" s="9"/>
      <c r="K27" s="9"/>
      <c r="N27" s="9"/>
      <c r="O27" s="1"/>
      <c r="P27" s="9"/>
      <c r="Q27" s="9"/>
      <c r="R27" s="9"/>
      <c r="S27" s="9"/>
      <c r="T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N27" s="9"/>
      <c r="BO27" s="9"/>
    </row>
    <row r="28" spans="1:67">
      <c r="A28" s="4">
        <v>22861251602</v>
      </c>
      <c r="B28" s="4" t="s">
        <v>2281</v>
      </c>
      <c r="C28" s="1" t="e">
        <f ca="1">_xlfn.XLOOKUP(A28,'[1]Sellers Pro'!$C:$C,'[1]Sellers Pro'!$F:$F)</f>
        <v>#NAME?</v>
      </c>
      <c r="D28" s="5" t="e">
        <f t="shared" si="0"/>
        <v>#NAME?</v>
      </c>
      <c r="E28" s="5" t="str">
        <f>IFERROR(IF(VLOOKUP(A28,Base!AA:AA,1,0)&gt;0,"1","0"),"0")</f>
        <v>0</v>
      </c>
      <c r="F28" s="5" t="e">
        <f t="shared" si="1"/>
        <v>#NAME?</v>
      </c>
      <c r="G28" s="5" t="str">
        <f t="shared" si="2"/>
        <v>0</v>
      </c>
      <c r="H28" s="1"/>
      <c r="I28" s="1"/>
      <c r="J28" s="9"/>
      <c r="K28" s="9"/>
      <c r="N28" s="9"/>
      <c r="O28" s="1"/>
      <c r="P28" s="9"/>
      <c r="Q28" s="9"/>
      <c r="R28" s="9"/>
      <c r="S28" s="9"/>
      <c r="T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N28" s="9"/>
      <c r="BO28" s="9"/>
    </row>
    <row r="29" spans="1:67">
      <c r="A29" s="4">
        <v>384216553002</v>
      </c>
      <c r="B29" s="4" t="s">
        <v>1901</v>
      </c>
      <c r="C29" s="1"/>
      <c r="D29" s="5" t="str">
        <f t="shared" si="0"/>
        <v>0</v>
      </c>
      <c r="E29" s="5" t="str">
        <f>IFERROR(IF(VLOOKUP(A29,Base!AA:AA,1,0)&gt;0,"1","0"),"0")</f>
        <v>0</v>
      </c>
      <c r="F29" s="5" t="str">
        <f t="shared" si="1"/>
        <v>-</v>
      </c>
      <c r="G29" s="5" t="str">
        <f t="shared" si="2"/>
        <v>0</v>
      </c>
      <c r="H29" s="1"/>
      <c r="I29" s="1"/>
      <c r="J29" s="9"/>
      <c r="K29" s="9"/>
      <c r="N29" s="9"/>
      <c r="O29" s="1"/>
      <c r="P29" s="9"/>
      <c r="Q29" s="9"/>
      <c r="R29" s="9"/>
      <c r="S29" s="9"/>
      <c r="T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N29" s="9"/>
      <c r="BO29" s="9"/>
    </row>
    <row r="30" spans="1:67">
      <c r="A30" s="4">
        <v>368561207102</v>
      </c>
      <c r="B30" s="4" t="s">
        <v>486</v>
      </c>
      <c r="C30" s="1" t="e">
        <f ca="1">_xlfn.XLOOKUP(A30,'[1]Sellers Pro'!$C:$C,'[1]Sellers Pro'!$F:$F)</f>
        <v>#NAME?</v>
      </c>
      <c r="D30" s="5" t="e">
        <f t="shared" si="0"/>
        <v>#NAME?</v>
      </c>
      <c r="E30" s="5" t="str">
        <f>IFERROR(IF(VLOOKUP(A30,Base!AA:AA,1,0)&gt;0,"1","0"),"0")</f>
        <v>0</v>
      </c>
      <c r="F30" s="5" t="e">
        <f t="shared" si="1"/>
        <v>#NAME?</v>
      </c>
      <c r="G30" s="5" t="str">
        <f t="shared" si="2"/>
        <v>0</v>
      </c>
      <c r="H30" s="1"/>
      <c r="I30" s="1"/>
      <c r="J30" s="9"/>
      <c r="K30" s="9"/>
      <c r="N30" s="9"/>
      <c r="O30" s="1"/>
      <c r="P30" s="9"/>
      <c r="Q30" s="9"/>
      <c r="R30" s="9"/>
      <c r="S30" s="9"/>
      <c r="T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N30" s="9"/>
      <c r="BO30" s="9"/>
    </row>
    <row r="31" spans="1:67">
      <c r="A31" s="4">
        <v>437878012202</v>
      </c>
      <c r="B31" s="4" t="s">
        <v>1236</v>
      </c>
      <c r="C31" s="1"/>
      <c r="D31" s="5" t="str">
        <f t="shared" si="0"/>
        <v>0</v>
      </c>
      <c r="E31" s="5" t="str">
        <f>IFERROR(IF(VLOOKUP(A31,Base!AA:AA,1,0)&gt;0,"1","0"),"0")</f>
        <v>0</v>
      </c>
      <c r="F31" s="5" t="str">
        <f t="shared" si="1"/>
        <v>-</v>
      </c>
      <c r="G31" s="5" t="str">
        <f t="shared" si="2"/>
        <v>0</v>
      </c>
      <c r="H31" s="1"/>
      <c r="I31" s="1"/>
      <c r="J31" s="9"/>
      <c r="K31" s="9"/>
      <c r="N31" s="9"/>
      <c r="O31" s="1"/>
      <c r="P31" s="9"/>
      <c r="Q31" s="9"/>
      <c r="R31" s="9"/>
      <c r="S31" s="9"/>
      <c r="T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N31" s="9"/>
      <c r="BO31" s="9"/>
    </row>
    <row r="32" spans="1:67">
      <c r="A32" s="4">
        <v>466723842102</v>
      </c>
      <c r="B32" s="4" t="s">
        <v>2282</v>
      </c>
      <c r="C32" s="1"/>
      <c r="D32" s="5" t="str">
        <f t="shared" si="0"/>
        <v>0</v>
      </c>
      <c r="E32" s="5" t="str">
        <f>IFERROR(IF(VLOOKUP(A32,Base!AA:AA,1,0)&gt;0,"1","0"),"0")</f>
        <v>0</v>
      </c>
      <c r="F32" s="5" t="str">
        <f t="shared" si="1"/>
        <v>-</v>
      </c>
      <c r="G32" s="5" t="str">
        <f t="shared" si="2"/>
        <v>0</v>
      </c>
      <c r="H32" s="1"/>
      <c r="I32" s="1"/>
      <c r="J32" s="9"/>
      <c r="K32" s="9"/>
      <c r="N32" s="9"/>
      <c r="O32" s="1"/>
      <c r="P32" s="9"/>
      <c r="Q32" s="9"/>
      <c r="R32" s="9"/>
      <c r="S32" s="9"/>
      <c r="T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N32" s="9"/>
      <c r="BO32" s="9"/>
    </row>
    <row r="33" spans="1:67">
      <c r="A33" s="4">
        <v>137029362402</v>
      </c>
      <c r="B33" s="4" t="s">
        <v>1441</v>
      </c>
      <c r="C33" s="1" t="e">
        <f ca="1">_xlfn.XLOOKUP(A33,'[1]Sellers Pro'!$C:$C,'[1]Sellers Pro'!$F:$F)</f>
        <v>#NAME?</v>
      </c>
      <c r="D33" s="5" t="e">
        <f t="shared" si="0"/>
        <v>#NAME?</v>
      </c>
      <c r="E33" s="5" t="str">
        <f>IFERROR(IF(VLOOKUP(A33,Base!AA:AA,1,0)&gt;0,"1","0"),"0")</f>
        <v>1</v>
      </c>
      <c r="F33" s="5" t="e">
        <f t="shared" si="1"/>
        <v>#NAME?</v>
      </c>
      <c r="G33" s="5" t="str">
        <f t="shared" si="2"/>
        <v>0</v>
      </c>
      <c r="H33" s="1"/>
      <c r="I33" s="1"/>
      <c r="J33" s="9"/>
      <c r="K33" s="9"/>
      <c r="N33" s="9"/>
      <c r="O33" s="1"/>
      <c r="P33" s="9"/>
      <c r="Q33" s="9"/>
      <c r="R33" s="9"/>
      <c r="S33" s="9"/>
      <c r="T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N33" s="9"/>
      <c r="BO33" s="9"/>
    </row>
    <row r="34" spans="1:67">
      <c r="A34" s="4">
        <v>625725137302</v>
      </c>
      <c r="B34" s="4" t="s">
        <v>1537</v>
      </c>
      <c r="C34" s="1" t="e">
        <f ca="1">_xlfn.XLOOKUP(A34,'[1]Sellers Pro'!$C:$C,'[1]Sellers Pro'!$F:$F)</f>
        <v>#NAME?</v>
      </c>
      <c r="D34" s="5" t="e">
        <f t="shared" si="0"/>
        <v>#NAME?</v>
      </c>
      <c r="E34" s="5" t="str">
        <f>IFERROR(IF(VLOOKUP(A34,Base!AA:AA,1,0)&gt;0,"1","0"),"0")</f>
        <v>1</v>
      </c>
      <c r="F34" s="5" t="e">
        <f t="shared" si="1"/>
        <v>#NAME?</v>
      </c>
      <c r="G34" s="5" t="str">
        <f t="shared" si="2"/>
        <v>0</v>
      </c>
      <c r="H34" s="1"/>
      <c r="I34" s="1"/>
      <c r="J34" s="9"/>
      <c r="K34" s="9"/>
      <c r="N34" s="9"/>
      <c r="O34" s="1"/>
      <c r="P34" s="9"/>
      <c r="Q34" s="9"/>
      <c r="R34" s="9"/>
      <c r="S34" s="9"/>
      <c r="T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N34" s="9"/>
      <c r="BO34" s="9"/>
    </row>
    <row r="35" spans="1:67">
      <c r="A35" s="4">
        <v>1078200608102</v>
      </c>
      <c r="B35" s="4" t="s">
        <v>1272</v>
      </c>
      <c r="C35" s="1" t="e">
        <f ca="1">_xlfn.XLOOKUP(A35,'[1]Sellers Pro'!$C:$C,'[1]Sellers Pro'!$F:$F)</f>
        <v>#NAME?</v>
      </c>
      <c r="D35" s="5" t="e">
        <f t="shared" si="0"/>
        <v>#NAME?</v>
      </c>
      <c r="E35" s="5" t="str">
        <f>IFERROR(IF(VLOOKUP(A35,Base!AA:AA,1,0)&gt;0,"1","0"),"0")</f>
        <v>1</v>
      </c>
      <c r="F35" s="5" t="e">
        <f t="shared" si="1"/>
        <v>#NAME?</v>
      </c>
      <c r="G35" s="5" t="str">
        <f t="shared" si="2"/>
        <v>0</v>
      </c>
      <c r="H35" s="1"/>
      <c r="I35" s="1"/>
      <c r="J35" s="9"/>
      <c r="K35" s="9"/>
      <c r="N35" s="9"/>
      <c r="O35" s="1"/>
      <c r="P35" s="9"/>
      <c r="Q35" s="9"/>
      <c r="R35" s="9"/>
      <c r="S35" s="9"/>
      <c r="T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N35" s="9"/>
      <c r="BO35" s="9"/>
    </row>
    <row r="36" spans="1:67">
      <c r="A36" s="4">
        <v>136831572602</v>
      </c>
      <c r="B36" s="4" t="s">
        <v>756</v>
      </c>
      <c r="C36" s="1"/>
      <c r="D36" s="5" t="str">
        <f t="shared" si="0"/>
        <v>0</v>
      </c>
      <c r="E36" s="5" t="str">
        <f>IFERROR(IF(VLOOKUP(A36,Base!AA:AA,1,0)&gt;0,"1","0"),"0")</f>
        <v>0</v>
      </c>
      <c r="F36" s="5" t="str">
        <f t="shared" si="1"/>
        <v>-</v>
      </c>
      <c r="G36" s="5" t="str">
        <f t="shared" si="2"/>
        <v>0</v>
      </c>
      <c r="H36" s="1"/>
      <c r="I36" s="1"/>
      <c r="J36" s="9"/>
      <c r="K36" s="9"/>
      <c r="N36" s="9"/>
      <c r="O36" s="1"/>
      <c r="P36" s="9"/>
      <c r="Q36" s="9"/>
      <c r="R36" s="9"/>
      <c r="S36" s="9"/>
      <c r="T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N36" s="9"/>
      <c r="BO36" s="9"/>
    </row>
    <row r="37" spans="1:67">
      <c r="A37" s="4">
        <v>40274588502</v>
      </c>
      <c r="B37" s="4" t="s">
        <v>866</v>
      </c>
      <c r="C37" s="1" t="e">
        <f ca="1">_xlfn.XLOOKUP(A37,'[1]Sellers Pro'!$C:$C,'[1]Sellers Pro'!$F:$F)</f>
        <v>#NAME?</v>
      </c>
      <c r="D37" s="5" t="e">
        <f t="shared" si="0"/>
        <v>#NAME?</v>
      </c>
      <c r="E37" s="5" t="str">
        <f>IFERROR(IF(VLOOKUP(A37,Base!AA:AA,1,0)&gt;0,"1","0"),"0")</f>
        <v>1</v>
      </c>
      <c r="F37" s="5" t="e">
        <f t="shared" si="1"/>
        <v>#NAME?</v>
      </c>
      <c r="G37" s="5" t="str">
        <f t="shared" si="2"/>
        <v>0</v>
      </c>
      <c r="H37" s="1"/>
      <c r="I37" s="1"/>
      <c r="J37" s="9"/>
      <c r="K37" s="9"/>
      <c r="N37" s="9"/>
      <c r="O37" s="1"/>
      <c r="P37" s="9"/>
      <c r="Q37" s="9"/>
      <c r="R37" s="9"/>
      <c r="S37" s="9"/>
      <c r="T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N37" s="9"/>
      <c r="BO37" s="9"/>
    </row>
    <row r="38" spans="1:67">
      <c r="A38" s="4">
        <v>60769061802</v>
      </c>
      <c r="B38" s="4" t="s">
        <v>2141</v>
      </c>
      <c r="C38" s="1" t="e">
        <f ca="1">_xlfn.XLOOKUP(A38,'[1]Sellers Pro'!$C:$C,'[1]Sellers Pro'!$F:$F)</f>
        <v>#NAME?</v>
      </c>
      <c r="D38" s="5" t="e">
        <f t="shared" si="0"/>
        <v>#NAME?</v>
      </c>
      <c r="E38" s="5" t="str">
        <f>IFERROR(IF(VLOOKUP(A38,Base!AA:AA,1,0)&gt;0,"1","0"),"0")</f>
        <v>1</v>
      </c>
      <c r="F38" s="5" t="e">
        <f t="shared" si="1"/>
        <v>#NAME?</v>
      </c>
      <c r="G38" s="5" t="str">
        <f t="shared" si="2"/>
        <v>0</v>
      </c>
      <c r="H38" s="1"/>
      <c r="I38" s="1"/>
      <c r="J38" s="9"/>
      <c r="K38" s="9"/>
      <c r="N38" s="9"/>
      <c r="O38" s="1"/>
      <c r="P38" s="9"/>
      <c r="Q38" s="9"/>
      <c r="R38" s="9"/>
      <c r="S38" s="9"/>
      <c r="T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N38" s="9"/>
      <c r="BO38" s="9"/>
    </row>
    <row r="39" spans="1:67">
      <c r="A39" s="4">
        <v>320035971002</v>
      </c>
      <c r="B39" s="4" t="s">
        <v>208</v>
      </c>
      <c r="C39" s="1" t="e">
        <f ca="1">_xlfn.XLOOKUP(A39,'[1]Sellers Pro'!$C:$C,'[1]Sellers Pro'!$F:$F)</f>
        <v>#NAME?</v>
      </c>
      <c r="D39" s="5" t="e">
        <f t="shared" si="0"/>
        <v>#NAME?</v>
      </c>
      <c r="E39" s="5" t="str">
        <f>IFERROR(IF(VLOOKUP(A39,Base!AA:AA,1,0)&gt;0,"1","0"),"0")</f>
        <v>1</v>
      </c>
      <c r="F39" s="5" t="e">
        <f t="shared" si="1"/>
        <v>#NAME?</v>
      </c>
      <c r="G39" s="5" t="str">
        <f t="shared" si="2"/>
        <v>0</v>
      </c>
      <c r="H39" s="1"/>
      <c r="I39" s="1"/>
      <c r="J39" s="9"/>
      <c r="K39" s="9"/>
      <c r="N39" s="9"/>
      <c r="O39" s="1"/>
      <c r="P39" s="9"/>
      <c r="Q39" s="9"/>
      <c r="R39" s="9"/>
      <c r="S39" s="9"/>
      <c r="T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N39" s="9"/>
      <c r="BO39" s="9"/>
    </row>
    <row r="40" spans="1:67">
      <c r="A40" s="4">
        <v>150738856702</v>
      </c>
      <c r="B40" s="4" t="s">
        <v>2099</v>
      </c>
      <c r="C40" s="1"/>
      <c r="D40" s="5" t="str">
        <f t="shared" si="0"/>
        <v>0</v>
      </c>
      <c r="E40" s="5" t="str">
        <f>IFERROR(IF(VLOOKUP(A40,Base!AA:AA,1,0)&gt;0,"1","0"),"0")</f>
        <v>0</v>
      </c>
      <c r="F40" s="5" t="str">
        <f t="shared" si="1"/>
        <v>-</v>
      </c>
      <c r="G40" s="5" t="str">
        <f t="shared" si="2"/>
        <v>0</v>
      </c>
      <c r="H40" s="1"/>
      <c r="I40" s="1"/>
      <c r="J40" s="9"/>
      <c r="K40" s="9"/>
      <c r="N40" s="9"/>
      <c r="O40" s="1"/>
      <c r="P40" s="9"/>
      <c r="Q40" s="9"/>
      <c r="R40" s="9"/>
      <c r="S40" s="9"/>
      <c r="T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N40" s="9"/>
      <c r="BO40" s="9"/>
    </row>
    <row r="41" spans="1:67">
      <c r="A41" s="4">
        <v>244366726002</v>
      </c>
      <c r="B41" s="4" t="s">
        <v>398</v>
      </c>
      <c r="C41" s="1" t="e">
        <f ca="1">_xlfn.XLOOKUP(A41,'[1]Sellers Pro'!$C:$C,'[1]Sellers Pro'!$F:$F)</f>
        <v>#NAME?</v>
      </c>
      <c r="D41" s="5" t="e">
        <f t="shared" si="0"/>
        <v>#NAME?</v>
      </c>
      <c r="E41" s="5" t="str">
        <f>IFERROR(IF(VLOOKUP(A41,Base!AA:AA,1,0)&gt;0,"1","0"),"0")</f>
        <v>1</v>
      </c>
      <c r="F41" s="5" t="e">
        <f t="shared" si="1"/>
        <v>#NAME?</v>
      </c>
      <c r="G41" s="5" t="str">
        <f t="shared" si="2"/>
        <v>0</v>
      </c>
    </row>
    <row r="42" spans="1:67">
      <c r="A42" s="4">
        <v>114045214402</v>
      </c>
      <c r="B42" s="4" t="s">
        <v>798</v>
      </c>
      <c r="C42" s="1"/>
      <c r="D42" s="5" t="str">
        <f t="shared" si="0"/>
        <v>0</v>
      </c>
      <c r="E42" s="5" t="str">
        <f>IFERROR(IF(VLOOKUP(A42,Base!AA:AA,1,0)&gt;0,"1","0"),"0")</f>
        <v>0</v>
      </c>
      <c r="F42" s="5" t="str">
        <f t="shared" si="1"/>
        <v>-</v>
      </c>
      <c r="G42" s="5" t="str">
        <f t="shared" si="2"/>
        <v>0</v>
      </c>
    </row>
    <row r="43" spans="1:67">
      <c r="A43" s="4">
        <v>24663245702</v>
      </c>
      <c r="B43" s="4" t="s">
        <v>1834</v>
      </c>
      <c r="C43" s="1"/>
      <c r="D43" s="5" t="str">
        <f t="shared" si="0"/>
        <v>0</v>
      </c>
      <c r="E43" s="5" t="str">
        <f>IFERROR(IF(VLOOKUP(A43,Base!AA:AA,1,0)&gt;0,"1","0"),"0")</f>
        <v>0</v>
      </c>
      <c r="F43" s="5" t="str">
        <f t="shared" si="1"/>
        <v>-</v>
      </c>
      <c r="G43" s="5" t="str">
        <f t="shared" si="2"/>
        <v>0</v>
      </c>
    </row>
    <row r="44" spans="1:67">
      <c r="A44" s="4">
        <v>755841394202</v>
      </c>
      <c r="B44" s="4" t="s">
        <v>376</v>
      </c>
      <c r="C44" s="1" t="e">
        <f ca="1">_xlfn.XLOOKUP(A44,'[1]Sellers Pro'!$C:$C,'[1]Sellers Pro'!$F:$F)</f>
        <v>#NAME?</v>
      </c>
      <c r="D44" s="5" t="e">
        <f t="shared" si="0"/>
        <v>#NAME?</v>
      </c>
      <c r="E44" s="5" t="str">
        <f>IFERROR(IF(VLOOKUP(A44,Base!AA:AA,1,0)&gt;0,"1","0"),"0")</f>
        <v>1</v>
      </c>
      <c r="F44" s="5" t="e">
        <f t="shared" si="1"/>
        <v>#NAME?</v>
      </c>
      <c r="G44" s="5" t="str">
        <f t="shared" si="2"/>
        <v>0</v>
      </c>
    </row>
    <row r="45" spans="1:67">
      <c r="A45" s="4">
        <v>27309334902</v>
      </c>
      <c r="B45" s="4" t="s">
        <v>1788</v>
      </c>
      <c r="C45" s="1"/>
      <c r="D45" s="5" t="str">
        <f t="shared" si="0"/>
        <v>0</v>
      </c>
      <c r="E45" s="5" t="str">
        <f>IFERROR(IF(VLOOKUP(A45,Base!AA:AA,1,0)&gt;0,"1","0"),"0")</f>
        <v>0</v>
      </c>
      <c r="F45" s="5" t="str">
        <f t="shared" si="1"/>
        <v>-</v>
      </c>
      <c r="G45" s="5" t="str">
        <f t="shared" si="2"/>
        <v>0</v>
      </c>
    </row>
    <row r="46" spans="1:67">
      <c r="A46" s="4">
        <v>302404890002</v>
      </c>
      <c r="B46" s="4" t="s">
        <v>1802</v>
      </c>
      <c r="C46" s="1"/>
      <c r="D46" s="5" t="str">
        <f t="shared" si="0"/>
        <v>0</v>
      </c>
      <c r="E46" s="5" t="str">
        <f>IFERROR(IF(VLOOKUP(A46,Base!AA:AA,1,0)&gt;0,"1","0"),"0")</f>
        <v>0</v>
      </c>
      <c r="F46" s="5" t="str">
        <f t="shared" si="1"/>
        <v>-</v>
      </c>
      <c r="G46" s="5" t="str">
        <f t="shared" si="2"/>
        <v>0</v>
      </c>
    </row>
    <row r="47" spans="1:67">
      <c r="A47" s="4">
        <v>46733383915</v>
      </c>
      <c r="B47" s="4" t="s">
        <v>839</v>
      </c>
      <c r="C47" s="1" t="e">
        <f ca="1">_xlfn.XLOOKUP(A47,'[1]Sellers Pro'!$C:$C,'[1]Sellers Pro'!$F:$F)</f>
        <v>#NAME?</v>
      </c>
      <c r="D47" s="5" t="e">
        <f t="shared" si="0"/>
        <v>#NAME?</v>
      </c>
      <c r="E47" s="5" t="str">
        <f>IFERROR(IF(VLOOKUP(A47,Base!AA:AA,1,0)&gt;0,"1","0"),"0")</f>
        <v>1</v>
      </c>
      <c r="F47" s="5" t="e">
        <f t="shared" si="1"/>
        <v>#NAME?</v>
      </c>
      <c r="G47" s="5" t="str">
        <f t="shared" si="2"/>
        <v>0</v>
      </c>
    </row>
    <row r="48" spans="1:67">
      <c r="A48" s="4">
        <v>307039143202</v>
      </c>
      <c r="B48" s="4" t="s">
        <v>1225</v>
      </c>
      <c r="C48" s="1"/>
      <c r="D48" s="5" t="str">
        <f t="shared" si="0"/>
        <v>0</v>
      </c>
      <c r="E48" s="5" t="str">
        <f>IFERROR(IF(VLOOKUP(A48,Base!AA:AA,1,0)&gt;0,"1","0"),"0")</f>
        <v>0</v>
      </c>
      <c r="F48" s="5" t="str">
        <f t="shared" si="1"/>
        <v>-</v>
      </c>
      <c r="G48" s="5" t="str">
        <f t="shared" si="2"/>
        <v>0</v>
      </c>
    </row>
    <row r="49" spans="1:7">
      <c r="A49" s="4">
        <v>117086860802</v>
      </c>
      <c r="B49" s="4" t="s">
        <v>876</v>
      </c>
      <c r="C49" s="1" t="e">
        <f ca="1">_xlfn.XLOOKUP(A49,'[1]Sellers Pro'!$C:$C,'[1]Sellers Pro'!$F:$F)</f>
        <v>#NAME?</v>
      </c>
      <c r="D49" s="5" t="e">
        <f t="shared" si="0"/>
        <v>#NAME?</v>
      </c>
      <c r="E49" s="5" t="str">
        <f>IFERROR(IF(VLOOKUP(A49,Base!AA:AA,1,0)&gt;0,"1","0"),"0")</f>
        <v>1</v>
      </c>
      <c r="F49" s="5" t="e">
        <f t="shared" si="1"/>
        <v>#NAME?</v>
      </c>
      <c r="G49" s="5" t="str">
        <f t="shared" si="2"/>
        <v>0</v>
      </c>
    </row>
    <row r="50" spans="1:7">
      <c r="A50" s="4">
        <v>108483856702</v>
      </c>
      <c r="B50" s="4" t="s">
        <v>1316</v>
      </c>
      <c r="C50" s="1" t="e">
        <f ca="1">_xlfn.XLOOKUP(A50,'[1]Sellers Pro'!$C:$C,'[1]Sellers Pro'!$F:$F)</f>
        <v>#NAME?</v>
      </c>
      <c r="D50" s="5" t="e">
        <f t="shared" si="0"/>
        <v>#NAME?</v>
      </c>
      <c r="E50" s="5" t="str">
        <f>IFERROR(IF(VLOOKUP(A50,Base!AA:AA,1,0)&gt;0,"1","0"),"0")</f>
        <v>1</v>
      </c>
      <c r="F50" s="5" t="e">
        <f t="shared" si="1"/>
        <v>#NAME?</v>
      </c>
      <c r="G50" s="5" t="str">
        <f t="shared" si="2"/>
        <v>0</v>
      </c>
    </row>
    <row r="51" spans="1:7">
      <c r="A51" s="4">
        <v>549848560202</v>
      </c>
      <c r="B51" s="4" t="s">
        <v>437</v>
      </c>
      <c r="C51" s="1" t="e">
        <f ca="1">_xlfn.XLOOKUP(A51,'[1]Sellers Pro'!$C:$C,'[1]Sellers Pro'!$F:$F)</f>
        <v>#NAME?</v>
      </c>
      <c r="D51" s="5" t="e">
        <f t="shared" si="0"/>
        <v>#NAME?</v>
      </c>
      <c r="E51" s="5" t="str">
        <f>IFERROR(IF(VLOOKUP(A51,Base!AA:AA,1,0)&gt;0,"1","0"),"0")</f>
        <v>1</v>
      </c>
      <c r="F51" s="5" t="e">
        <f t="shared" si="1"/>
        <v>#NAME?</v>
      </c>
      <c r="G51" s="5" t="str">
        <f t="shared" si="2"/>
        <v>0</v>
      </c>
    </row>
    <row r="52" spans="1:7">
      <c r="A52" s="4">
        <v>475112640202</v>
      </c>
      <c r="B52" s="4" t="s">
        <v>884</v>
      </c>
      <c r="C52" s="1" t="e">
        <f ca="1">_xlfn.XLOOKUP(A52,'[1]Sellers Pro'!$C:$C,'[1]Sellers Pro'!$F:$F)</f>
        <v>#NAME?</v>
      </c>
      <c r="D52" s="5" t="e">
        <f t="shared" si="0"/>
        <v>#NAME?</v>
      </c>
      <c r="E52" s="5" t="str">
        <f>IFERROR(IF(VLOOKUP(A52,Base!AA:AA,1,0)&gt;0,"1","0"),"0")</f>
        <v>1</v>
      </c>
      <c r="F52" s="5" t="e">
        <f t="shared" si="1"/>
        <v>#NAME?</v>
      </c>
      <c r="G52" s="5" t="str">
        <f t="shared" si="2"/>
        <v>0</v>
      </c>
    </row>
    <row r="53" spans="1:7">
      <c r="A53" s="4">
        <v>12650981605</v>
      </c>
      <c r="B53" s="4" t="s">
        <v>2055</v>
      </c>
      <c r="C53" s="1"/>
      <c r="D53" s="5" t="str">
        <f t="shared" si="0"/>
        <v>0</v>
      </c>
      <c r="E53" s="5" t="str">
        <f>IFERROR(IF(VLOOKUP(A53,Base!AA:AA,1,0)&gt;0,"1","0"),"0")</f>
        <v>0</v>
      </c>
      <c r="F53" s="5" t="str">
        <f t="shared" si="1"/>
        <v>-</v>
      </c>
      <c r="G53" s="5" t="str">
        <f t="shared" si="2"/>
        <v>0</v>
      </c>
    </row>
    <row r="54" spans="1:7">
      <c r="A54" s="4">
        <v>639370275302</v>
      </c>
      <c r="B54" s="4" t="s">
        <v>301</v>
      </c>
      <c r="C54" s="1" t="e">
        <f ca="1">_xlfn.XLOOKUP(A54,'[1]Sellers Pro'!$C:$C,'[1]Sellers Pro'!$F:$F)</f>
        <v>#NAME?</v>
      </c>
      <c r="D54" s="5" t="e">
        <f t="shared" si="0"/>
        <v>#NAME?</v>
      </c>
      <c r="E54" s="5" t="str">
        <f>IFERROR(IF(VLOOKUP(A54,Base!AA:AA,1,0)&gt;0,"1","0"),"0")</f>
        <v>1</v>
      </c>
      <c r="F54" s="5" t="e">
        <f t="shared" si="1"/>
        <v>#NAME?</v>
      </c>
      <c r="G54" s="5" t="str">
        <f t="shared" si="2"/>
        <v>0</v>
      </c>
    </row>
    <row r="55" spans="1:7">
      <c r="A55" s="4">
        <v>124638672202</v>
      </c>
      <c r="B55" s="4" t="s">
        <v>1891</v>
      </c>
      <c r="C55" s="1" t="e">
        <f ca="1">_xlfn.XLOOKUP(A55,'[1]Sellers Pro'!$C:$C,'[1]Sellers Pro'!$F:$F)</f>
        <v>#NAME?</v>
      </c>
      <c r="D55" s="5" t="e">
        <f t="shared" si="0"/>
        <v>#NAME?</v>
      </c>
      <c r="E55" s="5" t="str">
        <f>IFERROR(IF(VLOOKUP(A55,Base!AA:AA,1,0)&gt;0,"1","0"),"0")</f>
        <v>0</v>
      </c>
      <c r="F55" s="5" t="e">
        <f t="shared" si="1"/>
        <v>#NAME?</v>
      </c>
      <c r="G55" s="5" t="str">
        <f t="shared" si="2"/>
        <v>0</v>
      </c>
    </row>
    <row r="56" spans="1:7">
      <c r="A56" s="4">
        <v>25248213105</v>
      </c>
      <c r="B56" s="4" t="s">
        <v>1611</v>
      </c>
      <c r="C56" s="1" t="e">
        <f ca="1">_xlfn.XLOOKUP(A56,'[1]Sellers Pro'!$C:$C,'[1]Sellers Pro'!$F:$F)</f>
        <v>#NAME?</v>
      </c>
      <c r="D56" s="5" t="e">
        <f t="shared" si="0"/>
        <v>#NAME?</v>
      </c>
      <c r="E56" s="5" t="str">
        <f>IFERROR(IF(VLOOKUP(A56,Base!AA:AA,1,0)&gt;0,"1","0"),"0")</f>
        <v>1</v>
      </c>
      <c r="F56" s="5" t="e">
        <f t="shared" si="1"/>
        <v>#NAME?</v>
      </c>
      <c r="G56" s="5" t="str">
        <f t="shared" si="2"/>
        <v>0</v>
      </c>
    </row>
    <row r="57" spans="1:7">
      <c r="A57" s="4">
        <v>45146550802</v>
      </c>
      <c r="B57" s="4" t="s">
        <v>2008</v>
      </c>
      <c r="C57" s="1" t="e">
        <f ca="1">_xlfn.XLOOKUP(A57,'[1]Sellers Pro'!$C:$C,'[1]Sellers Pro'!$F:$F)</f>
        <v>#NAME?</v>
      </c>
      <c r="D57" s="5" t="e">
        <f t="shared" si="0"/>
        <v>#NAME?</v>
      </c>
      <c r="E57" s="5" t="str">
        <f>IFERROR(IF(VLOOKUP(A57,Base!AA:AA,1,0)&gt;0,"1","0"),"0")</f>
        <v>1</v>
      </c>
      <c r="F57" s="5" t="e">
        <f t="shared" si="1"/>
        <v>#NAME?</v>
      </c>
      <c r="G57" s="5" t="str">
        <f t="shared" si="2"/>
        <v>0</v>
      </c>
    </row>
    <row r="58" spans="1:7">
      <c r="A58" s="4">
        <v>481703768002</v>
      </c>
      <c r="B58" s="4" t="s">
        <v>258</v>
      </c>
      <c r="C58" s="1" t="e">
        <f ca="1">_xlfn.XLOOKUP(A58,'[1]Sellers Pro'!$C:$C,'[1]Sellers Pro'!$F:$F)</f>
        <v>#NAME?</v>
      </c>
      <c r="D58" s="5" t="e">
        <f t="shared" si="0"/>
        <v>#NAME?</v>
      </c>
      <c r="E58" s="5" t="str">
        <f>IFERROR(IF(VLOOKUP(A58,Base!AA:AA,1,0)&gt;0,"1","0"),"0")</f>
        <v>1</v>
      </c>
      <c r="F58" s="5" t="e">
        <f t="shared" si="1"/>
        <v>#NAME?</v>
      </c>
      <c r="G58" s="5" t="str">
        <f t="shared" si="2"/>
        <v>0</v>
      </c>
    </row>
    <row r="59" spans="1:7">
      <c r="A59" s="4">
        <v>1030040901202</v>
      </c>
      <c r="B59" s="4" t="s">
        <v>810</v>
      </c>
      <c r="C59" s="1" t="e">
        <f ca="1">_xlfn.XLOOKUP(A59,'[1]Sellers Pro'!$C:$C,'[1]Sellers Pro'!$F:$F)</f>
        <v>#NAME?</v>
      </c>
      <c r="D59" s="5" t="e">
        <f t="shared" si="0"/>
        <v>#NAME?</v>
      </c>
      <c r="E59" s="5" t="str">
        <f>IFERROR(IF(VLOOKUP(A59,Base!AA:AA,1,0)&gt;0,"1","0"),"0")</f>
        <v>1</v>
      </c>
      <c r="F59" s="5" t="e">
        <f t="shared" si="1"/>
        <v>#NAME?</v>
      </c>
      <c r="G59" s="5" t="str">
        <f t="shared" si="2"/>
        <v>0</v>
      </c>
    </row>
    <row r="60" spans="1:7">
      <c r="A60" s="4">
        <v>58401384302</v>
      </c>
      <c r="B60" s="4" t="s">
        <v>1152</v>
      </c>
      <c r="C60" s="1" t="e">
        <f ca="1">_xlfn.XLOOKUP(A60,'[1]Sellers Pro'!$C:$C,'[1]Sellers Pro'!$F:$F)</f>
        <v>#NAME?</v>
      </c>
      <c r="D60" s="5" t="e">
        <f t="shared" si="0"/>
        <v>#NAME?</v>
      </c>
      <c r="E60" s="5" t="str">
        <f>IFERROR(IF(VLOOKUP(A60,Base!AA:AA,1,0)&gt;0,"1","0"),"0")</f>
        <v>1</v>
      </c>
      <c r="F60" s="5" t="e">
        <f t="shared" si="1"/>
        <v>#NAME?</v>
      </c>
      <c r="G60" s="5" t="str">
        <f t="shared" si="2"/>
        <v>0</v>
      </c>
    </row>
    <row r="61" spans="1:7">
      <c r="A61" s="4">
        <v>93900917902</v>
      </c>
      <c r="B61" s="4" t="s">
        <v>2018</v>
      </c>
      <c r="C61" s="1" t="e">
        <f ca="1">_xlfn.XLOOKUP(A61,'[1]Sellers Pro'!$C:$C,'[1]Sellers Pro'!$F:$F)</f>
        <v>#NAME?</v>
      </c>
      <c r="D61" s="5" t="e">
        <f t="shared" si="0"/>
        <v>#NAME?</v>
      </c>
      <c r="E61" s="5" t="str">
        <f>IFERROR(IF(VLOOKUP(A61,Base!AA:AA,1,0)&gt;0,"1","0"),"0")</f>
        <v>1</v>
      </c>
      <c r="F61" s="5" t="e">
        <f t="shared" si="1"/>
        <v>#NAME?</v>
      </c>
      <c r="G61" s="5" t="str">
        <f t="shared" si="2"/>
        <v>0</v>
      </c>
    </row>
    <row r="62" spans="1:7">
      <c r="A62" s="4">
        <v>103928980802</v>
      </c>
      <c r="B62" s="4" t="s">
        <v>1764</v>
      </c>
      <c r="C62" s="1" t="e">
        <f ca="1">_xlfn.XLOOKUP(A62,'[1]Sellers Pro'!$C:$C,'[1]Sellers Pro'!$F:$F)</f>
        <v>#NAME?</v>
      </c>
      <c r="D62" s="5" t="e">
        <f t="shared" si="0"/>
        <v>#NAME?</v>
      </c>
      <c r="E62" s="5" t="str">
        <f>IFERROR(IF(VLOOKUP(A62,Base!AA:AA,1,0)&gt;0,"1","0"),"0")</f>
        <v>1</v>
      </c>
      <c r="F62" s="5" t="e">
        <f t="shared" si="1"/>
        <v>#NAME?</v>
      </c>
      <c r="G62" s="5" t="str">
        <f t="shared" si="2"/>
        <v>0</v>
      </c>
    </row>
    <row r="63" spans="1:7">
      <c r="A63" s="4">
        <v>377459760802</v>
      </c>
      <c r="B63" s="4" t="s">
        <v>2027</v>
      </c>
      <c r="C63" s="1"/>
      <c r="D63" s="5" t="str">
        <f t="shared" si="0"/>
        <v>0</v>
      </c>
      <c r="E63" s="5" t="str">
        <f>IFERROR(IF(VLOOKUP(A63,Base!AA:AA,1,0)&gt;0,"1","0"),"0")</f>
        <v>0</v>
      </c>
      <c r="F63" s="5" t="str">
        <f t="shared" si="1"/>
        <v>-</v>
      </c>
      <c r="G63" s="5" t="str">
        <f t="shared" si="2"/>
        <v>0</v>
      </c>
    </row>
    <row r="64" spans="1:7">
      <c r="A64" s="4">
        <v>133398128802</v>
      </c>
      <c r="B64" s="4" t="s">
        <v>1175</v>
      </c>
      <c r="C64" s="1"/>
      <c r="D64" s="5" t="str">
        <f t="shared" si="0"/>
        <v>0</v>
      </c>
      <c r="E64" s="5" t="str">
        <f>IFERROR(IF(VLOOKUP(A64,Base!AA:AA,1,0)&gt;0,"1","0"),"0")</f>
        <v>0</v>
      </c>
      <c r="F64" s="5" t="str">
        <f t="shared" si="1"/>
        <v>-</v>
      </c>
      <c r="G64" s="5" t="str">
        <f t="shared" si="2"/>
        <v>0</v>
      </c>
    </row>
    <row r="65" spans="1:7">
      <c r="A65" s="4">
        <v>351067276502</v>
      </c>
      <c r="B65" s="4" t="s">
        <v>284</v>
      </c>
      <c r="C65" s="1" t="e">
        <f ca="1">_xlfn.XLOOKUP(A65,'[1]Sellers Pro'!$C:$C,'[1]Sellers Pro'!$F:$F)</f>
        <v>#NAME?</v>
      </c>
      <c r="D65" s="5" t="e">
        <f t="shared" si="0"/>
        <v>#NAME?</v>
      </c>
      <c r="E65" s="5" t="str">
        <f>IFERROR(IF(VLOOKUP(A65,Base!AA:AA,1,0)&gt;0,"1","0"),"0")</f>
        <v>1</v>
      </c>
      <c r="F65" s="5" t="e">
        <f t="shared" si="1"/>
        <v>#NAME?</v>
      </c>
      <c r="G65" s="5" t="str">
        <f t="shared" si="2"/>
        <v>0</v>
      </c>
    </row>
    <row r="66" spans="1:7">
      <c r="A66" s="4">
        <v>433969027802</v>
      </c>
      <c r="B66" s="4" t="s">
        <v>1110</v>
      </c>
      <c r="C66" s="1" t="e">
        <f ca="1">_xlfn.XLOOKUP(A66,'[1]Sellers Pro'!$C:$C,'[1]Sellers Pro'!$F:$F)</f>
        <v>#NAME?</v>
      </c>
      <c r="D66" s="5" t="e">
        <f t="shared" si="0"/>
        <v>#NAME?</v>
      </c>
      <c r="E66" s="5" t="str">
        <f>IFERROR(IF(VLOOKUP(A66,Base!AA:AA,1,0)&gt;0,"1","0"),"0")</f>
        <v>0</v>
      </c>
      <c r="F66" s="5" t="e">
        <f t="shared" si="1"/>
        <v>#NAME?</v>
      </c>
      <c r="G66" s="5" t="str">
        <f t="shared" si="2"/>
        <v>0</v>
      </c>
    </row>
    <row r="67" spans="1:7">
      <c r="A67" s="4">
        <v>89297765302</v>
      </c>
      <c r="B67" s="4" t="s">
        <v>600</v>
      </c>
      <c r="C67" s="1"/>
      <c r="D67" s="5" t="str">
        <f t="shared" si="0"/>
        <v>0</v>
      </c>
      <c r="E67" s="5" t="str">
        <f>IFERROR(IF(VLOOKUP(A67,Base!AA:AA,1,0)&gt;0,"1","0"),"0")</f>
        <v>0</v>
      </c>
      <c r="F67" s="5" t="str">
        <f t="shared" si="1"/>
        <v>-</v>
      </c>
      <c r="G67" s="5" t="str">
        <f t="shared" si="2"/>
        <v>0</v>
      </c>
    </row>
    <row r="68" spans="1:7">
      <c r="A68" s="4">
        <v>642643854302</v>
      </c>
      <c r="B68" s="4" t="s">
        <v>1455</v>
      </c>
      <c r="C68" s="1" t="e">
        <f ca="1">_xlfn.XLOOKUP(A68,'[1]Sellers Pro'!$C:$C,'[1]Sellers Pro'!$F:$F)</f>
        <v>#NAME?</v>
      </c>
      <c r="D68" s="5" t="e">
        <f t="shared" ref="D68:D131" si="3">IF(C68="","0","1")</f>
        <v>#NAME?</v>
      </c>
      <c r="E68" s="5" t="str">
        <f>IFERROR(IF(VLOOKUP(A68,Base!AA:AA,1,0)&gt;0,"1","0"),"0")</f>
        <v>1</v>
      </c>
      <c r="F68" s="5" t="e">
        <f t="shared" ref="F68:F131" si="4">IF(C68="","-",IF(OR(BC68="Muito satisfeito",BC68="Satisfeito"),"1","0"))</f>
        <v>#NAME?</v>
      </c>
      <c r="G68" s="5" t="str">
        <f t="shared" ref="G68:G131" si="5">IF(BC68="","0","1")</f>
        <v>0</v>
      </c>
    </row>
    <row r="69" spans="1:7">
      <c r="A69" s="4">
        <v>560201489502</v>
      </c>
      <c r="B69" s="4" t="s">
        <v>1032</v>
      </c>
      <c r="C69" s="1" t="e">
        <f ca="1">_xlfn.XLOOKUP(A69,'[1]Sellers Pro'!$C:$C,'[1]Sellers Pro'!$F:$F)</f>
        <v>#NAME?</v>
      </c>
      <c r="D69" s="5" t="e">
        <f t="shared" si="3"/>
        <v>#NAME?</v>
      </c>
      <c r="E69" s="5" t="str">
        <f>IFERROR(IF(VLOOKUP(A69,Base!AA:AA,1,0)&gt;0,"1","0"),"0")</f>
        <v>1</v>
      </c>
      <c r="F69" s="5" t="e">
        <f t="shared" si="4"/>
        <v>#NAME?</v>
      </c>
      <c r="G69" s="5" t="str">
        <f t="shared" si="5"/>
        <v>0</v>
      </c>
    </row>
    <row r="70" spans="1:7">
      <c r="A70" s="4">
        <v>59283260402</v>
      </c>
      <c r="B70" s="4" t="s">
        <v>905</v>
      </c>
      <c r="C70" s="1" t="e">
        <f ca="1">_xlfn.XLOOKUP(A70,'[1]Sellers Pro'!$C:$C,'[1]Sellers Pro'!$F:$F)</f>
        <v>#NAME?</v>
      </c>
      <c r="D70" s="5" t="e">
        <f t="shared" si="3"/>
        <v>#NAME?</v>
      </c>
      <c r="E70" s="5" t="str">
        <f>IFERROR(IF(VLOOKUP(A70,Base!AA:AA,1,0)&gt;0,"1","0"),"0")</f>
        <v>1</v>
      </c>
      <c r="F70" s="5" t="e">
        <f t="shared" si="4"/>
        <v>#NAME?</v>
      </c>
      <c r="G70" s="5" t="str">
        <f t="shared" si="5"/>
        <v>0</v>
      </c>
    </row>
    <row r="71" spans="1:7">
      <c r="A71" s="4">
        <v>601998582602</v>
      </c>
      <c r="B71" s="4" t="s">
        <v>234</v>
      </c>
      <c r="C71" s="1" t="e">
        <f ca="1">_xlfn.XLOOKUP(A71,'[1]Sellers Pro'!$C:$C,'[1]Sellers Pro'!$F:$F)</f>
        <v>#NAME?</v>
      </c>
      <c r="D71" s="5" t="e">
        <f t="shared" si="3"/>
        <v>#NAME?</v>
      </c>
      <c r="E71" s="5" t="str">
        <f>IFERROR(IF(VLOOKUP(A71,Base!AA:AA,1,0)&gt;0,"1","0"),"0")</f>
        <v>1</v>
      </c>
      <c r="F71" s="5" t="e">
        <f t="shared" si="4"/>
        <v>#NAME?</v>
      </c>
      <c r="G71" s="5" t="str">
        <f t="shared" si="5"/>
        <v>0</v>
      </c>
    </row>
    <row r="72" spans="1:7">
      <c r="A72" s="4">
        <v>658814193902</v>
      </c>
      <c r="B72" s="4" t="s">
        <v>683</v>
      </c>
      <c r="C72" s="1" t="e">
        <f ca="1">_xlfn.XLOOKUP(A72,'[1]Sellers Pro'!$C:$C,'[1]Sellers Pro'!$F:$F)</f>
        <v>#NAME?</v>
      </c>
      <c r="D72" s="5" t="e">
        <f t="shared" si="3"/>
        <v>#NAME?</v>
      </c>
      <c r="E72" s="5" t="str">
        <f>IFERROR(IF(VLOOKUP(A72,Base!AA:AA,1,0)&gt;0,"1","0"),"0")</f>
        <v>1</v>
      </c>
      <c r="F72" s="5" t="e">
        <f t="shared" si="4"/>
        <v>#NAME?</v>
      </c>
      <c r="G72" s="5" t="str">
        <f t="shared" si="5"/>
        <v>0</v>
      </c>
    </row>
    <row r="73" spans="1:7">
      <c r="A73" s="4">
        <v>779493596402</v>
      </c>
      <c r="B73" s="4" t="s">
        <v>512</v>
      </c>
      <c r="C73" s="1"/>
      <c r="D73" s="5" t="str">
        <f t="shared" si="3"/>
        <v>0</v>
      </c>
      <c r="E73" s="5" t="str">
        <f>IFERROR(IF(VLOOKUP(A73,Base!AA:AA,1,0)&gt;0,"1","0"),"0")</f>
        <v>1</v>
      </c>
      <c r="F73" s="5" t="str">
        <f t="shared" si="4"/>
        <v>-</v>
      </c>
      <c r="G73" s="5" t="str">
        <f t="shared" si="5"/>
        <v>0</v>
      </c>
    </row>
    <row r="74" spans="1:7">
      <c r="A74" s="4">
        <v>58318994402</v>
      </c>
      <c r="B74" s="4" t="s">
        <v>2048</v>
      </c>
      <c r="C74" s="1"/>
      <c r="D74" s="5" t="str">
        <f t="shared" si="3"/>
        <v>0</v>
      </c>
      <c r="E74" s="5" t="str">
        <f>IFERROR(IF(VLOOKUP(A74,Base!AA:AA,1,0)&gt;0,"1","0"),"0")</f>
        <v>0</v>
      </c>
      <c r="F74" s="5" t="str">
        <f t="shared" si="4"/>
        <v>-</v>
      </c>
      <c r="G74" s="5" t="str">
        <f t="shared" si="5"/>
        <v>0</v>
      </c>
    </row>
    <row r="75" spans="1:7">
      <c r="A75" s="4">
        <v>551856008602</v>
      </c>
      <c r="B75" s="4" t="s">
        <v>1248</v>
      </c>
      <c r="C75" s="1" t="e">
        <f ca="1">_xlfn.XLOOKUP(A75,'[1]Sellers Pro'!$C:$C,'[1]Sellers Pro'!$F:$F)</f>
        <v>#NAME?</v>
      </c>
      <c r="D75" s="5" t="e">
        <f t="shared" si="3"/>
        <v>#NAME?</v>
      </c>
      <c r="E75" s="5" t="str">
        <f>IFERROR(IF(VLOOKUP(A75,Base!AA:AA,1,0)&gt;0,"1","0"),"0")</f>
        <v>1</v>
      </c>
      <c r="F75" s="5" t="e">
        <f t="shared" si="4"/>
        <v>#NAME?</v>
      </c>
      <c r="G75" s="5" t="str">
        <f t="shared" si="5"/>
        <v>0</v>
      </c>
    </row>
    <row r="76" spans="1:7">
      <c r="A76" s="4">
        <v>98835860802</v>
      </c>
      <c r="B76" s="4" t="s">
        <v>1667</v>
      </c>
      <c r="C76" s="1" t="e">
        <f ca="1">_xlfn.XLOOKUP(A76,'[1]Sellers Pro'!$C:$C,'[1]Sellers Pro'!$F:$F)</f>
        <v>#NAME?</v>
      </c>
      <c r="D76" s="5" t="e">
        <f t="shared" si="3"/>
        <v>#NAME?</v>
      </c>
      <c r="E76" s="5" t="str">
        <f>IFERROR(IF(VLOOKUP(A76,Base!AA:AA,1,0)&gt;0,"1","0"),"0")</f>
        <v>1</v>
      </c>
      <c r="F76" s="5" t="e">
        <f t="shared" si="4"/>
        <v>#NAME?</v>
      </c>
      <c r="G76" s="5" t="str">
        <f t="shared" si="5"/>
        <v>0</v>
      </c>
    </row>
    <row r="77" spans="1:7">
      <c r="A77" s="4">
        <v>653060435802</v>
      </c>
      <c r="B77" s="4" t="s">
        <v>851</v>
      </c>
      <c r="C77" s="1" t="e">
        <f ca="1">_xlfn.XLOOKUP(A77,'[1]Sellers Pro'!$C:$C,'[1]Sellers Pro'!$F:$F)</f>
        <v>#NAME?</v>
      </c>
      <c r="D77" s="5" t="e">
        <f t="shared" si="3"/>
        <v>#NAME?</v>
      </c>
      <c r="E77" s="5" t="str">
        <f>IFERROR(IF(VLOOKUP(A77,Base!AA:AA,1,0)&gt;0,"1","0"),"0")</f>
        <v>1</v>
      </c>
      <c r="F77" s="5" t="e">
        <f t="shared" si="4"/>
        <v>#NAME?</v>
      </c>
      <c r="G77" s="5" t="str">
        <f t="shared" si="5"/>
        <v>0</v>
      </c>
    </row>
    <row r="78" spans="1:7">
      <c r="A78" s="4">
        <v>20068852602</v>
      </c>
      <c r="B78" s="4" t="s">
        <v>427</v>
      </c>
      <c r="C78" s="1" t="e">
        <f ca="1">_xlfn.XLOOKUP(A78,'[1]Sellers Pro'!$C:$C,'[1]Sellers Pro'!$F:$F)</f>
        <v>#NAME?</v>
      </c>
      <c r="D78" s="5" t="e">
        <f t="shared" si="3"/>
        <v>#NAME?</v>
      </c>
      <c r="E78" s="5" t="str">
        <f>IFERROR(IF(VLOOKUP(A78,Base!AA:AA,1,0)&gt;0,"1","0"),"0")</f>
        <v>1</v>
      </c>
      <c r="F78" s="5" t="e">
        <f t="shared" si="4"/>
        <v>#NAME?</v>
      </c>
      <c r="G78" s="5" t="str">
        <f t="shared" si="5"/>
        <v>0</v>
      </c>
    </row>
    <row r="79" spans="1:7">
      <c r="A79" s="4">
        <v>72695582302</v>
      </c>
      <c r="B79" s="4" t="s">
        <v>707</v>
      </c>
      <c r="C79" s="1" t="e">
        <f ca="1">_xlfn.XLOOKUP(A79,'[1]Sellers Pro'!$C:$C,'[1]Sellers Pro'!$F:$F)</f>
        <v>#NAME?</v>
      </c>
      <c r="D79" s="5" t="e">
        <f t="shared" si="3"/>
        <v>#NAME?</v>
      </c>
      <c r="E79" s="5" t="str">
        <f>IFERROR(IF(VLOOKUP(A79,Base!AA:AA,1,0)&gt;0,"1","0"),"0")</f>
        <v>1</v>
      </c>
      <c r="F79" s="5" t="e">
        <f t="shared" si="4"/>
        <v>#NAME?</v>
      </c>
      <c r="G79" s="5" t="str">
        <f t="shared" si="5"/>
        <v>0</v>
      </c>
    </row>
    <row r="80" spans="1:7">
      <c r="A80" s="4">
        <v>241419664602</v>
      </c>
      <c r="B80" s="4" t="s">
        <v>628</v>
      </c>
      <c r="C80" s="1" t="e">
        <f ca="1">_xlfn.XLOOKUP(A80,'[1]Sellers Pro'!$C:$C,'[1]Sellers Pro'!$F:$F)</f>
        <v>#NAME?</v>
      </c>
      <c r="D80" s="5" t="e">
        <f t="shared" si="3"/>
        <v>#NAME?</v>
      </c>
      <c r="E80" s="5" t="str">
        <f>IFERROR(IF(VLOOKUP(A80,Base!AA:AA,1,0)&gt;0,"1","0"),"0")</f>
        <v>1</v>
      </c>
      <c r="F80" s="5" t="e">
        <f t="shared" si="4"/>
        <v>#NAME?</v>
      </c>
      <c r="G80" s="5" t="str">
        <f t="shared" si="5"/>
        <v>0</v>
      </c>
    </row>
    <row r="81" spans="1:7">
      <c r="A81" s="4">
        <v>7763660815</v>
      </c>
      <c r="B81" s="4" t="s">
        <v>895</v>
      </c>
      <c r="C81" s="1" t="e">
        <f ca="1">_xlfn.XLOOKUP(A81,'[1]Sellers Pro'!$C:$C,'[1]Sellers Pro'!$F:$F)</f>
        <v>#NAME?</v>
      </c>
      <c r="D81" s="5" t="e">
        <f t="shared" si="3"/>
        <v>#NAME?</v>
      </c>
      <c r="E81" s="5" t="str">
        <f>IFERROR(IF(VLOOKUP(A81,Base!AA:AA,1,0)&gt;0,"1","0"),"0")</f>
        <v>1</v>
      </c>
      <c r="F81" s="5" t="e">
        <f t="shared" si="4"/>
        <v>#NAME?</v>
      </c>
      <c r="G81" s="5" t="str">
        <f t="shared" si="5"/>
        <v>0</v>
      </c>
    </row>
    <row r="82" spans="1:7">
      <c r="A82" s="4">
        <v>862944388002</v>
      </c>
      <c r="B82" s="4" t="s">
        <v>1392</v>
      </c>
      <c r="C82" s="1"/>
      <c r="D82" s="5" t="str">
        <f t="shared" si="3"/>
        <v>0</v>
      </c>
      <c r="E82" s="5" t="str">
        <f>IFERROR(IF(VLOOKUP(A82,Base!AA:AA,1,0)&gt;0,"1","0"),"0")</f>
        <v>0</v>
      </c>
      <c r="F82" s="5" t="str">
        <f t="shared" si="4"/>
        <v>-</v>
      </c>
      <c r="G82" s="5" t="str">
        <f t="shared" si="5"/>
        <v>0</v>
      </c>
    </row>
    <row r="83" spans="1:7">
      <c r="A83" s="4">
        <v>133844711902</v>
      </c>
      <c r="B83" s="4" t="s">
        <v>2283</v>
      </c>
      <c r="C83" s="1" t="e">
        <f ca="1">_xlfn.XLOOKUP(A83,'[1]Sellers Pro'!$C:$C,'[1]Sellers Pro'!$F:$F)</f>
        <v>#NAME?</v>
      </c>
      <c r="D83" s="5" t="e">
        <f t="shared" si="3"/>
        <v>#NAME?</v>
      </c>
      <c r="E83" s="5" t="str">
        <f>IFERROR(IF(VLOOKUP(A83,Base!AA:AA,1,0)&gt;0,"1","0"),"0")</f>
        <v>1</v>
      </c>
      <c r="F83" s="5" t="e">
        <f t="shared" si="4"/>
        <v>#NAME?</v>
      </c>
      <c r="G83" s="5" t="str">
        <f t="shared" si="5"/>
        <v>0</v>
      </c>
    </row>
    <row r="84" spans="1:7">
      <c r="A84" s="4">
        <v>358205651902</v>
      </c>
      <c r="B84" s="4" t="s">
        <v>1408</v>
      </c>
      <c r="C84" s="1" t="e">
        <f ca="1">_xlfn.XLOOKUP(A84,'[1]Sellers Pro'!$C:$C,'[1]Sellers Pro'!$F:$F)</f>
        <v>#NAME?</v>
      </c>
      <c r="D84" s="5" t="e">
        <f t="shared" si="3"/>
        <v>#NAME?</v>
      </c>
      <c r="E84" s="5" t="str">
        <f>IFERROR(IF(VLOOKUP(A84,Base!AA:AA,1,0)&gt;0,"1","0"),"0")</f>
        <v>1</v>
      </c>
      <c r="F84" s="5" t="e">
        <f t="shared" si="4"/>
        <v>#NAME?</v>
      </c>
      <c r="G84" s="5" t="str">
        <f t="shared" si="5"/>
        <v>0</v>
      </c>
    </row>
    <row r="85" spans="1:7">
      <c r="A85" s="4">
        <v>20208037402</v>
      </c>
      <c r="B85" s="4" t="s">
        <v>1678</v>
      </c>
      <c r="C85" s="1" t="e">
        <f ca="1">_xlfn.XLOOKUP(A85,'[1]Sellers Pro'!$C:$C,'[1]Sellers Pro'!$F:$F)</f>
        <v>#NAME?</v>
      </c>
      <c r="D85" s="5" t="e">
        <f t="shared" si="3"/>
        <v>#NAME?</v>
      </c>
      <c r="E85" s="5" t="str">
        <f>IFERROR(IF(VLOOKUP(A85,Base!AA:AA,1,0)&gt;0,"1","0"),"0")</f>
        <v>1</v>
      </c>
      <c r="F85" s="5" t="e">
        <f t="shared" si="4"/>
        <v>#NAME?</v>
      </c>
      <c r="G85" s="5" t="str">
        <f t="shared" si="5"/>
        <v>0</v>
      </c>
    </row>
    <row r="86" spans="1:7">
      <c r="A86" s="4">
        <v>474741185002</v>
      </c>
      <c r="B86" s="4" t="s">
        <v>1812</v>
      </c>
      <c r="C86" s="1" t="e">
        <f ca="1">_xlfn.XLOOKUP(A86,'[1]Sellers Pro'!$C:$C,'[1]Sellers Pro'!$F:$F)</f>
        <v>#NAME?</v>
      </c>
      <c r="D86" s="5" t="e">
        <f t="shared" si="3"/>
        <v>#NAME?</v>
      </c>
      <c r="E86" s="5" t="str">
        <f>IFERROR(IF(VLOOKUP(A86,Base!AA:AA,1,0)&gt;0,"1","0"),"0")</f>
        <v>1</v>
      </c>
      <c r="F86" s="5" t="e">
        <f t="shared" si="4"/>
        <v>#NAME?</v>
      </c>
      <c r="G86" s="5" t="str">
        <f t="shared" si="5"/>
        <v>0</v>
      </c>
    </row>
    <row r="87" spans="1:7">
      <c r="A87" s="4">
        <v>28945506502</v>
      </c>
      <c r="B87" s="4" t="s">
        <v>820</v>
      </c>
      <c r="C87" s="1" t="e">
        <f ca="1">_xlfn.XLOOKUP(A87,'[1]Sellers Pro'!$C:$C,'[1]Sellers Pro'!$F:$F)</f>
        <v>#NAME?</v>
      </c>
      <c r="D87" s="5" t="e">
        <f t="shared" si="3"/>
        <v>#NAME?</v>
      </c>
      <c r="E87" s="5" t="str">
        <f>IFERROR(IF(VLOOKUP(A87,Base!AA:AA,1,0)&gt;0,"1","0"),"0")</f>
        <v>1</v>
      </c>
      <c r="F87" s="5" t="e">
        <f t="shared" si="4"/>
        <v>#NAME?</v>
      </c>
      <c r="G87" s="5" t="str">
        <f t="shared" si="5"/>
        <v>0</v>
      </c>
    </row>
    <row r="88" spans="1:7">
      <c r="A88" s="4">
        <v>314278248802</v>
      </c>
      <c r="B88" s="4" t="s">
        <v>194</v>
      </c>
      <c r="C88" s="1" t="e">
        <f ca="1">_xlfn.XLOOKUP(A88,'[1]Sellers Pro'!$C:$C,'[1]Sellers Pro'!$F:$F)</f>
        <v>#NAME?</v>
      </c>
      <c r="D88" s="5" t="e">
        <f t="shared" si="3"/>
        <v>#NAME?</v>
      </c>
      <c r="E88" s="5" t="str">
        <f>IFERROR(IF(VLOOKUP(A88,Base!AA:AA,1,0)&gt;0,"1","0"),"0")</f>
        <v>1</v>
      </c>
      <c r="F88" s="5" t="e">
        <f t="shared" si="4"/>
        <v>#NAME?</v>
      </c>
      <c r="G88" s="5" t="str">
        <f t="shared" si="5"/>
        <v>0</v>
      </c>
    </row>
    <row r="89" spans="1:7">
      <c r="A89" s="4">
        <v>26774818902</v>
      </c>
      <c r="B89" s="4" t="s">
        <v>1125</v>
      </c>
      <c r="C89" s="1" t="e">
        <f ca="1">_xlfn.XLOOKUP(A89,'[1]Sellers Pro'!$C:$C,'[1]Sellers Pro'!$F:$F)</f>
        <v>#NAME?</v>
      </c>
      <c r="D89" s="5" t="e">
        <f t="shared" si="3"/>
        <v>#NAME?</v>
      </c>
      <c r="E89" s="5" t="str">
        <f>IFERROR(IF(VLOOKUP(A89,Base!AA:AA,1,0)&gt;0,"1","0"),"0")</f>
        <v>1</v>
      </c>
      <c r="F89" s="5" t="e">
        <f t="shared" si="4"/>
        <v>#NAME?</v>
      </c>
      <c r="G89" s="5" t="str">
        <f t="shared" si="5"/>
        <v>0</v>
      </c>
    </row>
    <row r="90" spans="1:7">
      <c r="A90" s="4">
        <v>435346364602</v>
      </c>
      <c r="B90" s="4" t="s">
        <v>1636</v>
      </c>
      <c r="C90" s="1" t="e">
        <f ca="1">_xlfn.XLOOKUP(A90,'[1]Sellers Pro'!$C:$C,'[1]Sellers Pro'!$F:$F)</f>
        <v>#NAME?</v>
      </c>
      <c r="D90" s="5" t="e">
        <f t="shared" si="3"/>
        <v>#NAME?</v>
      </c>
      <c r="E90" s="5" t="str">
        <f>IFERROR(IF(VLOOKUP(A90,Base!AA:AA,1,0)&gt;0,"1","0"),"0")</f>
        <v>1</v>
      </c>
      <c r="F90" s="5" t="e">
        <f t="shared" si="4"/>
        <v>#NAME?</v>
      </c>
      <c r="G90" s="5" t="str">
        <f t="shared" si="5"/>
        <v>0</v>
      </c>
    </row>
    <row r="91" spans="1:7">
      <c r="A91" s="4">
        <v>128837707402</v>
      </c>
      <c r="B91" s="4" t="s">
        <v>390</v>
      </c>
      <c r="C91" s="1" t="e">
        <f ca="1">_xlfn.XLOOKUP(A91,'[1]Sellers Pro'!$C:$C,'[1]Sellers Pro'!$F:$F)</f>
        <v>#NAME?</v>
      </c>
      <c r="D91" s="5" t="e">
        <f t="shared" si="3"/>
        <v>#NAME?</v>
      </c>
      <c r="E91" s="5" t="str">
        <f>IFERROR(IF(VLOOKUP(A91,Base!AA:AA,1,0)&gt;0,"1","0"),"0")</f>
        <v>1</v>
      </c>
      <c r="F91" s="5" t="e">
        <f t="shared" si="4"/>
        <v>#NAME?</v>
      </c>
      <c r="G91" s="5" t="str">
        <f t="shared" si="5"/>
        <v>0</v>
      </c>
    </row>
    <row r="92" spans="1:7">
      <c r="A92" s="4">
        <v>276705576602</v>
      </c>
      <c r="B92" s="4" t="s">
        <v>1694</v>
      </c>
      <c r="C92" s="1" t="e">
        <f ca="1">_xlfn.XLOOKUP(A92,'[1]Sellers Pro'!$C:$C,'[1]Sellers Pro'!$F:$F)</f>
        <v>#NAME?</v>
      </c>
      <c r="D92" s="5" t="e">
        <f t="shared" si="3"/>
        <v>#NAME?</v>
      </c>
      <c r="E92" s="5" t="str">
        <f>IFERROR(IF(VLOOKUP(A92,Base!AA:AA,1,0)&gt;0,"1","0"),"0")</f>
        <v>1</v>
      </c>
      <c r="F92" s="5" t="e">
        <f t="shared" si="4"/>
        <v>#NAME?</v>
      </c>
      <c r="G92" s="5" t="str">
        <f t="shared" si="5"/>
        <v>0</v>
      </c>
    </row>
    <row r="93" spans="1:7">
      <c r="A93" s="4">
        <v>24383333802</v>
      </c>
      <c r="B93" s="4" t="s">
        <v>1342</v>
      </c>
      <c r="C93" s="1" t="e">
        <f ca="1">_xlfn.XLOOKUP(A93,'[1]Sellers Pro'!$C:$C,'[1]Sellers Pro'!$F:$F)</f>
        <v>#NAME?</v>
      </c>
      <c r="D93" s="5" t="e">
        <f t="shared" si="3"/>
        <v>#NAME?</v>
      </c>
      <c r="E93" s="5" t="str">
        <f>IFERROR(IF(VLOOKUP(A93,Base!AA:AA,1,0)&gt;0,"1","0"),"0")</f>
        <v>1</v>
      </c>
      <c r="F93" s="5" t="e">
        <f t="shared" si="4"/>
        <v>#NAME?</v>
      </c>
      <c r="G93" s="5" t="str">
        <f t="shared" si="5"/>
        <v>0</v>
      </c>
    </row>
    <row r="94" spans="1:7">
      <c r="A94" s="4">
        <v>28882816002</v>
      </c>
      <c r="B94" s="4" t="s">
        <v>1740</v>
      </c>
      <c r="C94" s="1"/>
      <c r="D94" s="5" t="str">
        <f t="shared" si="3"/>
        <v>0</v>
      </c>
      <c r="E94" s="5" t="str">
        <f>IFERROR(IF(VLOOKUP(A94,Base!AA:AA,1,0)&gt;0,"1","0"),"0")</f>
        <v>0</v>
      </c>
      <c r="F94" s="5" t="str">
        <f t="shared" si="4"/>
        <v>-</v>
      </c>
      <c r="G94" s="5" t="str">
        <f t="shared" si="5"/>
        <v>0</v>
      </c>
    </row>
    <row r="95" spans="1:7">
      <c r="A95" s="4">
        <v>92771955402</v>
      </c>
      <c r="B95" s="4" t="s">
        <v>645</v>
      </c>
      <c r="C95" s="1" t="e">
        <f ca="1">_xlfn.XLOOKUP(A95,'[1]Sellers Pro'!$C:$C,'[1]Sellers Pro'!$F:$F)</f>
        <v>#NAME?</v>
      </c>
      <c r="D95" s="5" t="e">
        <f t="shared" si="3"/>
        <v>#NAME?</v>
      </c>
      <c r="E95" s="5" t="str">
        <f>IFERROR(IF(VLOOKUP(A95,Base!AA:AA,1,0)&gt;0,"1","0"),"0")</f>
        <v>1</v>
      </c>
      <c r="F95" s="5" t="e">
        <f t="shared" si="4"/>
        <v>#NAME?</v>
      </c>
      <c r="G95" s="5" t="str">
        <f t="shared" si="5"/>
        <v>0</v>
      </c>
    </row>
    <row r="96" spans="1:7">
      <c r="A96" s="4">
        <v>438747217402</v>
      </c>
      <c r="B96" s="4" t="s">
        <v>1377</v>
      </c>
      <c r="C96" s="1" t="e">
        <f ca="1">_xlfn.XLOOKUP(A96,'[1]Sellers Pro'!$C:$C,'[1]Sellers Pro'!$F:$F)</f>
        <v>#NAME?</v>
      </c>
      <c r="D96" s="5" t="e">
        <f t="shared" si="3"/>
        <v>#NAME?</v>
      </c>
      <c r="E96" s="5" t="str">
        <f>IFERROR(IF(VLOOKUP(A96,Base!AA:AA,1,0)&gt;0,"1","0"),"0")</f>
        <v>1</v>
      </c>
      <c r="F96" s="5" t="e">
        <f t="shared" si="4"/>
        <v>#NAME?</v>
      </c>
      <c r="G96" s="5" t="str">
        <f t="shared" si="5"/>
        <v>0</v>
      </c>
    </row>
    <row r="97" spans="1:7">
      <c r="A97" s="4">
        <v>98385811302</v>
      </c>
      <c r="B97" s="4" t="s">
        <v>1591</v>
      </c>
      <c r="C97" s="1" t="e">
        <f ca="1">_xlfn.XLOOKUP(A97,'[1]Sellers Pro'!$C:$C,'[1]Sellers Pro'!$F:$F)</f>
        <v>#NAME?</v>
      </c>
      <c r="D97" s="5" t="e">
        <f t="shared" si="3"/>
        <v>#NAME?</v>
      </c>
      <c r="E97" s="5" t="str">
        <f>IFERROR(IF(VLOOKUP(A97,Base!AA:AA,1,0)&gt;0,"1","0"),"0")</f>
        <v>1</v>
      </c>
      <c r="F97" s="5" t="e">
        <f t="shared" si="4"/>
        <v>#NAME?</v>
      </c>
      <c r="G97" s="5" t="str">
        <f t="shared" si="5"/>
        <v>0</v>
      </c>
    </row>
    <row r="98" spans="1:7">
      <c r="A98" s="4">
        <v>30887912302</v>
      </c>
      <c r="B98" s="4" t="s">
        <v>366</v>
      </c>
      <c r="C98" s="1" t="e">
        <f ca="1">_xlfn.XLOOKUP(A98,'[1]Sellers Pro'!$C:$C,'[1]Sellers Pro'!$F:$F)</f>
        <v>#NAME?</v>
      </c>
      <c r="D98" s="5" t="e">
        <f t="shared" si="3"/>
        <v>#NAME?</v>
      </c>
      <c r="E98" s="5" t="str">
        <f>IFERROR(IF(VLOOKUP(A98,Base!AA:AA,1,0)&gt;0,"1","0"),"0")</f>
        <v>1</v>
      </c>
      <c r="F98" s="5" t="e">
        <f t="shared" si="4"/>
        <v>#NAME?</v>
      </c>
      <c r="G98" s="5" t="str">
        <f t="shared" si="5"/>
        <v>0</v>
      </c>
    </row>
    <row r="99" spans="1:7">
      <c r="A99" s="4">
        <v>187533500102</v>
      </c>
      <c r="B99" s="4" t="s">
        <v>1717</v>
      </c>
      <c r="C99" s="1" t="e">
        <f ca="1">_xlfn.XLOOKUP(A99,'[1]Sellers Pro'!$C:$C,'[1]Sellers Pro'!$F:$F)</f>
        <v>#NAME?</v>
      </c>
      <c r="D99" s="5" t="e">
        <f t="shared" si="3"/>
        <v>#NAME?</v>
      </c>
      <c r="E99" s="5" t="str">
        <f>IFERROR(IF(VLOOKUP(A99,Base!AA:AA,1,0)&gt;0,"1","0"),"0")</f>
        <v>1</v>
      </c>
      <c r="F99" s="5" t="e">
        <f t="shared" si="4"/>
        <v>#NAME?</v>
      </c>
      <c r="G99" s="5" t="str">
        <f t="shared" si="5"/>
        <v>0</v>
      </c>
    </row>
    <row r="100" spans="1:7">
      <c r="A100" s="4">
        <v>309059081002</v>
      </c>
      <c r="B100" s="4" t="s">
        <v>1998</v>
      </c>
      <c r="C100" s="1"/>
      <c r="D100" s="5" t="str">
        <f t="shared" si="3"/>
        <v>0</v>
      </c>
      <c r="E100" s="5" t="str">
        <f>IFERROR(IF(VLOOKUP(A100,Base!AA:AA,1,0)&gt;0,"1","0"),"0")</f>
        <v>0</v>
      </c>
      <c r="F100" s="5" t="str">
        <f t="shared" si="4"/>
        <v>-</v>
      </c>
      <c r="G100" s="5" t="str">
        <f t="shared" si="5"/>
        <v>0</v>
      </c>
    </row>
    <row r="101" spans="1:7">
      <c r="A101" s="4">
        <v>60238888002</v>
      </c>
      <c r="B101" s="4" t="s">
        <v>1024</v>
      </c>
      <c r="C101" s="1" t="e">
        <f ca="1">_xlfn.XLOOKUP(A101,'[1]Sellers Pro'!$C:$C,'[1]Sellers Pro'!$F:$F)</f>
        <v>#NAME?</v>
      </c>
      <c r="D101" s="5" t="e">
        <f t="shared" si="3"/>
        <v>#NAME?</v>
      </c>
      <c r="E101" s="5" t="str">
        <f>IFERROR(IF(VLOOKUP(A101,Base!AA:AA,1,0)&gt;0,"1","0"),"0")</f>
        <v>1</v>
      </c>
      <c r="F101" s="5" t="e">
        <f t="shared" si="4"/>
        <v>#NAME?</v>
      </c>
      <c r="G101" s="5" t="str">
        <f t="shared" si="5"/>
        <v>0</v>
      </c>
    </row>
    <row r="102" spans="1:7">
      <c r="A102" s="4">
        <v>45030065502</v>
      </c>
      <c r="B102" s="4" t="s">
        <v>2284</v>
      </c>
      <c r="C102" s="1" t="e">
        <f ca="1">_xlfn.XLOOKUP(A102,'[1]Sellers Pro'!$C:$C,'[1]Sellers Pro'!$F:$F)</f>
        <v>#NAME?</v>
      </c>
      <c r="D102" s="5" t="e">
        <f t="shared" si="3"/>
        <v>#NAME?</v>
      </c>
      <c r="E102" s="5" t="str">
        <f>IFERROR(IF(VLOOKUP(A102,Base!AA:AA,1,0)&gt;0,"1","0"),"0")</f>
        <v>1</v>
      </c>
      <c r="F102" s="5" t="e">
        <f t="shared" si="4"/>
        <v>#NAME?</v>
      </c>
      <c r="G102" s="5" t="str">
        <f t="shared" si="5"/>
        <v>0</v>
      </c>
    </row>
    <row r="103" spans="1:7">
      <c r="A103" s="4">
        <v>301429377802</v>
      </c>
      <c r="B103" s="4" t="s">
        <v>1868</v>
      </c>
      <c r="C103" s="1" t="e">
        <f ca="1">_xlfn.XLOOKUP(A103,'[1]Sellers Pro'!$C:$C,'[1]Sellers Pro'!$F:$F)</f>
        <v>#NAME?</v>
      </c>
      <c r="D103" s="5" t="e">
        <f t="shared" si="3"/>
        <v>#NAME?</v>
      </c>
      <c r="E103" s="5" t="str">
        <f>IFERROR(IF(VLOOKUP(A103,Base!AA:AA,1,0)&gt;0,"1","0"),"0")</f>
        <v>1</v>
      </c>
      <c r="F103" s="5" t="e">
        <f t="shared" si="4"/>
        <v>#NAME?</v>
      </c>
      <c r="G103" s="5" t="str">
        <f t="shared" si="5"/>
        <v>0</v>
      </c>
    </row>
    <row r="104" spans="1:7">
      <c r="A104" s="4">
        <v>589580604602</v>
      </c>
      <c r="B104" s="4" t="s">
        <v>2070</v>
      </c>
      <c r="C104" s="1" t="e">
        <f ca="1">_xlfn.XLOOKUP(A104,'[1]Sellers Pro'!$C:$C,'[1]Sellers Pro'!$F:$F)</f>
        <v>#NAME?</v>
      </c>
      <c r="D104" s="5" t="e">
        <f t="shared" si="3"/>
        <v>#NAME?</v>
      </c>
      <c r="E104" s="5" t="str">
        <f>IFERROR(IF(VLOOKUP(A104,Base!AA:AA,1,0)&gt;0,"1","0"),"0")</f>
        <v>1</v>
      </c>
      <c r="F104" s="5" t="e">
        <f t="shared" si="4"/>
        <v>#NAME?</v>
      </c>
      <c r="G104" s="5" t="str">
        <f t="shared" si="5"/>
        <v>0</v>
      </c>
    </row>
    <row r="105" spans="1:7">
      <c r="A105" s="4">
        <v>24386750602</v>
      </c>
      <c r="B105" s="4" t="s">
        <v>1847</v>
      </c>
      <c r="C105" s="1" t="e">
        <f ca="1">_xlfn.XLOOKUP(A105,'[1]Sellers Pro'!$C:$C,'[1]Sellers Pro'!$F:$F)</f>
        <v>#NAME?</v>
      </c>
      <c r="D105" s="5" t="e">
        <f t="shared" si="3"/>
        <v>#NAME?</v>
      </c>
      <c r="E105" s="5" t="str">
        <f>IFERROR(IF(VLOOKUP(A105,Base!AA:AA,1,0)&gt;0,"1","0"),"0")</f>
        <v>1</v>
      </c>
      <c r="F105" s="5" t="e">
        <f t="shared" si="4"/>
        <v>#NAME?</v>
      </c>
      <c r="G105" s="5" t="str">
        <f t="shared" si="5"/>
        <v>0</v>
      </c>
    </row>
    <row r="106" spans="1:7">
      <c r="A106" s="4">
        <v>14279576402</v>
      </c>
      <c r="B106" s="4" t="s">
        <v>2285</v>
      </c>
      <c r="C106" s="1" t="e">
        <f ca="1">_xlfn.XLOOKUP(A106,'[1]Sellers Pro'!$C:$C,'[1]Sellers Pro'!$F:$F)</f>
        <v>#NAME?</v>
      </c>
      <c r="D106" s="5" t="e">
        <f t="shared" si="3"/>
        <v>#NAME?</v>
      </c>
      <c r="E106" s="5" t="str">
        <f>IFERROR(IF(VLOOKUP(A106,Base!AA:AA,1,0)&gt;0,"1","0"),"0")</f>
        <v>0</v>
      </c>
      <c r="F106" s="5" t="e">
        <f t="shared" si="4"/>
        <v>#NAME?</v>
      </c>
      <c r="G106" s="5" t="str">
        <f t="shared" si="5"/>
        <v>0</v>
      </c>
    </row>
    <row r="107" spans="1:7">
      <c r="A107" s="4">
        <v>20025747402</v>
      </c>
      <c r="B107" s="4" t="s">
        <v>524</v>
      </c>
      <c r="C107" s="1" t="e">
        <f ca="1">_xlfn.XLOOKUP(A107,'[1]Sellers Pro'!$C:$C,'[1]Sellers Pro'!$F:$F)</f>
        <v>#NAME?</v>
      </c>
      <c r="D107" s="5" t="e">
        <f t="shared" si="3"/>
        <v>#NAME?</v>
      </c>
      <c r="E107" s="5" t="str">
        <f>IFERROR(IF(VLOOKUP(A107,Base!AA:AA,1,0)&gt;0,"1","0"),"0")</f>
        <v>1</v>
      </c>
      <c r="F107" s="5" t="e">
        <f t="shared" si="4"/>
        <v>#NAME?</v>
      </c>
      <c r="G107" s="5" t="str">
        <f t="shared" si="5"/>
        <v>0</v>
      </c>
    </row>
    <row r="108" spans="1:7">
      <c r="A108" s="4">
        <v>191336978502</v>
      </c>
      <c r="B108" s="4" t="s">
        <v>768</v>
      </c>
      <c r="C108" s="1" t="e">
        <f ca="1">_xlfn.XLOOKUP(A108,'[1]Sellers Pro'!$C:$C,'[1]Sellers Pro'!$F:$F)</f>
        <v>#NAME?</v>
      </c>
      <c r="D108" s="5" t="e">
        <f t="shared" si="3"/>
        <v>#NAME?</v>
      </c>
      <c r="E108" s="5" t="str">
        <f>IFERROR(IF(VLOOKUP(A108,Base!AA:AA,1,0)&gt;0,"1","0"),"0")</f>
        <v>1</v>
      </c>
      <c r="F108" s="5" t="e">
        <f t="shared" si="4"/>
        <v>#NAME?</v>
      </c>
      <c r="G108" s="5" t="str">
        <f t="shared" si="5"/>
        <v>0</v>
      </c>
    </row>
    <row r="109" spans="1:7">
      <c r="A109" s="4">
        <v>316318935902</v>
      </c>
      <c r="B109" s="4" t="s">
        <v>2286</v>
      </c>
      <c r="C109" s="1"/>
      <c r="D109" s="5" t="str">
        <f t="shared" si="3"/>
        <v>0</v>
      </c>
      <c r="E109" s="5" t="str">
        <f>IFERROR(IF(VLOOKUP(A109,Base!AA:AA,1,0)&gt;0,"1","0"),"0")</f>
        <v>0</v>
      </c>
      <c r="F109" s="5" t="str">
        <f t="shared" si="4"/>
        <v>-</v>
      </c>
      <c r="G109" s="5" t="str">
        <f t="shared" si="5"/>
        <v>0</v>
      </c>
    </row>
    <row r="110" spans="1:7">
      <c r="A110" s="4">
        <v>24558652202</v>
      </c>
      <c r="B110" s="4" t="s">
        <v>102</v>
      </c>
      <c r="C110" s="1" t="e">
        <f ca="1">_xlfn.XLOOKUP(A110,'[1]Sellers Pro'!$C:$C,'[1]Sellers Pro'!$F:$F)</f>
        <v>#NAME?</v>
      </c>
      <c r="D110" s="5" t="e">
        <f t="shared" si="3"/>
        <v>#NAME?</v>
      </c>
      <c r="E110" s="5" t="str">
        <f>IFERROR(IF(VLOOKUP(A110,Base!AA:AA,1,0)&gt;0,"1","0"),"0")</f>
        <v>1</v>
      </c>
      <c r="F110" s="5" t="e">
        <f t="shared" si="4"/>
        <v>#NAME?</v>
      </c>
      <c r="G110" s="5" t="str">
        <f t="shared" si="5"/>
        <v>0</v>
      </c>
    </row>
    <row r="111" spans="1:7">
      <c r="A111" s="4">
        <v>15954434402</v>
      </c>
      <c r="B111" s="4" t="s">
        <v>1525</v>
      </c>
      <c r="C111" s="1"/>
      <c r="D111" s="5" t="str">
        <f t="shared" si="3"/>
        <v>0</v>
      </c>
      <c r="E111" s="5" t="str">
        <f>IFERROR(IF(VLOOKUP(A111,Base!AA:AA,1,0)&gt;0,"1","0"),"0")</f>
        <v>0</v>
      </c>
      <c r="F111" s="5" t="str">
        <f t="shared" si="4"/>
        <v>-</v>
      </c>
      <c r="G111" s="5" t="str">
        <f t="shared" si="5"/>
        <v>0</v>
      </c>
    </row>
    <row r="112" spans="1:7">
      <c r="A112" s="4">
        <v>453606604502</v>
      </c>
      <c r="B112" s="4" t="s">
        <v>658</v>
      </c>
      <c r="C112" s="1" t="e">
        <f ca="1">_xlfn.XLOOKUP(A112,'[1]Sellers Pro'!$C:$C,'[1]Sellers Pro'!$F:$F)</f>
        <v>#NAME?</v>
      </c>
      <c r="D112" s="5" t="e">
        <f t="shared" si="3"/>
        <v>#NAME?</v>
      </c>
      <c r="E112" s="5" t="str">
        <f>IFERROR(IF(VLOOKUP(A112,Base!AA:AA,1,0)&gt;0,"1","0"),"0")</f>
        <v>0</v>
      </c>
      <c r="F112" s="5" t="e">
        <f t="shared" si="4"/>
        <v>#NAME?</v>
      </c>
      <c r="G112" s="5" t="str">
        <f t="shared" si="5"/>
        <v>0</v>
      </c>
    </row>
    <row r="113" spans="1:7">
      <c r="A113" s="4">
        <v>312652842702</v>
      </c>
      <c r="B113" s="4" t="s">
        <v>1348</v>
      </c>
      <c r="C113" s="1"/>
      <c r="D113" s="5" t="str">
        <f t="shared" si="3"/>
        <v>0</v>
      </c>
      <c r="E113" s="5" t="str">
        <f>IFERROR(IF(VLOOKUP(A113,Base!AA:AA,1,0)&gt;0,"1","0"),"0")</f>
        <v>0</v>
      </c>
      <c r="F113" s="5" t="str">
        <f t="shared" si="4"/>
        <v>-</v>
      </c>
      <c r="G113" s="5" t="str">
        <f t="shared" si="5"/>
        <v>0</v>
      </c>
    </row>
    <row r="114" spans="1:7">
      <c r="A114" s="4">
        <v>395118894802</v>
      </c>
      <c r="B114" s="4" t="s">
        <v>2287</v>
      </c>
      <c r="C114" s="1"/>
      <c r="D114" s="5" t="str">
        <f t="shared" si="3"/>
        <v>0</v>
      </c>
      <c r="E114" s="5" t="str">
        <f>IFERROR(IF(VLOOKUP(A114,Base!AA:AA,1,0)&gt;0,"1","0"),"0")</f>
        <v>0</v>
      </c>
      <c r="F114" s="5" t="str">
        <f t="shared" si="4"/>
        <v>-</v>
      </c>
      <c r="G114" s="5" t="str">
        <f t="shared" si="5"/>
        <v>0</v>
      </c>
    </row>
    <row r="115" spans="1:7">
      <c r="A115" s="4">
        <v>155525090602</v>
      </c>
      <c r="B115" s="4" t="s">
        <v>2212</v>
      </c>
      <c r="C115" s="1" t="e">
        <f ca="1">_xlfn.XLOOKUP(A115,'[1]Sellers Pro'!$C:$C,'[1]Sellers Pro'!$F:$F)</f>
        <v>#NAME?</v>
      </c>
      <c r="D115" s="5" t="e">
        <f t="shared" si="3"/>
        <v>#NAME?</v>
      </c>
      <c r="E115" s="5" t="str">
        <f>IFERROR(IF(VLOOKUP(A115,Base!AA:AA,1,0)&gt;0,"1","0"),"0")</f>
        <v>1</v>
      </c>
      <c r="F115" s="5" t="e">
        <f t="shared" si="4"/>
        <v>#NAME?</v>
      </c>
      <c r="G115" s="5" t="str">
        <f t="shared" si="5"/>
        <v>0</v>
      </c>
    </row>
    <row r="116" spans="1:7">
      <c r="A116" s="4">
        <v>175133439302</v>
      </c>
      <c r="B116" s="4" t="s">
        <v>920</v>
      </c>
      <c r="C116" s="1" t="e">
        <f ca="1">_xlfn.XLOOKUP(A116,'[1]Sellers Pro'!$C:$C,'[1]Sellers Pro'!$F:$F)</f>
        <v>#NAME?</v>
      </c>
      <c r="D116" s="5" t="e">
        <f t="shared" si="3"/>
        <v>#NAME?</v>
      </c>
      <c r="E116" s="5" t="str">
        <f>IFERROR(IF(VLOOKUP(A116,Base!AA:AA,1,0)&gt;0,"1","0"),"0")</f>
        <v>1</v>
      </c>
      <c r="F116" s="5" t="e">
        <f t="shared" si="4"/>
        <v>#NAME?</v>
      </c>
      <c r="G116" s="5" t="str">
        <f t="shared" si="5"/>
        <v>0</v>
      </c>
    </row>
    <row r="117" spans="1:7">
      <c r="A117" s="4">
        <v>816067318102</v>
      </c>
      <c r="B117" s="4" t="s">
        <v>1643</v>
      </c>
      <c r="C117" s="1" t="e">
        <f ca="1">_xlfn.XLOOKUP(A117,'[1]Sellers Pro'!$C:$C,'[1]Sellers Pro'!$F:$F)</f>
        <v>#NAME?</v>
      </c>
      <c r="D117" s="5" t="e">
        <f t="shared" si="3"/>
        <v>#NAME?</v>
      </c>
      <c r="E117" s="5" t="str">
        <f>IFERROR(IF(VLOOKUP(A117,Base!AA:AA,1,0)&gt;0,"1","0"),"0")</f>
        <v>1</v>
      </c>
      <c r="F117" s="5" t="e">
        <f t="shared" si="4"/>
        <v>#NAME?</v>
      </c>
      <c r="G117" s="5" t="str">
        <f t="shared" si="5"/>
        <v>0</v>
      </c>
    </row>
    <row r="118" spans="1:7">
      <c r="A118" s="4">
        <v>352653660902</v>
      </c>
      <c r="B118" s="4" t="s">
        <v>1013</v>
      </c>
      <c r="C118" s="1"/>
      <c r="D118" s="5" t="str">
        <f t="shared" si="3"/>
        <v>0</v>
      </c>
      <c r="E118" s="5" t="str">
        <f>IFERROR(IF(VLOOKUP(A118,Base!AA:AA,1,0)&gt;0,"1","0"),"0")</f>
        <v>0</v>
      </c>
      <c r="F118" s="5" t="str">
        <f t="shared" si="4"/>
        <v>-</v>
      </c>
      <c r="G118" s="5" t="str">
        <f t="shared" si="5"/>
        <v>0</v>
      </c>
    </row>
    <row r="119" spans="1:7">
      <c r="A119" s="4">
        <v>475342556402</v>
      </c>
      <c r="B119" s="4" t="s">
        <v>1415</v>
      </c>
      <c r="C119" s="1" t="e">
        <f ca="1">_xlfn.XLOOKUP(A119,'[1]Sellers Pro'!$C:$C,'[1]Sellers Pro'!$F:$F)</f>
        <v>#NAME?</v>
      </c>
      <c r="D119" s="5" t="e">
        <f t="shared" si="3"/>
        <v>#NAME?</v>
      </c>
      <c r="E119" s="5" t="str">
        <f>IFERROR(IF(VLOOKUP(A119,Base!AA:AA,1,0)&gt;0,"1","0"),"0")</f>
        <v>1</v>
      </c>
      <c r="F119" s="5" t="e">
        <f t="shared" si="4"/>
        <v>#NAME?</v>
      </c>
      <c r="G119" s="5" t="str">
        <f t="shared" si="5"/>
        <v>0</v>
      </c>
    </row>
    <row r="120" spans="1:7">
      <c r="A120" s="4">
        <v>301135555502</v>
      </c>
      <c r="B120" s="4" t="s">
        <v>1548</v>
      </c>
      <c r="C120" s="1"/>
      <c r="D120" s="5" t="str">
        <f t="shared" si="3"/>
        <v>0</v>
      </c>
      <c r="E120" s="5" t="str">
        <f>IFERROR(IF(VLOOKUP(A120,Base!AA:AA,1,0)&gt;0,"1","0"),"0")</f>
        <v>0</v>
      </c>
      <c r="F120" s="5" t="str">
        <f t="shared" si="4"/>
        <v>-</v>
      </c>
      <c r="G120" s="5" t="str">
        <f t="shared" si="5"/>
        <v>0</v>
      </c>
    </row>
    <row r="121" spans="1:7">
      <c r="A121" s="4">
        <v>322177938302</v>
      </c>
      <c r="B121" s="4" t="s">
        <v>2288</v>
      </c>
      <c r="C121" s="1"/>
      <c r="D121" s="5" t="str">
        <f t="shared" si="3"/>
        <v>0</v>
      </c>
      <c r="E121" s="5" t="str">
        <f>IFERROR(IF(VLOOKUP(A121,Base!AA:AA,1,0)&gt;0,"1","0"),"0")</f>
        <v>0</v>
      </c>
      <c r="F121" s="5" t="str">
        <f t="shared" si="4"/>
        <v>-</v>
      </c>
      <c r="G121" s="5" t="str">
        <f t="shared" si="5"/>
        <v>0</v>
      </c>
    </row>
    <row r="122" spans="1:7">
      <c r="A122" s="4">
        <v>563654665702</v>
      </c>
      <c r="B122" s="4" t="s">
        <v>1823</v>
      </c>
      <c r="C122" s="1"/>
      <c r="D122" s="5" t="str">
        <f t="shared" si="3"/>
        <v>0</v>
      </c>
      <c r="E122" s="5" t="str">
        <f>IFERROR(IF(VLOOKUP(A122,Base!AA:AA,1,0)&gt;0,"1","0"),"0")</f>
        <v>0</v>
      </c>
      <c r="F122" s="5" t="str">
        <f t="shared" si="4"/>
        <v>-</v>
      </c>
      <c r="G122" s="5" t="str">
        <f t="shared" si="5"/>
        <v>0</v>
      </c>
    </row>
    <row r="123" spans="1:7">
      <c r="A123" s="4">
        <v>183456830502</v>
      </c>
      <c r="B123" s="4" t="s">
        <v>1466</v>
      </c>
      <c r="C123" s="1" t="e">
        <f ca="1">_xlfn.XLOOKUP(A123,'[1]Sellers Pro'!$C:$C,'[1]Sellers Pro'!$F:$F)</f>
        <v>#NAME?</v>
      </c>
      <c r="D123" s="5" t="e">
        <f t="shared" si="3"/>
        <v>#NAME?</v>
      </c>
      <c r="E123" s="5" t="str">
        <f>IFERROR(IF(VLOOKUP(A123,Base!AA:AA,1,0)&gt;0,"1","0"),"0")</f>
        <v>1</v>
      </c>
      <c r="F123" s="5" t="e">
        <f t="shared" si="4"/>
        <v>#NAME?</v>
      </c>
      <c r="G123" s="5" t="str">
        <f t="shared" si="5"/>
        <v>0</v>
      </c>
    </row>
    <row r="124" spans="1:7">
      <c r="A124" s="4">
        <v>241002216802</v>
      </c>
      <c r="B124" s="4" t="s">
        <v>1704</v>
      </c>
      <c r="C124" s="1" t="e">
        <f ca="1">_xlfn.XLOOKUP(A124,'[1]Sellers Pro'!$C:$C,'[1]Sellers Pro'!$F:$F)</f>
        <v>#NAME?</v>
      </c>
      <c r="D124" s="5" t="e">
        <f t="shared" si="3"/>
        <v>#NAME?</v>
      </c>
      <c r="E124" s="5" t="str">
        <f>IFERROR(IF(VLOOKUP(A124,Base!AA:AA,1,0)&gt;0,"1","0"),"0")</f>
        <v>1</v>
      </c>
      <c r="F124" s="5" t="e">
        <f t="shared" si="4"/>
        <v>#NAME?</v>
      </c>
      <c r="G124" s="5" t="str">
        <f t="shared" si="5"/>
        <v>0</v>
      </c>
    </row>
    <row r="125" spans="1:7">
      <c r="A125" s="4">
        <v>131648381902</v>
      </c>
      <c r="B125" s="4" t="s">
        <v>1142</v>
      </c>
      <c r="C125" s="1"/>
      <c r="D125" s="5" t="str">
        <f t="shared" si="3"/>
        <v>0</v>
      </c>
      <c r="E125" s="5" t="str">
        <f>IFERROR(IF(VLOOKUP(A125,Base!AA:AA,1,0)&gt;0,"1","0"),"0")</f>
        <v>0</v>
      </c>
      <c r="F125" s="5" t="str">
        <f t="shared" si="4"/>
        <v>-</v>
      </c>
      <c r="G125" s="5" t="str">
        <f t="shared" si="5"/>
        <v>0</v>
      </c>
    </row>
    <row r="126" spans="1:7">
      <c r="A126" s="4">
        <v>693491100202</v>
      </c>
      <c r="B126" s="4" t="s">
        <v>1187</v>
      </c>
      <c r="C126" s="1"/>
      <c r="D126" s="5" t="str">
        <f t="shared" si="3"/>
        <v>0</v>
      </c>
      <c r="E126" s="5" t="str">
        <f>IFERROR(IF(VLOOKUP(A126,Base!AA:AA,1,0)&gt;0,"1","0"),"0")</f>
        <v>0</v>
      </c>
      <c r="F126" s="5" t="str">
        <f t="shared" si="4"/>
        <v>-</v>
      </c>
      <c r="G126" s="5" t="str">
        <f t="shared" si="5"/>
        <v>0</v>
      </c>
    </row>
    <row r="127" spans="1:7">
      <c r="A127" s="4">
        <v>128174680202</v>
      </c>
      <c r="B127" s="4" t="s">
        <v>978</v>
      </c>
      <c r="C127" s="1" t="e">
        <f ca="1">_xlfn.XLOOKUP(A127,'[1]Sellers Pro'!$C:$C,'[1]Sellers Pro'!$F:$F)</f>
        <v>#NAME?</v>
      </c>
      <c r="D127" s="5" t="e">
        <f t="shared" si="3"/>
        <v>#NAME?</v>
      </c>
      <c r="E127" s="5" t="str">
        <f>IFERROR(IF(VLOOKUP(A127,Base!AA:AA,1,0)&gt;0,"1","0"),"0")</f>
        <v>1</v>
      </c>
      <c r="F127" s="5" t="e">
        <f t="shared" si="4"/>
        <v>#NAME?</v>
      </c>
      <c r="G127" s="5" t="str">
        <f t="shared" si="5"/>
        <v>0</v>
      </c>
    </row>
    <row r="128" spans="1:7">
      <c r="A128" s="4">
        <v>607776398302</v>
      </c>
      <c r="B128" s="4" t="s">
        <v>223</v>
      </c>
      <c r="C128" s="1" t="e">
        <f ca="1">_xlfn.XLOOKUP(A128,'[1]Sellers Pro'!$C:$C,'[1]Sellers Pro'!$F:$F)</f>
        <v>#NAME?</v>
      </c>
      <c r="D128" s="5" t="e">
        <f t="shared" si="3"/>
        <v>#NAME?</v>
      </c>
      <c r="E128" s="5" t="str">
        <f>IFERROR(IF(VLOOKUP(A128,Base!AA:AA,1,0)&gt;0,"1","0"),"0")</f>
        <v>0</v>
      </c>
      <c r="F128" s="5" t="e">
        <f t="shared" si="4"/>
        <v>#NAME?</v>
      </c>
      <c r="G128" s="5" t="str">
        <f t="shared" si="5"/>
        <v>0</v>
      </c>
    </row>
    <row r="129" spans="1:7">
      <c r="A129" s="4">
        <v>366327938802</v>
      </c>
      <c r="B129" s="4" t="s">
        <v>1985</v>
      </c>
      <c r="C129" s="1" t="s">
        <v>39</v>
      </c>
      <c r="D129" s="5" t="str">
        <f t="shared" si="3"/>
        <v>1</v>
      </c>
      <c r="E129" s="5" t="str">
        <f>IFERROR(IF(VLOOKUP(A129,Base!AA:AA,1,0)&gt;0,"1","0"),"0")</f>
        <v>1</v>
      </c>
      <c r="F129" s="5" t="str">
        <f t="shared" si="4"/>
        <v>0</v>
      </c>
      <c r="G129" s="5" t="str">
        <f t="shared" si="5"/>
        <v>0</v>
      </c>
    </row>
    <row r="130" spans="1:7">
      <c r="A130" s="4">
        <v>429663859202</v>
      </c>
      <c r="B130" s="4" t="s">
        <v>2289</v>
      </c>
      <c r="C130" s="1" t="e">
        <f ca="1">_xlfn.XLOOKUP(A130,'[1]Sellers Pro'!$C:$C,'[1]Sellers Pro'!$F:$F)</f>
        <v>#NAME?</v>
      </c>
      <c r="D130" s="5" t="e">
        <f t="shared" si="3"/>
        <v>#NAME?</v>
      </c>
      <c r="E130" s="5" t="str">
        <f>IFERROR(IF(VLOOKUP(A130,Base!AA:AA,1,0)&gt;0,"1","0"),"0")</f>
        <v>0</v>
      </c>
      <c r="F130" s="5" t="e">
        <f t="shared" si="4"/>
        <v>#NAME?</v>
      </c>
      <c r="G130" s="5" t="str">
        <f t="shared" si="5"/>
        <v>0</v>
      </c>
    </row>
    <row r="131" spans="1:7">
      <c r="A131" s="4">
        <v>25545596202</v>
      </c>
      <c r="B131" s="4" t="s">
        <v>696</v>
      </c>
      <c r="C131" s="1"/>
      <c r="D131" s="5" t="str">
        <f t="shared" si="3"/>
        <v>0</v>
      </c>
      <c r="E131" s="5" t="str">
        <f>IFERROR(IF(VLOOKUP(A131,Base!AA:AA,1,0)&gt;0,"1","0"),"0")</f>
        <v>0</v>
      </c>
      <c r="F131" s="5" t="str">
        <f t="shared" si="4"/>
        <v>-</v>
      </c>
      <c r="G131" s="5" t="str">
        <f t="shared" si="5"/>
        <v>0</v>
      </c>
    </row>
    <row r="132" spans="1:7">
      <c r="A132" s="4">
        <v>287368760702</v>
      </c>
      <c r="B132" s="4" t="s">
        <v>2290</v>
      </c>
      <c r="C132" s="1"/>
      <c r="D132" s="5" t="str">
        <f t="shared" ref="D132:D195" si="6">IF(C132="","0","1")</f>
        <v>0</v>
      </c>
      <c r="E132" s="5" t="str">
        <f>IFERROR(IF(VLOOKUP(A132,Base!AA:AA,1,0)&gt;0,"1","0"),"0")</f>
        <v>0</v>
      </c>
      <c r="F132" s="5" t="str">
        <f t="shared" ref="F132:F195" si="7">IF(C132="","-",IF(OR(BC132="Muito satisfeito",BC132="Satisfeito"),"1","0"))</f>
        <v>-</v>
      </c>
      <c r="G132" s="5" t="str">
        <f t="shared" ref="G132:G195" si="8">IF(BC132="","0","1")</f>
        <v>0</v>
      </c>
    </row>
    <row r="133" spans="1:7">
      <c r="A133" s="4">
        <v>16137818802</v>
      </c>
      <c r="B133" s="4" t="s">
        <v>1088</v>
      </c>
      <c r="C133" s="1" t="e">
        <f ca="1">_xlfn.XLOOKUP(A133,'[1]Sellers Pro'!$C:$C,'[1]Sellers Pro'!$F:$F)</f>
        <v>#NAME?</v>
      </c>
      <c r="D133" s="5" t="e">
        <f t="shared" si="6"/>
        <v>#NAME?</v>
      </c>
      <c r="E133" s="5" t="str">
        <f>IFERROR(IF(VLOOKUP(A133,Base!AA:AA,1,0)&gt;0,"1","0"),"0")</f>
        <v>1</v>
      </c>
      <c r="F133" s="5" t="e">
        <f t="shared" si="7"/>
        <v>#NAME?</v>
      </c>
      <c r="G133" s="5" t="str">
        <f t="shared" si="8"/>
        <v>0</v>
      </c>
    </row>
    <row r="134" spans="1:7">
      <c r="A134" s="4">
        <v>24807318802</v>
      </c>
      <c r="B134" s="4" t="s">
        <v>1098</v>
      </c>
      <c r="C134" s="1"/>
      <c r="D134" s="5" t="str">
        <f t="shared" si="6"/>
        <v>0</v>
      </c>
      <c r="E134" s="5" t="str">
        <f>IFERROR(IF(VLOOKUP(A134,Base!AA:AA,1,0)&gt;0,"1","0"),"0")</f>
        <v>0</v>
      </c>
      <c r="F134" s="5" t="str">
        <f t="shared" si="7"/>
        <v>-</v>
      </c>
      <c r="G134" s="5" t="str">
        <f t="shared" si="8"/>
        <v>0</v>
      </c>
    </row>
    <row r="135" spans="1:7">
      <c r="A135" s="4">
        <v>153775969402</v>
      </c>
      <c r="B135" s="4" t="s">
        <v>1002</v>
      </c>
      <c r="C135" s="1" t="e">
        <f ca="1">_xlfn.XLOOKUP(A135,'[1]Sellers Pro'!$C:$C,'[1]Sellers Pro'!$F:$F)</f>
        <v>#NAME?</v>
      </c>
      <c r="D135" s="5" t="e">
        <f t="shared" si="6"/>
        <v>#NAME?</v>
      </c>
      <c r="E135" s="5" t="str">
        <f>IFERROR(IF(VLOOKUP(A135,Base!AA:AA,1,0)&gt;0,"1","0"),"0")</f>
        <v>1</v>
      </c>
      <c r="F135" s="5" t="e">
        <f t="shared" si="7"/>
        <v>#NAME?</v>
      </c>
      <c r="G135" s="5" t="str">
        <f t="shared" si="8"/>
        <v>0</v>
      </c>
    </row>
    <row r="136" spans="1:7">
      <c r="A136" s="4">
        <v>16898656902</v>
      </c>
      <c r="B136" s="4" t="s">
        <v>1078</v>
      </c>
      <c r="C136" s="1" t="e">
        <f ca="1">_xlfn.XLOOKUP(A136,'[1]Sellers Pro'!$C:$C,'[1]Sellers Pro'!$F:$F)</f>
        <v>#NAME?</v>
      </c>
      <c r="D136" s="5" t="e">
        <f t="shared" si="6"/>
        <v>#NAME?</v>
      </c>
      <c r="E136" s="5" t="str">
        <f>IFERROR(IF(VLOOKUP(A136,Base!AA:AA,1,0)&gt;0,"1","0"),"0")</f>
        <v>1</v>
      </c>
      <c r="F136" s="5" t="e">
        <f t="shared" si="7"/>
        <v>#NAME?</v>
      </c>
      <c r="G136" s="5" t="str">
        <f t="shared" si="8"/>
        <v>0</v>
      </c>
    </row>
    <row r="137" spans="1:7">
      <c r="A137" s="4">
        <v>251774695102</v>
      </c>
      <c r="B137" s="4" t="s">
        <v>1058</v>
      </c>
      <c r="C137" s="1"/>
      <c r="D137" s="5" t="str">
        <f t="shared" si="6"/>
        <v>0</v>
      </c>
      <c r="E137" s="5" t="str">
        <f>IFERROR(IF(VLOOKUP(A137,Base!AA:AA,1,0)&gt;0,"1","0"),"0")</f>
        <v>0</v>
      </c>
      <c r="F137" s="5" t="str">
        <f t="shared" si="7"/>
        <v>-</v>
      </c>
      <c r="G137" s="5" t="str">
        <f t="shared" si="8"/>
        <v>0</v>
      </c>
    </row>
    <row r="138" spans="1:7">
      <c r="A138" s="4">
        <v>56433406702</v>
      </c>
      <c r="B138" s="4" t="s">
        <v>2264</v>
      </c>
      <c r="C138" s="1" t="e">
        <f ca="1">_xlfn.XLOOKUP(A138,'[1]Sellers Pro'!$C:$C,'[1]Sellers Pro'!$F:$F)</f>
        <v>#NAME?</v>
      </c>
      <c r="D138" s="5" t="e">
        <f t="shared" si="6"/>
        <v>#NAME?</v>
      </c>
      <c r="E138" s="5" t="str">
        <f>IFERROR(IF(VLOOKUP(A138,Base!AA:AA,1,0)&gt;0,"1","0"),"0")</f>
        <v>0</v>
      </c>
      <c r="F138" s="5" t="e">
        <f t="shared" si="7"/>
        <v>#NAME?</v>
      </c>
      <c r="G138" s="5" t="str">
        <f t="shared" si="8"/>
        <v>0</v>
      </c>
    </row>
    <row r="139" spans="1:7">
      <c r="A139" s="4">
        <v>358111169102</v>
      </c>
      <c r="B139" s="4" t="s">
        <v>1331</v>
      </c>
      <c r="C139" s="1"/>
      <c r="D139" s="5" t="str">
        <f t="shared" si="6"/>
        <v>0</v>
      </c>
      <c r="E139" s="5" t="str">
        <f>IFERROR(IF(VLOOKUP(A139,Base!AA:AA,1,0)&gt;0,"1","0"),"0")</f>
        <v>0</v>
      </c>
      <c r="F139" s="5" t="str">
        <f t="shared" si="7"/>
        <v>-</v>
      </c>
      <c r="G139" s="5" t="str">
        <f t="shared" si="8"/>
        <v>0</v>
      </c>
    </row>
    <row r="140" spans="1:7">
      <c r="A140" s="4">
        <v>10369153302</v>
      </c>
      <c r="B140" s="4" t="s">
        <v>329</v>
      </c>
      <c r="C140" s="1" t="e">
        <f ca="1">_xlfn.XLOOKUP(A140,'[1]Sellers Pro'!$C:$C,'[1]Sellers Pro'!$F:$F)</f>
        <v>#NAME?</v>
      </c>
      <c r="D140" s="5" t="e">
        <f t="shared" si="6"/>
        <v>#NAME?</v>
      </c>
      <c r="E140" s="5" t="str">
        <f>IFERROR(IF(VLOOKUP(A140,Base!AA:AA,1,0)&gt;0,"1","0"),"0")</f>
        <v>1</v>
      </c>
      <c r="F140" s="5" t="e">
        <f t="shared" si="7"/>
        <v>#NAME?</v>
      </c>
      <c r="G140" s="5" t="str">
        <f t="shared" si="8"/>
        <v>0</v>
      </c>
    </row>
    <row r="141" spans="1:7">
      <c r="A141" s="4">
        <v>19309418302</v>
      </c>
      <c r="B141" s="4" t="s">
        <v>2291</v>
      </c>
      <c r="C141" s="1"/>
      <c r="D141" s="5" t="str">
        <f t="shared" si="6"/>
        <v>0</v>
      </c>
      <c r="E141" s="5" t="str">
        <f>IFERROR(IF(VLOOKUP(A141,Base!AA:AA,1,0)&gt;0,"1","0"),"0")</f>
        <v>1</v>
      </c>
      <c r="F141" s="5" t="str">
        <f t="shared" si="7"/>
        <v>-</v>
      </c>
      <c r="G141" s="5" t="str">
        <f t="shared" si="8"/>
        <v>0</v>
      </c>
    </row>
    <row r="142" spans="1:7">
      <c r="A142" s="4">
        <v>596977542502</v>
      </c>
      <c r="B142" s="4" t="s">
        <v>2292</v>
      </c>
      <c r="C142" s="1" t="e">
        <f ca="1">_xlfn.XLOOKUP(A142,'[1]Sellers Pro'!$C:$C,'[1]Sellers Pro'!$F:$F)</f>
        <v>#NAME?</v>
      </c>
      <c r="D142" s="5" t="e">
        <f t="shared" si="6"/>
        <v>#NAME?</v>
      </c>
      <c r="E142" s="5" t="str">
        <f>IFERROR(IF(VLOOKUP(A142,Base!AA:AA,1,0)&gt;0,"1","0"),"0")</f>
        <v>0</v>
      </c>
      <c r="F142" s="5" t="e">
        <f t="shared" si="7"/>
        <v>#NAME?</v>
      </c>
      <c r="G142" s="5" t="str">
        <f t="shared" si="8"/>
        <v>0</v>
      </c>
    </row>
    <row r="143" spans="1:7">
      <c r="A143" s="4">
        <v>100982699102</v>
      </c>
      <c r="B143" s="4" t="s">
        <v>1779</v>
      </c>
      <c r="C143" s="1"/>
      <c r="D143" s="5" t="str">
        <f t="shared" si="6"/>
        <v>0</v>
      </c>
      <c r="E143" s="5" t="str">
        <f>IFERROR(IF(VLOOKUP(A143,Base!AA:AA,1,0)&gt;0,"1","0"),"0")</f>
        <v>0</v>
      </c>
      <c r="F143" s="5" t="str">
        <f t="shared" si="7"/>
        <v>-</v>
      </c>
      <c r="G143" s="5" t="str">
        <f t="shared" si="8"/>
        <v>0</v>
      </c>
    </row>
    <row r="144" spans="1:7">
      <c r="A144" s="4">
        <v>743495001802</v>
      </c>
      <c r="B144" s="4" t="s">
        <v>584</v>
      </c>
      <c r="C144" s="1"/>
      <c r="D144" s="5" t="str">
        <f t="shared" si="6"/>
        <v>0</v>
      </c>
      <c r="E144" s="5" t="str">
        <f>IFERROR(IF(VLOOKUP(A144,Base!AA:AA,1,0)&gt;0,"1","0"),"0")</f>
        <v>0</v>
      </c>
      <c r="F144" s="5" t="str">
        <f t="shared" si="7"/>
        <v>-</v>
      </c>
      <c r="G144" s="5" t="str">
        <f t="shared" si="8"/>
        <v>0</v>
      </c>
    </row>
    <row r="145" spans="1:7">
      <c r="A145" s="4">
        <v>22445894402</v>
      </c>
      <c r="B145" s="4" t="s">
        <v>573</v>
      </c>
      <c r="C145" s="1" t="e">
        <f ca="1">_xlfn.XLOOKUP(A145,'[1]Sellers Pro'!$C:$C,'[1]Sellers Pro'!$F:$F)</f>
        <v>#NAME?</v>
      </c>
      <c r="D145" s="5" t="e">
        <f t="shared" si="6"/>
        <v>#NAME?</v>
      </c>
      <c r="E145" s="5" t="str">
        <f>IFERROR(IF(VLOOKUP(A145,Base!AA:AA,1,0)&gt;0,"1","0"),"0")</f>
        <v>1</v>
      </c>
      <c r="F145" s="5" t="e">
        <f t="shared" si="7"/>
        <v>#NAME?</v>
      </c>
      <c r="G145" s="5" t="str">
        <f t="shared" si="8"/>
        <v>0</v>
      </c>
    </row>
    <row r="146" spans="1:7">
      <c r="A146" s="4">
        <v>696396556502</v>
      </c>
      <c r="B146" s="4" t="s">
        <v>1622</v>
      </c>
      <c r="C146" s="1" t="e">
        <f ca="1">_xlfn.XLOOKUP(A146,'[1]Sellers Pro'!$C:$C,'[1]Sellers Pro'!$F:$F)</f>
        <v>#NAME?</v>
      </c>
      <c r="D146" s="5" t="e">
        <f t="shared" si="6"/>
        <v>#NAME?</v>
      </c>
      <c r="E146" s="5" t="str">
        <f>IFERROR(IF(VLOOKUP(A146,Base!AA:AA,1,0)&gt;0,"1","0"),"0")</f>
        <v>0</v>
      </c>
      <c r="F146" s="5" t="e">
        <f t="shared" si="7"/>
        <v>#NAME?</v>
      </c>
      <c r="G146" s="5" t="str">
        <f t="shared" si="8"/>
        <v>0</v>
      </c>
    </row>
    <row r="147" spans="1:7">
      <c r="A147" s="4">
        <v>182760498402</v>
      </c>
      <c r="B147" s="4" t="s">
        <v>1754</v>
      </c>
      <c r="C147" s="1"/>
      <c r="D147" s="5" t="str">
        <f t="shared" si="6"/>
        <v>0</v>
      </c>
      <c r="E147" s="5" t="str">
        <f>IFERROR(IF(VLOOKUP(A147,Base!AA:AA,1,0)&gt;0,"1","0"),"0")</f>
        <v>0</v>
      </c>
      <c r="F147" s="5" t="str">
        <f t="shared" si="7"/>
        <v>-</v>
      </c>
      <c r="G147" s="5" t="str">
        <f t="shared" si="8"/>
        <v>0</v>
      </c>
    </row>
    <row r="148" spans="1:7">
      <c r="A148" s="4">
        <v>380157072302</v>
      </c>
      <c r="B148" s="4" t="s">
        <v>2293</v>
      </c>
      <c r="C148" s="1" t="e">
        <f ca="1">_xlfn.XLOOKUP(A148,'[1]Sellers Pro'!$C:$C,'[1]Sellers Pro'!$F:$F)</f>
        <v>#NAME?</v>
      </c>
      <c r="D148" s="5" t="e">
        <f t="shared" si="6"/>
        <v>#NAME?</v>
      </c>
      <c r="E148" s="5" t="str">
        <f>IFERROR(IF(VLOOKUP(A148,Base!AA:AA,1,0)&gt;0,"1","0"),"0")</f>
        <v>1</v>
      </c>
      <c r="F148" s="5" t="e">
        <f t="shared" si="7"/>
        <v>#NAME?</v>
      </c>
      <c r="G148" s="5" t="str">
        <f t="shared" si="8"/>
        <v>0</v>
      </c>
    </row>
    <row r="149" spans="1:7">
      <c r="A149" s="4">
        <v>24357990102</v>
      </c>
      <c r="B149" s="4" t="s">
        <v>1161</v>
      </c>
      <c r="C149" s="1" t="e">
        <f ca="1">_xlfn.XLOOKUP(A149,'[1]Sellers Pro'!$C:$C,'[1]Sellers Pro'!$F:$F)</f>
        <v>#NAME?</v>
      </c>
      <c r="D149" s="5" t="e">
        <f t="shared" si="6"/>
        <v>#NAME?</v>
      </c>
      <c r="E149" s="5" t="str">
        <f>IFERROR(IF(VLOOKUP(A149,Base!AA:AA,1,0)&gt;0,"1","0"),"0")</f>
        <v>1</v>
      </c>
      <c r="F149" s="5" t="e">
        <f t="shared" si="7"/>
        <v>#NAME?</v>
      </c>
      <c r="G149" s="5" t="str">
        <f t="shared" si="8"/>
        <v>0</v>
      </c>
    </row>
    <row r="150" spans="1:7">
      <c r="A150" s="4">
        <v>582151058602</v>
      </c>
      <c r="B150" s="4" t="s">
        <v>2294</v>
      </c>
      <c r="C150" s="1"/>
      <c r="D150" s="5" t="str">
        <f t="shared" si="6"/>
        <v>0</v>
      </c>
      <c r="E150" s="5" t="str">
        <f>IFERROR(IF(VLOOKUP(A150,Base!AA:AA,1,0)&gt;0,"1","0"),"0")</f>
        <v>0</v>
      </c>
      <c r="F150" s="5" t="str">
        <f t="shared" si="7"/>
        <v>-</v>
      </c>
      <c r="G150" s="5" t="str">
        <f t="shared" si="8"/>
        <v>0</v>
      </c>
    </row>
    <row r="151" spans="1:7">
      <c r="A151" s="4">
        <v>11103651302</v>
      </c>
      <c r="B151" s="4" t="s">
        <v>1482</v>
      </c>
      <c r="C151" s="1" t="e">
        <f ca="1">_xlfn.XLOOKUP(A151,'[1]Sellers Pro'!$C:$C,'[1]Sellers Pro'!$F:$F)</f>
        <v>#NAME?</v>
      </c>
      <c r="D151" s="5" t="e">
        <f t="shared" si="6"/>
        <v>#NAME?</v>
      </c>
      <c r="E151" s="5" t="str">
        <f>IFERROR(IF(VLOOKUP(A151,Base!AA:AA,1,0)&gt;0,"1","0"),"0")</f>
        <v>1</v>
      </c>
      <c r="F151" s="5" t="e">
        <f t="shared" si="7"/>
        <v>#NAME?</v>
      </c>
      <c r="G151" s="5" t="str">
        <f t="shared" si="8"/>
        <v>0</v>
      </c>
    </row>
    <row r="152" spans="1:7">
      <c r="A152" s="4">
        <v>130065728702</v>
      </c>
      <c r="B152" s="4" t="s">
        <v>1303</v>
      </c>
      <c r="C152" s="1" t="e">
        <f ca="1">_xlfn.XLOOKUP(A152,'[1]Sellers Pro'!$C:$C,'[1]Sellers Pro'!$F:$F)</f>
        <v>#NAME?</v>
      </c>
      <c r="D152" s="5" t="e">
        <f t="shared" si="6"/>
        <v>#NAME?</v>
      </c>
      <c r="E152" s="5" t="str">
        <f>IFERROR(IF(VLOOKUP(A152,Base!AA:AA,1,0)&gt;0,"1","0"),"0")</f>
        <v>1</v>
      </c>
      <c r="F152" s="5" t="e">
        <f t="shared" si="7"/>
        <v>#NAME?</v>
      </c>
      <c r="G152" s="5" t="str">
        <f t="shared" si="8"/>
        <v>0</v>
      </c>
    </row>
    <row r="153" spans="1:7">
      <c r="A153" s="4">
        <v>31616534302</v>
      </c>
      <c r="B153" s="4" t="s">
        <v>2295</v>
      </c>
      <c r="C153" s="1"/>
      <c r="D153" s="5" t="str">
        <f t="shared" si="6"/>
        <v>0</v>
      </c>
      <c r="E153" s="5" t="str">
        <f>IFERROR(IF(VLOOKUP(A153,Base!AA:AA,1,0)&gt;0,"1","0"),"0")</f>
        <v>0</v>
      </c>
      <c r="F153" s="5" t="str">
        <f t="shared" si="7"/>
        <v>-</v>
      </c>
      <c r="G153" s="5" t="str">
        <f t="shared" si="8"/>
        <v>0</v>
      </c>
    </row>
    <row r="154" spans="1:7">
      <c r="A154" s="4">
        <v>159666680002</v>
      </c>
      <c r="B154" s="4" t="s">
        <v>2109</v>
      </c>
      <c r="C154" s="1" t="e">
        <f ca="1">_xlfn.XLOOKUP(A154,'[1]Sellers Pro'!$C:$C,'[1]Sellers Pro'!$F:$F)</f>
        <v>#NAME?</v>
      </c>
      <c r="D154" s="5" t="e">
        <f t="shared" si="6"/>
        <v>#NAME?</v>
      </c>
      <c r="E154" s="5" t="str">
        <f>IFERROR(IF(VLOOKUP(A154,Base!AA:AA,1,0)&gt;0,"1","0"),"0")</f>
        <v>1</v>
      </c>
      <c r="F154" s="5" t="e">
        <f t="shared" si="7"/>
        <v>#NAME?</v>
      </c>
      <c r="G154" s="5" t="str">
        <f t="shared" si="8"/>
        <v>0</v>
      </c>
    </row>
    <row r="155" spans="1:7">
      <c r="A155" s="4">
        <v>301392154502</v>
      </c>
      <c r="B155" s="4" t="s">
        <v>2130</v>
      </c>
      <c r="C155" s="1"/>
      <c r="D155" s="5" t="str">
        <f t="shared" si="6"/>
        <v>0</v>
      </c>
      <c r="E155" s="5" t="str">
        <f>IFERROR(IF(VLOOKUP(A155,Base!AA:AA,1,0)&gt;0,"1","0"),"0")</f>
        <v>0</v>
      </c>
      <c r="F155" s="5" t="str">
        <f t="shared" si="7"/>
        <v>-</v>
      </c>
      <c r="G155" s="5" t="str">
        <f t="shared" si="8"/>
        <v>0</v>
      </c>
    </row>
    <row r="156" spans="1:7">
      <c r="A156" s="4">
        <v>397021068802</v>
      </c>
      <c r="B156" s="4" t="s">
        <v>2243</v>
      </c>
      <c r="C156" s="1"/>
      <c r="D156" s="5" t="str">
        <f t="shared" si="6"/>
        <v>0</v>
      </c>
      <c r="E156" s="5" t="str">
        <f>IFERROR(IF(VLOOKUP(A156,Base!AA:AA,1,0)&gt;0,"1","0"),"0")</f>
        <v>0</v>
      </c>
      <c r="F156" s="5" t="str">
        <f t="shared" si="7"/>
        <v>-</v>
      </c>
      <c r="G156" s="5" t="str">
        <f t="shared" si="8"/>
        <v>0</v>
      </c>
    </row>
    <row r="157" spans="1:7">
      <c r="A157" s="4">
        <v>374065566102</v>
      </c>
      <c r="B157" s="4" t="s">
        <v>2296</v>
      </c>
      <c r="C157" s="1"/>
      <c r="D157" s="5" t="str">
        <f t="shared" si="6"/>
        <v>0</v>
      </c>
      <c r="E157" s="5" t="str">
        <f>IFERROR(IF(VLOOKUP(A157,Base!AA:AA,1,0)&gt;0,"1","0"),"0")</f>
        <v>0</v>
      </c>
      <c r="F157" s="5" t="str">
        <f t="shared" si="7"/>
        <v>-</v>
      </c>
      <c r="G157" s="5" t="str">
        <f t="shared" si="8"/>
        <v>0</v>
      </c>
    </row>
    <row r="158" spans="1:7">
      <c r="A158" s="4">
        <v>106288180002</v>
      </c>
      <c r="B158" s="4" t="s">
        <v>2232</v>
      </c>
      <c r="C158" s="1"/>
      <c r="D158" s="5" t="str">
        <f t="shared" si="6"/>
        <v>0</v>
      </c>
      <c r="E158" s="5" t="str">
        <f>IFERROR(IF(VLOOKUP(A158,Base!AA:AA,1,0)&gt;0,"1","0"),"0")</f>
        <v>0</v>
      </c>
      <c r="F158" s="5" t="str">
        <f t="shared" si="7"/>
        <v>-</v>
      </c>
      <c r="G158" s="5" t="str">
        <f t="shared" si="8"/>
        <v>0</v>
      </c>
    </row>
    <row r="159" spans="1:7">
      <c r="A159" s="4">
        <v>24674493302</v>
      </c>
      <c r="B159" s="4" t="s">
        <v>551</v>
      </c>
      <c r="C159" s="1" t="e">
        <f ca="1">_xlfn.XLOOKUP(A159,'[1]Sellers Pro'!$C:$C,'[1]Sellers Pro'!$F:$F)</f>
        <v>#NAME?</v>
      </c>
      <c r="D159" s="5" t="e">
        <f t="shared" si="6"/>
        <v>#NAME?</v>
      </c>
      <c r="E159" s="5" t="str">
        <f>IFERROR(IF(VLOOKUP(A159,Base!AA:AA,1,0)&gt;0,"1","0"),"0")</f>
        <v>1</v>
      </c>
      <c r="F159" s="5" t="e">
        <f t="shared" si="7"/>
        <v>#NAME?</v>
      </c>
      <c r="G159" s="5" t="str">
        <f t="shared" si="8"/>
        <v>0</v>
      </c>
    </row>
    <row r="160" spans="1:7">
      <c r="A160" s="4">
        <v>597004571302</v>
      </c>
      <c r="B160" s="4" t="s">
        <v>2203</v>
      </c>
      <c r="C160" s="1" t="e">
        <f ca="1">_xlfn.XLOOKUP(A160,'[1]Sellers Pro'!$C:$C,'[1]Sellers Pro'!$F:$F)</f>
        <v>#NAME?</v>
      </c>
      <c r="D160" s="5" t="e">
        <f t="shared" si="6"/>
        <v>#NAME?</v>
      </c>
      <c r="E160" s="5" t="str">
        <f>IFERROR(IF(VLOOKUP(A160,Base!AA:AA,1,0)&gt;0,"1","0"),"0")</f>
        <v>1</v>
      </c>
      <c r="F160" s="5" t="e">
        <f t="shared" si="7"/>
        <v>#NAME?</v>
      </c>
      <c r="G160" s="5" t="str">
        <f t="shared" si="8"/>
        <v>0</v>
      </c>
    </row>
    <row r="161" spans="1:7">
      <c r="A161" s="4">
        <v>55427353102</v>
      </c>
      <c r="B161" s="4" t="s">
        <v>1972</v>
      </c>
      <c r="C161" s="1" t="s">
        <v>37</v>
      </c>
      <c r="D161" s="5" t="str">
        <f t="shared" si="6"/>
        <v>1</v>
      </c>
      <c r="E161" s="5" t="str">
        <f>IFERROR(IF(VLOOKUP(A161,Base!AA:AA,1,0)&gt;0,"1","0"),"0")</f>
        <v>1</v>
      </c>
      <c r="F161" s="5" t="str">
        <f t="shared" si="7"/>
        <v>0</v>
      </c>
      <c r="G161" s="5" t="str">
        <f t="shared" si="8"/>
        <v>0</v>
      </c>
    </row>
    <row r="162" spans="1:7">
      <c r="A162" s="4">
        <v>127737463602</v>
      </c>
      <c r="B162" s="4" t="s">
        <v>1066</v>
      </c>
      <c r="C162" s="1" t="e">
        <f ca="1">_xlfn.XLOOKUP(A162,'[1]Sellers Pro'!$C:$C,'[1]Sellers Pro'!$F:$F)</f>
        <v>#NAME?</v>
      </c>
      <c r="D162" s="5" t="e">
        <f t="shared" si="6"/>
        <v>#NAME?</v>
      </c>
      <c r="E162" s="5" t="str">
        <f>IFERROR(IF(VLOOKUP(A162,Base!AA:AA,1,0)&gt;0,"1","0"),"0")</f>
        <v>1</v>
      </c>
      <c r="F162" s="5" t="e">
        <f t="shared" si="7"/>
        <v>#NAME?</v>
      </c>
      <c r="G162" s="5" t="str">
        <f t="shared" si="8"/>
        <v>0</v>
      </c>
    </row>
    <row r="163" spans="1:7">
      <c r="A163" s="4">
        <v>430279805602</v>
      </c>
      <c r="B163" s="4" t="s">
        <v>1049</v>
      </c>
      <c r="C163" s="1" t="e">
        <f ca="1">_xlfn.XLOOKUP(A163,'[1]Sellers Pro'!$C:$C,'[1]Sellers Pro'!$F:$F)</f>
        <v>#NAME?</v>
      </c>
      <c r="D163" s="5" t="e">
        <f t="shared" si="6"/>
        <v>#NAME?</v>
      </c>
      <c r="E163" s="5" t="str">
        <f>IFERROR(IF(VLOOKUP(A163,Base!AA:AA,1,0)&gt;0,"1","0"),"0")</f>
        <v>1</v>
      </c>
      <c r="F163" s="5" t="e">
        <f t="shared" si="7"/>
        <v>#NAME?</v>
      </c>
      <c r="G163" s="5" t="str">
        <f t="shared" si="8"/>
        <v>0</v>
      </c>
    </row>
    <row r="164" spans="1:7">
      <c r="A164" s="4">
        <v>56875076002</v>
      </c>
      <c r="B164" s="4" t="s">
        <v>561</v>
      </c>
      <c r="C164" s="1"/>
      <c r="D164" s="5" t="str">
        <f t="shared" si="6"/>
        <v>0</v>
      </c>
      <c r="E164" s="5" t="str">
        <f>IFERROR(IF(VLOOKUP(A164,Base!AA:AA,1,0)&gt;0,"1","0"),"0")</f>
        <v>0</v>
      </c>
      <c r="F164" s="5" t="str">
        <f t="shared" si="7"/>
        <v>-</v>
      </c>
      <c r="G164" s="5" t="str">
        <f t="shared" si="8"/>
        <v>0</v>
      </c>
    </row>
    <row r="165" spans="1:7">
      <c r="A165" s="4">
        <v>21753463202</v>
      </c>
      <c r="B165" s="4" t="s">
        <v>2172</v>
      </c>
      <c r="C165" s="1" t="e">
        <f ca="1">_xlfn.XLOOKUP(A165,'[1]Sellers Pro'!$C:$C,'[1]Sellers Pro'!$F:$F)</f>
        <v>#NAME?</v>
      </c>
      <c r="D165" s="5" t="e">
        <f t="shared" si="6"/>
        <v>#NAME?</v>
      </c>
      <c r="E165" s="5" t="str">
        <f>IFERROR(IF(VLOOKUP(A165,Base!AA:AA,1,0)&gt;0,"1","0"),"0")</f>
        <v>1</v>
      </c>
      <c r="F165" s="5" t="e">
        <f t="shared" si="7"/>
        <v>#NAME?</v>
      </c>
      <c r="G165" s="5" t="str">
        <f t="shared" si="8"/>
        <v>0</v>
      </c>
    </row>
    <row r="166" spans="1:7">
      <c r="A166" s="4">
        <v>11613361102</v>
      </c>
      <c r="B166" s="4" t="s">
        <v>1880</v>
      </c>
      <c r="C166" s="1" t="e">
        <f ca="1">_xlfn.XLOOKUP(A166,'[1]Sellers Pro'!$C:$C,'[1]Sellers Pro'!$F:$F)</f>
        <v>#NAME?</v>
      </c>
      <c r="D166" s="5" t="e">
        <f t="shared" si="6"/>
        <v>#NAME?</v>
      </c>
      <c r="E166" s="5" t="str">
        <f>IFERROR(IF(VLOOKUP(A166,Base!AA:AA,1,0)&gt;0,"1","0"),"0")</f>
        <v>1</v>
      </c>
      <c r="F166" s="5" t="e">
        <f t="shared" si="7"/>
        <v>#NAME?</v>
      </c>
      <c r="G166" s="5" t="str">
        <f t="shared" si="8"/>
        <v>0</v>
      </c>
    </row>
    <row r="167" spans="1:7">
      <c r="A167" s="4">
        <v>530870446802</v>
      </c>
      <c r="B167" s="4" t="s">
        <v>1288</v>
      </c>
      <c r="C167" s="1" t="e">
        <f ca="1">_xlfn.XLOOKUP(A167,'[1]Sellers Pro'!$C:$C,'[1]Sellers Pro'!$F:$F)</f>
        <v>#NAME?</v>
      </c>
      <c r="D167" s="5" t="e">
        <f t="shared" si="6"/>
        <v>#NAME?</v>
      </c>
      <c r="E167" s="5" t="str">
        <f>IFERROR(IF(VLOOKUP(A167,Base!AA:AA,1,0)&gt;0,"1","0"),"0")</f>
        <v>1</v>
      </c>
      <c r="F167" s="5" t="e">
        <f t="shared" si="7"/>
        <v>#NAME?</v>
      </c>
      <c r="G167" s="5" t="str">
        <f t="shared" si="8"/>
        <v>0</v>
      </c>
    </row>
    <row r="168" spans="1:7">
      <c r="A168" s="4">
        <v>472181389102</v>
      </c>
      <c r="B168" s="4" t="s">
        <v>1914</v>
      </c>
      <c r="C168" s="1" t="e">
        <f ca="1">_xlfn.XLOOKUP(A168,'[1]Sellers Pro'!$C:$C,'[1]Sellers Pro'!$F:$F)</f>
        <v>#NAME?</v>
      </c>
      <c r="D168" s="5" t="e">
        <f t="shared" si="6"/>
        <v>#NAME?</v>
      </c>
      <c r="E168" s="5" t="str">
        <f>IFERROR(IF(VLOOKUP(A168,Base!AA:AA,1,0)&gt;0,"1","0"),"0")</f>
        <v>1</v>
      </c>
      <c r="F168" s="5" t="e">
        <f t="shared" si="7"/>
        <v>#NAME?</v>
      </c>
      <c r="G168" s="5" t="str">
        <f t="shared" si="8"/>
        <v>0</v>
      </c>
    </row>
    <row r="169" spans="1:7">
      <c r="A169" s="4">
        <v>508996769902</v>
      </c>
      <c r="B169" s="4" t="s">
        <v>2193</v>
      </c>
      <c r="C169" s="1" t="e">
        <f ca="1">_xlfn.XLOOKUP(A169,'[1]Sellers Pro'!$C:$C,'[1]Sellers Pro'!$F:$F)</f>
        <v>#NAME?</v>
      </c>
      <c r="D169" s="5" t="e">
        <f t="shared" si="6"/>
        <v>#NAME?</v>
      </c>
      <c r="E169" s="5" t="str">
        <f>IFERROR(IF(VLOOKUP(A169,Base!AA:AA,1,0)&gt;0,"1","0"),"0")</f>
        <v>1</v>
      </c>
      <c r="F169" s="5" t="e">
        <f t="shared" si="7"/>
        <v>#NAME?</v>
      </c>
      <c r="G169" s="5" t="str">
        <f t="shared" si="8"/>
        <v>0</v>
      </c>
    </row>
    <row r="170" spans="1:7">
      <c r="A170" s="4">
        <v>230755558102</v>
      </c>
      <c r="B170" s="4" t="s">
        <v>2297</v>
      </c>
      <c r="C170" s="1" t="e">
        <f ca="1">_xlfn.XLOOKUP(A170,'[1]Sellers Pro'!$C:$C,'[1]Sellers Pro'!$F:$F)</f>
        <v>#NAME?</v>
      </c>
      <c r="D170" s="5" t="e">
        <f t="shared" si="6"/>
        <v>#NAME?</v>
      </c>
      <c r="E170" s="5" t="str">
        <f>IFERROR(IF(VLOOKUP(A170,Base!AA:AA,1,0)&gt;0,"1","0"),"0")</f>
        <v>1</v>
      </c>
      <c r="F170" s="5" t="e">
        <f t="shared" si="7"/>
        <v>#NAME?</v>
      </c>
      <c r="G170" s="5" t="str">
        <f t="shared" si="8"/>
        <v>0</v>
      </c>
    </row>
    <row r="171" spans="1:7">
      <c r="A171" s="4">
        <v>316851710302</v>
      </c>
      <c r="B171" s="4" t="s">
        <v>1494</v>
      </c>
      <c r="C171" s="1"/>
      <c r="D171" s="5" t="str">
        <f t="shared" si="6"/>
        <v>0</v>
      </c>
      <c r="E171" s="5" t="str">
        <f>IFERROR(IF(VLOOKUP(A171,Base!AA:AA,1,0)&gt;0,"1","0"),"0")</f>
        <v>1</v>
      </c>
      <c r="F171" s="5" t="str">
        <f t="shared" si="7"/>
        <v>-</v>
      </c>
      <c r="G171" s="5" t="str">
        <f t="shared" si="8"/>
        <v>0</v>
      </c>
    </row>
    <row r="172" spans="1:7">
      <c r="A172" s="4">
        <v>449549597602</v>
      </c>
      <c r="B172" s="4" t="s">
        <v>1726</v>
      </c>
      <c r="C172" s="1" t="e">
        <f ca="1">_xlfn.XLOOKUP(A172,'[1]Sellers Pro'!$C:$C,'[1]Sellers Pro'!$F:$F)</f>
        <v>#NAME?</v>
      </c>
      <c r="D172" s="5" t="e">
        <f t="shared" si="6"/>
        <v>#NAME?</v>
      </c>
      <c r="E172" s="5" t="str">
        <f>IFERROR(IF(VLOOKUP(A172,Base!AA:AA,1,0)&gt;0,"1","0"),"0")</f>
        <v>1</v>
      </c>
      <c r="F172" s="5" t="e">
        <f t="shared" si="7"/>
        <v>#NAME?</v>
      </c>
      <c r="G172" s="5" t="str">
        <f t="shared" si="8"/>
        <v>0</v>
      </c>
    </row>
    <row r="173" spans="1:7">
      <c r="A173" s="4">
        <v>618906774602</v>
      </c>
      <c r="B173" s="4" t="s">
        <v>1430</v>
      </c>
      <c r="C173" s="1"/>
      <c r="D173" s="5" t="str">
        <f t="shared" si="6"/>
        <v>0</v>
      </c>
      <c r="E173" s="5" t="str">
        <f>IFERROR(IF(VLOOKUP(A173,Base!AA:AA,1,0)&gt;0,"1","0"),"0")</f>
        <v>0</v>
      </c>
      <c r="F173" s="5" t="str">
        <f t="shared" si="7"/>
        <v>-</v>
      </c>
      <c r="G173" s="5" t="str">
        <f t="shared" si="8"/>
        <v>0</v>
      </c>
    </row>
    <row r="174" spans="1:7">
      <c r="A174" s="4">
        <v>795323312102</v>
      </c>
      <c r="B174" s="4" t="s">
        <v>357</v>
      </c>
      <c r="C174" s="1" t="e">
        <f ca="1">_xlfn.XLOOKUP(A174,'[1]Sellers Pro'!$C:$C,'[1]Sellers Pro'!$F:$F)</f>
        <v>#NAME?</v>
      </c>
      <c r="D174" s="5" t="e">
        <f t="shared" si="6"/>
        <v>#NAME?</v>
      </c>
      <c r="E174" s="5" t="str">
        <f>IFERROR(IF(VLOOKUP(A174,Base!AA:AA,1,0)&gt;0,"1","0"),"0")</f>
        <v>1</v>
      </c>
      <c r="F174" s="5" t="e">
        <f t="shared" si="7"/>
        <v>#NAME?</v>
      </c>
      <c r="G174" s="5" t="str">
        <f t="shared" si="8"/>
        <v>0</v>
      </c>
    </row>
    <row r="175" spans="1:7">
      <c r="A175" s="4">
        <v>128664783802</v>
      </c>
      <c r="B175" s="4" t="s">
        <v>1216</v>
      </c>
      <c r="C175" s="1" t="e">
        <f ca="1">_xlfn.XLOOKUP(A175,'[1]Sellers Pro'!$C:$C,'[1]Sellers Pro'!$F:$F)</f>
        <v>#NAME?</v>
      </c>
      <c r="D175" s="5" t="e">
        <f t="shared" si="6"/>
        <v>#NAME?</v>
      </c>
      <c r="E175" s="5" t="str">
        <f>IFERROR(IF(VLOOKUP(A175,Base!AA:AA,1,0)&gt;0,"1","0"),"0")</f>
        <v>1</v>
      </c>
      <c r="F175" s="5" t="e">
        <f t="shared" si="7"/>
        <v>#NAME?</v>
      </c>
      <c r="G175" s="5" t="str">
        <f t="shared" si="8"/>
        <v>0</v>
      </c>
    </row>
    <row r="176" spans="1:7">
      <c r="A176" s="4">
        <v>361885515402</v>
      </c>
      <c r="B176" s="4" t="s">
        <v>1603</v>
      </c>
      <c r="C176" s="1" t="e">
        <f ca="1">_xlfn.XLOOKUP(A176,'[1]Sellers Pro'!$C:$C,'[1]Sellers Pro'!$F:$F)</f>
        <v>#NAME?</v>
      </c>
      <c r="D176" s="5" t="e">
        <f t="shared" si="6"/>
        <v>#NAME?</v>
      </c>
      <c r="E176" s="5" t="str">
        <f>IFERROR(IF(VLOOKUP(A176,Base!AA:AA,1,0)&gt;0,"1","0"),"0")</f>
        <v>1</v>
      </c>
      <c r="F176" s="5" t="e">
        <f t="shared" si="7"/>
        <v>#NAME?</v>
      </c>
      <c r="G176" s="5" t="str">
        <f t="shared" si="8"/>
        <v>0</v>
      </c>
    </row>
    <row r="177" spans="1:7">
      <c r="A177" s="4">
        <v>322287200702</v>
      </c>
      <c r="B177" s="4" t="s">
        <v>2253</v>
      </c>
      <c r="C177" s="1" t="e">
        <f ca="1">_xlfn.XLOOKUP(A177,'[1]Sellers Pro'!$C:$C,'[1]Sellers Pro'!$F:$F)</f>
        <v>#NAME?</v>
      </c>
      <c r="D177" s="5" t="e">
        <f t="shared" si="6"/>
        <v>#NAME?</v>
      </c>
      <c r="E177" s="5" t="str">
        <f>IFERROR(IF(VLOOKUP(A177,Base!AA:AA,1,0)&gt;0,"1","0"),"0")</f>
        <v>0</v>
      </c>
      <c r="F177" s="5" t="e">
        <f t="shared" si="7"/>
        <v>#NAME?</v>
      </c>
      <c r="G177" s="5" t="str">
        <f t="shared" si="8"/>
        <v>0</v>
      </c>
    </row>
    <row r="178" spans="1:7">
      <c r="A178" s="4">
        <v>160165983902</v>
      </c>
      <c r="B178" s="4" t="s">
        <v>2221</v>
      </c>
      <c r="C178" s="1" t="e">
        <f ca="1">_xlfn.XLOOKUP(A178,'[1]Sellers Pro'!$C:$C,'[1]Sellers Pro'!$F:$F)</f>
        <v>#NAME?</v>
      </c>
      <c r="D178" s="5" t="e">
        <f t="shared" si="6"/>
        <v>#NAME?</v>
      </c>
      <c r="E178" s="5" t="str">
        <f>IFERROR(IF(VLOOKUP(A178,Base!AA:AA,1,0)&gt;0,"1","0"),"0")</f>
        <v>1</v>
      </c>
      <c r="F178" s="5" t="e">
        <f t="shared" si="7"/>
        <v>#NAME?</v>
      </c>
      <c r="G178" s="5" t="str">
        <f t="shared" si="8"/>
        <v>0</v>
      </c>
    </row>
    <row r="179" spans="1:7">
      <c r="A179" s="4">
        <v>170004727002</v>
      </c>
      <c r="B179" s="4" t="s">
        <v>2180</v>
      </c>
      <c r="C179" s="1" t="e">
        <f ca="1">_xlfn.XLOOKUP(A179,'[1]Sellers Pro'!$C:$C,'[1]Sellers Pro'!$F:$F)</f>
        <v>#NAME?</v>
      </c>
      <c r="D179" s="5" t="e">
        <f t="shared" si="6"/>
        <v>#NAME?</v>
      </c>
      <c r="E179" s="5" t="str">
        <f>IFERROR(IF(VLOOKUP(A179,Base!AA:AA,1,0)&gt;0,"1","0"),"0")</f>
        <v>1</v>
      </c>
      <c r="F179" s="5" t="e">
        <f t="shared" si="7"/>
        <v>#NAME?</v>
      </c>
      <c r="G179" s="5" t="str">
        <f t="shared" si="8"/>
        <v>0</v>
      </c>
    </row>
    <row r="180" spans="1:7">
      <c r="A180" s="4">
        <v>365155485602</v>
      </c>
      <c r="B180" s="4" t="s">
        <v>1931</v>
      </c>
      <c r="C180" s="1" t="e">
        <f ca="1">_xlfn.XLOOKUP(A180,'[1]Sellers Pro'!$C:$C,'[1]Sellers Pro'!$F:$F)</f>
        <v>#NAME?</v>
      </c>
      <c r="D180" s="5" t="e">
        <f t="shared" si="6"/>
        <v>#NAME?</v>
      </c>
      <c r="E180" s="5" t="str">
        <f>IFERROR(IF(VLOOKUP(A180,Base!AA:AA,1,0)&gt;0,"1","0"),"0")</f>
        <v>1</v>
      </c>
      <c r="F180" s="5" t="e">
        <f t="shared" si="7"/>
        <v>#NAME?</v>
      </c>
      <c r="G180" s="5" t="str">
        <f t="shared" si="8"/>
        <v>0</v>
      </c>
    </row>
    <row r="181" spans="1:7">
      <c r="A181" s="4">
        <v>118772541402</v>
      </c>
      <c r="B181" s="4" t="s">
        <v>2085</v>
      </c>
      <c r="C181" s="1"/>
      <c r="D181" s="5" t="str">
        <f t="shared" si="6"/>
        <v>0</v>
      </c>
      <c r="E181" s="5" t="str">
        <f>IFERROR(IF(VLOOKUP(A181,Base!AA:AA,1,0)&gt;0,"1","0"),"0")</f>
        <v>0</v>
      </c>
      <c r="F181" s="5" t="str">
        <f t="shared" si="7"/>
        <v>-</v>
      </c>
      <c r="G181" s="5" t="str">
        <f t="shared" si="8"/>
        <v>0</v>
      </c>
    </row>
    <row r="182" spans="1:7">
      <c r="A182" s="4">
        <v>414165418502</v>
      </c>
      <c r="B182" s="4" t="s">
        <v>1569</v>
      </c>
      <c r="C182" s="1" t="e">
        <f ca="1">_xlfn.XLOOKUP(A182,'[1]Sellers Pro'!$C:$C,'[1]Sellers Pro'!$F:$F)</f>
        <v>#NAME?</v>
      </c>
      <c r="D182" s="5" t="e">
        <f t="shared" si="6"/>
        <v>#NAME?</v>
      </c>
      <c r="E182" s="5" t="str">
        <f>IFERROR(IF(VLOOKUP(A182,Base!AA:AA,1,0)&gt;0,"1","0"),"0")</f>
        <v>1</v>
      </c>
      <c r="F182" s="5" t="e">
        <f t="shared" si="7"/>
        <v>#NAME?</v>
      </c>
      <c r="G182" s="5" t="str">
        <f t="shared" si="8"/>
        <v>0</v>
      </c>
    </row>
    <row r="183" spans="1:7">
      <c r="A183" s="4">
        <v>16116314302</v>
      </c>
      <c r="B183" s="4" t="s">
        <v>1654</v>
      </c>
      <c r="C183" s="1" t="e">
        <f ca="1">_xlfn.XLOOKUP(A183,'[1]Sellers Pro'!$C:$C,'[1]Sellers Pro'!$F:$F)</f>
        <v>#NAME?</v>
      </c>
      <c r="D183" s="5" t="e">
        <f t="shared" si="6"/>
        <v>#NAME?</v>
      </c>
      <c r="E183" s="5" t="str">
        <f>IFERROR(IF(VLOOKUP(A183,Base!AA:AA,1,0)&gt;0,"1","0"),"0")</f>
        <v>1</v>
      </c>
      <c r="F183" s="5" t="e">
        <f t="shared" si="7"/>
        <v>#NAME?</v>
      </c>
      <c r="G183" s="5" t="str">
        <f t="shared" si="8"/>
        <v>0</v>
      </c>
    </row>
    <row r="184" spans="1:7">
      <c r="A184" s="4">
        <v>56744200802</v>
      </c>
      <c r="B184" s="4" t="s">
        <v>461</v>
      </c>
      <c r="C184" s="1" t="e">
        <f ca="1">_xlfn.XLOOKUP(A184,'[1]Sellers Pro'!$C:$C,'[1]Sellers Pro'!$F:$F)</f>
        <v>#NAME?</v>
      </c>
      <c r="D184" s="5" t="e">
        <f t="shared" si="6"/>
        <v>#NAME?</v>
      </c>
      <c r="E184" s="5" t="str">
        <f>IFERROR(IF(VLOOKUP(A184,Base!AA:AA,1,0)&gt;0,"1","0"),"0")</f>
        <v>0</v>
      </c>
      <c r="F184" s="5" t="e">
        <f t="shared" si="7"/>
        <v>#NAME?</v>
      </c>
      <c r="G184" s="5" t="str">
        <f t="shared" si="8"/>
        <v>0</v>
      </c>
    </row>
    <row r="185" spans="1:7">
      <c r="A185" s="4">
        <v>326312039202</v>
      </c>
      <c r="B185" s="4" t="s">
        <v>2298</v>
      </c>
      <c r="C185" s="1"/>
      <c r="D185" s="5" t="str">
        <f t="shared" si="6"/>
        <v>0</v>
      </c>
      <c r="E185" s="5" t="str">
        <f>IFERROR(IF(VLOOKUP(A185,Base!AA:AA,1,0)&gt;0,"1","0"),"0")</f>
        <v>0</v>
      </c>
      <c r="F185" s="5" t="str">
        <f t="shared" si="7"/>
        <v>-</v>
      </c>
      <c r="G185" s="5" t="str">
        <f t="shared" si="8"/>
        <v>0</v>
      </c>
    </row>
    <row r="186" spans="1:7">
      <c r="A186" s="4">
        <v>282538163102</v>
      </c>
      <c r="B186" s="4" t="s">
        <v>2154</v>
      </c>
      <c r="C186" s="1" t="e">
        <f ca="1">_xlfn.XLOOKUP(A186,'[1]Sellers Pro'!$C:$C,'[1]Sellers Pro'!$F:$F)</f>
        <v>#NAME?</v>
      </c>
      <c r="D186" s="5" t="e">
        <f t="shared" si="6"/>
        <v>#NAME?</v>
      </c>
      <c r="E186" s="5" t="str">
        <f>IFERROR(IF(VLOOKUP(A186,Base!AA:AA,1,0)&gt;0,"1","0"),"0")</f>
        <v>1</v>
      </c>
      <c r="F186" s="5" t="e">
        <f t="shared" si="7"/>
        <v>#NAME?</v>
      </c>
      <c r="G186" s="5" t="str">
        <f t="shared" si="8"/>
        <v>0</v>
      </c>
    </row>
    <row r="187" spans="1:7">
      <c r="A187" s="4">
        <v>375080537802</v>
      </c>
      <c r="B187" s="4" t="s">
        <v>2299</v>
      </c>
      <c r="C187" s="1" t="e">
        <f ca="1">_xlfn.XLOOKUP(A187,'[1]Sellers Pro'!$C:$C,'[1]Sellers Pro'!$F:$F)</f>
        <v>#NAME?</v>
      </c>
      <c r="D187" s="5" t="e">
        <f t="shared" si="6"/>
        <v>#NAME?</v>
      </c>
      <c r="E187" s="5" t="str">
        <f>IFERROR(IF(VLOOKUP(A187,Base!AA:AA,1,0)&gt;0,"1","0"),"0")</f>
        <v>1</v>
      </c>
      <c r="F187" s="5" t="e">
        <f t="shared" si="7"/>
        <v>#NAME?</v>
      </c>
      <c r="G187" s="5" t="str">
        <f t="shared" si="8"/>
        <v>0</v>
      </c>
    </row>
    <row r="188" spans="1:7">
      <c r="A188" s="4">
        <v>158701479502</v>
      </c>
      <c r="B188" s="4" t="s">
        <v>2300</v>
      </c>
      <c r="C188" s="1"/>
      <c r="D188" s="5" t="str">
        <f t="shared" si="6"/>
        <v>0</v>
      </c>
      <c r="E188" s="5" t="str">
        <f>IFERROR(IF(VLOOKUP(A188,Base!AA:AA,1,0)&gt;0,"1","0"),"0")</f>
        <v>0</v>
      </c>
      <c r="F188" s="5" t="str">
        <f t="shared" si="7"/>
        <v>-</v>
      </c>
      <c r="G188" s="5" t="str">
        <f t="shared" si="8"/>
        <v>0</v>
      </c>
    </row>
    <row r="189" spans="1:7">
      <c r="A189" s="4">
        <v>142720086902</v>
      </c>
      <c r="B189" s="4" t="s">
        <v>2301</v>
      </c>
      <c r="C189" s="1"/>
      <c r="D189" s="5" t="str">
        <f t="shared" si="6"/>
        <v>0</v>
      </c>
      <c r="E189" s="5" t="str">
        <f>IFERROR(IF(VLOOKUP(A189,Base!AA:AA,1,0)&gt;0,"1","0"),"0")</f>
        <v>0</v>
      </c>
      <c r="F189" s="5" t="str">
        <f t="shared" si="7"/>
        <v>-</v>
      </c>
      <c r="G189" s="5" t="str">
        <f t="shared" si="8"/>
        <v>0</v>
      </c>
    </row>
    <row r="190" spans="1:7">
      <c r="A190" s="4">
        <v>106892707902</v>
      </c>
      <c r="B190" s="4" t="s">
        <v>2302</v>
      </c>
      <c r="C190" s="1"/>
      <c r="D190" s="5" t="str">
        <f t="shared" si="6"/>
        <v>0</v>
      </c>
      <c r="E190" s="5" t="str">
        <f>IFERROR(IF(VLOOKUP(A190,Base!AA:AA,1,0)&gt;0,"1","0"),"0")</f>
        <v>0</v>
      </c>
      <c r="F190" s="5" t="str">
        <f t="shared" si="7"/>
        <v>-</v>
      </c>
      <c r="G190" s="5" t="str">
        <f t="shared" si="8"/>
        <v>0</v>
      </c>
    </row>
    <row r="191" spans="1:7">
      <c r="A191" s="4">
        <v>164556184602</v>
      </c>
      <c r="B191" s="4" t="s">
        <v>2303</v>
      </c>
      <c r="C191" s="1"/>
      <c r="D191" s="5" t="str">
        <f t="shared" si="6"/>
        <v>0</v>
      </c>
      <c r="E191" s="5" t="str">
        <f>IFERROR(IF(VLOOKUP(A191,Base!AA:AA,1,0)&gt;0,"1","0"),"0")</f>
        <v>0</v>
      </c>
      <c r="F191" s="5" t="str">
        <f t="shared" si="7"/>
        <v>-</v>
      </c>
      <c r="G191" s="5" t="str">
        <f t="shared" si="8"/>
        <v>0</v>
      </c>
    </row>
    <row r="192" spans="1:7">
      <c r="A192" s="4">
        <v>62421319902</v>
      </c>
      <c r="B192" s="4" t="s">
        <v>1944</v>
      </c>
      <c r="C192" s="1"/>
      <c r="D192" s="5" t="str">
        <f t="shared" si="6"/>
        <v>0</v>
      </c>
      <c r="E192" s="5" t="str">
        <f>IFERROR(IF(VLOOKUP(A192,Base!AA:AA,1,0)&gt;0,"1","0"),"0")</f>
        <v>0</v>
      </c>
      <c r="F192" s="5" t="str">
        <f t="shared" si="7"/>
        <v>-</v>
      </c>
      <c r="G192" s="5" t="str">
        <f t="shared" si="8"/>
        <v>0</v>
      </c>
    </row>
    <row r="193" spans="1:7">
      <c r="A193" s="4">
        <v>44765160202</v>
      </c>
      <c r="B193" s="4" t="s">
        <v>2304</v>
      </c>
      <c r="C193" s="1"/>
      <c r="D193" s="5" t="str">
        <f t="shared" si="6"/>
        <v>0</v>
      </c>
      <c r="E193" s="5" t="str">
        <f>IFERROR(IF(VLOOKUP(A193,Base!AA:AA,1,0)&gt;0,"1","0"),"0")</f>
        <v>0</v>
      </c>
      <c r="F193" s="5" t="str">
        <f t="shared" si="7"/>
        <v>-</v>
      </c>
      <c r="G193" s="5" t="str">
        <f t="shared" si="8"/>
        <v>0</v>
      </c>
    </row>
    <row r="194" spans="1:7">
      <c r="A194" s="4">
        <v>318109251502</v>
      </c>
      <c r="B194" s="4" t="s">
        <v>2305</v>
      </c>
      <c r="C194" s="1"/>
      <c r="D194" s="5" t="str">
        <f t="shared" si="6"/>
        <v>0</v>
      </c>
      <c r="E194" s="5" t="str">
        <f>IFERROR(IF(VLOOKUP(A194,Base!AA:AA,1,0)&gt;0,"1","0"),"0")</f>
        <v>0</v>
      </c>
      <c r="F194" s="5" t="str">
        <f t="shared" si="7"/>
        <v>-</v>
      </c>
      <c r="G194" s="5" t="str">
        <f t="shared" si="8"/>
        <v>0</v>
      </c>
    </row>
    <row r="195" spans="1:7">
      <c r="A195" s="4">
        <v>721128628302</v>
      </c>
      <c r="B195" s="4" t="s">
        <v>1362</v>
      </c>
      <c r="C195" s="1"/>
      <c r="D195" s="5" t="str">
        <f t="shared" si="6"/>
        <v>0</v>
      </c>
      <c r="E195" s="5" t="str">
        <f>IFERROR(IF(VLOOKUP(A195,Base!AA:AA,1,0)&gt;0,"1","0"),"0")</f>
        <v>0</v>
      </c>
      <c r="F195" s="5" t="str">
        <f t="shared" si="7"/>
        <v>-</v>
      </c>
      <c r="G195" s="5" t="str">
        <f t="shared" si="8"/>
        <v>0</v>
      </c>
    </row>
    <row r="196" spans="1:7">
      <c r="A196" s="4">
        <v>538911850502</v>
      </c>
      <c r="B196" s="4" t="s">
        <v>2306</v>
      </c>
      <c r="C196" s="1" t="e">
        <f ca="1">_xlfn.XLOOKUP(A196,'[1]Sellers Pro'!$C:$C,'[1]Sellers Pro'!$F:$F)</f>
        <v>#NAME?</v>
      </c>
      <c r="D196" s="5" t="e">
        <f t="shared" ref="D196:D204" si="9">IF(C196="","0","1")</f>
        <v>#NAME?</v>
      </c>
      <c r="E196" s="5" t="str">
        <f>IFERROR(IF(VLOOKUP(A196,Base!AA:AA,1,0)&gt;0,"1","0"),"0")</f>
        <v>1</v>
      </c>
      <c r="F196" s="5" t="e">
        <f t="shared" ref="F196:F204" si="10">IF(C196="","-",IF(OR(BC196="Muito satisfeito",BC196="Satisfeito"),"1","0"))</f>
        <v>#NAME?</v>
      </c>
      <c r="G196" s="5" t="str">
        <f t="shared" ref="G196:G204" si="11">IF(BC196="","0","1")</f>
        <v>0</v>
      </c>
    </row>
    <row r="197" spans="1:7">
      <c r="A197" s="4">
        <v>256525648402</v>
      </c>
      <c r="B197" s="4" t="s">
        <v>2307</v>
      </c>
      <c r="C197" s="1" t="e">
        <f ca="1">_xlfn.XLOOKUP(A197,'[1]Sellers Pro'!$C:$C,'[1]Sellers Pro'!$F:$F)</f>
        <v>#NAME?</v>
      </c>
      <c r="D197" s="5" t="e">
        <f t="shared" si="9"/>
        <v>#NAME?</v>
      </c>
      <c r="E197" s="5" t="str">
        <f>IFERROR(IF(VLOOKUP(A197,Base!AA:AA,1,0)&gt;0,"1","0"),"0")</f>
        <v>1</v>
      </c>
      <c r="F197" s="5" t="e">
        <f t="shared" si="10"/>
        <v>#NAME?</v>
      </c>
      <c r="G197" s="5" t="str">
        <f t="shared" si="11"/>
        <v>0</v>
      </c>
    </row>
    <row r="198" spans="1:7">
      <c r="A198" s="4">
        <v>124090551902</v>
      </c>
      <c r="B198" s="4" t="s">
        <v>1956</v>
      </c>
      <c r="C198" s="1" t="e">
        <f ca="1">_xlfn.XLOOKUP(A198,'[1]Sellers Pro'!$C:$C,'[1]Sellers Pro'!$F:$F)</f>
        <v>#NAME?</v>
      </c>
      <c r="D198" s="5" t="e">
        <f t="shared" si="9"/>
        <v>#NAME?</v>
      </c>
      <c r="E198" s="5" t="str">
        <f>IFERROR(IF(VLOOKUP(A198,Base!AA:AA,1,0)&gt;0,"1","0"),"0")</f>
        <v>1</v>
      </c>
      <c r="F198" s="5" t="e">
        <f t="shared" si="10"/>
        <v>#NAME?</v>
      </c>
      <c r="G198" s="5" t="str">
        <f t="shared" si="11"/>
        <v>0</v>
      </c>
    </row>
    <row r="199" spans="1:7">
      <c r="A199" s="4">
        <v>26322058702</v>
      </c>
      <c r="B199" s="4" t="s">
        <v>1559</v>
      </c>
      <c r="C199" s="1" t="e">
        <f ca="1">_xlfn.XLOOKUP(A199,'[1]Sellers Pro'!$C:$C,'[1]Sellers Pro'!$F:$F)</f>
        <v>#NAME?</v>
      </c>
      <c r="D199" s="5" t="e">
        <f t="shared" si="9"/>
        <v>#NAME?</v>
      </c>
      <c r="E199" s="5" t="str">
        <f>IFERROR(IF(VLOOKUP(A199,Base!AA:AA,1,0)&gt;0,"1","0"),"0")</f>
        <v>0</v>
      </c>
      <c r="F199" s="5" t="e">
        <f t="shared" si="10"/>
        <v>#NAME?</v>
      </c>
      <c r="G199" s="5" t="str">
        <f t="shared" si="11"/>
        <v>0</v>
      </c>
    </row>
    <row r="200" spans="1:7">
      <c r="A200" s="4">
        <v>844422866302</v>
      </c>
      <c r="B200" s="4" t="s">
        <v>2308</v>
      </c>
      <c r="C200" s="1" t="e">
        <f ca="1">_xlfn.XLOOKUP(A200,'[1]Sellers Pro'!$C:$C,'[1]Sellers Pro'!$F:$F)</f>
        <v>#NAME?</v>
      </c>
      <c r="D200" s="5" t="e">
        <f t="shared" si="9"/>
        <v>#NAME?</v>
      </c>
      <c r="E200" s="5" t="str">
        <f>IFERROR(IF(VLOOKUP(A200,Base!AA:AA,1,0)&gt;0,"1","0"),"0")</f>
        <v>1</v>
      </c>
      <c r="F200" s="5" t="e">
        <f t="shared" si="10"/>
        <v>#NAME?</v>
      </c>
      <c r="G200" s="5" t="str">
        <f t="shared" si="11"/>
        <v>0</v>
      </c>
    </row>
    <row r="201" spans="1:7">
      <c r="A201" s="4">
        <v>281658231902</v>
      </c>
      <c r="B201" s="4" t="s">
        <v>2309</v>
      </c>
      <c r="C201" s="1" t="e">
        <f ca="1">_xlfn.XLOOKUP(A201,'[1]Sellers Pro'!$C:$C,'[1]Sellers Pro'!$F:$F)</f>
        <v>#NAME?</v>
      </c>
      <c r="D201" s="5" t="e">
        <f t="shared" si="9"/>
        <v>#NAME?</v>
      </c>
      <c r="E201" s="5" t="str">
        <f>IFERROR(IF(VLOOKUP(A201,Base!AA:AA,1,0)&gt;0,"1","0"),"0")</f>
        <v>0</v>
      </c>
      <c r="F201" s="5" t="e">
        <f t="shared" si="10"/>
        <v>#NAME?</v>
      </c>
      <c r="G201" s="5" t="str">
        <f t="shared" si="11"/>
        <v>0</v>
      </c>
    </row>
    <row r="202" spans="1:7">
      <c r="A202" s="4">
        <v>838524899602</v>
      </c>
      <c r="B202" s="4" t="s">
        <v>2310</v>
      </c>
      <c r="C202" s="1" t="e">
        <f ca="1">_xlfn.XLOOKUP(A202,'[1]Sellers Pro'!$C:$C,'[1]Sellers Pro'!$F:$F)</f>
        <v>#NAME?</v>
      </c>
      <c r="D202" s="5" t="e">
        <f t="shared" si="9"/>
        <v>#NAME?</v>
      </c>
      <c r="E202" s="5" t="str">
        <f>IFERROR(IF(VLOOKUP(A202,Base!AA:AA,1,0)&gt;0,"1","0"),"0")</f>
        <v>0</v>
      </c>
      <c r="F202" s="5" t="e">
        <f t="shared" si="10"/>
        <v>#NAME?</v>
      </c>
      <c r="G202" s="5" t="str">
        <f t="shared" si="11"/>
        <v>0</v>
      </c>
    </row>
    <row r="203" spans="1:7">
      <c r="A203" s="4">
        <v>490336347502</v>
      </c>
      <c r="B203" s="4" t="s">
        <v>2311</v>
      </c>
      <c r="C203" s="1" t="e">
        <f ca="1">_xlfn.XLOOKUP(A203,'[1]Sellers Pro'!$C:$C,'[1]Sellers Pro'!$F:$F)</f>
        <v>#NAME?</v>
      </c>
      <c r="D203" s="5" t="e">
        <f t="shared" si="9"/>
        <v>#NAME?</v>
      </c>
      <c r="E203" s="5" t="str">
        <f>IFERROR(IF(VLOOKUP(A203,Base!AA:AA,1,0)&gt;0,"1","0"),"0")</f>
        <v>0</v>
      </c>
      <c r="F203" s="5" t="e">
        <f t="shared" si="10"/>
        <v>#NAME?</v>
      </c>
      <c r="G203" s="5" t="str">
        <f t="shared" si="11"/>
        <v>0</v>
      </c>
    </row>
    <row r="204" spans="1:7">
      <c r="A204" s="4">
        <v>1026263719202</v>
      </c>
      <c r="B204" s="4" t="s">
        <v>616</v>
      </c>
      <c r="C204" s="1" t="e">
        <f ca="1">_xlfn.XLOOKUP(A204,'[1]Sellers Pro'!$C:$C,'[1]Sellers Pro'!$F:$F)</f>
        <v>#NAME?</v>
      </c>
      <c r="D204" s="5" t="e">
        <f t="shared" si="9"/>
        <v>#NAME?</v>
      </c>
      <c r="E204" s="5" t="str">
        <f>IFERROR(IF(VLOOKUP(A204,Base!AA:AA,1,0)&gt;0,"1","0"),"0")</f>
        <v>1</v>
      </c>
      <c r="F204" s="5" t="e">
        <f t="shared" si="10"/>
        <v>#NAME?</v>
      </c>
      <c r="G204" s="5" t="str">
        <f t="shared" si="11"/>
        <v>0</v>
      </c>
    </row>
    <row r="210" spans="6:6">
      <c r="F210" s="29"/>
    </row>
  </sheetData>
  <conditionalFormatting sqref="A1:A204">
    <cfRule type="duplicateValues" dxfId="3" priority="1"/>
  </conditionalFormatting>
  <conditionalFormatting sqref="A3:A199">
    <cfRule type="duplicateValues" dxfId="2" priority="2"/>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O210"/>
  <sheetViews>
    <sheetView workbookViewId="0">
      <selection activeCell="H1" sqref="H1:BP184"/>
    </sheetView>
  </sheetViews>
  <sheetFormatPr defaultRowHeight="14.45"/>
  <cols>
    <col min="1" max="1" width="14.875" customWidth="1"/>
    <col min="2" max="2" width="28" bestFit="1" customWidth="1"/>
    <col min="3" max="3" width="10.125" customWidth="1"/>
    <col min="5" max="5" width="12.875" bestFit="1" customWidth="1"/>
    <col min="6" max="6" width="19.875" bestFit="1" customWidth="1"/>
    <col min="7" max="7" width="17.5" customWidth="1"/>
    <col min="8" max="9" width="14.125" bestFit="1" customWidth="1"/>
    <col min="15" max="15" width="15.125" bestFit="1" customWidth="1"/>
  </cols>
  <sheetData>
    <row r="1" spans="1:67">
      <c r="A1" s="4"/>
      <c r="B1" s="4"/>
      <c r="C1" s="4"/>
      <c r="D1" s="5"/>
      <c r="E1" s="5"/>
      <c r="F1" s="5"/>
      <c r="G1" s="5"/>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row>
    <row r="2" spans="1:67">
      <c r="A2" s="7" t="s">
        <v>104</v>
      </c>
      <c r="B2" s="7" t="s">
        <v>105</v>
      </c>
      <c r="C2" s="7" t="s">
        <v>3</v>
      </c>
      <c r="D2" s="8" t="s">
        <v>106</v>
      </c>
      <c r="E2" s="8" t="s">
        <v>107</v>
      </c>
      <c r="F2" s="8" t="s">
        <v>108</v>
      </c>
      <c r="G2" s="8" t="s">
        <v>109</v>
      </c>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row>
    <row r="3" spans="1:67">
      <c r="A3" s="4">
        <v>247227556102</v>
      </c>
      <c r="B3" s="4" t="s">
        <v>270</v>
      </c>
      <c r="C3" s="1" t="e">
        <f ca="1">_xlfn.XLOOKUP(A3,'[1]Sellers Pro'!$C:$C,'[1]Sellers Pro'!$F:$F)</f>
        <v>#NAME?</v>
      </c>
      <c r="D3" s="5" t="e">
        <f>IF(C3="","0","1")</f>
        <v>#NAME?</v>
      </c>
      <c r="E3" s="5" t="str">
        <f>IFERROR(IF(VLOOKUP(A3,Base!AA:AA,1,0)&gt;0,"1","0"),"0")</f>
        <v>1</v>
      </c>
      <c r="F3" s="5" t="e">
        <f>IF(C3="","-",IF(OR(BC3="Muito satisfeito",BC3="Satisfeito"),"1","0"))</f>
        <v>#NAME?</v>
      </c>
      <c r="G3" s="5" t="str">
        <f>IF(BC3="","0","1")</f>
        <v>0</v>
      </c>
      <c r="H3" s="1"/>
      <c r="I3" s="1"/>
      <c r="J3" s="9"/>
      <c r="K3" s="9"/>
      <c r="N3" s="9"/>
      <c r="O3" s="1"/>
      <c r="P3" s="9"/>
      <c r="Q3" s="9"/>
      <c r="R3" s="9"/>
      <c r="S3" s="9"/>
      <c r="T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N3" s="9"/>
      <c r="BO3" s="9"/>
    </row>
    <row r="4" spans="1:67">
      <c r="A4" s="4">
        <v>656484931002</v>
      </c>
      <c r="B4" s="4" t="s">
        <v>2276</v>
      </c>
      <c r="C4" s="1"/>
      <c r="D4" s="5" t="str">
        <f t="shared" ref="D4:D67" si="0">IF(C4="","0","1")</f>
        <v>0</v>
      </c>
      <c r="E4" s="5">
        <v>0</v>
      </c>
      <c r="F4" s="5" t="str">
        <f t="shared" ref="F4:F67" si="1">IF(C4="","-",IF(OR(BC4="Muito satisfeito",BC4="Satisfeito"),"1","0"))</f>
        <v>-</v>
      </c>
      <c r="G4" s="5" t="str">
        <f t="shared" ref="G4:G67" si="2">IF(BC4="","0","1")</f>
        <v>0</v>
      </c>
      <c r="H4" s="1"/>
      <c r="I4" s="1"/>
      <c r="J4" s="9"/>
      <c r="K4" s="9"/>
      <c r="N4" s="9"/>
      <c r="O4" s="1"/>
      <c r="P4" s="9"/>
      <c r="Q4" s="9"/>
      <c r="R4" s="9"/>
      <c r="S4" s="9"/>
      <c r="T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N4" s="9"/>
      <c r="BO4" s="9"/>
    </row>
    <row r="5" spans="1:67">
      <c r="A5" s="4">
        <v>577689852902</v>
      </c>
      <c r="B5" s="4" t="s">
        <v>2277</v>
      </c>
      <c r="C5" s="1"/>
      <c r="D5" s="5" t="str">
        <f t="shared" si="0"/>
        <v>0</v>
      </c>
      <c r="E5" s="5" t="str">
        <f>IFERROR(IF(VLOOKUP(A5,Base!AA:AA,1,0)&gt;0,"1","0"),"0")</f>
        <v>0</v>
      </c>
      <c r="F5" s="5" t="str">
        <f t="shared" si="1"/>
        <v>-</v>
      </c>
      <c r="G5" s="5" t="str">
        <f t="shared" si="2"/>
        <v>0</v>
      </c>
      <c r="H5" s="1"/>
      <c r="I5" s="1"/>
      <c r="J5" s="9"/>
      <c r="K5" s="9"/>
      <c r="N5" s="9"/>
      <c r="O5" s="1"/>
      <c r="P5" s="9"/>
      <c r="Q5" s="9"/>
      <c r="R5" s="9"/>
      <c r="S5" s="9"/>
      <c r="T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N5" s="9"/>
      <c r="BO5" s="9"/>
    </row>
    <row r="6" spans="1:67">
      <c r="A6" s="4">
        <v>45610153402</v>
      </c>
      <c r="B6" s="4" t="s">
        <v>2278</v>
      </c>
      <c r="C6" s="1"/>
      <c r="D6" s="5" t="str">
        <f t="shared" si="0"/>
        <v>0</v>
      </c>
      <c r="E6" s="5" t="str">
        <f>IFERROR(IF(VLOOKUP(A6,Base!AA:AA,1,0)&gt;0,"1","0"),"0")</f>
        <v>0</v>
      </c>
      <c r="F6" s="5" t="str">
        <f t="shared" si="1"/>
        <v>-</v>
      </c>
      <c r="G6" s="5" t="str">
        <f t="shared" si="2"/>
        <v>0</v>
      </c>
      <c r="H6" s="1"/>
      <c r="I6" s="1"/>
      <c r="J6" s="9"/>
      <c r="K6" s="9"/>
      <c r="N6" s="9"/>
      <c r="O6" s="1"/>
      <c r="P6" s="9"/>
      <c r="Q6" s="9"/>
      <c r="R6" s="9"/>
      <c r="S6" s="9"/>
      <c r="T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N6" s="9"/>
      <c r="BO6" s="9"/>
    </row>
    <row r="7" spans="1:67">
      <c r="A7" s="4">
        <v>69746651</v>
      </c>
      <c r="B7" s="4" t="s">
        <v>944</v>
      </c>
      <c r="C7" s="1" t="e">
        <f ca="1">_xlfn.XLOOKUP(A7,'[1]Sellers Pro'!$C:$C,'[1]Sellers Pro'!$F:$F)</f>
        <v>#NAME?</v>
      </c>
      <c r="D7" s="5" t="e">
        <f t="shared" si="0"/>
        <v>#NAME?</v>
      </c>
      <c r="E7" s="5" t="str">
        <f>IFERROR(IF(VLOOKUP(A7,Base!AA:AA,1,0)&gt;0,"1","0"),"0")</f>
        <v>1</v>
      </c>
      <c r="F7" s="5" t="e">
        <f t="shared" si="1"/>
        <v>#NAME?</v>
      </c>
      <c r="G7" s="5" t="str">
        <f t="shared" si="2"/>
        <v>0</v>
      </c>
      <c r="H7" s="1"/>
      <c r="I7" s="1"/>
      <c r="J7" s="9"/>
      <c r="K7" s="9"/>
      <c r="N7" s="9"/>
      <c r="O7" s="1"/>
      <c r="P7" s="9"/>
      <c r="Q7" s="9"/>
      <c r="R7" s="9"/>
      <c r="S7" s="9"/>
      <c r="T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N7" s="9"/>
      <c r="BO7" s="9"/>
    </row>
    <row r="8" spans="1:67">
      <c r="A8" s="4">
        <v>434163431202</v>
      </c>
      <c r="B8" s="4" t="s">
        <v>1258</v>
      </c>
      <c r="C8" s="1" t="e">
        <f ca="1">_xlfn.XLOOKUP(A8,'[1]Sellers Pro'!$C:$C,'[1]Sellers Pro'!$F:$F)</f>
        <v>#NAME?</v>
      </c>
      <c r="D8" s="5" t="e">
        <f t="shared" si="0"/>
        <v>#NAME?</v>
      </c>
      <c r="E8" s="5" t="str">
        <f>IFERROR(IF(VLOOKUP(A8,Base!AA:AA,1,0)&gt;0,"1","0"),"0")</f>
        <v>1</v>
      </c>
      <c r="F8" s="5" t="e">
        <f t="shared" si="1"/>
        <v>#NAME?</v>
      </c>
      <c r="G8" s="5" t="str">
        <f t="shared" si="2"/>
        <v>0</v>
      </c>
      <c r="H8" s="1"/>
      <c r="I8" s="1"/>
      <c r="J8" s="9"/>
      <c r="K8" s="9"/>
      <c r="N8" s="9"/>
      <c r="O8" s="1"/>
      <c r="P8" s="9"/>
      <c r="Q8" s="9"/>
      <c r="R8" s="9"/>
      <c r="S8" s="9"/>
      <c r="T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N8" s="9"/>
      <c r="BO8" s="9"/>
    </row>
    <row r="9" spans="1:67">
      <c r="A9" s="4">
        <v>774349555502</v>
      </c>
      <c r="B9" s="4" t="s">
        <v>2279</v>
      </c>
      <c r="C9" s="1"/>
      <c r="D9" s="5" t="str">
        <f t="shared" si="0"/>
        <v>0</v>
      </c>
      <c r="E9" s="5" t="str">
        <f>IFERROR(IF(VLOOKUP(A9,Base!AA:AA,1,0)&gt;0,"1","0"),"0")</f>
        <v>0</v>
      </c>
      <c r="F9" s="5" t="str">
        <f t="shared" si="1"/>
        <v>-</v>
      </c>
      <c r="G9" s="5" t="str">
        <f t="shared" si="2"/>
        <v>0</v>
      </c>
      <c r="H9" s="1"/>
      <c r="I9" s="1"/>
      <c r="J9" s="9"/>
      <c r="K9" s="9"/>
      <c r="N9" s="9"/>
      <c r="O9" s="1"/>
      <c r="P9" s="9"/>
      <c r="Q9" s="9"/>
      <c r="R9" s="9"/>
      <c r="S9" s="9"/>
      <c r="T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N9" s="9"/>
      <c r="BO9" s="9"/>
    </row>
    <row r="10" spans="1:67">
      <c r="A10" s="4">
        <v>97759973202</v>
      </c>
      <c r="B10" s="4" t="s">
        <v>2118</v>
      </c>
      <c r="C10" s="1" t="e">
        <f ca="1">_xlfn.XLOOKUP(A10,'[1]Sellers Pro'!$C:$C,'[1]Sellers Pro'!$F:$F)</f>
        <v>#NAME?</v>
      </c>
      <c r="D10" s="5" t="e">
        <f t="shared" si="0"/>
        <v>#NAME?</v>
      </c>
      <c r="E10" s="5" t="str">
        <f>IFERROR(IF(VLOOKUP(A10,Base!AA:AA,1,0)&gt;0,"1","0"),"0")</f>
        <v>1</v>
      </c>
      <c r="F10" s="5" t="e">
        <f t="shared" si="1"/>
        <v>#NAME?</v>
      </c>
      <c r="G10" s="5" t="str">
        <f t="shared" si="2"/>
        <v>0</v>
      </c>
      <c r="H10" s="1"/>
      <c r="I10" s="1"/>
      <c r="J10" s="9"/>
      <c r="K10" s="9"/>
      <c r="N10" s="9"/>
      <c r="O10" s="1"/>
      <c r="P10" s="9"/>
      <c r="Q10" s="9"/>
      <c r="R10" s="9"/>
      <c r="S10" s="9"/>
      <c r="T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N10" s="9"/>
      <c r="BO10" s="9"/>
    </row>
    <row r="11" spans="1:67">
      <c r="A11" s="4">
        <v>627010921602</v>
      </c>
      <c r="B11" s="4" t="s">
        <v>1204</v>
      </c>
      <c r="C11" s="1" t="e">
        <f ca="1">_xlfn.XLOOKUP(A11,'[1]Sellers Pro'!$C:$C,'[1]Sellers Pro'!$F:$F)</f>
        <v>#NAME?</v>
      </c>
      <c r="D11" s="5" t="e">
        <f t="shared" si="0"/>
        <v>#NAME?</v>
      </c>
      <c r="E11" s="5" t="str">
        <f>IFERROR(IF(VLOOKUP(A11,Base!AA:AA,1,0)&gt;0,"1","0"),"0")</f>
        <v>1</v>
      </c>
      <c r="F11" s="5" t="e">
        <f t="shared" si="1"/>
        <v>#NAME?</v>
      </c>
      <c r="G11" s="5" t="str">
        <f t="shared" si="2"/>
        <v>0</v>
      </c>
      <c r="H11" s="1"/>
      <c r="I11" s="1"/>
      <c r="J11" s="9"/>
      <c r="K11" s="9"/>
      <c r="N11" s="9"/>
      <c r="O11" s="1"/>
      <c r="P11" s="9"/>
      <c r="Q11" s="9"/>
      <c r="R11" s="9"/>
      <c r="S11" s="9"/>
      <c r="T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N11" s="9"/>
      <c r="BO11" s="9"/>
    </row>
    <row r="12" spans="1:67">
      <c r="A12" s="4">
        <v>97596278102</v>
      </c>
      <c r="B12" s="4" t="s">
        <v>343</v>
      </c>
      <c r="C12" s="1" t="e">
        <f ca="1">_xlfn.XLOOKUP(A12,'[1]Sellers Pro'!$C:$C,'[1]Sellers Pro'!$F:$F)</f>
        <v>#NAME?</v>
      </c>
      <c r="D12" s="5" t="e">
        <f t="shared" si="0"/>
        <v>#NAME?</v>
      </c>
      <c r="E12" s="5" t="str">
        <f>IFERROR(IF(VLOOKUP(A12,Base!AA:AA,1,0)&gt;0,"1","0"),"0")</f>
        <v>1</v>
      </c>
      <c r="F12" s="5" t="e">
        <f t="shared" si="1"/>
        <v>#NAME?</v>
      </c>
      <c r="G12" s="5" t="str">
        <f t="shared" si="2"/>
        <v>0</v>
      </c>
      <c r="H12" s="1"/>
      <c r="I12" s="1"/>
      <c r="J12" s="9"/>
      <c r="K12" s="9"/>
      <c r="N12" s="9"/>
      <c r="O12" s="1"/>
      <c r="P12" s="9"/>
      <c r="Q12" s="9"/>
      <c r="R12" s="9"/>
      <c r="S12" s="9"/>
      <c r="T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N12" s="9"/>
      <c r="BO12" s="9"/>
    </row>
    <row r="13" spans="1:67">
      <c r="A13" s="4">
        <v>487573149502</v>
      </c>
      <c r="B13" s="4" t="s">
        <v>244</v>
      </c>
      <c r="C13" s="1"/>
      <c r="D13" s="5" t="str">
        <f t="shared" si="0"/>
        <v>0</v>
      </c>
      <c r="E13" s="5" t="str">
        <f>IFERROR(IF(VLOOKUP(A13,Base!AA:AA,1,0)&gt;0,"1","0"),"0")</f>
        <v>0</v>
      </c>
      <c r="F13" s="5" t="str">
        <f t="shared" si="1"/>
        <v>-</v>
      </c>
      <c r="G13" s="5" t="str">
        <f t="shared" si="2"/>
        <v>0</v>
      </c>
      <c r="H13" s="1"/>
      <c r="I13" s="1"/>
      <c r="J13" s="9"/>
      <c r="K13" s="9"/>
      <c r="N13" s="9"/>
      <c r="O13" s="1"/>
      <c r="P13" s="9"/>
      <c r="Q13" s="9"/>
      <c r="R13" s="9"/>
      <c r="S13" s="9"/>
      <c r="T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N13" s="9"/>
      <c r="BO13" s="9"/>
    </row>
    <row r="14" spans="1:67">
      <c r="A14" s="4">
        <v>685488901302</v>
      </c>
      <c r="B14" s="4" t="s">
        <v>414</v>
      </c>
      <c r="C14" s="1" t="e">
        <f ca="1">_xlfn.XLOOKUP(A14,'[1]Sellers Pro'!$C:$C,'[1]Sellers Pro'!$F:$F)</f>
        <v>#NAME?</v>
      </c>
      <c r="D14" s="5" t="e">
        <f t="shared" si="0"/>
        <v>#NAME?</v>
      </c>
      <c r="E14" s="5" t="str">
        <f>IFERROR(IF(VLOOKUP(A14,Base!AA:AA,1,0)&gt;0,"1","0"),"0")</f>
        <v>1</v>
      </c>
      <c r="F14" s="5" t="e">
        <f t="shared" si="1"/>
        <v>#NAME?</v>
      </c>
      <c r="G14" s="5" t="str">
        <f t="shared" si="2"/>
        <v>0</v>
      </c>
      <c r="H14" s="1"/>
      <c r="I14" s="1"/>
      <c r="J14" s="9"/>
      <c r="K14" s="9"/>
      <c r="N14" s="9"/>
      <c r="O14" s="1"/>
      <c r="P14" s="9"/>
      <c r="Q14" s="9"/>
      <c r="R14" s="9"/>
      <c r="S14" s="9"/>
      <c r="T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N14" s="9"/>
      <c r="BO14" s="9"/>
    </row>
    <row r="15" spans="1:67">
      <c r="A15" s="4">
        <v>302130688502</v>
      </c>
      <c r="B15" s="4" t="s">
        <v>991</v>
      </c>
      <c r="C15" s="1"/>
      <c r="D15" s="5" t="str">
        <f t="shared" si="0"/>
        <v>0</v>
      </c>
      <c r="E15" s="5" t="str">
        <f>IFERROR(IF(VLOOKUP(A15,Base!AA:AA,1,0)&gt;0,"1","0"),"0")</f>
        <v>0</v>
      </c>
      <c r="F15" s="5" t="str">
        <f t="shared" si="1"/>
        <v>-</v>
      </c>
      <c r="G15" s="5" t="str">
        <f t="shared" si="2"/>
        <v>0</v>
      </c>
      <c r="H15" s="1"/>
      <c r="I15" s="1"/>
      <c r="J15" s="9"/>
      <c r="K15" s="9"/>
      <c r="N15" s="9"/>
      <c r="O15" s="1"/>
      <c r="P15" s="9"/>
      <c r="Q15" s="9"/>
      <c r="R15" s="9"/>
      <c r="S15" s="9"/>
      <c r="T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N15" s="9"/>
      <c r="BO15" s="9"/>
    </row>
    <row r="16" spans="1:67">
      <c r="A16" s="4">
        <v>125288528002</v>
      </c>
      <c r="B16" s="4" t="s">
        <v>668</v>
      </c>
      <c r="C16" s="1" t="e">
        <f ca="1">_xlfn.XLOOKUP(A16,'[1]Sellers Pro'!$C:$C,'[1]Sellers Pro'!$F:$F)</f>
        <v>#NAME?</v>
      </c>
      <c r="D16" s="5" t="e">
        <f t="shared" si="0"/>
        <v>#NAME?</v>
      </c>
      <c r="E16" s="5" t="str">
        <f>IFERROR(IF(VLOOKUP(A16,Base!AA:AA,1,0)&gt;0,"1","0"),"0")</f>
        <v>1</v>
      </c>
      <c r="F16" s="5" t="e">
        <f t="shared" si="1"/>
        <v>#NAME?</v>
      </c>
      <c r="G16" s="5" t="str">
        <f t="shared" si="2"/>
        <v>0</v>
      </c>
      <c r="H16" s="1"/>
      <c r="I16" s="1"/>
      <c r="J16" s="9"/>
      <c r="K16" s="9"/>
      <c r="N16" s="9"/>
      <c r="O16" s="1"/>
      <c r="P16" s="9"/>
      <c r="Q16" s="9"/>
      <c r="R16" s="9"/>
      <c r="S16" s="9"/>
      <c r="T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N16" s="9"/>
      <c r="BO16" s="9"/>
    </row>
    <row r="17" spans="1:67">
      <c r="A17" s="4">
        <v>837253102702</v>
      </c>
      <c r="B17" s="4" t="s">
        <v>1197</v>
      </c>
      <c r="C17" s="1"/>
      <c r="D17" s="5" t="str">
        <f t="shared" si="0"/>
        <v>0</v>
      </c>
      <c r="E17" s="5" t="str">
        <f>IFERROR(IF(VLOOKUP(A17,Base!AA:AA,1,0)&gt;0,"1","0"),"0")</f>
        <v>0</v>
      </c>
      <c r="F17" s="5" t="str">
        <f t="shared" si="1"/>
        <v>-</v>
      </c>
      <c r="G17" s="5" t="str">
        <f t="shared" si="2"/>
        <v>0</v>
      </c>
      <c r="H17" s="1"/>
      <c r="I17" s="1"/>
      <c r="J17" s="9"/>
      <c r="K17" s="9"/>
      <c r="N17" s="9"/>
      <c r="O17" s="1"/>
      <c r="P17" s="9"/>
      <c r="Q17" s="9"/>
      <c r="R17" s="9"/>
      <c r="S17" s="9"/>
      <c r="T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N17" s="9"/>
      <c r="BO17" s="9"/>
    </row>
    <row r="18" spans="1:67">
      <c r="A18" s="4">
        <v>277711423902</v>
      </c>
      <c r="B18" s="4" t="s">
        <v>737</v>
      </c>
      <c r="C18" s="1" t="e">
        <f ca="1">_xlfn.XLOOKUP(A18,'[1]Sellers Pro'!$C:$C,'[1]Sellers Pro'!$F:$F)</f>
        <v>#NAME?</v>
      </c>
      <c r="D18" s="5" t="e">
        <f t="shared" si="0"/>
        <v>#NAME?</v>
      </c>
      <c r="E18" s="5" t="str">
        <f>IFERROR(IF(VLOOKUP(A18,Base!AA:AA,1,0)&gt;0,"1","0"),"0")</f>
        <v>1</v>
      </c>
      <c r="F18" s="5" t="e">
        <f t="shared" si="1"/>
        <v>#NAME?</v>
      </c>
      <c r="G18" s="5" t="str">
        <f t="shared" si="2"/>
        <v>0</v>
      </c>
      <c r="H18" s="1"/>
      <c r="I18" s="1"/>
      <c r="J18" s="9"/>
      <c r="K18" s="9"/>
      <c r="N18" s="9"/>
      <c r="O18" s="1"/>
      <c r="P18" s="9"/>
      <c r="Q18" s="9"/>
      <c r="R18" s="9"/>
      <c r="S18" s="9"/>
      <c r="T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N18" s="9"/>
      <c r="BO18" s="9"/>
    </row>
    <row r="19" spans="1:67">
      <c r="A19" s="4">
        <v>193343155102</v>
      </c>
      <c r="B19" s="4" t="s">
        <v>781</v>
      </c>
      <c r="C19" s="1" t="e">
        <f ca="1">_xlfn.XLOOKUP(A19,'[1]Sellers Pro'!$C:$C,'[1]Sellers Pro'!$F:$F)</f>
        <v>#NAME?</v>
      </c>
      <c r="D19" s="5" t="e">
        <f t="shared" si="0"/>
        <v>#NAME?</v>
      </c>
      <c r="E19" s="5" t="str">
        <f>IFERROR(IF(VLOOKUP(A19,Base!AA:AA,1,0)&gt;0,"1","0"),"0")</f>
        <v>1</v>
      </c>
      <c r="F19" s="5" t="e">
        <f t="shared" si="1"/>
        <v>#NAME?</v>
      </c>
      <c r="G19" s="5" t="str">
        <f t="shared" si="2"/>
        <v>0</v>
      </c>
      <c r="H19" s="1"/>
      <c r="I19" s="1"/>
      <c r="J19" s="9"/>
      <c r="K19" s="9"/>
      <c r="N19" s="9"/>
      <c r="O19" s="1"/>
      <c r="P19" s="9"/>
      <c r="Q19" s="9"/>
      <c r="R19" s="9"/>
      <c r="S19" s="9"/>
      <c r="T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N19" s="9"/>
      <c r="BO19" s="9"/>
    </row>
    <row r="20" spans="1:67">
      <c r="A20" s="4">
        <v>619747148002</v>
      </c>
      <c r="B20" s="4" t="s">
        <v>828</v>
      </c>
      <c r="C20" s="1" t="e">
        <f ca="1">_xlfn.XLOOKUP(A20,'[1]Sellers Pro'!$C:$C,'[1]Sellers Pro'!$F:$F)</f>
        <v>#NAME?</v>
      </c>
      <c r="D20" s="5" t="e">
        <f t="shared" si="0"/>
        <v>#NAME?</v>
      </c>
      <c r="E20" s="5" t="str">
        <f>IFERROR(IF(VLOOKUP(A20,Base!AA:AA,1,0)&gt;0,"1","0"),"0")</f>
        <v>1</v>
      </c>
      <c r="F20" s="5" t="e">
        <f t="shared" si="1"/>
        <v>#NAME?</v>
      </c>
      <c r="G20" s="5" t="str">
        <f t="shared" si="2"/>
        <v>0</v>
      </c>
      <c r="H20" s="1"/>
      <c r="I20" s="1"/>
      <c r="J20" s="9"/>
      <c r="K20" s="9"/>
      <c r="N20" s="9"/>
      <c r="O20" s="1"/>
      <c r="P20" s="9"/>
      <c r="Q20" s="9"/>
      <c r="R20" s="9"/>
      <c r="S20" s="9"/>
      <c r="T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N20" s="9"/>
      <c r="BO20" s="9"/>
    </row>
    <row r="21" spans="1:67">
      <c r="A21" s="4">
        <v>542325043802</v>
      </c>
      <c r="B21" s="4" t="s">
        <v>448</v>
      </c>
      <c r="C21" s="1" t="e">
        <f ca="1">_xlfn.XLOOKUP(A21,'[1]Sellers Pro'!$C:$C,'[1]Sellers Pro'!$F:$F)</f>
        <v>#NAME?</v>
      </c>
      <c r="D21" s="5" t="e">
        <f t="shared" si="0"/>
        <v>#NAME?</v>
      </c>
      <c r="E21" s="5" t="str">
        <f>IFERROR(IF(VLOOKUP(A21,Base!AA:AA,1,0)&gt;0,"1","0"),"0")</f>
        <v>1</v>
      </c>
      <c r="F21" s="5" t="e">
        <f t="shared" si="1"/>
        <v>#NAME?</v>
      </c>
      <c r="G21" s="5" t="str">
        <f t="shared" si="2"/>
        <v>0</v>
      </c>
      <c r="H21" s="1"/>
      <c r="I21" s="1"/>
      <c r="J21" s="9"/>
      <c r="K21" s="9"/>
      <c r="N21" s="9"/>
      <c r="O21" s="1"/>
      <c r="P21" s="9"/>
      <c r="Q21" s="9"/>
      <c r="R21" s="9"/>
      <c r="S21" s="9"/>
      <c r="T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N21" s="9"/>
      <c r="BO21" s="9"/>
    </row>
    <row r="22" spans="1:67">
      <c r="A22" s="4">
        <v>12218349602</v>
      </c>
      <c r="B22" s="4" t="s">
        <v>1399</v>
      </c>
      <c r="C22" s="1" t="e">
        <f ca="1">_xlfn.XLOOKUP(A22,'[1]Sellers Pro'!$C:$C,'[1]Sellers Pro'!$F:$F)</f>
        <v>#NAME?</v>
      </c>
      <c r="D22" s="5" t="e">
        <f t="shared" si="0"/>
        <v>#NAME?</v>
      </c>
      <c r="E22" s="5" t="str">
        <f>IFERROR(IF(VLOOKUP(A22,Base!AA:AA,1,0)&gt;0,"1","0"),"0")</f>
        <v>0</v>
      </c>
      <c r="F22" s="5" t="e">
        <f t="shared" si="1"/>
        <v>#NAME?</v>
      </c>
      <c r="G22" s="5" t="str">
        <f t="shared" si="2"/>
        <v>0</v>
      </c>
      <c r="H22" s="1"/>
      <c r="I22" s="1"/>
      <c r="J22" s="9"/>
      <c r="K22" s="9"/>
      <c r="N22" s="9"/>
      <c r="O22" s="1"/>
      <c r="P22" s="9"/>
      <c r="Q22" s="9"/>
      <c r="R22" s="9"/>
      <c r="S22" s="9"/>
      <c r="T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N22" s="9"/>
      <c r="BO22" s="9"/>
    </row>
    <row r="23" spans="1:67">
      <c r="A23" s="4">
        <v>355214089002</v>
      </c>
      <c r="B23" s="4" t="s">
        <v>101</v>
      </c>
      <c r="C23" s="1" t="e">
        <f ca="1">_xlfn.XLOOKUP(A23,'[1]Sellers Pro'!$C:$C,'[1]Sellers Pro'!$F:$F)</f>
        <v>#NAME?</v>
      </c>
      <c r="D23" s="5" t="e">
        <f t="shared" si="0"/>
        <v>#NAME?</v>
      </c>
      <c r="E23" s="5" t="str">
        <f>IFERROR(IF(VLOOKUP(A23,Base!AA:AA,1,0)&gt;0,"1","0"),"0")</f>
        <v>1</v>
      </c>
      <c r="F23" s="5" t="e">
        <f t="shared" si="1"/>
        <v>#NAME?</v>
      </c>
      <c r="G23" s="5" t="str">
        <f t="shared" si="2"/>
        <v>0</v>
      </c>
      <c r="H23" s="1"/>
      <c r="I23" s="1"/>
      <c r="J23" s="9"/>
      <c r="K23" s="9"/>
      <c r="N23" s="9"/>
      <c r="O23" s="1"/>
      <c r="P23" s="9"/>
      <c r="Q23" s="9"/>
      <c r="R23" s="9"/>
      <c r="S23" s="9"/>
      <c r="T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N23" s="9"/>
      <c r="BO23" s="9"/>
    </row>
    <row r="24" spans="1:67">
      <c r="A24" s="4">
        <v>188325185102</v>
      </c>
      <c r="B24" s="4" t="s">
        <v>499</v>
      </c>
      <c r="C24" s="1"/>
      <c r="D24" s="5" t="str">
        <f t="shared" si="0"/>
        <v>0</v>
      </c>
      <c r="E24" s="5" t="str">
        <f>IFERROR(IF(VLOOKUP(A24,Base!AA:AA,1,0)&gt;0,"1","0"),"0")</f>
        <v>0</v>
      </c>
      <c r="F24" s="5" t="str">
        <f t="shared" si="1"/>
        <v>-</v>
      </c>
      <c r="G24" s="5" t="str">
        <f t="shared" si="2"/>
        <v>0</v>
      </c>
      <c r="H24" s="1"/>
      <c r="I24" s="1"/>
      <c r="J24" s="9"/>
      <c r="K24" s="9"/>
      <c r="N24" s="9"/>
      <c r="O24" s="1"/>
      <c r="P24" s="9"/>
      <c r="Q24" s="9"/>
      <c r="R24" s="9"/>
      <c r="S24" s="9"/>
      <c r="T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N24" s="9"/>
      <c r="BO24" s="9"/>
    </row>
    <row r="25" spans="1:67">
      <c r="A25" s="4">
        <v>101837981602</v>
      </c>
      <c r="B25" s="4" t="s">
        <v>746</v>
      </c>
      <c r="C25" s="1" t="e">
        <f ca="1">_xlfn.XLOOKUP(A25,'[1]Sellers Pro'!$C:$C,'[1]Sellers Pro'!$F:$F)</f>
        <v>#NAME?</v>
      </c>
      <c r="D25" s="5" t="e">
        <f t="shared" si="0"/>
        <v>#NAME?</v>
      </c>
      <c r="E25" s="5" t="str">
        <f>IFERROR(IF(VLOOKUP(A25,Base!AA:AA,1,0)&gt;0,"1","0"),"0")</f>
        <v>1</v>
      </c>
      <c r="F25" s="5" t="e">
        <f t="shared" si="1"/>
        <v>#NAME?</v>
      </c>
      <c r="G25" s="5" t="str">
        <f t="shared" si="2"/>
        <v>0</v>
      </c>
      <c r="H25" s="1"/>
      <c r="I25" s="1"/>
      <c r="J25" s="9"/>
      <c r="K25" s="9"/>
      <c r="N25" s="9"/>
      <c r="O25" s="1"/>
      <c r="P25" s="9"/>
      <c r="Q25" s="9"/>
      <c r="R25" s="9"/>
      <c r="S25" s="9"/>
      <c r="T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N25" s="9"/>
      <c r="BO25" s="9"/>
    </row>
    <row r="26" spans="1:67">
      <c r="A26" s="4">
        <v>704737347202</v>
      </c>
      <c r="B26" s="4" t="s">
        <v>2280</v>
      </c>
      <c r="C26" s="1" t="e">
        <f ca="1">_xlfn.XLOOKUP(A26,'[1]Sellers Pro'!$C:$C,'[1]Sellers Pro'!$F:$F)</f>
        <v>#NAME?</v>
      </c>
      <c r="D26" s="5" t="e">
        <f t="shared" si="0"/>
        <v>#NAME?</v>
      </c>
      <c r="E26" s="5" t="str">
        <f>IFERROR(IF(VLOOKUP(A26,Base!AA:AA,1,0)&gt;0,"1","0"),"0")</f>
        <v>0</v>
      </c>
      <c r="F26" s="5" t="e">
        <f t="shared" si="1"/>
        <v>#NAME?</v>
      </c>
      <c r="G26" s="5" t="str">
        <f t="shared" si="2"/>
        <v>0</v>
      </c>
      <c r="H26" s="1"/>
      <c r="I26" s="1"/>
      <c r="J26" s="9"/>
      <c r="K26" s="9"/>
      <c r="N26" s="9"/>
      <c r="O26" s="1"/>
      <c r="P26" s="9"/>
      <c r="Q26" s="9"/>
      <c r="R26" s="9"/>
      <c r="S26" s="9"/>
      <c r="T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N26" s="9"/>
      <c r="BO26" s="9"/>
    </row>
    <row r="27" spans="1:67">
      <c r="A27" s="4">
        <v>13351599302</v>
      </c>
      <c r="B27" s="4" t="s">
        <v>1583</v>
      </c>
      <c r="C27" s="1" t="e">
        <f ca="1">_xlfn.XLOOKUP(A27,'[1]Sellers Pro'!$C:$C,'[1]Sellers Pro'!$F:$F)</f>
        <v>#NAME?</v>
      </c>
      <c r="D27" s="5" t="e">
        <f t="shared" si="0"/>
        <v>#NAME?</v>
      </c>
      <c r="E27" s="5" t="str">
        <f>IFERROR(IF(VLOOKUP(A27,Base!AA:AA,1,0)&gt;0,"1","0"),"0")</f>
        <v>1</v>
      </c>
      <c r="F27" s="5" t="e">
        <f t="shared" si="1"/>
        <v>#NAME?</v>
      </c>
      <c r="G27" s="5" t="str">
        <f t="shared" si="2"/>
        <v>0</v>
      </c>
      <c r="H27" s="1"/>
      <c r="I27" s="1"/>
      <c r="J27" s="9"/>
      <c r="K27" s="9"/>
      <c r="N27" s="9"/>
      <c r="O27" s="1"/>
      <c r="P27" s="9"/>
      <c r="Q27" s="9"/>
      <c r="R27" s="9"/>
      <c r="S27" s="9"/>
      <c r="T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N27" s="9"/>
      <c r="BO27" s="9"/>
    </row>
    <row r="28" spans="1:67">
      <c r="A28" s="4">
        <v>22861251602</v>
      </c>
      <c r="B28" s="4" t="s">
        <v>2281</v>
      </c>
      <c r="C28" s="1" t="e">
        <f ca="1">_xlfn.XLOOKUP(A28,'[1]Sellers Pro'!$C:$C,'[1]Sellers Pro'!$F:$F)</f>
        <v>#NAME?</v>
      </c>
      <c r="D28" s="5" t="e">
        <f t="shared" si="0"/>
        <v>#NAME?</v>
      </c>
      <c r="E28" s="5" t="str">
        <f>IFERROR(IF(VLOOKUP(A28,Base!AA:AA,1,0)&gt;0,"1","0"),"0")</f>
        <v>0</v>
      </c>
      <c r="F28" s="5" t="e">
        <f t="shared" si="1"/>
        <v>#NAME?</v>
      </c>
      <c r="G28" s="5" t="str">
        <f t="shared" si="2"/>
        <v>0</v>
      </c>
      <c r="H28" s="1"/>
      <c r="I28" s="1"/>
      <c r="J28" s="9"/>
      <c r="K28" s="9"/>
      <c r="N28" s="9"/>
      <c r="O28" s="1"/>
      <c r="P28" s="9"/>
      <c r="Q28" s="9"/>
      <c r="R28" s="9"/>
      <c r="S28" s="9"/>
      <c r="T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N28" s="9"/>
      <c r="BO28" s="9"/>
    </row>
    <row r="29" spans="1:67">
      <c r="A29" s="4">
        <v>384216553002</v>
      </c>
      <c r="B29" s="4" t="s">
        <v>1901</v>
      </c>
      <c r="C29" s="1"/>
      <c r="D29" s="5" t="str">
        <f t="shared" si="0"/>
        <v>0</v>
      </c>
      <c r="E29" s="5" t="str">
        <f>IFERROR(IF(VLOOKUP(A29,Base!AA:AA,1,0)&gt;0,"1","0"),"0")</f>
        <v>0</v>
      </c>
      <c r="F29" s="5" t="str">
        <f t="shared" si="1"/>
        <v>-</v>
      </c>
      <c r="G29" s="5" t="str">
        <f t="shared" si="2"/>
        <v>0</v>
      </c>
      <c r="H29" s="1"/>
      <c r="I29" s="1"/>
      <c r="J29" s="9"/>
      <c r="K29" s="9"/>
      <c r="N29" s="9"/>
      <c r="O29" s="1"/>
      <c r="P29" s="9"/>
      <c r="Q29" s="9"/>
      <c r="R29" s="9"/>
      <c r="S29" s="9"/>
      <c r="T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N29" s="9"/>
      <c r="BO29" s="9"/>
    </row>
    <row r="30" spans="1:67">
      <c r="A30" s="4">
        <v>368561207102</v>
      </c>
      <c r="B30" s="4" t="s">
        <v>486</v>
      </c>
      <c r="C30" s="1" t="e">
        <f ca="1">_xlfn.XLOOKUP(A30,'[1]Sellers Pro'!$C:$C,'[1]Sellers Pro'!$F:$F)</f>
        <v>#NAME?</v>
      </c>
      <c r="D30" s="5" t="e">
        <f t="shared" si="0"/>
        <v>#NAME?</v>
      </c>
      <c r="E30" s="5" t="str">
        <f>IFERROR(IF(VLOOKUP(A30,Base!AA:AA,1,0)&gt;0,"1","0"),"0")</f>
        <v>0</v>
      </c>
      <c r="F30" s="5" t="e">
        <f t="shared" si="1"/>
        <v>#NAME?</v>
      </c>
      <c r="G30" s="5" t="str">
        <f t="shared" si="2"/>
        <v>0</v>
      </c>
      <c r="H30" s="1"/>
      <c r="I30" s="1"/>
      <c r="J30" s="9"/>
      <c r="K30" s="9"/>
      <c r="N30" s="9"/>
      <c r="O30" s="1"/>
      <c r="P30" s="9"/>
      <c r="Q30" s="9"/>
      <c r="R30" s="9"/>
      <c r="S30" s="9"/>
      <c r="T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N30" s="9"/>
      <c r="BO30" s="9"/>
    </row>
    <row r="31" spans="1:67">
      <c r="A31" s="4">
        <v>437878012202</v>
      </c>
      <c r="B31" s="4" t="s">
        <v>1236</v>
      </c>
      <c r="C31" s="1"/>
      <c r="D31" s="5" t="str">
        <f t="shared" si="0"/>
        <v>0</v>
      </c>
      <c r="E31" s="5" t="str">
        <f>IFERROR(IF(VLOOKUP(A31,Base!AA:AA,1,0)&gt;0,"1","0"),"0")</f>
        <v>0</v>
      </c>
      <c r="F31" s="5" t="str">
        <f t="shared" si="1"/>
        <v>-</v>
      </c>
      <c r="G31" s="5" t="str">
        <f t="shared" si="2"/>
        <v>0</v>
      </c>
      <c r="H31" s="1"/>
      <c r="I31" s="1"/>
      <c r="J31" s="9"/>
      <c r="K31" s="9"/>
      <c r="N31" s="9"/>
      <c r="O31" s="1"/>
      <c r="P31" s="9"/>
      <c r="Q31" s="9"/>
      <c r="R31" s="9"/>
      <c r="S31" s="9"/>
      <c r="T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N31" s="9"/>
      <c r="BO31" s="9"/>
    </row>
    <row r="32" spans="1:67">
      <c r="A32" s="4">
        <v>466723842102</v>
      </c>
      <c r="B32" s="4" t="s">
        <v>2282</v>
      </c>
      <c r="C32" s="1"/>
      <c r="D32" s="5" t="str">
        <f t="shared" si="0"/>
        <v>0</v>
      </c>
      <c r="E32" s="5" t="str">
        <f>IFERROR(IF(VLOOKUP(A32,Base!AA:AA,1,0)&gt;0,"1","0"),"0")</f>
        <v>0</v>
      </c>
      <c r="F32" s="5" t="str">
        <f t="shared" si="1"/>
        <v>-</v>
      </c>
      <c r="G32" s="5" t="str">
        <f t="shared" si="2"/>
        <v>0</v>
      </c>
      <c r="H32" s="1"/>
      <c r="I32" s="1"/>
      <c r="J32" s="9"/>
      <c r="K32" s="9"/>
      <c r="N32" s="9"/>
      <c r="O32" s="1"/>
      <c r="P32" s="9"/>
      <c r="Q32" s="9"/>
      <c r="R32" s="9"/>
      <c r="S32" s="9"/>
      <c r="T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N32" s="9"/>
      <c r="BO32" s="9"/>
    </row>
    <row r="33" spans="1:67">
      <c r="A33" s="4">
        <v>137029362402</v>
      </c>
      <c r="B33" s="4" t="s">
        <v>1441</v>
      </c>
      <c r="C33" s="1" t="e">
        <f ca="1">_xlfn.XLOOKUP(A33,'[1]Sellers Pro'!$C:$C,'[1]Sellers Pro'!$F:$F)</f>
        <v>#NAME?</v>
      </c>
      <c r="D33" s="5" t="e">
        <f t="shared" si="0"/>
        <v>#NAME?</v>
      </c>
      <c r="E33" s="5" t="str">
        <f>IFERROR(IF(VLOOKUP(A33,Base!AA:AA,1,0)&gt;0,"1","0"),"0")</f>
        <v>1</v>
      </c>
      <c r="F33" s="5" t="e">
        <f t="shared" si="1"/>
        <v>#NAME?</v>
      </c>
      <c r="G33" s="5" t="str">
        <f t="shared" si="2"/>
        <v>0</v>
      </c>
      <c r="H33" s="1"/>
      <c r="I33" s="1"/>
      <c r="J33" s="9"/>
      <c r="K33" s="9"/>
      <c r="N33" s="9"/>
      <c r="O33" s="1"/>
      <c r="P33" s="9"/>
      <c r="Q33" s="9"/>
      <c r="R33" s="9"/>
      <c r="S33" s="9"/>
      <c r="T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N33" s="9"/>
      <c r="BO33" s="9"/>
    </row>
    <row r="34" spans="1:67">
      <c r="A34" s="4">
        <v>625725137302</v>
      </c>
      <c r="B34" s="4" t="s">
        <v>1537</v>
      </c>
      <c r="C34" s="1" t="e">
        <f ca="1">_xlfn.XLOOKUP(A34,'[1]Sellers Pro'!$C:$C,'[1]Sellers Pro'!$F:$F)</f>
        <v>#NAME?</v>
      </c>
      <c r="D34" s="5" t="e">
        <f t="shared" si="0"/>
        <v>#NAME?</v>
      </c>
      <c r="E34" s="5" t="str">
        <f>IFERROR(IF(VLOOKUP(A34,Base!AA:AA,1,0)&gt;0,"1","0"),"0")</f>
        <v>1</v>
      </c>
      <c r="F34" s="5" t="e">
        <f t="shared" si="1"/>
        <v>#NAME?</v>
      </c>
      <c r="G34" s="5" t="str">
        <f t="shared" si="2"/>
        <v>0</v>
      </c>
      <c r="H34" s="1"/>
      <c r="I34" s="1"/>
      <c r="J34" s="9"/>
      <c r="K34" s="9"/>
      <c r="N34" s="9"/>
      <c r="O34" s="1"/>
      <c r="P34" s="9"/>
      <c r="Q34" s="9"/>
      <c r="R34" s="9"/>
      <c r="S34" s="9"/>
      <c r="T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N34" s="9"/>
      <c r="BO34" s="9"/>
    </row>
    <row r="35" spans="1:67">
      <c r="A35" s="4">
        <v>1078200608102</v>
      </c>
      <c r="B35" s="4" t="s">
        <v>1272</v>
      </c>
      <c r="C35" s="1" t="e">
        <f ca="1">_xlfn.XLOOKUP(A35,'[1]Sellers Pro'!$C:$C,'[1]Sellers Pro'!$F:$F)</f>
        <v>#NAME?</v>
      </c>
      <c r="D35" s="5" t="e">
        <f t="shared" si="0"/>
        <v>#NAME?</v>
      </c>
      <c r="E35" s="5" t="str">
        <f>IFERROR(IF(VLOOKUP(A35,Base!AA:AA,1,0)&gt;0,"1","0"),"0")</f>
        <v>1</v>
      </c>
      <c r="F35" s="5" t="e">
        <f t="shared" si="1"/>
        <v>#NAME?</v>
      </c>
      <c r="G35" s="5" t="str">
        <f t="shared" si="2"/>
        <v>0</v>
      </c>
      <c r="H35" s="1"/>
      <c r="I35" s="1"/>
      <c r="J35" s="9"/>
      <c r="K35" s="9"/>
      <c r="N35" s="9"/>
      <c r="O35" s="1"/>
      <c r="P35" s="9"/>
      <c r="Q35" s="9"/>
      <c r="R35" s="9"/>
      <c r="S35" s="9"/>
      <c r="T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N35" s="9"/>
      <c r="BO35" s="9"/>
    </row>
    <row r="36" spans="1:67">
      <c r="A36" s="4">
        <v>136831572602</v>
      </c>
      <c r="B36" s="4" t="s">
        <v>756</v>
      </c>
      <c r="C36" s="1"/>
      <c r="D36" s="5" t="str">
        <f t="shared" si="0"/>
        <v>0</v>
      </c>
      <c r="E36" s="5" t="str">
        <f>IFERROR(IF(VLOOKUP(A36,Base!AA:AA,1,0)&gt;0,"1","0"),"0")</f>
        <v>0</v>
      </c>
      <c r="F36" s="5" t="str">
        <f t="shared" si="1"/>
        <v>-</v>
      </c>
      <c r="G36" s="5" t="str">
        <f t="shared" si="2"/>
        <v>0</v>
      </c>
      <c r="H36" s="1"/>
      <c r="I36" s="1"/>
      <c r="J36" s="9"/>
      <c r="K36" s="9"/>
      <c r="N36" s="9"/>
      <c r="O36" s="1"/>
      <c r="P36" s="9"/>
      <c r="Q36" s="9"/>
      <c r="R36" s="9"/>
      <c r="S36" s="9"/>
      <c r="T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N36" s="9"/>
      <c r="BO36" s="9"/>
    </row>
    <row r="37" spans="1:67">
      <c r="A37" s="4">
        <v>40274588502</v>
      </c>
      <c r="B37" s="4" t="s">
        <v>866</v>
      </c>
      <c r="C37" s="1" t="e">
        <f ca="1">_xlfn.XLOOKUP(A37,'[1]Sellers Pro'!$C:$C,'[1]Sellers Pro'!$F:$F)</f>
        <v>#NAME?</v>
      </c>
      <c r="D37" s="5" t="e">
        <f t="shared" si="0"/>
        <v>#NAME?</v>
      </c>
      <c r="E37" s="5" t="str">
        <f>IFERROR(IF(VLOOKUP(A37,Base!AA:AA,1,0)&gt;0,"1","0"),"0")</f>
        <v>1</v>
      </c>
      <c r="F37" s="5" t="e">
        <f t="shared" si="1"/>
        <v>#NAME?</v>
      </c>
      <c r="G37" s="5" t="str">
        <f t="shared" si="2"/>
        <v>0</v>
      </c>
      <c r="H37" s="1"/>
      <c r="I37" s="1"/>
      <c r="J37" s="9"/>
      <c r="K37" s="9"/>
      <c r="N37" s="9"/>
      <c r="O37" s="1"/>
      <c r="P37" s="9"/>
      <c r="Q37" s="9"/>
      <c r="R37" s="9"/>
      <c r="S37" s="9"/>
      <c r="T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N37" s="9"/>
      <c r="BO37" s="9"/>
    </row>
    <row r="38" spans="1:67">
      <c r="A38" s="4">
        <v>60769061802</v>
      </c>
      <c r="B38" s="4" t="s">
        <v>2141</v>
      </c>
      <c r="C38" s="1" t="e">
        <f ca="1">_xlfn.XLOOKUP(A38,'[1]Sellers Pro'!$C:$C,'[1]Sellers Pro'!$F:$F)</f>
        <v>#NAME?</v>
      </c>
      <c r="D38" s="5" t="e">
        <f t="shared" si="0"/>
        <v>#NAME?</v>
      </c>
      <c r="E38" s="5" t="str">
        <f>IFERROR(IF(VLOOKUP(A38,Base!AA:AA,1,0)&gt;0,"1","0"),"0")</f>
        <v>1</v>
      </c>
      <c r="F38" s="5" t="e">
        <f t="shared" si="1"/>
        <v>#NAME?</v>
      </c>
      <c r="G38" s="5" t="str">
        <f t="shared" si="2"/>
        <v>0</v>
      </c>
      <c r="H38" s="1"/>
      <c r="I38" s="1"/>
      <c r="J38" s="9"/>
      <c r="K38" s="9"/>
      <c r="N38" s="9"/>
      <c r="O38" s="1"/>
      <c r="P38" s="9"/>
      <c r="Q38" s="9"/>
      <c r="R38" s="9"/>
      <c r="S38" s="9"/>
      <c r="T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N38" s="9"/>
      <c r="BO38" s="9"/>
    </row>
    <row r="39" spans="1:67">
      <c r="A39" s="4">
        <v>320035971002</v>
      </c>
      <c r="B39" s="4" t="s">
        <v>208</v>
      </c>
      <c r="C39" s="1" t="e">
        <f ca="1">_xlfn.XLOOKUP(A39,'[1]Sellers Pro'!$C:$C,'[1]Sellers Pro'!$F:$F)</f>
        <v>#NAME?</v>
      </c>
      <c r="D39" s="5" t="e">
        <f t="shared" si="0"/>
        <v>#NAME?</v>
      </c>
      <c r="E39" s="5" t="str">
        <f>IFERROR(IF(VLOOKUP(A39,Base!AA:AA,1,0)&gt;0,"1","0"),"0")</f>
        <v>1</v>
      </c>
      <c r="F39" s="5" t="e">
        <f t="shared" si="1"/>
        <v>#NAME?</v>
      </c>
      <c r="G39" s="5" t="str">
        <f t="shared" si="2"/>
        <v>0</v>
      </c>
      <c r="H39" s="1"/>
      <c r="I39" s="1"/>
      <c r="J39" s="9"/>
      <c r="K39" s="9"/>
      <c r="N39" s="9"/>
      <c r="O39" s="1"/>
      <c r="P39" s="9"/>
      <c r="Q39" s="9"/>
      <c r="R39" s="9"/>
      <c r="S39" s="9"/>
      <c r="T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N39" s="9"/>
      <c r="BO39" s="9"/>
    </row>
    <row r="40" spans="1:67">
      <c r="A40" s="4">
        <v>150738856702</v>
      </c>
      <c r="B40" s="4" t="s">
        <v>2099</v>
      </c>
      <c r="C40" s="1"/>
      <c r="D40" s="5" t="str">
        <f t="shared" si="0"/>
        <v>0</v>
      </c>
      <c r="E40" s="5" t="str">
        <f>IFERROR(IF(VLOOKUP(A40,Base!AA:AA,1,0)&gt;0,"1","0"),"0")</f>
        <v>0</v>
      </c>
      <c r="F40" s="5" t="str">
        <f t="shared" si="1"/>
        <v>-</v>
      </c>
      <c r="G40" s="5" t="str">
        <f t="shared" si="2"/>
        <v>0</v>
      </c>
      <c r="H40" s="1"/>
      <c r="I40" s="1"/>
      <c r="J40" s="9"/>
      <c r="K40" s="9"/>
      <c r="N40" s="9"/>
      <c r="O40" s="1"/>
      <c r="P40" s="9"/>
      <c r="Q40" s="9"/>
      <c r="R40" s="9"/>
      <c r="S40" s="9"/>
      <c r="T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N40" s="9"/>
      <c r="BO40" s="9"/>
    </row>
    <row r="41" spans="1:67">
      <c r="A41" s="4">
        <v>244366726002</v>
      </c>
      <c r="B41" s="4" t="s">
        <v>398</v>
      </c>
      <c r="C41" s="1" t="e">
        <f ca="1">_xlfn.XLOOKUP(A41,'[1]Sellers Pro'!$C:$C,'[1]Sellers Pro'!$F:$F)</f>
        <v>#NAME?</v>
      </c>
      <c r="D41" s="5" t="e">
        <f t="shared" si="0"/>
        <v>#NAME?</v>
      </c>
      <c r="E41" s="5" t="str">
        <f>IFERROR(IF(VLOOKUP(A41,Base!AA:AA,1,0)&gt;0,"1","0"),"0")</f>
        <v>1</v>
      </c>
      <c r="F41" s="5" t="e">
        <f t="shared" si="1"/>
        <v>#NAME?</v>
      </c>
      <c r="G41" s="5" t="str">
        <f t="shared" si="2"/>
        <v>0</v>
      </c>
    </row>
    <row r="42" spans="1:67">
      <c r="A42" s="4">
        <v>114045214402</v>
      </c>
      <c r="B42" s="4" t="s">
        <v>798</v>
      </c>
      <c r="C42" s="1"/>
      <c r="D42" s="5" t="str">
        <f t="shared" si="0"/>
        <v>0</v>
      </c>
      <c r="E42" s="5" t="str">
        <f>IFERROR(IF(VLOOKUP(A42,Base!AA:AA,1,0)&gt;0,"1","0"),"0")</f>
        <v>0</v>
      </c>
      <c r="F42" s="5" t="str">
        <f t="shared" si="1"/>
        <v>-</v>
      </c>
      <c r="G42" s="5" t="str">
        <f t="shared" si="2"/>
        <v>0</v>
      </c>
    </row>
    <row r="43" spans="1:67">
      <c r="A43" s="4">
        <v>24663245702</v>
      </c>
      <c r="B43" s="4" t="s">
        <v>1834</v>
      </c>
      <c r="C43" s="1"/>
      <c r="D43" s="5" t="str">
        <f t="shared" si="0"/>
        <v>0</v>
      </c>
      <c r="E43" s="5" t="str">
        <f>IFERROR(IF(VLOOKUP(A43,Base!AA:AA,1,0)&gt;0,"1","0"),"0")</f>
        <v>0</v>
      </c>
      <c r="F43" s="5" t="str">
        <f t="shared" si="1"/>
        <v>-</v>
      </c>
      <c r="G43" s="5" t="str">
        <f t="shared" si="2"/>
        <v>0</v>
      </c>
    </row>
    <row r="44" spans="1:67">
      <c r="A44" s="4">
        <v>755841394202</v>
      </c>
      <c r="B44" s="4" t="s">
        <v>376</v>
      </c>
      <c r="C44" s="1" t="e">
        <f ca="1">_xlfn.XLOOKUP(A44,'[1]Sellers Pro'!$C:$C,'[1]Sellers Pro'!$F:$F)</f>
        <v>#NAME?</v>
      </c>
      <c r="D44" s="5" t="e">
        <f t="shared" si="0"/>
        <v>#NAME?</v>
      </c>
      <c r="E44" s="5" t="str">
        <f>IFERROR(IF(VLOOKUP(A44,Base!AA:AA,1,0)&gt;0,"1","0"),"0")</f>
        <v>1</v>
      </c>
      <c r="F44" s="5" t="e">
        <f t="shared" si="1"/>
        <v>#NAME?</v>
      </c>
      <c r="G44" s="5" t="str">
        <f t="shared" si="2"/>
        <v>0</v>
      </c>
    </row>
    <row r="45" spans="1:67">
      <c r="A45" s="4">
        <v>27309334902</v>
      </c>
      <c r="B45" s="4" t="s">
        <v>1788</v>
      </c>
      <c r="C45" s="1"/>
      <c r="D45" s="5" t="str">
        <f t="shared" si="0"/>
        <v>0</v>
      </c>
      <c r="E45" s="5" t="str">
        <f>IFERROR(IF(VLOOKUP(A45,Base!AA:AA,1,0)&gt;0,"1","0"),"0")</f>
        <v>0</v>
      </c>
      <c r="F45" s="5" t="str">
        <f t="shared" si="1"/>
        <v>-</v>
      </c>
      <c r="G45" s="5" t="str">
        <f t="shared" si="2"/>
        <v>0</v>
      </c>
    </row>
    <row r="46" spans="1:67">
      <c r="A46" s="4">
        <v>302404890002</v>
      </c>
      <c r="B46" s="4" t="s">
        <v>1802</v>
      </c>
      <c r="C46" s="1"/>
      <c r="D46" s="5" t="str">
        <f t="shared" si="0"/>
        <v>0</v>
      </c>
      <c r="E46" s="5" t="str">
        <f>IFERROR(IF(VLOOKUP(A46,Base!AA:AA,1,0)&gt;0,"1","0"),"0")</f>
        <v>0</v>
      </c>
      <c r="F46" s="5" t="str">
        <f t="shared" si="1"/>
        <v>-</v>
      </c>
      <c r="G46" s="5" t="str">
        <f t="shared" si="2"/>
        <v>0</v>
      </c>
    </row>
    <row r="47" spans="1:67">
      <c r="A47" s="4">
        <v>46733383915</v>
      </c>
      <c r="B47" s="4" t="s">
        <v>839</v>
      </c>
      <c r="C47" s="1" t="e">
        <f ca="1">_xlfn.XLOOKUP(A47,'[1]Sellers Pro'!$C:$C,'[1]Sellers Pro'!$F:$F)</f>
        <v>#NAME?</v>
      </c>
      <c r="D47" s="5" t="e">
        <f t="shared" si="0"/>
        <v>#NAME?</v>
      </c>
      <c r="E47" s="5" t="str">
        <f>IFERROR(IF(VLOOKUP(A47,Base!AA:AA,1,0)&gt;0,"1","0"),"0")</f>
        <v>1</v>
      </c>
      <c r="F47" s="5" t="e">
        <f t="shared" si="1"/>
        <v>#NAME?</v>
      </c>
      <c r="G47" s="5" t="str">
        <f t="shared" si="2"/>
        <v>0</v>
      </c>
    </row>
    <row r="48" spans="1:67">
      <c r="A48" s="4">
        <v>307039143202</v>
      </c>
      <c r="B48" s="4" t="s">
        <v>1225</v>
      </c>
      <c r="C48" s="1"/>
      <c r="D48" s="5" t="str">
        <f t="shared" si="0"/>
        <v>0</v>
      </c>
      <c r="E48" s="5" t="str">
        <f>IFERROR(IF(VLOOKUP(A48,Base!AA:AA,1,0)&gt;0,"1","0"),"0")</f>
        <v>0</v>
      </c>
      <c r="F48" s="5" t="str">
        <f t="shared" si="1"/>
        <v>-</v>
      </c>
      <c r="G48" s="5" t="str">
        <f t="shared" si="2"/>
        <v>0</v>
      </c>
    </row>
    <row r="49" spans="1:7">
      <c r="A49" s="4">
        <v>117086860802</v>
      </c>
      <c r="B49" s="4" t="s">
        <v>876</v>
      </c>
      <c r="C49" s="1" t="e">
        <f ca="1">_xlfn.XLOOKUP(A49,'[1]Sellers Pro'!$C:$C,'[1]Sellers Pro'!$F:$F)</f>
        <v>#NAME?</v>
      </c>
      <c r="D49" s="5" t="e">
        <f t="shared" si="0"/>
        <v>#NAME?</v>
      </c>
      <c r="E49" s="5" t="str">
        <f>IFERROR(IF(VLOOKUP(A49,Base!AA:AA,1,0)&gt;0,"1","0"),"0")</f>
        <v>1</v>
      </c>
      <c r="F49" s="5" t="e">
        <f t="shared" si="1"/>
        <v>#NAME?</v>
      </c>
      <c r="G49" s="5" t="str">
        <f t="shared" si="2"/>
        <v>0</v>
      </c>
    </row>
    <row r="50" spans="1:7">
      <c r="A50" s="4">
        <v>108483856702</v>
      </c>
      <c r="B50" s="4" t="s">
        <v>1316</v>
      </c>
      <c r="C50" s="1" t="e">
        <f ca="1">_xlfn.XLOOKUP(A50,'[1]Sellers Pro'!$C:$C,'[1]Sellers Pro'!$F:$F)</f>
        <v>#NAME?</v>
      </c>
      <c r="D50" s="5" t="e">
        <f t="shared" si="0"/>
        <v>#NAME?</v>
      </c>
      <c r="E50" s="5" t="str">
        <f>IFERROR(IF(VLOOKUP(A50,Base!AA:AA,1,0)&gt;0,"1","0"),"0")</f>
        <v>1</v>
      </c>
      <c r="F50" s="5" t="e">
        <f t="shared" si="1"/>
        <v>#NAME?</v>
      </c>
      <c r="G50" s="5" t="str">
        <f t="shared" si="2"/>
        <v>0</v>
      </c>
    </row>
    <row r="51" spans="1:7">
      <c r="A51" s="4">
        <v>549848560202</v>
      </c>
      <c r="B51" s="4" t="s">
        <v>437</v>
      </c>
      <c r="C51" s="1" t="e">
        <f ca="1">_xlfn.XLOOKUP(A51,'[1]Sellers Pro'!$C:$C,'[1]Sellers Pro'!$F:$F)</f>
        <v>#NAME?</v>
      </c>
      <c r="D51" s="5" t="e">
        <f t="shared" si="0"/>
        <v>#NAME?</v>
      </c>
      <c r="E51" s="5" t="str">
        <f>IFERROR(IF(VLOOKUP(A51,Base!AA:AA,1,0)&gt;0,"1","0"),"0")</f>
        <v>1</v>
      </c>
      <c r="F51" s="5" t="e">
        <f t="shared" si="1"/>
        <v>#NAME?</v>
      </c>
      <c r="G51" s="5" t="str">
        <f t="shared" si="2"/>
        <v>0</v>
      </c>
    </row>
    <row r="52" spans="1:7">
      <c r="A52" s="4">
        <v>475112640202</v>
      </c>
      <c r="B52" s="4" t="s">
        <v>884</v>
      </c>
      <c r="C52" s="1" t="e">
        <f ca="1">_xlfn.XLOOKUP(A52,'[1]Sellers Pro'!$C:$C,'[1]Sellers Pro'!$F:$F)</f>
        <v>#NAME?</v>
      </c>
      <c r="D52" s="5" t="e">
        <f t="shared" si="0"/>
        <v>#NAME?</v>
      </c>
      <c r="E52" s="5" t="str">
        <f>IFERROR(IF(VLOOKUP(A52,Base!AA:AA,1,0)&gt;0,"1","0"),"0")</f>
        <v>1</v>
      </c>
      <c r="F52" s="5" t="e">
        <f t="shared" si="1"/>
        <v>#NAME?</v>
      </c>
      <c r="G52" s="5" t="str">
        <f t="shared" si="2"/>
        <v>0</v>
      </c>
    </row>
    <row r="53" spans="1:7">
      <c r="A53" s="4">
        <v>12650981605</v>
      </c>
      <c r="B53" s="4" t="s">
        <v>2055</v>
      </c>
      <c r="C53" s="1"/>
      <c r="D53" s="5" t="str">
        <f t="shared" si="0"/>
        <v>0</v>
      </c>
      <c r="E53" s="5" t="str">
        <f>IFERROR(IF(VLOOKUP(A53,Base!AA:AA,1,0)&gt;0,"1","0"),"0")</f>
        <v>0</v>
      </c>
      <c r="F53" s="5" t="str">
        <f t="shared" si="1"/>
        <v>-</v>
      </c>
      <c r="G53" s="5" t="str">
        <f t="shared" si="2"/>
        <v>0</v>
      </c>
    </row>
    <row r="54" spans="1:7">
      <c r="A54" s="4">
        <v>639370275302</v>
      </c>
      <c r="B54" s="4" t="s">
        <v>301</v>
      </c>
      <c r="C54" s="1" t="e">
        <f ca="1">_xlfn.XLOOKUP(A54,'[1]Sellers Pro'!$C:$C,'[1]Sellers Pro'!$F:$F)</f>
        <v>#NAME?</v>
      </c>
      <c r="D54" s="5" t="e">
        <f t="shared" si="0"/>
        <v>#NAME?</v>
      </c>
      <c r="E54" s="5" t="str">
        <f>IFERROR(IF(VLOOKUP(A54,Base!AA:AA,1,0)&gt;0,"1","0"),"0")</f>
        <v>1</v>
      </c>
      <c r="F54" s="5" t="e">
        <f t="shared" si="1"/>
        <v>#NAME?</v>
      </c>
      <c r="G54" s="5" t="str">
        <f t="shared" si="2"/>
        <v>0</v>
      </c>
    </row>
    <row r="55" spans="1:7">
      <c r="A55" s="4">
        <v>124638672202</v>
      </c>
      <c r="B55" s="4" t="s">
        <v>1891</v>
      </c>
      <c r="C55" s="1" t="e">
        <f ca="1">_xlfn.XLOOKUP(A55,'[1]Sellers Pro'!$C:$C,'[1]Sellers Pro'!$F:$F)</f>
        <v>#NAME?</v>
      </c>
      <c r="D55" s="5" t="e">
        <f t="shared" si="0"/>
        <v>#NAME?</v>
      </c>
      <c r="E55" s="5" t="str">
        <f>IFERROR(IF(VLOOKUP(A55,Base!AA:AA,1,0)&gt;0,"1","0"),"0")</f>
        <v>0</v>
      </c>
      <c r="F55" s="5" t="e">
        <f t="shared" si="1"/>
        <v>#NAME?</v>
      </c>
      <c r="G55" s="5" t="str">
        <f t="shared" si="2"/>
        <v>0</v>
      </c>
    </row>
    <row r="56" spans="1:7">
      <c r="A56" s="4">
        <v>25248213105</v>
      </c>
      <c r="B56" s="4" t="s">
        <v>1611</v>
      </c>
      <c r="C56" s="1" t="e">
        <f ca="1">_xlfn.XLOOKUP(A56,'[1]Sellers Pro'!$C:$C,'[1]Sellers Pro'!$F:$F)</f>
        <v>#NAME?</v>
      </c>
      <c r="D56" s="5" t="e">
        <f t="shared" si="0"/>
        <v>#NAME?</v>
      </c>
      <c r="E56" s="5" t="str">
        <f>IFERROR(IF(VLOOKUP(A56,Base!AA:AA,1,0)&gt;0,"1","0"),"0")</f>
        <v>1</v>
      </c>
      <c r="F56" s="5" t="e">
        <f t="shared" si="1"/>
        <v>#NAME?</v>
      </c>
      <c r="G56" s="5" t="str">
        <f t="shared" si="2"/>
        <v>0</v>
      </c>
    </row>
    <row r="57" spans="1:7">
      <c r="A57" s="4">
        <v>45146550802</v>
      </c>
      <c r="B57" s="4" t="s">
        <v>2008</v>
      </c>
      <c r="C57" s="1" t="e">
        <f ca="1">_xlfn.XLOOKUP(A57,'[1]Sellers Pro'!$C:$C,'[1]Sellers Pro'!$F:$F)</f>
        <v>#NAME?</v>
      </c>
      <c r="D57" s="5" t="e">
        <f t="shared" si="0"/>
        <v>#NAME?</v>
      </c>
      <c r="E57" s="5" t="str">
        <f>IFERROR(IF(VLOOKUP(A57,Base!AA:AA,1,0)&gt;0,"1","0"),"0")</f>
        <v>1</v>
      </c>
      <c r="F57" s="5" t="e">
        <f t="shared" si="1"/>
        <v>#NAME?</v>
      </c>
      <c r="G57" s="5" t="str">
        <f t="shared" si="2"/>
        <v>0</v>
      </c>
    </row>
    <row r="58" spans="1:7">
      <c r="A58" s="4">
        <v>481703768002</v>
      </c>
      <c r="B58" s="4" t="s">
        <v>258</v>
      </c>
      <c r="C58" s="1" t="e">
        <f ca="1">_xlfn.XLOOKUP(A58,'[1]Sellers Pro'!$C:$C,'[1]Sellers Pro'!$F:$F)</f>
        <v>#NAME?</v>
      </c>
      <c r="D58" s="5" t="e">
        <f t="shared" si="0"/>
        <v>#NAME?</v>
      </c>
      <c r="E58" s="5" t="str">
        <f>IFERROR(IF(VLOOKUP(A58,Base!AA:AA,1,0)&gt;0,"1","0"),"0")</f>
        <v>1</v>
      </c>
      <c r="F58" s="5" t="e">
        <f t="shared" si="1"/>
        <v>#NAME?</v>
      </c>
      <c r="G58" s="5" t="str">
        <f t="shared" si="2"/>
        <v>0</v>
      </c>
    </row>
    <row r="59" spans="1:7">
      <c r="A59" s="4">
        <v>1030040901202</v>
      </c>
      <c r="B59" s="4" t="s">
        <v>810</v>
      </c>
      <c r="C59" s="1" t="e">
        <f ca="1">_xlfn.XLOOKUP(A59,'[1]Sellers Pro'!$C:$C,'[1]Sellers Pro'!$F:$F)</f>
        <v>#NAME?</v>
      </c>
      <c r="D59" s="5" t="e">
        <f t="shared" si="0"/>
        <v>#NAME?</v>
      </c>
      <c r="E59" s="5" t="str">
        <f>IFERROR(IF(VLOOKUP(A59,Base!AA:AA,1,0)&gt;0,"1","0"),"0")</f>
        <v>1</v>
      </c>
      <c r="F59" s="5" t="e">
        <f t="shared" si="1"/>
        <v>#NAME?</v>
      </c>
      <c r="G59" s="5" t="str">
        <f t="shared" si="2"/>
        <v>0</v>
      </c>
    </row>
    <row r="60" spans="1:7">
      <c r="A60" s="4">
        <v>58401384302</v>
      </c>
      <c r="B60" s="4" t="s">
        <v>1152</v>
      </c>
      <c r="C60" s="1" t="e">
        <f ca="1">_xlfn.XLOOKUP(A60,'[1]Sellers Pro'!$C:$C,'[1]Sellers Pro'!$F:$F)</f>
        <v>#NAME?</v>
      </c>
      <c r="D60" s="5" t="e">
        <f t="shared" si="0"/>
        <v>#NAME?</v>
      </c>
      <c r="E60" s="5" t="str">
        <f>IFERROR(IF(VLOOKUP(A60,Base!AA:AA,1,0)&gt;0,"1","0"),"0")</f>
        <v>1</v>
      </c>
      <c r="F60" s="5" t="e">
        <f t="shared" si="1"/>
        <v>#NAME?</v>
      </c>
      <c r="G60" s="5" t="str">
        <f t="shared" si="2"/>
        <v>0</v>
      </c>
    </row>
    <row r="61" spans="1:7">
      <c r="A61" s="4">
        <v>93900917902</v>
      </c>
      <c r="B61" s="4" t="s">
        <v>2018</v>
      </c>
      <c r="C61" s="1" t="e">
        <f ca="1">_xlfn.XLOOKUP(A61,'[1]Sellers Pro'!$C:$C,'[1]Sellers Pro'!$F:$F)</f>
        <v>#NAME?</v>
      </c>
      <c r="D61" s="5" t="e">
        <f t="shared" si="0"/>
        <v>#NAME?</v>
      </c>
      <c r="E61" s="5" t="str">
        <f>IFERROR(IF(VLOOKUP(A61,Base!AA:AA,1,0)&gt;0,"1","0"),"0")</f>
        <v>1</v>
      </c>
      <c r="F61" s="5" t="e">
        <f t="shared" si="1"/>
        <v>#NAME?</v>
      </c>
      <c r="G61" s="5" t="str">
        <f t="shared" si="2"/>
        <v>0</v>
      </c>
    </row>
    <row r="62" spans="1:7">
      <c r="A62" s="4">
        <v>103928980802</v>
      </c>
      <c r="B62" s="4" t="s">
        <v>1764</v>
      </c>
      <c r="C62" s="1" t="e">
        <f ca="1">_xlfn.XLOOKUP(A62,'[1]Sellers Pro'!$C:$C,'[1]Sellers Pro'!$F:$F)</f>
        <v>#NAME?</v>
      </c>
      <c r="D62" s="5" t="e">
        <f t="shared" si="0"/>
        <v>#NAME?</v>
      </c>
      <c r="E62" s="5" t="str">
        <f>IFERROR(IF(VLOOKUP(A62,Base!AA:AA,1,0)&gt;0,"1","0"),"0")</f>
        <v>1</v>
      </c>
      <c r="F62" s="5" t="e">
        <f t="shared" si="1"/>
        <v>#NAME?</v>
      </c>
      <c r="G62" s="5" t="str">
        <f t="shared" si="2"/>
        <v>0</v>
      </c>
    </row>
    <row r="63" spans="1:7">
      <c r="A63" s="4">
        <v>377459760802</v>
      </c>
      <c r="B63" s="4" t="s">
        <v>2027</v>
      </c>
      <c r="C63" s="1"/>
      <c r="D63" s="5" t="str">
        <f t="shared" si="0"/>
        <v>0</v>
      </c>
      <c r="E63" s="5" t="str">
        <f>IFERROR(IF(VLOOKUP(A63,Base!AA:AA,1,0)&gt;0,"1","0"),"0")</f>
        <v>0</v>
      </c>
      <c r="F63" s="5" t="str">
        <f t="shared" si="1"/>
        <v>-</v>
      </c>
      <c r="G63" s="5" t="str">
        <f t="shared" si="2"/>
        <v>0</v>
      </c>
    </row>
    <row r="64" spans="1:7">
      <c r="A64" s="4">
        <v>133398128802</v>
      </c>
      <c r="B64" s="4" t="s">
        <v>1175</v>
      </c>
      <c r="C64" s="1"/>
      <c r="D64" s="5" t="str">
        <f t="shared" si="0"/>
        <v>0</v>
      </c>
      <c r="E64" s="5" t="str">
        <f>IFERROR(IF(VLOOKUP(A64,Base!AA:AA,1,0)&gt;0,"1","0"),"0")</f>
        <v>0</v>
      </c>
      <c r="F64" s="5" t="str">
        <f t="shared" si="1"/>
        <v>-</v>
      </c>
      <c r="G64" s="5" t="str">
        <f t="shared" si="2"/>
        <v>0</v>
      </c>
    </row>
    <row r="65" spans="1:7">
      <c r="A65" s="4">
        <v>351067276502</v>
      </c>
      <c r="B65" s="4" t="s">
        <v>284</v>
      </c>
      <c r="C65" s="1" t="e">
        <f ca="1">_xlfn.XLOOKUP(A65,'[1]Sellers Pro'!$C:$C,'[1]Sellers Pro'!$F:$F)</f>
        <v>#NAME?</v>
      </c>
      <c r="D65" s="5" t="e">
        <f t="shared" si="0"/>
        <v>#NAME?</v>
      </c>
      <c r="E65" s="5" t="str">
        <f>IFERROR(IF(VLOOKUP(A65,Base!AA:AA,1,0)&gt;0,"1","0"),"0")</f>
        <v>1</v>
      </c>
      <c r="F65" s="5" t="e">
        <f t="shared" si="1"/>
        <v>#NAME?</v>
      </c>
      <c r="G65" s="5" t="str">
        <f t="shared" si="2"/>
        <v>0</v>
      </c>
    </row>
    <row r="66" spans="1:7">
      <c r="A66" s="4">
        <v>433969027802</v>
      </c>
      <c r="B66" s="4" t="s">
        <v>1110</v>
      </c>
      <c r="C66" s="1" t="e">
        <f ca="1">_xlfn.XLOOKUP(A66,'[1]Sellers Pro'!$C:$C,'[1]Sellers Pro'!$F:$F)</f>
        <v>#NAME?</v>
      </c>
      <c r="D66" s="5" t="e">
        <f t="shared" si="0"/>
        <v>#NAME?</v>
      </c>
      <c r="E66" s="5" t="str">
        <f>IFERROR(IF(VLOOKUP(A66,Base!AA:AA,1,0)&gt;0,"1","0"),"0")</f>
        <v>0</v>
      </c>
      <c r="F66" s="5" t="e">
        <f t="shared" si="1"/>
        <v>#NAME?</v>
      </c>
      <c r="G66" s="5" t="str">
        <f t="shared" si="2"/>
        <v>0</v>
      </c>
    </row>
    <row r="67" spans="1:7">
      <c r="A67" s="4">
        <v>89297765302</v>
      </c>
      <c r="B67" s="4" t="s">
        <v>600</v>
      </c>
      <c r="C67" s="1"/>
      <c r="D67" s="5" t="str">
        <f t="shared" si="0"/>
        <v>0</v>
      </c>
      <c r="E67" s="5" t="str">
        <f>IFERROR(IF(VLOOKUP(A67,Base!AA:AA,1,0)&gt;0,"1","0"),"0")</f>
        <v>0</v>
      </c>
      <c r="F67" s="5" t="str">
        <f t="shared" si="1"/>
        <v>-</v>
      </c>
      <c r="G67" s="5" t="str">
        <f t="shared" si="2"/>
        <v>0</v>
      </c>
    </row>
    <row r="68" spans="1:7">
      <c r="A68" s="4">
        <v>642643854302</v>
      </c>
      <c r="B68" s="4" t="s">
        <v>1455</v>
      </c>
      <c r="C68" s="1" t="e">
        <f ca="1">_xlfn.XLOOKUP(A68,'[1]Sellers Pro'!$C:$C,'[1]Sellers Pro'!$F:$F)</f>
        <v>#NAME?</v>
      </c>
      <c r="D68" s="5" t="e">
        <f t="shared" ref="D68:D131" si="3">IF(C68="","0","1")</f>
        <v>#NAME?</v>
      </c>
      <c r="E68" s="5" t="str">
        <f>IFERROR(IF(VLOOKUP(A68,Base!AA:AA,1,0)&gt;0,"1","0"),"0")</f>
        <v>1</v>
      </c>
      <c r="F68" s="5" t="e">
        <f t="shared" ref="F68:F131" si="4">IF(C68="","-",IF(OR(BC68="Muito satisfeito",BC68="Satisfeito"),"1","0"))</f>
        <v>#NAME?</v>
      </c>
      <c r="G68" s="5" t="str">
        <f t="shared" ref="G68:G131" si="5">IF(BC68="","0","1")</f>
        <v>0</v>
      </c>
    </row>
    <row r="69" spans="1:7">
      <c r="A69" s="4">
        <v>560201489502</v>
      </c>
      <c r="B69" s="4" t="s">
        <v>1032</v>
      </c>
      <c r="C69" s="1" t="e">
        <f ca="1">_xlfn.XLOOKUP(A69,'[1]Sellers Pro'!$C:$C,'[1]Sellers Pro'!$F:$F)</f>
        <v>#NAME?</v>
      </c>
      <c r="D69" s="5" t="e">
        <f t="shared" si="3"/>
        <v>#NAME?</v>
      </c>
      <c r="E69" s="5" t="str">
        <f>IFERROR(IF(VLOOKUP(A69,Base!AA:AA,1,0)&gt;0,"1","0"),"0")</f>
        <v>1</v>
      </c>
      <c r="F69" s="5" t="e">
        <f t="shared" si="4"/>
        <v>#NAME?</v>
      </c>
      <c r="G69" s="5" t="str">
        <f t="shared" si="5"/>
        <v>0</v>
      </c>
    </row>
    <row r="70" spans="1:7">
      <c r="A70" s="4">
        <v>59283260402</v>
      </c>
      <c r="B70" s="4" t="s">
        <v>905</v>
      </c>
      <c r="C70" s="1" t="e">
        <f ca="1">_xlfn.XLOOKUP(A70,'[1]Sellers Pro'!$C:$C,'[1]Sellers Pro'!$F:$F)</f>
        <v>#NAME?</v>
      </c>
      <c r="D70" s="5" t="e">
        <f t="shared" si="3"/>
        <v>#NAME?</v>
      </c>
      <c r="E70" s="5" t="str">
        <f>IFERROR(IF(VLOOKUP(A70,Base!AA:AA,1,0)&gt;0,"1","0"),"0")</f>
        <v>1</v>
      </c>
      <c r="F70" s="5" t="e">
        <f t="shared" si="4"/>
        <v>#NAME?</v>
      </c>
      <c r="G70" s="5" t="str">
        <f t="shared" si="5"/>
        <v>0</v>
      </c>
    </row>
    <row r="71" spans="1:7">
      <c r="A71" s="4">
        <v>601998582602</v>
      </c>
      <c r="B71" s="4" t="s">
        <v>234</v>
      </c>
      <c r="C71" s="1" t="e">
        <f ca="1">_xlfn.XLOOKUP(A71,'[1]Sellers Pro'!$C:$C,'[1]Sellers Pro'!$F:$F)</f>
        <v>#NAME?</v>
      </c>
      <c r="D71" s="5" t="e">
        <f t="shared" si="3"/>
        <v>#NAME?</v>
      </c>
      <c r="E71" s="5" t="str">
        <f>IFERROR(IF(VLOOKUP(A71,Base!AA:AA,1,0)&gt;0,"1","0"),"0")</f>
        <v>1</v>
      </c>
      <c r="F71" s="5" t="e">
        <f t="shared" si="4"/>
        <v>#NAME?</v>
      </c>
      <c r="G71" s="5" t="str">
        <f t="shared" si="5"/>
        <v>0</v>
      </c>
    </row>
    <row r="72" spans="1:7">
      <c r="A72" s="4">
        <v>658814193902</v>
      </c>
      <c r="B72" s="4" t="s">
        <v>683</v>
      </c>
      <c r="C72" s="1" t="e">
        <f ca="1">_xlfn.XLOOKUP(A72,'[1]Sellers Pro'!$C:$C,'[1]Sellers Pro'!$F:$F)</f>
        <v>#NAME?</v>
      </c>
      <c r="D72" s="5" t="e">
        <f t="shared" si="3"/>
        <v>#NAME?</v>
      </c>
      <c r="E72" s="5" t="str">
        <f>IFERROR(IF(VLOOKUP(A72,Base!AA:AA,1,0)&gt;0,"1","0"),"0")</f>
        <v>1</v>
      </c>
      <c r="F72" s="5" t="e">
        <f t="shared" si="4"/>
        <v>#NAME?</v>
      </c>
      <c r="G72" s="5" t="str">
        <f t="shared" si="5"/>
        <v>0</v>
      </c>
    </row>
    <row r="73" spans="1:7">
      <c r="A73" s="4">
        <v>779493596402</v>
      </c>
      <c r="B73" s="4" t="s">
        <v>512</v>
      </c>
      <c r="C73" s="1"/>
      <c r="D73" s="5" t="str">
        <f t="shared" si="3"/>
        <v>0</v>
      </c>
      <c r="E73" s="5" t="str">
        <f>IFERROR(IF(VLOOKUP(A73,Base!AA:AA,1,0)&gt;0,"1","0"),"0")</f>
        <v>1</v>
      </c>
      <c r="F73" s="5" t="str">
        <f t="shared" si="4"/>
        <v>-</v>
      </c>
      <c r="G73" s="5" t="str">
        <f t="shared" si="5"/>
        <v>0</v>
      </c>
    </row>
    <row r="74" spans="1:7">
      <c r="A74" s="4">
        <v>58318994402</v>
      </c>
      <c r="B74" s="4" t="s">
        <v>2048</v>
      </c>
      <c r="C74" s="1"/>
      <c r="D74" s="5" t="str">
        <f t="shared" si="3"/>
        <v>0</v>
      </c>
      <c r="E74" s="5" t="str">
        <f>IFERROR(IF(VLOOKUP(A74,Base!AA:AA,1,0)&gt;0,"1","0"),"0")</f>
        <v>0</v>
      </c>
      <c r="F74" s="5" t="str">
        <f t="shared" si="4"/>
        <v>-</v>
      </c>
      <c r="G74" s="5" t="str">
        <f t="shared" si="5"/>
        <v>0</v>
      </c>
    </row>
    <row r="75" spans="1:7">
      <c r="A75" s="4">
        <v>551856008602</v>
      </c>
      <c r="B75" s="4" t="s">
        <v>1248</v>
      </c>
      <c r="C75" s="1" t="e">
        <f ca="1">_xlfn.XLOOKUP(A75,'[1]Sellers Pro'!$C:$C,'[1]Sellers Pro'!$F:$F)</f>
        <v>#NAME?</v>
      </c>
      <c r="D75" s="5" t="e">
        <f t="shared" si="3"/>
        <v>#NAME?</v>
      </c>
      <c r="E75" s="5" t="str">
        <f>IFERROR(IF(VLOOKUP(A75,Base!AA:AA,1,0)&gt;0,"1","0"),"0")</f>
        <v>1</v>
      </c>
      <c r="F75" s="5" t="e">
        <f t="shared" si="4"/>
        <v>#NAME?</v>
      </c>
      <c r="G75" s="5" t="str">
        <f t="shared" si="5"/>
        <v>0</v>
      </c>
    </row>
    <row r="76" spans="1:7">
      <c r="A76" s="4">
        <v>98835860802</v>
      </c>
      <c r="B76" s="4" t="s">
        <v>1667</v>
      </c>
      <c r="C76" s="1" t="e">
        <f ca="1">_xlfn.XLOOKUP(A76,'[1]Sellers Pro'!$C:$C,'[1]Sellers Pro'!$F:$F)</f>
        <v>#NAME?</v>
      </c>
      <c r="D76" s="5" t="e">
        <f t="shared" si="3"/>
        <v>#NAME?</v>
      </c>
      <c r="E76" s="5" t="str">
        <f>IFERROR(IF(VLOOKUP(A76,Base!AA:AA,1,0)&gt;0,"1","0"),"0")</f>
        <v>1</v>
      </c>
      <c r="F76" s="5" t="e">
        <f t="shared" si="4"/>
        <v>#NAME?</v>
      </c>
      <c r="G76" s="5" t="str">
        <f t="shared" si="5"/>
        <v>0</v>
      </c>
    </row>
    <row r="77" spans="1:7">
      <c r="A77" s="4">
        <v>653060435802</v>
      </c>
      <c r="B77" s="4" t="s">
        <v>851</v>
      </c>
      <c r="C77" s="1" t="e">
        <f ca="1">_xlfn.XLOOKUP(A77,'[1]Sellers Pro'!$C:$C,'[1]Sellers Pro'!$F:$F)</f>
        <v>#NAME?</v>
      </c>
      <c r="D77" s="5" t="e">
        <f t="shared" si="3"/>
        <v>#NAME?</v>
      </c>
      <c r="E77" s="5" t="str">
        <f>IFERROR(IF(VLOOKUP(A77,Base!AA:AA,1,0)&gt;0,"1","0"),"0")</f>
        <v>1</v>
      </c>
      <c r="F77" s="5" t="e">
        <f t="shared" si="4"/>
        <v>#NAME?</v>
      </c>
      <c r="G77" s="5" t="str">
        <f t="shared" si="5"/>
        <v>0</v>
      </c>
    </row>
    <row r="78" spans="1:7">
      <c r="A78" s="4">
        <v>20068852602</v>
      </c>
      <c r="B78" s="4" t="s">
        <v>427</v>
      </c>
      <c r="C78" s="1" t="e">
        <f ca="1">_xlfn.XLOOKUP(A78,'[1]Sellers Pro'!$C:$C,'[1]Sellers Pro'!$F:$F)</f>
        <v>#NAME?</v>
      </c>
      <c r="D78" s="5" t="e">
        <f t="shared" si="3"/>
        <v>#NAME?</v>
      </c>
      <c r="E78" s="5" t="str">
        <f>IFERROR(IF(VLOOKUP(A78,Base!AA:AA,1,0)&gt;0,"1","0"),"0")</f>
        <v>1</v>
      </c>
      <c r="F78" s="5" t="e">
        <f t="shared" si="4"/>
        <v>#NAME?</v>
      </c>
      <c r="G78" s="5" t="str">
        <f t="shared" si="5"/>
        <v>0</v>
      </c>
    </row>
    <row r="79" spans="1:7">
      <c r="A79" s="4">
        <v>72695582302</v>
      </c>
      <c r="B79" s="4" t="s">
        <v>707</v>
      </c>
      <c r="C79" s="1" t="e">
        <f ca="1">_xlfn.XLOOKUP(A79,'[1]Sellers Pro'!$C:$C,'[1]Sellers Pro'!$F:$F)</f>
        <v>#NAME?</v>
      </c>
      <c r="D79" s="5" t="e">
        <f t="shared" si="3"/>
        <v>#NAME?</v>
      </c>
      <c r="E79" s="5" t="str">
        <f>IFERROR(IF(VLOOKUP(A79,Base!AA:AA,1,0)&gt;0,"1","0"),"0")</f>
        <v>1</v>
      </c>
      <c r="F79" s="5" t="e">
        <f t="shared" si="4"/>
        <v>#NAME?</v>
      </c>
      <c r="G79" s="5" t="str">
        <f t="shared" si="5"/>
        <v>0</v>
      </c>
    </row>
    <row r="80" spans="1:7">
      <c r="A80" s="4">
        <v>241419664602</v>
      </c>
      <c r="B80" s="4" t="s">
        <v>628</v>
      </c>
      <c r="C80" s="1" t="e">
        <f ca="1">_xlfn.XLOOKUP(A80,'[1]Sellers Pro'!$C:$C,'[1]Sellers Pro'!$F:$F)</f>
        <v>#NAME?</v>
      </c>
      <c r="D80" s="5" t="e">
        <f t="shared" si="3"/>
        <v>#NAME?</v>
      </c>
      <c r="E80" s="5" t="str">
        <f>IFERROR(IF(VLOOKUP(A80,Base!AA:AA,1,0)&gt;0,"1","0"),"0")</f>
        <v>1</v>
      </c>
      <c r="F80" s="5" t="e">
        <f t="shared" si="4"/>
        <v>#NAME?</v>
      </c>
      <c r="G80" s="5" t="str">
        <f t="shared" si="5"/>
        <v>0</v>
      </c>
    </row>
    <row r="81" spans="1:7">
      <c r="A81" s="4">
        <v>7763660815</v>
      </c>
      <c r="B81" s="4" t="s">
        <v>895</v>
      </c>
      <c r="C81" s="1" t="e">
        <f ca="1">_xlfn.XLOOKUP(A81,'[1]Sellers Pro'!$C:$C,'[1]Sellers Pro'!$F:$F)</f>
        <v>#NAME?</v>
      </c>
      <c r="D81" s="5" t="e">
        <f t="shared" si="3"/>
        <v>#NAME?</v>
      </c>
      <c r="E81" s="5" t="str">
        <f>IFERROR(IF(VLOOKUP(A81,Base!AA:AA,1,0)&gt;0,"1","0"),"0")</f>
        <v>1</v>
      </c>
      <c r="F81" s="5" t="e">
        <f t="shared" si="4"/>
        <v>#NAME?</v>
      </c>
      <c r="G81" s="5" t="str">
        <f t="shared" si="5"/>
        <v>0</v>
      </c>
    </row>
    <row r="82" spans="1:7">
      <c r="A82" s="4">
        <v>862944388002</v>
      </c>
      <c r="B82" s="4" t="s">
        <v>1392</v>
      </c>
      <c r="C82" s="1"/>
      <c r="D82" s="5" t="str">
        <f t="shared" si="3"/>
        <v>0</v>
      </c>
      <c r="E82" s="5" t="str">
        <f>IFERROR(IF(VLOOKUP(A82,Base!AA:AA,1,0)&gt;0,"1","0"),"0")</f>
        <v>0</v>
      </c>
      <c r="F82" s="5" t="str">
        <f t="shared" si="4"/>
        <v>-</v>
      </c>
      <c r="G82" s="5" t="str">
        <f t="shared" si="5"/>
        <v>0</v>
      </c>
    </row>
    <row r="83" spans="1:7">
      <c r="A83" s="4">
        <v>133844711902</v>
      </c>
      <c r="B83" s="4" t="s">
        <v>2283</v>
      </c>
      <c r="C83" s="1" t="e">
        <f ca="1">_xlfn.XLOOKUP(A83,'[1]Sellers Pro'!$C:$C,'[1]Sellers Pro'!$F:$F)</f>
        <v>#NAME?</v>
      </c>
      <c r="D83" s="5" t="e">
        <f t="shared" si="3"/>
        <v>#NAME?</v>
      </c>
      <c r="E83" s="5" t="str">
        <f>IFERROR(IF(VLOOKUP(A83,Base!AA:AA,1,0)&gt;0,"1","0"),"0")</f>
        <v>1</v>
      </c>
      <c r="F83" s="5" t="e">
        <f t="shared" si="4"/>
        <v>#NAME?</v>
      </c>
      <c r="G83" s="5" t="str">
        <f t="shared" si="5"/>
        <v>0</v>
      </c>
    </row>
    <row r="84" spans="1:7">
      <c r="A84" s="4">
        <v>358205651902</v>
      </c>
      <c r="B84" s="4" t="s">
        <v>1408</v>
      </c>
      <c r="C84" s="1" t="e">
        <f ca="1">_xlfn.XLOOKUP(A84,'[1]Sellers Pro'!$C:$C,'[1]Sellers Pro'!$F:$F)</f>
        <v>#NAME?</v>
      </c>
      <c r="D84" s="5" t="e">
        <f t="shared" si="3"/>
        <v>#NAME?</v>
      </c>
      <c r="E84" s="5" t="str">
        <f>IFERROR(IF(VLOOKUP(A84,Base!AA:AA,1,0)&gt;0,"1","0"),"0")</f>
        <v>1</v>
      </c>
      <c r="F84" s="5" t="e">
        <f t="shared" si="4"/>
        <v>#NAME?</v>
      </c>
      <c r="G84" s="5" t="str">
        <f t="shared" si="5"/>
        <v>0</v>
      </c>
    </row>
    <row r="85" spans="1:7">
      <c r="A85" s="4">
        <v>20208037402</v>
      </c>
      <c r="B85" s="4" t="s">
        <v>1678</v>
      </c>
      <c r="C85" s="1" t="e">
        <f ca="1">_xlfn.XLOOKUP(A85,'[1]Sellers Pro'!$C:$C,'[1]Sellers Pro'!$F:$F)</f>
        <v>#NAME?</v>
      </c>
      <c r="D85" s="5" t="e">
        <f t="shared" si="3"/>
        <v>#NAME?</v>
      </c>
      <c r="E85" s="5" t="str">
        <f>IFERROR(IF(VLOOKUP(A85,Base!AA:AA,1,0)&gt;0,"1","0"),"0")</f>
        <v>1</v>
      </c>
      <c r="F85" s="5" t="e">
        <f t="shared" si="4"/>
        <v>#NAME?</v>
      </c>
      <c r="G85" s="5" t="str">
        <f t="shared" si="5"/>
        <v>0</v>
      </c>
    </row>
    <row r="86" spans="1:7">
      <c r="A86" s="4">
        <v>474741185002</v>
      </c>
      <c r="B86" s="4" t="s">
        <v>1812</v>
      </c>
      <c r="C86" s="1" t="e">
        <f ca="1">_xlfn.XLOOKUP(A86,'[1]Sellers Pro'!$C:$C,'[1]Sellers Pro'!$F:$F)</f>
        <v>#NAME?</v>
      </c>
      <c r="D86" s="5" t="e">
        <f t="shared" si="3"/>
        <v>#NAME?</v>
      </c>
      <c r="E86" s="5" t="str">
        <f>IFERROR(IF(VLOOKUP(A86,Base!AA:AA,1,0)&gt;0,"1","0"),"0")</f>
        <v>1</v>
      </c>
      <c r="F86" s="5" t="e">
        <f t="shared" si="4"/>
        <v>#NAME?</v>
      </c>
      <c r="G86" s="5" t="str">
        <f t="shared" si="5"/>
        <v>0</v>
      </c>
    </row>
    <row r="87" spans="1:7">
      <c r="A87" s="4">
        <v>28945506502</v>
      </c>
      <c r="B87" s="4" t="s">
        <v>820</v>
      </c>
      <c r="C87" s="1" t="e">
        <f ca="1">_xlfn.XLOOKUP(A87,'[1]Sellers Pro'!$C:$C,'[1]Sellers Pro'!$F:$F)</f>
        <v>#NAME?</v>
      </c>
      <c r="D87" s="5" t="e">
        <f t="shared" si="3"/>
        <v>#NAME?</v>
      </c>
      <c r="E87" s="5" t="str">
        <f>IFERROR(IF(VLOOKUP(A87,Base!AA:AA,1,0)&gt;0,"1","0"),"0")</f>
        <v>1</v>
      </c>
      <c r="F87" s="5" t="e">
        <f t="shared" si="4"/>
        <v>#NAME?</v>
      </c>
      <c r="G87" s="5" t="str">
        <f t="shared" si="5"/>
        <v>0</v>
      </c>
    </row>
    <row r="88" spans="1:7">
      <c r="A88" s="4">
        <v>314278248802</v>
      </c>
      <c r="B88" s="4" t="s">
        <v>194</v>
      </c>
      <c r="C88" s="1" t="e">
        <f ca="1">_xlfn.XLOOKUP(A88,'[1]Sellers Pro'!$C:$C,'[1]Sellers Pro'!$F:$F)</f>
        <v>#NAME?</v>
      </c>
      <c r="D88" s="5" t="e">
        <f t="shared" si="3"/>
        <v>#NAME?</v>
      </c>
      <c r="E88" s="5" t="str">
        <f>IFERROR(IF(VLOOKUP(A88,Base!AA:AA,1,0)&gt;0,"1","0"),"0")</f>
        <v>1</v>
      </c>
      <c r="F88" s="5" t="e">
        <f t="shared" si="4"/>
        <v>#NAME?</v>
      </c>
      <c r="G88" s="5" t="str">
        <f t="shared" si="5"/>
        <v>0</v>
      </c>
    </row>
    <row r="89" spans="1:7">
      <c r="A89" s="4">
        <v>26774818902</v>
      </c>
      <c r="B89" s="4" t="s">
        <v>1125</v>
      </c>
      <c r="C89" s="1" t="e">
        <f ca="1">_xlfn.XLOOKUP(A89,'[1]Sellers Pro'!$C:$C,'[1]Sellers Pro'!$F:$F)</f>
        <v>#NAME?</v>
      </c>
      <c r="D89" s="5" t="e">
        <f t="shared" si="3"/>
        <v>#NAME?</v>
      </c>
      <c r="E89" s="5" t="str">
        <f>IFERROR(IF(VLOOKUP(A89,Base!AA:AA,1,0)&gt;0,"1","0"),"0")</f>
        <v>1</v>
      </c>
      <c r="F89" s="5" t="e">
        <f t="shared" si="4"/>
        <v>#NAME?</v>
      </c>
      <c r="G89" s="5" t="str">
        <f t="shared" si="5"/>
        <v>0</v>
      </c>
    </row>
    <row r="90" spans="1:7">
      <c r="A90" s="4">
        <v>435346364602</v>
      </c>
      <c r="B90" s="4" t="s">
        <v>1636</v>
      </c>
      <c r="C90" s="1" t="e">
        <f ca="1">_xlfn.XLOOKUP(A90,'[1]Sellers Pro'!$C:$C,'[1]Sellers Pro'!$F:$F)</f>
        <v>#NAME?</v>
      </c>
      <c r="D90" s="5" t="e">
        <f t="shared" si="3"/>
        <v>#NAME?</v>
      </c>
      <c r="E90" s="5" t="str">
        <f>IFERROR(IF(VLOOKUP(A90,Base!AA:AA,1,0)&gt;0,"1","0"),"0")</f>
        <v>1</v>
      </c>
      <c r="F90" s="5" t="e">
        <f t="shared" si="4"/>
        <v>#NAME?</v>
      </c>
      <c r="G90" s="5" t="str">
        <f t="shared" si="5"/>
        <v>0</v>
      </c>
    </row>
    <row r="91" spans="1:7">
      <c r="A91" s="4">
        <v>128837707402</v>
      </c>
      <c r="B91" s="4" t="s">
        <v>390</v>
      </c>
      <c r="C91" s="1" t="e">
        <f ca="1">_xlfn.XLOOKUP(A91,'[1]Sellers Pro'!$C:$C,'[1]Sellers Pro'!$F:$F)</f>
        <v>#NAME?</v>
      </c>
      <c r="D91" s="5" t="e">
        <f t="shared" si="3"/>
        <v>#NAME?</v>
      </c>
      <c r="E91" s="5" t="str">
        <f>IFERROR(IF(VLOOKUP(A91,Base!AA:AA,1,0)&gt;0,"1","0"),"0")</f>
        <v>1</v>
      </c>
      <c r="F91" s="5" t="e">
        <f t="shared" si="4"/>
        <v>#NAME?</v>
      </c>
      <c r="G91" s="5" t="str">
        <f t="shared" si="5"/>
        <v>0</v>
      </c>
    </row>
    <row r="92" spans="1:7">
      <c r="A92" s="4">
        <v>276705576602</v>
      </c>
      <c r="B92" s="4" t="s">
        <v>1694</v>
      </c>
      <c r="C92" s="1" t="e">
        <f ca="1">_xlfn.XLOOKUP(A92,'[1]Sellers Pro'!$C:$C,'[1]Sellers Pro'!$F:$F)</f>
        <v>#NAME?</v>
      </c>
      <c r="D92" s="5" t="e">
        <f t="shared" si="3"/>
        <v>#NAME?</v>
      </c>
      <c r="E92" s="5" t="str">
        <f>IFERROR(IF(VLOOKUP(A92,Base!AA:AA,1,0)&gt;0,"1","0"),"0")</f>
        <v>1</v>
      </c>
      <c r="F92" s="5" t="e">
        <f t="shared" si="4"/>
        <v>#NAME?</v>
      </c>
      <c r="G92" s="5" t="str">
        <f t="shared" si="5"/>
        <v>0</v>
      </c>
    </row>
    <row r="93" spans="1:7">
      <c r="A93" s="4">
        <v>24383333802</v>
      </c>
      <c r="B93" s="4" t="s">
        <v>1342</v>
      </c>
      <c r="C93" s="1" t="e">
        <f ca="1">_xlfn.XLOOKUP(A93,'[1]Sellers Pro'!$C:$C,'[1]Sellers Pro'!$F:$F)</f>
        <v>#NAME?</v>
      </c>
      <c r="D93" s="5" t="e">
        <f t="shared" si="3"/>
        <v>#NAME?</v>
      </c>
      <c r="E93" s="5" t="str">
        <f>IFERROR(IF(VLOOKUP(A93,Base!AA:AA,1,0)&gt;0,"1","0"),"0")</f>
        <v>1</v>
      </c>
      <c r="F93" s="5" t="e">
        <f t="shared" si="4"/>
        <v>#NAME?</v>
      </c>
      <c r="G93" s="5" t="str">
        <f t="shared" si="5"/>
        <v>0</v>
      </c>
    </row>
    <row r="94" spans="1:7">
      <c r="A94" s="4">
        <v>28882816002</v>
      </c>
      <c r="B94" s="4" t="s">
        <v>1740</v>
      </c>
      <c r="C94" s="1"/>
      <c r="D94" s="5" t="str">
        <f t="shared" si="3"/>
        <v>0</v>
      </c>
      <c r="E94" s="5" t="str">
        <f>IFERROR(IF(VLOOKUP(A94,Base!AA:AA,1,0)&gt;0,"1","0"),"0")</f>
        <v>0</v>
      </c>
      <c r="F94" s="5" t="str">
        <f t="shared" si="4"/>
        <v>-</v>
      </c>
      <c r="G94" s="5" t="str">
        <f t="shared" si="5"/>
        <v>0</v>
      </c>
    </row>
    <row r="95" spans="1:7">
      <c r="A95" s="4">
        <v>92771955402</v>
      </c>
      <c r="B95" s="4" t="s">
        <v>645</v>
      </c>
      <c r="C95" s="1" t="e">
        <f ca="1">_xlfn.XLOOKUP(A95,'[1]Sellers Pro'!$C:$C,'[1]Sellers Pro'!$F:$F)</f>
        <v>#NAME?</v>
      </c>
      <c r="D95" s="5" t="e">
        <f t="shared" si="3"/>
        <v>#NAME?</v>
      </c>
      <c r="E95" s="5" t="str">
        <f>IFERROR(IF(VLOOKUP(A95,Base!AA:AA,1,0)&gt;0,"1","0"),"0")</f>
        <v>1</v>
      </c>
      <c r="F95" s="5" t="e">
        <f t="shared" si="4"/>
        <v>#NAME?</v>
      </c>
      <c r="G95" s="5" t="str">
        <f t="shared" si="5"/>
        <v>0</v>
      </c>
    </row>
    <row r="96" spans="1:7">
      <c r="A96" s="4">
        <v>438747217402</v>
      </c>
      <c r="B96" s="4" t="s">
        <v>1377</v>
      </c>
      <c r="C96" s="1" t="e">
        <f ca="1">_xlfn.XLOOKUP(A96,'[1]Sellers Pro'!$C:$C,'[1]Sellers Pro'!$F:$F)</f>
        <v>#NAME?</v>
      </c>
      <c r="D96" s="5" t="e">
        <f t="shared" si="3"/>
        <v>#NAME?</v>
      </c>
      <c r="E96" s="5" t="str">
        <f>IFERROR(IF(VLOOKUP(A96,Base!AA:AA,1,0)&gt;0,"1","0"),"0")</f>
        <v>1</v>
      </c>
      <c r="F96" s="5" t="e">
        <f t="shared" si="4"/>
        <v>#NAME?</v>
      </c>
      <c r="G96" s="5" t="str">
        <f t="shared" si="5"/>
        <v>0</v>
      </c>
    </row>
    <row r="97" spans="1:7">
      <c r="A97" s="4">
        <v>98385811302</v>
      </c>
      <c r="B97" s="4" t="s">
        <v>1591</v>
      </c>
      <c r="C97" s="1" t="e">
        <f ca="1">_xlfn.XLOOKUP(A97,'[1]Sellers Pro'!$C:$C,'[1]Sellers Pro'!$F:$F)</f>
        <v>#NAME?</v>
      </c>
      <c r="D97" s="5" t="e">
        <f t="shared" si="3"/>
        <v>#NAME?</v>
      </c>
      <c r="E97" s="5" t="str">
        <f>IFERROR(IF(VLOOKUP(A97,Base!AA:AA,1,0)&gt;0,"1","0"),"0")</f>
        <v>1</v>
      </c>
      <c r="F97" s="5" t="e">
        <f t="shared" si="4"/>
        <v>#NAME?</v>
      </c>
      <c r="G97" s="5" t="str">
        <f t="shared" si="5"/>
        <v>0</v>
      </c>
    </row>
    <row r="98" spans="1:7">
      <c r="A98" s="4">
        <v>30887912302</v>
      </c>
      <c r="B98" s="4" t="s">
        <v>366</v>
      </c>
      <c r="C98" s="1" t="e">
        <f ca="1">_xlfn.XLOOKUP(A98,'[1]Sellers Pro'!$C:$C,'[1]Sellers Pro'!$F:$F)</f>
        <v>#NAME?</v>
      </c>
      <c r="D98" s="5" t="e">
        <f t="shared" si="3"/>
        <v>#NAME?</v>
      </c>
      <c r="E98" s="5" t="str">
        <f>IFERROR(IF(VLOOKUP(A98,Base!AA:AA,1,0)&gt;0,"1","0"),"0")</f>
        <v>1</v>
      </c>
      <c r="F98" s="5" t="e">
        <f t="shared" si="4"/>
        <v>#NAME?</v>
      </c>
      <c r="G98" s="5" t="str">
        <f t="shared" si="5"/>
        <v>0</v>
      </c>
    </row>
    <row r="99" spans="1:7">
      <c r="A99" s="4">
        <v>187533500102</v>
      </c>
      <c r="B99" s="4" t="s">
        <v>1717</v>
      </c>
      <c r="C99" s="1" t="e">
        <f ca="1">_xlfn.XLOOKUP(A99,'[1]Sellers Pro'!$C:$C,'[1]Sellers Pro'!$F:$F)</f>
        <v>#NAME?</v>
      </c>
      <c r="D99" s="5" t="e">
        <f t="shared" si="3"/>
        <v>#NAME?</v>
      </c>
      <c r="E99" s="5" t="str">
        <f>IFERROR(IF(VLOOKUP(A99,Base!AA:AA,1,0)&gt;0,"1","0"),"0")</f>
        <v>1</v>
      </c>
      <c r="F99" s="5" t="e">
        <f t="shared" si="4"/>
        <v>#NAME?</v>
      </c>
      <c r="G99" s="5" t="str">
        <f t="shared" si="5"/>
        <v>0</v>
      </c>
    </row>
    <row r="100" spans="1:7">
      <c r="A100" s="4">
        <v>309059081002</v>
      </c>
      <c r="B100" s="4" t="s">
        <v>1998</v>
      </c>
      <c r="C100" s="1"/>
      <c r="D100" s="5" t="str">
        <f t="shared" si="3"/>
        <v>0</v>
      </c>
      <c r="E100" s="5" t="str">
        <f>IFERROR(IF(VLOOKUP(A100,Base!AA:AA,1,0)&gt;0,"1","0"),"0")</f>
        <v>0</v>
      </c>
      <c r="F100" s="5" t="str">
        <f t="shared" si="4"/>
        <v>-</v>
      </c>
      <c r="G100" s="5" t="str">
        <f t="shared" si="5"/>
        <v>0</v>
      </c>
    </row>
    <row r="101" spans="1:7">
      <c r="A101" s="4">
        <v>60238888002</v>
      </c>
      <c r="B101" s="4" t="s">
        <v>1024</v>
      </c>
      <c r="C101" s="1" t="e">
        <f ca="1">_xlfn.XLOOKUP(A101,'[1]Sellers Pro'!$C:$C,'[1]Sellers Pro'!$F:$F)</f>
        <v>#NAME?</v>
      </c>
      <c r="D101" s="5" t="e">
        <f t="shared" si="3"/>
        <v>#NAME?</v>
      </c>
      <c r="E101" s="5" t="str">
        <f>IFERROR(IF(VLOOKUP(A101,Base!AA:AA,1,0)&gt;0,"1","0"),"0")</f>
        <v>1</v>
      </c>
      <c r="F101" s="5" t="e">
        <f t="shared" si="4"/>
        <v>#NAME?</v>
      </c>
      <c r="G101" s="5" t="str">
        <f t="shared" si="5"/>
        <v>0</v>
      </c>
    </row>
    <row r="102" spans="1:7">
      <c r="A102" s="4">
        <v>45030065502</v>
      </c>
      <c r="B102" s="4" t="s">
        <v>2284</v>
      </c>
      <c r="C102" s="1" t="e">
        <f ca="1">_xlfn.XLOOKUP(A102,'[1]Sellers Pro'!$C:$C,'[1]Sellers Pro'!$F:$F)</f>
        <v>#NAME?</v>
      </c>
      <c r="D102" s="5" t="e">
        <f t="shared" si="3"/>
        <v>#NAME?</v>
      </c>
      <c r="E102" s="5" t="str">
        <f>IFERROR(IF(VLOOKUP(A102,Base!AA:AA,1,0)&gt;0,"1","0"),"0")</f>
        <v>1</v>
      </c>
      <c r="F102" s="5" t="e">
        <f t="shared" si="4"/>
        <v>#NAME?</v>
      </c>
      <c r="G102" s="5" t="str">
        <f t="shared" si="5"/>
        <v>0</v>
      </c>
    </row>
    <row r="103" spans="1:7">
      <c r="A103" s="4">
        <v>301429377802</v>
      </c>
      <c r="B103" s="4" t="s">
        <v>1868</v>
      </c>
      <c r="C103" s="1" t="e">
        <f ca="1">_xlfn.XLOOKUP(A103,'[1]Sellers Pro'!$C:$C,'[1]Sellers Pro'!$F:$F)</f>
        <v>#NAME?</v>
      </c>
      <c r="D103" s="5" t="e">
        <f t="shared" si="3"/>
        <v>#NAME?</v>
      </c>
      <c r="E103" s="5" t="str">
        <f>IFERROR(IF(VLOOKUP(A103,Base!AA:AA,1,0)&gt;0,"1","0"),"0")</f>
        <v>1</v>
      </c>
      <c r="F103" s="5" t="e">
        <f t="shared" si="4"/>
        <v>#NAME?</v>
      </c>
      <c r="G103" s="5" t="str">
        <f t="shared" si="5"/>
        <v>0</v>
      </c>
    </row>
    <row r="104" spans="1:7">
      <c r="A104" s="4">
        <v>589580604602</v>
      </c>
      <c r="B104" s="4" t="s">
        <v>2070</v>
      </c>
      <c r="C104" s="1" t="e">
        <f ca="1">_xlfn.XLOOKUP(A104,'[1]Sellers Pro'!$C:$C,'[1]Sellers Pro'!$F:$F)</f>
        <v>#NAME?</v>
      </c>
      <c r="D104" s="5" t="e">
        <f t="shared" si="3"/>
        <v>#NAME?</v>
      </c>
      <c r="E104" s="5" t="str">
        <f>IFERROR(IF(VLOOKUP(A104,Base!AA:AA,1,0)&gt;0,"1","0"),"0")</f>
        <v>1</v>
      </c>
      <c r="F104" s="5" t="e">
        <f t="shared" si="4"/>
        <v>#NAME?</v>
      </c>
      <c r="G104" s="5" t="str">
        <f t="shared" si="5"/>
        <v>0</v>
      </c>
    </row>
    <row r="105" spans="1:7">
      <c r="A105" s="4">
        <v>24386750602</v>
      </c>
      <c r="B105" s="4" t="s">
        <v>1847</v>
      </c>
      <c r="C105" s="1" t="e">
        <f ca="1">_xlfn.XLOOKUP(A105,'[1]Sellers Pro'!$C:$C,'[1]Sellers Pro'!$F:$F)</f>
        <v>#NAME?</v>
      </c>
      <c r="D105" s="5" t="e">
        <f t="shared" si="3"/>
        <v>#NAME?</v>
      </c>
      <c r="E105" s="5" t="str">
        <f>IFERROR(IF(VLOOKUP(A105,Base!AA:AA,1,0)&gt;0,"1","0"),"0")</f>
        <v>1</v>
      </c>
      <c r="F105" s="5" t="e">
        <f t="shared" si="4"/>
        <v>#NAME?</v>
      </c>
      <c r="G105" s="5" t="str">
        <f t="shared" si="5"/>
        <v>0</v>
      </c>
    </row>
    <row r="106" spans="1:7">
      <c r="A106" s="4">
        <v>14279576402</v>
      </c>
      <c r="B106" s="4" t="s">
        <v>2285</v>
      </c>
      <c r="C106" s="1" t="e">
        <f ca="1">_xlfn.XLOOKUP(A106,'[1]Sellers Pro'!$C:$C,'[1]Sellers Pro'!$F:$F)</f>
        <v>#NAME?</v>
      </c>
      <c r="D106" s="5" t="e">
        <f t="shared" si="3"/>
        <v>#NAME?</v>
      </c>
      <c r="E106" s="5" t="str">
        <f>IFERROR(IF(VLOOKUP(A106,Base!AA:AA,1,0)&gt;0,"1","0"),"0")</f>
        <v>0</v>
      </c>
      <c r="F106" s="5" t="e">
        <f t="shared" si="4"/>
        <v>#NAME?</v>
      </c>
      <c r="G106" s="5" t="str">
        <f t="shared" si="5"/>
        <v>0</v>
      </c>
    </row>
    <row r="107" spans="1:7">
      <c r="A107" s="4">
        <v>20025747402</v>
      </c>
      <c r="B107" s="4" t="s">
        <v>524</v>
      </c>
      <c r="C107" s="1" t="e">
        <f ca="1">_xlfn.XLOOKUP(A107,'[1]Sellers Pro'!$C:$C,'[1]Sellers Pro'!$F:$F)</f>
        <v>#NAME?</v>
      </c>
      <c r="D107" s="5" t="e">
        <f t="shared" si="3"/>
        <v>#NAME?</v>
      </c>
      <c r="E107" s="5" t="str">
        <f>IFERROR(IF(VLOOKUP(A107,Base!AA:AA,1,0)&gt;0,"1","0"),"0")</f>
        <v>1</v>
      </c>
      <c r="F107" s="5" t="e">
        <f t="shared" si="4"/>
        <v>#NAME?</v>
      </c>
      <c r="G107" s="5" t="str">
        <f t="shared" si="5"/>
        <v>0</v>
      </c>
    </row>
    <row r="108" spans="1:7">
      <c r="A108" s="4">
        <v>191336978502</v>
      </c>
      <c r="B108" s="4" t="s">
        <v>768</v>
      </c>
      <c r="C108" s="1" t="e">
        <f ca="1">_xlfn.XLOOKUP(A108,'[1]Sellers Pro'!$C:$C,'[1]Sellers Pro'!$F:$F)</f>
        <v>#NAME?</v>
      </c>
      <c r="D108" s="5" t="e">
        <f t="shared" si="3"/>
        <v>#NAME?</v>
      </c>
      <c r="E108" s="5" t="str">
        <f>IFERROR(IF(VLOOKUP(A108,Base!AA:AA,1,0)&gt;0,"1","0"),"0")</f>
        <v>1</v>
      </c>
      <c r="F108" s="5" t="e">
        <f t="shared" si="4"/>
        <v>#NAME?</v>
      </c>
      <c r="G108" s="5" t="str">
        <f t="shared" si="5"/>
        <v>0</v>
      </c>
    </row>
    <row r="109" spans="1:7">
      <c r="A109" s="4">
        <v>316318935902</v>
      </c>
      <c r="B109" s="4" t="s">
        <v>2286</v>
      </c>
      <c r="C109" s="1"/>
      <c r="D109" s="5" t="str">
        <f t="shared" si="3"/>
        <v>0</v>
      </c>
      <c r="E109" s="5" t="str">
        <f>IFERROR(IF(VLOOKUP(A109,Base!AA:AA,1,0)&gt;0,"1","0"),"0")</f>
        <v>0</v>
      </c>
      <c r="F109" s="5" t="str">
        <f t="shared" si="4"/>
        <v>-</v>
      </c>
      <c r="G109" s="5" t="str">
        <f t="shared" si="5"/>
        <v>0</v>
      </c>
    </row>
    <row r="110" spans="1:7">
      <c r="A110" s="4">
        <v>24558652202</v>
      </c>
      <c r="B110" s="4" t="s">
        <v>102</v>
      </c>
      <c r="C110" s="1" t="e">
        <f ca="1">_xlfn.XLOOKUP(A110,'[1]Sellers Pro'!$C:$C,'[1]Sellers Pro'!$F:$F)</f>
        <v>#NAME?</v>
      </c>
      <c r="D110" s="5" t="e">
        <f t="shared" si="3"/>
        <v>#NAME?</v>
      </c>
      <c r="E110" s="5" t="str">
        <f>IFERROR(IF(VLOOKUP(A110,Base!AA:AA,1,0)&gt;0,"1","0"),"0")</f>
        <v>1</v>
      </c>
      <c r="F110" s="5" t="e">
        <f t="shared" si="4"/>
        <v>#NAME?</v>
      </c>
      <c r="G110" s="5" t="str">
        <f t="shared" si="5"/>
        <v>0</v>
      </c>
    </row>
    <row r="111" spans="1:7">
      <c r="A111" s="4">
        <v>15954434402</v>
      </c>
      <c r="B111" s="4" t="s">
        <v>1525</v>
      </c>
      <c r="C111" s="1"/>
      <c r="D111" s="5" t="str">
        <f t="shared" si="3"/>
        <v>0</v>
      </c>
      <c r="E111" s="5" t="str">
        <f>IFERROR(IF(VLOOKUP(A111,Base!AA:AA,1,0)&gt;0,"1","0"),"0")</f>
        <v>0</v>
      </c>
      <c r="F111" s="5" t="str">
        <f t="shared" si="4"/>
        <v>-</v>
      </c>
      <c r="G111" s="5" t="str">
        <f t="shared" si="5"/>
        <v>0</v>
      </c>
    </row>
    <row r="112" spans="1:7">
      <c r="A112" s="4">
        <v>453606604502</v>
      </c>
      <c r="B112" s="4" t="s">
        <v>658</v>
      </c>
      <c r="C112" s="1" t="e">
        <f ca="1">_xlfn.XLOOKUP(A112,'[1]Sellers Pro'!$C:$C,'[1]Sellers Pro'!$F:$F)</f>
        <v>#NAME?</v>
      </c>
      <c r="D112" s="5" t="e">
        <f t="shared" si="3"/>
        <v>#NAME?</v>
      </c>
      <c r="E112" s="5" t="str">
        <f>IFERROR(IF(VLOOKUP(A112,Base!AA:AA,1,0)&gt;0,"1","0"),"0")</f>
        <v>0</v>
      </c>
      <c r="F112" s="5" t="e">
        <f t="shared" si="4"/>
        <v>#NAME?</v>
      </c>
      <c r="G112" s="5" t="str">
        <f t="shared" si="5"/>
        <v>0</v>
      </c>
    </row>
    <row r="113" spans="1:7">
      <c r="A113" s="4">
        <v>312652842702</v>
      </c>
      <c r="B113" s="4" t="s">
        <v>1348</v>
      </c>
      <c r="C113" s="1"/>
      <c r="D113" s="5" t="str">
        <f t="shared" si="3"/>
        <v>0</v>
      </c>
      <c r="E113" s="5" t="str">
        <f>IFERROR(IF(VLOOKUP(A113,Base!AA:AA,1,0)&gt;0,"1","0"),"0")</f>
        <v>0</v>
      </c>
      <c r="F113" s="5" t="str">
        <f t="shared" si="4"/>
        <v>-</v>
      </c>
      <c r="G113" s="5" t="str">
        <f t="shared" si="5"/>
        <v>0</v>
      </c>
    </row>
    <row r="114" spans="1:7">
      <c r="A114" s="4">
        <v>395118894802</v>
      </c>
      <c r="B114" s="4" t="s">
        <v>2287</v>
      </c>
      <c r="C114" s="1"/>
      <c r="D114" s="5" t="str">
        <f t="shared" si="3"/>
        <v>0</v>
      </c>
      <c r="E114" s="5" t="str">
        <f>IFERROR(IF(VLOOKUP(A114,Base!AA:AA,1,0)&gt;0,"1","0"),"0")</f>
        <v>0</v>
      </c>
      <c r="F114" s="5" t="str">
        <f t="shared" si="4"/>
        <v>-</v>
      </c>
      <c r="G114" s="5" t="str">
        <f t="shared" si="5"/>
        <v>0</v>
      </c>
    </row>
    <row r="115" spans="1:7">
      <c r="A115" s="4">
        <v>155525090602</v>
      </c>
      <c r="B115" s="4" t="s">
        <v>2212</v>
      </c>
      <c r="C115" s="1" t="e">
        <f ca="1">_xlfn.XLOOKUP(A115,'[1]Sellers Pro'!$C:$C,'[1]Sellers Pro'!$F:$F)</f>
        <v>#NAME?</v>
      </c>
      <c r="D115" s="5" t="e">
        <f t="shared" si="3"/>
        <v>#NAME?</v>
      </c>
      <c r="E115" s="5" t="str">
        <f>IFERROR(IF(VLOOKUP(A115,Base!AA:AA,1,0)&gt;0,"1","0"),"0")</f>
        <v>1</v>
      </c>
      <c r="F115" s="5" t="e">
        <f t="shared" si="4"/>
        <v>#NAME?</v>
      </c>
      <c r="G115" s="5" t="str">
        <f t="shared" si="5"/>
        <v>0</v>
      </c>
    </row>
    <row r="116" spans="1:7">
      <c r="A116" s="4">
        <v>175133439302</v>
      </c>
      <c r="B116" s="4" t="s">
        <v>920</v>
      </c>
      <c r="C116" s="1" t="e">
        <f ca="1">_xlfn.XLOOKUP(A116,'[1]Sellers Pro'!$C:$C,'[1]Sellers Pro'!$F:$F)</f>
        <v>#NAME?</v>
      </c>
      <c r="D116" s="5" t="e">
        <f t="shared" si="3"/>
        <v>#NAME?</v>
      </c>
      <c r="E116" s="5" t="str">
        <f>IFERROR(IF(VLOOKUP(A116,Base!AA:AA,1,0)&gt;0,"1","0"),"0")</f>
        <v>1</v>
      </c>
      <c r="F116" s="5" t="e">
        <f t="shared" si="4"/>
        <v>#NAME?</v>
      </c>
      <c r="G116" s="5" t="str">
        <f t="shared" si="5"/>
        <v>0</v>
      </c>
    </row>
    <row r="117" spans="1:7">
      <c r="A117" s="4">
        <v>816067318102</v>
      </c>
      <c r="B117" s="4" t="s">
        <v>1643</v>
      </c>
      <c r="C117" s="1" t="e">
        <f ca="1">_xlfn.XLOOKUP(A117,'[1]Sellers Pro'!$C:$C,'[1]Sellers Pro'!$F:$F)</f>
        <v>#NAME?</v>
      </c>
      <c r="D117" s="5" t="e">
        <f t="shared" si="3"/>
        <v>#NAME?</v>
      </c>
      <c r="E117" s="5" t="str">
        <f>IFERROR(IF(VLOOKUP(A117,Base!AA:AA,1,0)&gt;0,"1","0"),"0")</f>
        <v>1</v>
      </c>
      <c r="F117" s="5" t="e">
        <f t="shared" si="4"/>
        <v>#NAME?</v>
      </c>
      <c r="G117" s="5" t="str">
        <f t="shared" si="5"/>
        <v>0</v>
      </c>
    </row>
    <row r="118" spans="1:7">
      <c r="A118" s="4">
        <v>352653660902</v>
      </c>
      <c r="B118" s="4" t="s">
        <v>1013</v>
      </c>
      <c r="C118" s="1"/>
      <c r="D118" s="5" t="str">
        <f t="shared" si="3"/>
        <v>0</v>
      </c>
      <c r="E118" s="5" t="str">
        <f>IFERROR(IF(VLOOKUP(A118,Base!AA:AA,1,0)&gt;0,"1","0"),"0")</f>
        <v>0</v>
      </c>
      <c r="F118" s="5" t="str">
        <f t="shared" si="4"/>
        <v>-</v>
      </c>
      <c r="G118" s="5" t="str">
        <f t="shared" si="5"/>
        <v>0</v>
      </c>
    </row>
    <row r="119" spans="1:7">
      <c r="A119" s="4">
        <v>475342556402</v>
      </c>
      <c r="B119" s="4" t="s">
        <v>1415</v>
      </c>
      <c r="C119" s="1" t="e">
        <f ca="1">_xlfn.XLOOKUP(A119,'[1]Sellers Pro'!$C:$C,'[1]Sellers Pro'!$F:$F)</f>
        <v>#NAME?</v>
      </c>
      <c r="D119" s="5" t="e">
        <f t="shared" si="3"/>
        <v>#NAME?</v>
      </c>
      <c r="E119" s="5" t="str">
        <f>IFERROR(IF(VLOOKUP(A119,Base!AA:AA,1,0)&gt;0,"1","0"),"0")</f>
        <v>1</v>
      </c>
      <c r="F119" s="5" t="e">
        <f t="shared" si="4"/>
        <v>#NAME?</v>
      </c>
      <c r="G119" s="5" t="str">
        <f t="shared" si="5"/>
        <v>0</v>
      </c>
    </row>
    <row r="120" spans="1:7">
      <c r="A120" s="4">
        <v>301135555502</v>
      </c>
      <c r="B120" s="4" t="s">
        <v>1548</v>
      </c>
      <c r="C120" s="1"/>
      <c r="D120" s="5" t="str">
        <f t="shared" si="3"/>
        <v>0</v>
      </c>
      <c r="E120" s="5" t="str">
        <f>IFERROR(IF(VLOOKUP(A120,Base!AA:AA,1,0)&gt;0,"1","0"),"0")</f>
        <v>0</v>
      </c>
      <c r="F120" s="5" t="str">
        <f t="shared" si="4"/>
        <v>-</v>
      </c>
      <c r="G120" s="5" t="str">
        <f t="shared" si="5"/>
        <v>0</v>
      </c>
    </row>
    <row r="121" spans="1:7">
      <c r="A121" s="4">
        <v>322177938302</v>
      </c>
      <c r="B121" s="4" t="s">
        <v>2288</v>
      </c>
      <c r="C121" s="1"/>
      <c r="D121" s="5" t="str">
        <f t="shared" si="3"/>
        <v>0</v>
      </c>
      <c r="E121" s="5" t="str">
        <f>IFERROR(IF(VLOOKUP(A121,Base!AA:AA,1,0)&gt;0,"1","0"),"0")</f>
        <v>0</v>
      </c>
      <c r="F121" s="5" t="str">
        <f t="shared" si="4"/>
        <v>-</v>
      </c>
      <c r="G121" s="5" t="str">
        <f t="shared" si="5"/>
        <v>0</v>
      </c>
    </row>
    <row r="122" spans="1:7">
      <c r="A122" s="4">
        <v>563654665702</v>
      </c>
      <c r="B122" s="4" t="s">
        <v>1823</v>
      </c>
      <c r="C122" s="1"/>
      <c r="D122" s="5" t="str">
        <f t="shared" si="3"/>
        <v>0</v>
      </c>
      <c r="E122" s="5" t="str">
        <f>IFERROR(IF(VLOOKUP(A122,Base!AA:AA,1,0)&gt;0,"1","0"),"0")</f>
        <v>0</v>
      </c>
      <c r="F122" s="5" t="str">
        <f t="shared" si="4"/>
        <v>-</v>
      </c>
      <c r="G122" s="5" t="str">
        <f t="shared" si="5"/>
        <v>0</v>
      </c>
    </row>
    <row r="123" spans="1:7">
      <c r="A123" s="4">
        <v>183456830502</v>
      </c>
      <c r="B123" s="4" t="s">
        <v>1466</v>
      </c>
      <c r="C123" s="1" t="e">
        <f ca="1">_xlfn.XLOOKUP(A123,'[1]Sellers Pro'!$C:$C,'[1]Sellers Pro'!$F:$F)</f>
        <v>#NAME?</v>
      </c>
      <c r="D123" s="5" t="e">
        <f t="shared" si="3"/>
        <v>#NAME?</v>
      </c>
      <c r="E123" s="5" t="str">
        <f>IFERROR(IF(VLOOKUP(A123,Base!AA:AA,1,0)&gt;0,"1","0"),"0")</f>
        <v>1</v>
      </c>
      <c r="F123" s="5" t="e">
        <f t="shared" si="4"/>
        <v>#NAME?</v>
      </c>
      <c r="G123" s="5" t="str">
        <f t="shared" si="5"/>
        <v>0</v>
      </c>
    </row>
    <row r="124" spans="1:7">
      <c r="A124" s="4">
        <v>241002216802</v>
      </c>
      <c r="B124" s="4" t="s">
        <v>1704</v>
      </c>
      <c r="C124" s="1" t="e">
        <f ca="1">_xlfn.XLOOKUP(A124,'[1]Sellers Pro'!$C:$C,'[1]Sellers Pro'!$F:$F)</f>
        <v>#NAME?</v>
      </c>
      <c r="D124" s="5" t="e">
        <f t="shared" si="3"/>
        <v>#NAME?</v>
      </c>
      <c r="E124" s="5" t="str">
        <f>IFERROR(IF(VLOOKUP(A124,Base!AA:AA,1,0)&gt;0,"1","0"),"0")</f>
        <v>1</v>
      </c>
      <c r="F124" s="5" t="e">
        <f t="shared" si="4"/>
        <v>#NAME?</v>
      </c>
      <c r="G124" s="5" t="str">
        <f t="shared" si="5"/>
        <v>0</v>
      </c>
    </row>
    <row r="125" spans="1:7">
      <c r="A125" s="4">
        <v>131648381902</v>
      </c>
      <c r="B125" s="4" t="s">
        <v>1142</v>
      </c>
      <c r="C125" s="1"/>
      <c r="D125" s="5" t="str">
        <f t="shared" si="3"/>
        <v>0</v>
      </c>
      <c r="E125" s="5" t="str">
        <f>IFERROR(IF(VLOOKUP(A125,Base!AA:AA,1,0)&gt;0,"1","0"),"0")</f>
        <v>0</v>
      </c>
      <c r="F125" s="5" t="str">
        <f t="shared" si="4"/>
        <v>-</v>
      </c>
      <c r="G125" s="5" t="str">
        <f t="shared" si="5"/>
        <v>0</v>
      </c>
    </row>
    <row r="126" spans="1:7">
      <c r="A126" s="4">
        <v>693491100202</v>
      </c>
      <c r="B126" s="4" t="s">
        <v>1187</v>
      </c>
      <c r="C126" s="1"/>
      <c r="D126" s="5" t="str">
        <f t="shared" si="3"/>
        <v>0</v>
      </c>
      <c r="E126" s="5" t="str">
        <f>IFERROR(IF(VLOOKUP(A126,Base!AA:AA,1,0)&gt;0,"1","0"),"0")</f>
        <v>0</v>
      </c>
      <c r="F126" s="5" t="str">
        <f t="shared" si="4"/>
        <v>-</v>
      </c>
      <c r="G126" s="5" t="str">
        <f t="shared" si="5"/>
        <v>0</v>
      </c>
    </row>
    <row r="127" spans="1:7">
      <c r="A127" s="4">
        <v>128174680202</v>
      </c>
      <c r="B127" s="4" t="s">
        <v>978</v>
      </c>
      <c r="C127" s="1" t="e">
        <f ca="1">_xlfn.XLOOKUP(A127,'[1]Sellers Pro'!$C:$C,'[1]Sellers Pro'!$F:$F)</f>
        <v>#NAME?</v>
      </c>
      <c r="D127" s="5" t="e">
        <f t="shared" si="3"/>
        <v>#NAME?</v>
      </c>
      <c r="E127" s="5" t="str">
        <f>IFERROR(IF(VLOOKUP(A127,Base!AA:AA,1,0)&gt;0,"1","0"),"0")</f>
        <v>1</v>
      </c>
      <c r="F127" s="5" t="e">
        <f t="shared" si="4"/>
        <v>#NAME?</v>
      </c>
      <c r="G127" s="5" t="str">
        <f t="shared" si="5"/>
        <v>0</v>
      </c>
    </row>
    <row r="128" spans="1:7">
      <c r="A128" s="4">
        <v>607776398302</v>
      </c>
      <c r="B128" s="4" t="s">
        <v>223</v>
      </c>
      <c r="C128" s="1" t="e">
        <f ca="1">_xlfn.XLOOKUP(A128,'[1]Sellers Pro'!$C:$C,'[1]Sellers Pro'!$F:$F)</f>
        <v>#NAME?</v>
      </c>
      <c r="D128" s="5" t="e">
        <f t="shared" si="3"/>
        <v>#NAME?</v>
      </c>
      <c r="E128" s="5" t="str">
        <f>IFERROR(IF(VLOOKUP(A128,Base!AA:AA,1,0)&gt;0,"1","0"),"0")</f>
        <v>0</v>
      </c>
      <c r="F128" s="5" t="e">
        <f t="shared" si="4"/>
        <v>#NAME?</v>
      </c>
      <c r="G128" s="5" t="str">
        <f t="shared" si="5"/>
        <v>0</v>
      </c>
    </row>
    <row r="129" spans="1:7">
      <c r="A129" s="4">
        <v>366327938802</v>
      </c>
      <c r="B129" s="4" t="s">
        <v>1985</v>
      </c>
      <c r="C129" s="1" t="s">
        <v>39</v>
      </c>
      <c r="D129" s="5" t="str">
        <f t="shared" si="3"/>
        <v>1</v>
      </c>
      <c r="E129" s="5" t="str">
        <f>IFERROR(IF(VLOOKUP(A129,Base!AA:AA,1,0)&gt;0,"1","0"),"0")</f>
        <v>1</v>
      </c>
      <c r="F129" s="5" t="str">
        <f t="shared" si="4"/>
        <v>0</v>
      </c>
      <c r="G129" s="5" t="str">
        <f t="shared" si="5"/>
        <v>0</v>
      </c>
    </row>
    <row r="130" spans="1:7">
      <c r="A130" s="4">
        <v>429663859202</v>
      </c>
      <c r="B130" s="4" t="s">
        <v>2289</v>
      </c>
      <c r="C130" s="1" t="e">
        <f ca="1">_xlfn.XLOOKUP(A130,'[1]Sellers Pro'!$C:$C,'[1]Sellers Pro'!$F:$F)</f>
        <v>#NAME?</v>
      </c>
      <c r="D130" s="5" t="e">
        <f t="shared" si="3"/>
        <v>#NAME?</v>
      </c>
      <c r="E130" s="5" t="str">
        <f>IFERROR(IF(VLOOKUP(A130,Base!AA:AA,1,0)&gt;0,"1","0"),"0")</f>
        <v>0</v>
      </c>
      <c r="F130" s="5" t="e">
        <f t="shared" si="4"/>
        <v>#NAME?</v>
      </c>
      <c r="G130" s="5" t="str">
        <f t="shared" si="5"/>
        <v>0</v>
      </c>
    </row>
    <row r="131" spans="1:7">
      <c r="A131" s="4">
        <v>25545596202</v>
      </c>
      <c r="B131" s="4" t="s">
        <v>696</v>
      </c>
      <c r="C131" s="1"/>
      <c r="D131" s="5" t="str">
        <f t="shared" si="3"/>
        <v>0</v>
      </c>
      <c r="E131" s="5" t="str">
        <f>IFERROR(IF(VLOOKUP(A131,Base!AA:AA,1,0)&gt;0,"1","0"),"0")</f>
        <v>0</v>
      </c>
      <c r="F131" s="5" t="str">
        <f t="shared" si="4"/>
        <v>-</v>
      </c>
      <c r="G131" s="5" t="str">
        <f t="shared" si="5"/>
        <v>0</v>
      </c>
    </row>
    <row r="132" spans="1:7">
      <c r="A132" s="4">
        <v>287368760702</v>
      </c>
      <c r="B132" s="4" t="s">
        <v>2290</v>
      </c>
      <c r="C132" s="1"/>
      <c r="D132" s="5" t="str">
        <f t="shared" ref="D132:D195" si="6">IF(C132="","0","1")</f>
        <v>0</v>
      </c>
      <c r="E132" s="5" t="str">
        <f>IFERROR(IF(VLOOKUP(A132,Base!AA:AA,1,0)&gt;0,"1","0"),"0")</f>
        <v>0</v>
      </c>
      <c r="F132" s="5" t="str">
        <f t="shared" ref="F132:F195" si="7">IF(C132="","-",IF(OR(BC132="Muito satisfeito",BC132="Satisfeito"),"1","0"))</f>
        <v>-</v>
      </c>
      <c r="G132" s="5" t="str">
        <f t="shared" ref="G132:G195" si="8">IF(BC132="","0","1")</f>
        <v>0</v>
      </c>
    </row>
    <row r="133" spans="1:7">
      <c r="A133" s="4">
        <v>16137818802</v>
      </c>
      <c r="B133" s="4" t="s">
        <v>1088</v>
      </c>
      <c r="C133" s="1" t="e">
        <f ca="1">_xlfn.XLOOKUP(A133,'[1]Sellers Pro'!$C:$C,'[1]Sellers Pro'!$F:$F)</f>
        <v>#NAME?</v>
      </c>
      <c r="D133" s="5" t="e">
        <f t="shared" si="6"/>
        <v>#NAME?</v>
      </c>
      <c r="E133" s="5" t="str">
        <f>IFERROR(IF(VLOOKUP(A133,Base!AA:AA,1,0)&gt;0,"1","0"),"0")</f>
        <v>1</v>
      </c>
      <c r="F133" s="5" t="e">
        <f t="shared" si="7"/>
        <v>#NAME?</v>
      </c>
      <c r="G133" s="5" t="str">
        <f t="shared" si="8"/>
        <v>0</v>
      </c>
    </row>
    <row r="134" spans="1:7">
      <c r="A134" s="4">
        <v>24807318802</v>
      </c>
      <c r="B134" s="4" t="s">
        <v>1098</v>
      </c>
      <c r="C134" s="1"/>
      <c r="D134" s="5" t="str">
        <f t="shared" si="6"/>
        <v>0</v>
      </c>
      <c r="E134" s="5" t="str">
        <f>IFERROR(IF(VLOOKUP(A134,Base!AA:AA,1,0)&gt;0,"1","0"),"0")</f>
        <v>0</v>
      </c>
      <c r="F134" s="5" t="str">
        <f t="shared" si="7"/>
        <v>-</v>
      </c>
      <c r="G134" s="5" t="str">
        <f t="shared" si="8"/>
        <v>0</v>
      </c>
    </row>
    <row r="135" spans="1:7">
      <c r="A135" s="4">
        <v>153775969402</v>
      </c>
      <c r="B135" s="4" t="s">
        <v>1002</v>
      </c>
      <c r="C135" s="1" t="e">
        <f ca="1">_xlfn.XLOOKUP(A135,'[1]Sellers Pro'!$C:$C,'[1]Sellers Pro'!$F:$F)</f>
        <v>#NAME?</v>
      </c>
      <c r="D135" s="5" t="e">
        <f t="shared" si="6"/>
        <v>#NAME?</v>
      </c>
      <c r="E135" s="5" t="str">
        <f>IFERROR(IF(VLOOKUP(A135,Base!AA:AA,1,0)&gt;0,"1","0"),"0")</f>
        <v>1</v>
      </c>
      <c r="F135" s="5" t="e">
        <f t="shared" si="7"/>
        <v>#NAME?</v>
      </c>
      <c r="G135" s="5" t="str">
        <f t="shared" si="8"/>
        <v>0</v>
      </c>
    </row>
    <row r="136" spans="1:7">
      <c r="A136" s="4">
        <v>16898656902</v>
      </c>
      <c r="B136" s="4" t="s">
        <v>1078</v>
      </c>
      <c r="C136" s="1" t="e">
        <f ca="1">_xlfn.XLOOKUP(A136,'[1]Sellers Pro'!$C:$C,'[1]Sellers Pro'!$F:$F)</f>
        <v>#NAME?</v>
      </c>
      <c r="D136" s="5" t="e">
        <f t="shared" si="6"/>
        <v>#NAME?</v>
      </c>
      <c r="E136" s="5" t="str">
        <f>IFERROR(IF(VLOOKUP(A136,Base!AA:AA,1,0)&gt;0,"1","0"),"0")</f>
        <v>1</v>
      </c>
      <c r="F136" s="5" t="e">
        <f t="shared" si="7"/>
        <v>#NAME?</v>
      </c>
      <c r="G136" s="5" t="str">
        <f t="shared" si="8"/>
        <v>0</v>
      </c>
    </row>
    <row r="137" spans="1:7">
      <c r="A137" s="4">
        <v>251774695102</v>
      </c>
      <c r="B137" s="4" t="s">
        <v>1058</v>
      </c>
      <c r="C137" s="1"/>
      <c r="D137" s="5" t="str">
        <f t="shared" si="6"/>
        <v>0</v>
      </c>
      <c r="E137" s="5" t="str">
        <f>IFERROR(IF(VLOOKUP(A137,Base!AA:AA,1,0)&gt;0,"1","0"),"0")</f>
        <v>0</v>
      </c>
      <c r="F137" s="5" t="str">
        <f t="shared" si="7"/>
        <v>-</v>
      </c>
      <c r="G137" s="5" t="str">
        <f t="shared" si="8"/>
        <v>0</v>
      </c>
    </row>
    <row r="138" spans="1:7">
      <c r="A138" s="4">
        <v>56433406702</v>
      </c>
      <c r="B138" s="4" t="s">
        <v>2264</v>
      </c>
      <c r="C138" s="1" t="e">
        <f ca="1">_xlfn.XLOOKUP(A138,'[1]Sellers Pro'!$C:$C,'[1]Sellers Pro'!$F:$F)</f>
        <v>#NAME?</v>
      </c>
      <c r="D138" s="5" t="e">
        <f t="shared" si="6"/>
        <v>#NAME?</v>
      </c>
      <c r="E138" s="5" t="str">
        <f>IFERROR(IF(VLOOKUP(A138,Base!AA:AA,1,0)&gt;0,"1","0"),"0")</f>
        <v>0</v>
      </c>
      <c r="F138" s="5" t="e">
        <f t="shared" si="7"/>
        <v>#NAME?</v>
      </c>
      <c r="G138" s="5" t="str">
        <f t="shared" si="8"/>
        <v>0</v>
      </c>
    </row>
    <row r="139" spans="1:7">
      <c r="A139" s="4">
        <v>358111169102</v>
      </c>
      <c r="B139" s="4" t="s">
        <v>1331</v>
      </c>
      <c r="C139" s="1"/>
      <c r="D139" s="5" t="str">
        <f t="shared" si="6"/>
        <v>0</v>
      </c>
      <c r="E139" s="5" t="str">
        <f>IFERROR(IF(VLOOKUP(A139,Base!AA:AA,1,0)&gt;0,"1","0"),"0")</f>
        <v>0</v>
      </c>
      <c r="F139" s="5" t="str">
        <f t="shared" si="7"/>
        <v>-</v>
      </c>
      <c r="G139" s="5" t="str">
        <f t="shared" si="8"/>
        <v>0</v>
      </c>
    </row>
    <row r="140" spans="1:7">
      <c r="A140" s="4">
        <v>10369153302</v>
      </c>
      <c r="B140" s="4" t="s">
        <v>329</v>
      </c>
      <c r="C140" s="1" t="e">
        <f ca="1">_xlfn.XLOOKUP(A140,'[1]Sellers Pro'!$C:$C,'[1]Sellers Pro'!$F:$F)</f>
        <v>#NAME?</v>
      </c>
      <c r="D140" s="5" t="e">
        <f t="shared" si="6"/>
        <v>#NAME?</v>
      </c>
      <c r="E140" s="5" t="str">
        <f>IFERROR(IF(VLOOKUP(A140,Base!AA:AA,1,0)&gt;0,"1","0"),"0")</f>
        <v>1</v>
      </c>
      <c r="F140" s="5" t="e">
        <f t="shared" si="7"/>
        <v>#NAME?</v>
      </c>
      <c r="G140" s="5" t="str">
        <f t="shared" si="8"/>
        <v>0</v>
      </c>
    </row>
    <row r="141" spans="1:7">
      <c r="A141" s="4">
        <v>19309418302</v>
      </c>
      <c r="B141" s="4" t="s">
        <v>2291</v>
      </c>
      <c r="C141" s="1"/>
      <c r="D141" s="5" t="str">
        <f t="shared" si="6"/>
        <v>0</v>
      </c>
      <c r="E141" s="5" t="str">
        <f>IFERROR(IF(VLOOKUP(A141,Base!AA:AA,1,0)&gt;0,"1","0"),"0")</f>
        <v>1</v>
      </c>
      <c r="F141" s="5" t="str">
        <f t="shared" si="7"/>
        <v>-</v>
      </c>
      <c r="G141" s="5" t="str">
        <f t="shared" si="8"/>
        <v>0</v>
      </c>
    </row>
    <row r="142" spans="1:7">
      <c r="A142" s="4">
        <v>596977542502</v>
      </c>
      <c r="B142" s="4" t="s">
        <v>2292</v>
      </c>
      <c r="C142" s="1" t="e">
        <f ca="1">_xlfn.XLOOKUP(A142,'[1]Sellers Pro'!$C:$C,'[1]Sellers Pro'!$F:$F)</f>
        <v>#NAME?</v>
      </c>
      <c r="D142" s="5" t="e">
        <f t="shared" si="6"/>
        <v>#NAME?</v>
      </c>
      <c r="E142" s="5" t="str">
        <f>IFERROR(IF(VLOOKUP(A142,Base!AA:AA,1,0)&gt;0,"1","0"),"0")</f>
        <v>0</v>
      </c>
      <c r="F142" s="5" t="e">
        <f t="shared" si="7"/>
        <v>#NAME?</v>
      </c>
      <c r="G142" s="5" t="str">
        <f t="shared" si="8"/>
        <v>0</v>
      </c>
    </row>
    <row r="143" spans="1:7">
      <c r="A143" s="4">
        <v>100982699102</v>
      </c>
      <c r="B143" s="4" t="s">
        <v>1779</v>
      </c>
      <c r="C143" s="1"/>
      <c r="D143" s="5" t="str">
        <f t="shared" si="6"/>
        <v>0</v>
      </c>
      <c r="E143" s="5" t="str">
        <f>IFERROR(IF(VLOOKUP(A143,Base!AA:AA,1,0)&gt;0,"1","0"),"0")</f>
        <v>0</v>
      </c>
      <c r="F143" s="5" t="str">
        <f t="shared" si="7"/>
        <v>-</v>
      </c>
      <c r="G143" s="5" t="str">
        <f t="shared" si="8"/>
        <v>0</v>
      </c>
    </row>
    <row r="144" spans="1:7">
      <c r="A144" s="4">
        <v>743495001802</v>
      </c>
      <c r="B144" s="4" t="s">
        <v>584</v>
      </c>
      <c r="C144" s="1"/>
      <c r="D144" s="5" t="str">
        <f t="shared" si="6"/>
        <v>0</v>
      </c>
      <c r="E144" s="5" t="str">
        <f>IFERROR(IF(VLOOKUP(A144,Base!AA:AA,1,0)&gt;0,"1","0"),"0")</f>
        <v>0</v>
      </c>
      <c r="F144" s="5" t="str">
        <f t="shared" si="7"/>
        <v>-</v>
      </c>
      <c r="G144" s="5" t="str">
        <f t="shared" si="8"/>
        <v>0</v>
      </c>
    </row>
    <row r="145" spans="1:7">
      <c r="A145" s="4">
        <v>22445894402</v>
      </c>
      <c r="B145" s="4" t="s">
        <v>573</v>
      </c>
      <c r="C145" s="1" t="e">
        <f ca="1">_xlfn.XLOOKUP(A145,'[1]Sellers Pro'!$C:$C,'[1]Sellers Pro'!$F:$F)</f>
        <v>#NAME?</v>
      </c>
      <c r="D145" s="5" t="e">
        <f t="shared" si="6"/>
        <v>#NAME?</v>
      </c>
      <c r="E145" s="5" t="str">
        <f>IFERROR(IF(VLOOKUP(A145,Base!AA:AA,1,0)&gt;0,"1","0"),"0")</f>
        <v>1</v>
      </c>
      <c r="F145" s="5" t="e">
        <f t="shared" si="7"/>
        <v>#NAME?</v>
      </c>
      <c r="G145" s="5" t="str">
        <f t="shared" si="8"/>
        <v>0</v>
      </c>
    </row>
    <row r="146" spans="1:7">
      <c r="A146" s="4">
        <v>696396556502</v>
      </c>
      <c r="B146" s="4" t="s">
        <v>1622</v>
      </c>
      <c r="C146" s="1" t="e">
        <f ca="1">_xlfn.XLOOKUP(A146,'[1]Sellers Pro'!$C:$C,'[1]Sellers Pro'!$F:$F)</f>
        <v>#NAME?</v>
      </c>
      <c r="D146" s="5" t="e">
        <f t="shared" si="6"/>
        <v>#NAME?</v>
      </c>
      <c r="E146" s="5" t="str">
        <f>IFERROR(IF(VLOOKUP(A146,Base!AA:AA,1,0)&gt;0,"1","0"),"0")</f>
        <v>0</v>
      </c>
      <c r="F146" s="5" t="e">
        <f t="shared" si="7"/>
        <v>#NAME?</v>
      </c>
      <c r="G146" s="5" t="str">
        <f t="shared" si="8"/>
        <v>0</v>
      </c>
    </row>
    <row r="147" spans="1:7">
      <c r="A147" s="4">
        <v>182760498402</v>
      </c>
      <c r="B147" s="4" t="s">
        <v>1754</v>
      </c>
      <c r="C147" s="1"/>
      <c r="D147" s="5" t="str">
        <f t="shared" si="6"/>
        <v>0</v>
      </c>
      <c r="E147" s="5" t="str">
        <f>IFERROR(IF(VLOOKUP(A147,Base!AA:AA,1,0)&gt;0,"1","0"),"0")</f>
        <v>0</v>
      </c>
      <c r="F147" s="5" t="str">
        <f t="shared" si="7"/>
        <v>-</v>
      </c>
      <c r="G147" s="5" t="str">
        <f t="shared" si="8"/>
        <v>0</v>
      </c>
    </row>
    <row r="148" spans="1:7">
      <c r="A148" s="4">
        <v>380157072302</v>
      </c>
      <c r="B148" s="4" t="s">
        <v>2293</v>
      </c>
      <c r="C148" s="1" t="e">
        <f ca="1">_xlfn.XLOOKUP(A148,'[1]Sellers Pro'!$C:$C,'[1]Sellers Pro'!$F:$F)</f>
        <v>#NAME?</v>
      </c>
      <c r="D148" s="5" t="e">
        <f t="shared" si="6"/>
        <v>#NAME?</v>
      </c>
      <c r="E148" s="5" t="str">
        <f>IFERROR(IF(VLOOKUP(A148,Base!AA:AA,1,0)&gt;0,"1","0"),"0")</f>
        <v>1</v>
      </c>
      <c r="F148" s="5" t="e">
        <f t="shared" si="7"/>
        <v>#NAME?</v>
      </c>
      <c r="G148" s="5" t="str">
        <f t="shared" si="8"/>
        <v>0</v>
      </c>
    </row>
    <row r="149" spans="1:7">
      <c r="A149" s="4">
        <v>24357990102</v>
      </c>
      <c r="B149" s="4" t="s">
        <v>1161</v>
      </c>
      <c r="C149" s="1" t="e">
        <f ca="1">_xlfn.XLOOKUP(A149,'[1]Sellers Pro'!$C:$C,'[1]Sellers Pro'!$F:$F)</f>
        <v>#NAME?</v>
      </c>
      <c r="D149" s="5" t="e">
        <f t="shared" si="6"/>
        <v>#NAME?</v>
      </c>
      <c r="E149" s="5" t="str">
        <f>IFERROR(IF(VLOOKUP(A149,Base!AA:AA,1,0)&gt;0,"1","0"),"0")</f>
        <v>1</v>
      </c>
      <c r="F149" s="5" t="e">
        <f t="shared" si="7"/>
        <v>#NAME?</v>
      </c>
      <c r="G149" s="5" t="str">
        <f t="shared" si="8"/>
        <v>0</v>
      </c>
    </row>
    <row r="150" spans="1:7">
      <c r="A150" s="4">
        <v>582151058602</v>
      </c>
      <c r="B150" s="4" t="s">
        <v>2294</v>
      </c>
      <c r="C150" s="1"/>
      <c r="D150" s="5" t="str">
        <f t="shared" si="6"/>
        <v>0</v>
      </c>
      <c r="E150" s="5" t="str">
        <f>IFERROR(IF(VLOOKUP(A150,Base!AA:AA,1,0)&gt;0,"1","0"),"0")</f>
        <v>0</v>
      </c>
      <c r="F150" s="5" t="str">
        <f t="shared" si="7"/>
        <v>-</v>
      </c>
      <c r="G150" s="5" t="str">
        <f t="shared" si="8"/>
        <v>0</v>
      </c>
    </row>
    <row r="151" spans="1:7">
      <c r="A151" s="4">
        <v>11103651302</v>
      </c>
      <c r="B151" s="4" t="s">
        <v>1482</v>
      </c>
      <c r="C151" s="1" t="e">
        <f ca="1">_xlfn.XLOOKUP(A151,'[1]Sellers Pro'!$C:$C,'[1]Sellers Pro'!$F:$F)</f>
        <v>#NAME?</v>
      </c>
      <c r="D151" s="5" t="e">
        <f t="shared" si="6"/>
        <v>#NAME?</v>
      </c>
      <c r="E151" s="5" t="str">
        <f>IFERROR(IF(VLOOKUP(A151,Base!AA:AA,1,0)&gt;0,"1","0"),"0")</f>
        <v>1</v>
      </c>
      <c r="F151" s="5" t="e">
        <f t="shared" si="7"/>
        <v>#NAME?</v>
      </c>
      <c r="G151" s="5" t="str">
        <f t="shared" si="8"/>
        <v>0</v>
      </c>
    </row>
    <row r="152" spans="1:7">
      <c r="A152" s="4">
        <v>130065728702</v>
      </c>
      <c r="B152" s="4" t="s">
        <v>1303</v>
      </c>
      <c r="C152" s="1" t="e">
        <f ca="1">_xlfn.XLOOKUP(A152,'[1]Sellers Pro'!$C:$C,'[1]Sellers Pro'!$F:$F)</f>
        <v>#NAME?</v>
      </c>
      <c r="D152" s="5" t="e">
        <f t="shared" si="6"/>
        <v>#NAME?</v>
      </c>
      <c r="E152" s="5" t="str">
        <f>IFERROR(IF(VLOOKUP(A152,Base!AA:AA,1,0)&gt;0,"1","0"),"0")</f>
        <v>1</v>
      </c>
      <c r="F152" s="5" t="e">
        <f t="shared" si="7"/>
        <v>#NAME?</v>
      </c>
      <c r="G152" s="5" t="str">
        <f t="shared" si="8"/>
        <v>0</v>
      </c>
    </row>
    <row r="153" spans="1:7">
      <c r="A153" s="4">
        <v>31616534302</v>
      </c>
      <c r="B153" s="4" t="s">
        <v>2295</v>
      </c>
      <c r="C153" s="1"/>
      <c r="D153" s="5" t="str">
        <f t="shared" si="6"/>
        <v>0</v>
      </c>
      <c r="E153" s="5" t="str">
        <f>IFERROR(IF(VLOOKUP(A153,Base!AA:AA,1,0)&gt;0,"1","0"),"0")</f>
        <v>0</v>
      </c>
      <c r="F153" s="5" t="str">
        <f t="shared" si="7"/>
        <v>-</v>
      </c>
      <c r="G153" s="5" t="str">
        <f t="shared" si="8"/>
        <v>0</v>
      </c>
    </row>
    <row r="154" spans="1:7">
      <c r="A154" s="4">
        <v>159666680002</v>
      </c>
      <c r="B154" s="4" t="s">
        <v>2109</v>
      </c>
      <c r="C154" s="1" t="e">
        <f ca="1">_xlfn.XLOOKUP(A154,'[1]Sellers Pro'!$C:$C,'[1]Sellers Pro'!$F:$F)</f>
        <v>#NAME?</v>
      </c>
      <c r="D154" s="5" t="e">
        <f t="shared" si="6"/>
        <v>#NAME?</v>
      </c>
      <c r="E154" s="5" t="str">
        <f>IFERROR(IF(VLOOKUP(A154,Base!AA:AA,1,0)&gt;0,"1","0"),"0")</f>
        <v>1</v>
      </c>
      <c r="F154" s="5" t="e">
        <f t="shared" si="7"/>
        <v>#NAME?</v>
      </c>
      <c r="G154" s="5" t="str">
        <f t="shared" si="8"/>
        <v>0</v>
      </c>
    </row>
    <row r="155" spans="1:7">
      <c r="A155" s="4">
        <v>301392154502</v>
      </c>
      <c r="B155" s="4" t="s">
        <v>2130</v>
      </c>
      <c r="C155" s="1"/>
      <c r="D155" s="5" t="str">
        <f t="shared" si="6"/>
        <v>0</v>
      </c>
      <c r="E155" s="5" t="str">
        <f>IFERROR(IF(VLOOKUP(A155,Base!AA:AA,1,0)&gt;0,"1","0"),"0")</f>
        <v>0</v>
      </c>
      <c r="F155" s="5" t="str">
        <f t="shared" si="7"/>
        <v>-</v>
      </c>
      <c r="G155" s="5" t="str">
        <f t="shared" si="8"/>
        <v>0</v>
      </c>
    </row>
    <row r="156" spans="1:7">
      <c r="A156" s="4">
        <v>397021068802</v>
      </c>
      <c r="B156" s="4" t="s">
        <v>2243</v>
      </c>
      <c r="C156" s="1"/>
      <c r="D156" s="5" t="str">
        <f t="shared" si="6"/>
        <v>0</v>
      </c>
      <c r="E156" s="5" t="str">
        <f>IFERROR(IF(VLOOKUP(A156,Base!AA:AA,1,0)&gt;0,"1","0"),"0")</f>
        <v>0</v>
      </c>
      <c r="F156" s="5" t="str">
        <f t="shared" si="7"/>
        <v>-</v>
      </c>
      <c r="G156" s="5" t="str">
        <f t="shared" si="8"/>
        <v>0</v>
      </c>
    </row>
    <row r="157" spans="1:7">
      <c r="A157" s="4">
        <v>374065566102</v>
      </c>
      <c r="B157" s="4" t="s">
        <v>2296</v>
      </c>
      <c r="C157" s="1"/>
      <c r="D157" s="5" t="str">
        <f t="shared" si="6"/>
        <v>0</v>
      </c>
      <c r="E157" s="5" t="str">
        <f>IFERROR(IF(VLOOKUP(A157,Base!AA:AA,1,0)&gt;0,"1","0"),"0")</f>
        <v>0</v>
      </c>
      <c r="F157" s="5" t="str">
        <f t="shared" si="7"/>
        <v>-</v>
      </c>
      <c r="G157" s="5" t="str">
        <f t="shared" si="8"/>
        <v>0</v>
      </c>
    </row>
    <row r="158" spans="1:7">
      <c r="A158" s="4">
        <v>106288180002</v>
      </c>
      <c r="B158" s="4" t="s">
        <v>2232</v>
      </c>
      <c r="C158" s="1"/>
      <c r="D158" s="5" t="str">
        <f t="shared" si="6"/>
        <v>0</v>
      </c>
      <c r="E158" s="5" t="str">
        <f>IFERROR(IF(VLOOKUP(A158,Base!AA:AA,1,0)&gt;0,"1","0"),"0")</f>
        <v>0</v>
      </c>
      <c r="F158" s="5" t="str">
        <f t="shared" si="7"/>
        <v>-</v>
      </c>
      <c r="G158" s="5" t="str">
        <f t="shared" si="8"/>
        <v>0</v>
      </c>
    </row>
    <row r="159" spans="1:7">
      <c r="A159" s="4">
        <v>24674493302</v>
      </c>
      <c r="B159" s="4" t="s">
        <v>551</v>
      </c>
      <c r="C159" s="1" t="e">
        <f ca="1">_xlfn.XLOOKUP(A159,'[1]Sellers Pro'!$C:$C,'[1]Sellers Pro'!$F:$F)</f>
        <v>#NAME?</v>
      </c>
      <c r="D159" s="5" t="e">
        <f t="shared" si="6"/>
        <v>#NAME?</v>
      </c>
      <c r="E159" s="5" t="str">
        <f>IFERROR(IF(VLOOKUP(A159,Base!AA:AA,1,0)&gt;0,"1","0"),"0")</f>
        <v>1</v>
      </c>
      <c r="F159" s="5" t="e">
        <f t="shared" si="7"/>
        <v>#NAME?</v>
      </c>
      <c r="G159" s="5" t="str">
        <f t="shared" si="8"/>
        <v>0</v>
      </c>
    </row>
    <row r="160" spans="1:7">
      <c r="A160" s="4">
        <v>597004571302</v>
      </c>
      <c r="B160" s="4" t="s">
        <v>2203</v>
      </c>
      <c r="C160" s="1" t="e">
        <f ca="1">_xlfn.XLOOKUP(A160,'[1]Sellers Pro'!$C:$C,'[1]Sellers Pro'!$F:$F)</f>
        <v>#NAME?</v>
      </c>
      <c r="D160" s="5" t="e">
        <f t="shared" si="6"/>
        <v>#NAME?</v>
      </c>
      <c r="E160" s="5" t="str">
        <f>IFERROR(IF(VLOOKUP(A160,Base!AA:AA,1,0)&gt;0,"1","0"),"0")</f>
        <v>1</v>
      </c>
      <c r="F160" s="5" t="e">
        <f t="shared" si="7"/>
        <v>#NAME?</v>
      </c>
      <c r="G160" s="5" t="str">
        <f t="shared" si="8"/>
        <v>0</v>
      </c>
    </row>
    <row r="161" spans="1:7">
      <c r="A161" s="4">
        <v>55427353102</v>
      </c>
      <c r="B161" s="4" t="s">
        <v>1972</v>
      </c>
      <c r="C161" s="1" t="s">
        <v>37</v>
      </c>
      <c r="D161" s="5" t="str">
        <f t="shared" si="6"/>
        <v>1</v>
      </c>
      <c r="E161" s="5" t="str">
        <f>IFERROR(IF(VLOOKUP(A161,Base!AA:AA,1,0)&gt;0,"1","0"),"0")</f>
        <v>1</v>
      </c>
      <c r="F161" s="5" t="str">
        <f t="shared" si="7"/>
        <v>0</v>
      </c>
      <c r="G161" s="5" t="str">
        <f t="shared" si="8"/>
        <v>0</v>
      </c>
    </row>
    <row r="162" spans="1:7">
      <c r="A162" s="4">
        <v>127737463602</v>
      </c>
      <c r="B162" s="4" t="s">
        <v>1066</v>
      </c>
      <c r="C162" s="1" t="e">
        <f ca="1">_xlfn.XLOOKUP(A162,'[1]Sellers Pro'!$C:$C,'[1]Sellers Pro'!$F:$F)</f>
        <v>#NAME?</v>
      </c>
      <c r="D162" s="5" t="e">
        <f t="shared" si="6"/>
        <v>#NAME?</v>
      </c>
      <c r="E162" s="5" t="str">
        <f>IFERROR(IF(VLOOKUP(A162,Base!AA:AA,1,0)&gt;0,"1","0"),"0")</f>
        <v>1</v>
      </c>
      <c r="F162" s="5" t="e">
        <f t="shared" si="7"/>
        <v>#NAME?</v>
      </c>
      <c r="G162" s="5" t="str">
        <f t="shared" si="8"/>
        <v>0</v>
      </c>
    </row>
    <row r="163" spans="1:7">
      <c r="A163" s="4">
        <v>430279805602</v>
      </c>
      <c r="B163" s="4" t="s">
        <v>1049</v>
      </c>
      <c r="C163" s="1" t="e">
        <f ca="1">_xlfn.XLOOKUP(A163,'[1]Sellers Pro'!$C:$C,'[1]Sellers Pro'!$F:$F)</f>
        <v>#NAME?</v>
      </c>
      <c r="D163" s="5" t="e">
        <f t="shared" si="6"/>
        <v>#NAME?</v>
      </c>
      <c r="E163" s="5" t="str">
        <f>IFERROR(IF(VLOOKUP(A163,Base!AA:AA,1,0)&gt;0,"1","0"),"0")</f>
        <v>1</v>
      </c>
      <c r="F163" s="5" t="e">
        <f t="shared" si="7"/>
        <v>#NAME?</v>
      </c>
      <c r="G163" s="5" t="str">
        <f t="shared" si="8"/>
        <v>0</v>
      </c>
    </row>
    <row r="164" spans="1:7">
      <c r="A164" s="4">
        <v>56875076002</v>
      </c>
      <c r="B164" s="4" t="s">
        <v>561</v>
      </c>
      <c r="C164" s="1"/>
      <c r="D164" s="5" t="str">
        <f t="shared" si="6"/>
        <v>0</v>
      </c>
      <c r="E164" s="5" t="str">
        <f>IFERROR(IF(VLOOKUP(A164,Base!AA:AA,1,0)&gt;0,"1","0"),"0")</f>
        <v>0</v>
      </c>
      <c r="F164" s="5" t="str">
        <f t="shared" si="7"/>
        <v>-</v>
      </c>
      <c r="G164" s="5" t="str">
        <f t="shared" si="8"/>
        <v>0</v>
      </c>
    </row>
    <row r="165" spans="1:7">
      <c r="A165" s="4">
        <v>21753463202</v>
      </c>
      <c r="B165" s="4" t="s">
        <v>2172</v>
      </c>
      <c r="C165" s="1" t="e">
        <f ca="1">_xlfn.XLOOKUP(A165,'[1]Sellers Pro'!$C:$C,'[1]Sellers Pro'!$F:$F)</f>
        <v>#NAME?</v>
      </c>
      <c r="D165" s="5" t="e">
        <f t="shared" si="6"/>
        <v>#NAME?</v>
      </c>
      <c r="E165" s="5" t="str">
        <f>IFERROR(IF(VLOOKUP(A165,Base!AA:AA,1,0)&gt;0,"1","0"),"0")</f>
        <v>1</v>
      </c>
      <c r="F165" s="5" t="e">
        <f t="shared" si="7"/>
        <v>#NAME?</v>
      </c>
      <c r="G165" s="5" t="str">
        <f t="shared" si="8"/>
        <v>0</v>
      </c>
    </row>
    <row r="166" spans="1:7">
      <c r="A166" s="4">
        <v>11613361102</v>
      </c>
      <c r="B166" s="4" t="s">
        <v>1880</v>
      </c>
      <c r="C166" s="1" t="e">
        <f ca="1">_xlfn.XLOOKUP(A166,'[1]Sellers Pro'!$C:$C,'[1]Sellers Pro'!$F:$F)</f>
        <v>#NAME?</v>
      </c>
      <c r="D166" s="5" t="e">
        <f t="shared" si="6"/>
        <v>#NAME?</v>
      </c>
      <c r="E166" s="5" t="str">
        <f>IFERROR(IF(VLOOKUP(A166,Base!AA:AA,1,0)&gt;0,"1","0"),"0")</f>
        <v>1</v>
      </c>
      <c r="F166" s="5" t="e">
        <f t="shared" si="7"/>
        <v>#NAME?</v>
      </c>
      <c r="G166" s="5" t="str">
        <f t="shared" si="8"/>
        <v>0</v>
      </c>
    </row>
    <row r="167" spans="1:7">
      <c r="A167" s="4">
        <v>530870446802</v>
      </c>
      <c r="B167" s="4" t="s">
        <v>1288</v>
      </c>
      <c r="C167" s="1" t="e">
        <f ca="1">_xlfn.XLOOKUP(A167,'[1]Sellers Pro'!$C:$C,'[1]Sellers Pro'!$F:$F)</f>
        <v>#NAME?</v>
      </c>
      <c r="D167" s="5" t="e">
        <f t="shared" si="6"/>
        <v>#NAME?</v>
      </c>
      <c r="E167" s="5" t="str">
        <f>IFERROR(IF(VLOOKUP(A167,Base!AA:AA,1,0)&gt;0,"1","0"),"0")</f>
        <v>1</v>
      </c>
      <c r="F167" s="5" t="e">
        <f t="shared" si="7"/>
        <v>#NAME?</v>
      </c>
      <c r="G167" s="5" t="str">
        <f t="shared" si="8"/>
        <v>0</v>
      </c>
    </row>
    <row r="168" spans="1:7">
      <c r="A168" s="4">
        <v>472181389102</v>
      </c>
      <c r="B168" s="4" t="s">
        <v>1914</v>
      </c>
      <c r="C168" s="1" t="e">
        <f ca="1">_xlfn.XLOOKUP(A168,'[1]Sellers Pro'!$C:$C,'[1]Sellers Pro'!$F:$F)</f>
        <v>#NAME?</v>
      </c>
      <c r="D168" s="5" t="e">
        <f t="shared" si="6"/>
        <v>#NAME?</v>
      </c>
      <c r="E168" s="5" t="str">
        <f>IFERROR(IF(VLOOKUP(A168,Base!AA:AA,1,0)&gt;0,"1","0"),"0")</f>
        <v>1</v>
      </c>
      <c r="F168" s="5" t="e">
        <f t="shared" si="7"/>
        <v>#NAME?</v>
      </c>
      <c r="G168" s="5" t="str">
        <f t="shared" si="8"/>
        <v>0</v>
      </c>
    </row>
    <row r="169" spans="1:7">
      <c r="A169" s="4">
        <v>508996769902</v>
      </c>
      <c r="B169" s="4" t="s">
        <v>2193</v>
      </c>
      <c r="C169" s="1" t="e">
        <f ca="1">_xlfn.XLOOKUP(A169,'[1]Sellers Pro'!$C:$C,'[1]Sellers Pro'!$F:$F)</f>
        <v>#NAME?</v>
      </c>
      <c r="D169" s="5" t="e">
        <f t="shared" si="6"/>
        <v>#NAME?</v>
      </c>
      <c r="E169" s="5" t="str">
        <f>IFERROR(IF(VLOOKUP(A169,Base!AA:AA,1,0)&gt;0,"1","0"),"0")</f>
        <v>1</v>
      </c>
      <c r="F169" s="5" t="e">
        <f t="shared" si="7"/>
        <v>#NAME?</v>
      </c>
      <c r="G169" s="5" t="str">
        <f t="shared" si="8"/>
        <v>0</v>
      </c>
    </row>
    <row r="170" spans="1:7">
      <c r="A170" s="4">
        <v>230755558102</v>
      </c>
      <c r="B170" s="4" t="s">
        <v>2297</v>
      </c>
      <c r="C170" s="1" t="e">
        <f ca="1">_xlfn.XLOOKUP(A170,'[1]Sellers Pro'!$C:$C,'[1]Sellers Pro'!$F:$F)</f>
        <v>#NAME?</v>
      </c>
      <c r="D170" s="5" t="e">
        <f t="shared" si="6"/>
        <v>#NAME?</v>
      </c>
      <c r="E170" s="5" t="str">
        <f>IFERROR(IF(VLOOKUP(A170,Base!AA:AA,1,0)&gt;0,"1","0"),"0")</f>
        <v>1</v>
      </c>
      <c r="F170" s="5" t="e">
        <f t="shared" si="7"/>
        <v>#NAME?</v>
      </c>
      <c r="G170" s="5" t="str">
        <f t="shared" si="8"/>
        <v>0</v>
      </c>
    </row>
    <row r="171" spans="1:7">
      <c r="A171" s="4">
        <v>316851710302</v>
      </c>
      <c r="B171" s="4" t="s">
        <v>1494</v>
      </c>
      <c r="C171" s="1"/>
      <c r="D171" s="5" t="str">
        <f t="shared" si="6"/>
        <v>0</v>
      </c>
      <c r="E171" s="5" t="str">
        <f>IFERROR(IF(VLOOKUP(A171,Base!AA:AA,1,0)&gt;0,"1","0"),"0")</f>
        <v>1</v>
      </c>
      <c r="F171" s="5" t="str">
        <f t="shared" si="7"/>
        <v>-</v>
      </c>
      <c r="G171" s="5" t="str">
        <f t="shared" si="8"/>
        <v>0</v>
      </c>
    </row>
    <row r="172" spans="1:7">
      <c r="A172" s="4">
        <v>449549597602</v>
      </c>
      <c r="B172" s="4" t="s">
        <v>1726</v>
      </c>
      <c r="C172" s="1" t="e">
        <f ca="1">_xlfn.XLOOKUP(A172,'[1]Sellers Pro'!$C:$C,'[1]Sellers Pro'!$F:$F)</f>
        <v>#NAME?</v>
      </c>
      <c r="D172" s="5" t="e">
        <f t="shared" si="6"/>
        <v>#NAME?</v>
      </c>
      <c r="E172" s="5" t="str">
        <f>IFERROR(IF(VLOOKUP(A172,Base!AA:AA,1,0)&gt;0,"1","0"),"0")</f>
        <v>1</v>
      </c>
      <c r="F172" s="5" t="e">
        <f t="shared" si="7"/>
        <v>#NAME?</v>
      </c>
      <c r="G172" s="5" t="str">
        <f t="shared" si="8"/>
        <v>0</v>
      </c>
    </row>
    <row r="173" spans="1:7">
      <c r="A173" s="4">
        <v>618906774602</v>
      </c>
      <c r="B173" s="4" t="s">
        <v>1430</v>
      </c>
      <c r="C173" s="1"/>
      <c r="D173" s="5" t="str">
        <f t="shared" si="6"/>
        <v>0</v>
      </c>
      <c r="E173" s="5" t="str">
        <f>IFERROR(IF(VLOOKUP(A173,Base!AA:AA,1,0)&gt;0,"1","0"),"0")</f>
        <v>0</v>
      </c>
      <c r="F173" s="5" t="str">
        <f t="shared" si="7"/>
        <v>-</v>
      </c>
      <c r="G173" s="5" t="str">
        <f t="shared" si="8"/>
        <v>0</v>
      </c>
    </row>
    <row r="174" spans="1:7">
      <c r="A174" s="4">
        <v>795323312102</v>
      </c>
      <c r="B174" s="4" t="s">
        <v>357</v>
      </c>
      <c r="C174" s="1" t="e">
        <f ca="1">_xlfn.XLOOKUP(A174,'[1]Sellers Pro'!$C:$C,'[1]Sellers Pro'!$F:$F)</f>
        <v>#NAME?</v>
      </c>
      <c r="D174" s="5" t="e">
        <f t="shared" si="6"/>
        <v>#NAME?</v>
      </c>
      <c r="E174" s="5" t="str">
        <f>IFERROR(IF(VLOOKUP(A174,Base!AA:AA,1,0)&gt;0,"1","0"),"0")</f>
        <v>1</v>
      </c>
      <c r="F174" s="5" t="e">
        <f t="shared" si="7"/>
        <v>#NAME?</v>
      </c>
      <c r="G174" s="5" t="str">
        <f t="shared" si="8"/>
        <v>0</v>
      </c>
    </row>
    <row r="175" spans="1:7">
      <c r="A175" s="4">
        <v>128664783802</v>
      </c>
      <c r="B175" s="4" t="s">
        <v>1216</v>
      </c>
      <c r="C175" s="1" t="e">
        <f ca="1">_xlfn.XLOOKUP(A175,'[1]Sellers Pro'!$C:$C,'[1]Sellers Pro'!$F:$F)</f>
        <v>#NAME?</v>
      </c>
      <c r="D175" s="5" t="e">
        <f t="shared" si="6"/>
        <v>#NAME?</v>
      </c>
      <c r="E175" s="5" t="str">
        <f>IFERROR(IF(VLOOKUP(A175,Base!AA:AA,1,0)&gt;0,"1","0"),"0")</f>
        <v>1</v>
      </c>
      <c r="F175" s="5" t="e">
        <f t="shared" si="7"/>
        <v>#NAME?</v>
      </c>
      <c r="G175" s="5" t="str">
        <f t="shared" si="8"/>
        <v>0</v>
      </c>
    </row>
    <row r="176" spans="1:7">
      <c r="A176" s="4">
        <v>361885515402</v>
      </c>
      <c r="B176" s="4" t="s">
        <v>1603</v>
      </c>
      <c r="C176" s="1" t="e">
        <f ca="1">_xlfn.XLOOKUP(A176,'[1]Sellers Pro'!$C:$C,'[1]Sellers Pro'!$F:$F)</f>
        <v>#NAME?</v>
      </c>
      <c r="D176" s="5" t="e">
        <f t="shared" si="6"/>
        <v>#NAME?</v>
      </c>
      <c r="E176" s="5" t="str">
        <f>IFERROR(IF(VLOOKUP(A176,Base!AA:AA,1,0)&gt;0,"1","0"),"0")</f>
        <v>1</v>
      </c>
      <c r="F176" s="5" t="e">
        <f t="shared" si="7"/>
        <v>#NAME?</v>
      </c>
      <c r="G176" s="5" t="str">
        <f t="shared" si="8"/>
        <v>0</v>
      </c>
    </row>
    <row r="177" spans="1:7">
      <c r="A177" s="4">
        <v>322287200702</v>
      </c>
      <c r="B177" s="4" t="s">
        <v>2253</v>
      </c>
      <c r="C177" s="1" t="e">
        <f ca="1">_xlfn.XLOOKUP(A177,'[1]Sellers Pro'!$C:$C,'[1]Sellers Pro'!$F:$F)</f>
        <v>#NAME?</v>
      </c>
      <c r="D177" s="5" t="e">
        <f t="shared" si="6"/>
        <v>#NAME?</v>
      </c>
      <c r="E177" s="5" t="str">
        <f>IFERROR(IF(VLOOKUP(A177,Base!AA:AA,1,0)&gt;0,"1","0"),"0")</f>
        <v>0</v>
      </c>
      <c r="F177" s="5" t="e">
        <f t="shared" si="7"/>
        <v>#NAME?</v>
      </c>
      <c r="G177" s="5" t="str">
        <f t="shared" si="8"/>
        <v>0</v>
      </c>
    </row>
    <row r="178" spans="1:7">
      <c r="A178" s="4">
        <v>160165983902</v>
      </c>
      <c r="B178" s="4" t="s">
        <v>2221</v>
      </c>
      <c r="C178" s="1" t="e">
        <f ca="1">_xlfn.XLOOKUP(A178,'[1]Sellers Pro'!$C:$C,'[1]Sellers Pro'!$F:$F)</f>
        <v>#NAME?</v>
      </c>
      <c r="D178" s="5" t="e">
        <f t="shared" si="6"/>
        <v>#NAME?</v>
      </c>
      <c r="E178" s="5" t="str">
        <f>IFERROR(IF(VLOOKUP(A178,Base!AA:AA,1,0)&gt;0,"1","0"),"0")</f>
        <v>1</v>
      </c>
      <c r="F178" s="5" t="e">
        <f t="shared" si="7"/>
        <v>#NAME?</v>
      </c>
      <c r="G178" s="5" t="str">
        <f t="shared" si="8"/>
        <v>0</v>
      </c>
    </row>
    <row r="179" spans="1:7">
      <c r="A179" s="4">
        <v>170004727002</v>
      </c>
      <c r="B179" s="4" t="s">
        <v>2180</v>
      </c>
      <c r="C179" s="1" t="e">
        <f ca="1">_xlfn.XLOOKUP(A179,'[1]Sellers Pro'!$C:$C,'[1]Sellers Pro'!$F:$F)</f>
        <v>#NAME?</v>
      </c>
      <c r="D179" s="5" t="e">
        <f t="shared" si="6"/>
        <v>#NAME?</v>
      </c>
      <c r="E179" s="5" t="str">
        <f>IFERROR(IF(VLOOKUP(A179,Base!AA:AA,1,0)&gt;0,"1","0"),"0")</f>
        <v>1</v>
      </c>
      <c r="F179" s="5" t="e">
        <f t="shared" si="7"/>
        <v>#NAME?</v>
      </c>
      <c r="G179" s="5" t="str">
        <f t="shared" si="8"/>
        <v>0</v>
      </c>
    </row>
    <row r="180" spans="1:7">
      <c r="A180" s="4">
        <v>365155485602</v>
      </c>
      <c r="B180" s="4" t="s">
        <v>1931</v>
      </c>
      <c r="C180" s="1" t="e">
        <f ca="1">_xlfn.XLOOKUP(A180,'[1]Sellers Pro'!$C:$C,'[1]Sellers Pro'!$F:$F)</f>
        <v>#NAME?</v>
      </c>
      <c r="D180" s="5" t="e">
        <f t="shared" si="6"/>
        <v>#NAME?</v>
      </c>
      <c r="E180" s="5" t="str">
        <f>IFERROR(IF(VLOOKUP(A180,Base!AA:AA,1,0)&gt;0,"1","0"),"0")</f>
        <v>1</v>
      </c>
      <c r="F180" s="5" t="e">
        <f t="shared" si="7"/>
        <v>#NAME?</v>
      </c>
      <c r="G180" s="5" t="str">
        <f t="shared" si="8"/>
        <v>0</v>
      </c>
    </row>
    <row r="181" spans="1:7">
      <c r="A181" s="4">
        <v>118772541402</v>
      </c>
      <c r="B181" s="4" t="s">
        <v>2085</v>
      </c>
      <c r="C181" s="1"/>
      <c r="D181" s="5" t="str">
        <f t="shared" si="6"/>
        <v>0</v>
      </c>
      <c r="E181" s="5" t="str">
        <f>IFERROR(IF(VLOOKUP(A181,Base!AA:AA,1,0)&gt;0,"1","0"),"0")</f>
        <v>0</v>
      </c>
      <c r="F181" s="5" t="str">
        <f t="shared" si="7"/>
        <v>-</v>
      </c>
      <c r="G181" s="5" t="str">
        <f t="shared" si="8"/>
        <v>0</v>
      </c>
    </row>
    <row r="182" spans="1:7">
      <c r="A182" s="4">
        <v>414165418502</v>
      </c>
      <c r="B182" s="4" t="s">
        <v>1569</v>
      </c>
      <c r="C182" s="1" t="e">
        <f ca="1">_xlfn.XLOOKUP(A182,'[1]Sellers Pro'!$C:$C,'[1]Sellers Pro'!$F:$F)</f>
        <v>#NAME?</v>
      </c>
      <c r="D182" s="5" t="e">
        <f t="shared" si="6"/>
        <v>#NAME?</v>
      </c>
      <c r="E182" s="5" t="str">
        <f>IFERROR(IF(VLOOKUP(A182,Base!AA:AA,1,0)&gt;0,"1","0"),"0")</f>
        <v>1</v>
      </c>
      <c r="F182" s="5" t="e">
        <f t="shared" si="7"/>
        <v>#NAME?</v>
      </c>
      <c r="G182" s="5" t="str">
        <f t="shared" si="8"/>
        <v>0</v>
      </c>
    </row>
    <row r="183" spans="1:7">
      <c r="A183" s="4">
        <v>16116314302</v>
      </c>
      <c r="B183" s="4" t="s">
        <v>1654</v>
      </c>
      <c r="C183" s="1" t="e">
        <f ca="1">_xlfn.XLOOKUP(A183,'[1]Sellers Pro'!$C:$C,'[1]Sellers Pro'!$F:$F)</f>
        <v>#NAME?</v>
      </c>
      <c r="D183" s="5" t="e">
        <f t="shared" si="6"/>
        <v>#NAME?</v>
      </c>
      <c r="E183" s="5" t="str">
        <f>IFERROR(IF(VLOOKUP(A183,Base!AA:AA,1,0)&gt;0,"1","0"),"0")</f>
        <v>1</v>
      </c>
      <c r="F183" s="5" t="e">
        <f t="shared" si="7"/>
        <v>#NAME?</v>
      </c>
      <c r="G183" s="5" t="str">
        <f t="shared" si="8"/>
        <v>0</v>
      </c>
    </row>
    <row r="184" spans="1:7">
      <c r="A184" s="4">
        <v>56744200802</v>
      </c>
      <c r="B184" s="4" t="s">
        <v>461</v>
      </c>
      <c r="C184" s="1" t="e">
        <f ca="1">_xlfn.XLOOKUP(A184,'[1]Sellers Pro'!$C:$C,'[1]Sellers Pro'!$F:$F)</f>
        <v>#NAME?</v>
      </c>
      <c r="D184" s="5" t="e">
        <f t="shared" si="6"/>
        <v>#NAME?</v>
      </c>
      <c r="E184" s="5" t="str">
        <f>IFERROR(IF(VLOOKUP(A184,Base!AA:AA,1,0)&gt;0,"1","0"),"0")</f>
        <v>0</v>
      </c>
      <c r="F184" s="5" t="e">
        <f t="shared" si="7"/>
        <v>#NAME?</v>
      </c>
      <c r="G184" s="5" t="str">
        <f t="shared" si="8"/>
        <v>0</v>
      </c>
    </row>
    <row r="185" spans="1:7">
      <c r="A185" s="4">
        <v>326312039202</v>
      </c>
      <c r="B185" s="4" t="s">
        <v>2298</v>
      </c>
      <c r="C185" s="1"/>
      <c r="D185" s="5" t="str">
        <f t="shared" si="6"/>
        <v>0</v>
      </c>
      <c r="E185" s="5" t="str">
        <f>IFERROR(IF(VLOOKUP(A185,Base!AA:AA,1,0)&gt;0,"1","0"),"0")</f>
        <v>0</v>
      </c>
      <c r="F185" s="5" t="str">
        <f t="shared" si="7"/>
        <v>-</v>
      </c>
      <c r="G185" s="5" t="str">
        <f t="shared" si="8"/>
        <v>0</v>
      </c>
    </row>
    <row r="186" spans="1:7">
      <c r="A186" s="4">
        <v>282538163102</v>
      </c>
      <c r="B186" s="4" t="s">
        <v>2154</v>
      </c>
      <c r="C186" s="1" t="e">
        <f ca="1">_xlfn.XLOOKUP(A186,'[1]Sellers Pro'!$C:$C,'[1]Sellers Pro'!$F:$F)</f>
        <v>#NAME?</v>
      </c>
      <c r="D186" s="5" t="e">
        <f t="shared" si="6"/>
        <v>#NAME?</v>
      </c>
      <c r="E186" s="5" t="str">
        <f>IFERROR(IF(VLOOKUP(A186,Base!AA:AA,1,0)&gt;0,"1","0"),"0")</f>
        <v>1</v>
      </c>
      <c r="F186" s="5" t="e">
        <f t="shared" si="7"/>
        <v>#NAME?</v>
      </c>
      <c r="G186" s="5" t="str">
        <f t="shared" si="8"/>
        <v>0</v>
      </c>
    </row>
    <row r="187" spans="1:7">
      <c r="A187" s="4">
        <v>375080537802</v>
      </c>
      <c r="B187" s="4" t="s">
        <v>2299</v>
      </c>
      <c r="C187" s="1" t="e">
        <f ca="1">_xlfn.XLOOKUP(A187,'[1]Sellers Pro'!$C:$C,'[1]Sellers Pro'!$F:$F)</f>
        <v>#NAME?</v>
      </c>
      <c r="D187" s="5" t="e">
        <f t="shared" si="6"/>
        <v>#NAME?</v>
      </c>
      <c r="E187" s="5" t="str">
        <f>IFERROR(IF(VLOOKUP(A187,Base!AA:AA,1,0)&gt;0,"1","0"),"0")</f>
        <v>1</v>
      </c>
      <c r="F187" s="5" t="e">
        <f t="shared" si="7"/>
        <v>#NAME?</v>
      </c>
      <c r="G187" s="5" t="str">
        <f t="shared" si="8"/>
        <v>0</v>
      </c>
    </row>
    <row r="188" spans="1:7">
      <c r="A188" s="4">
        <v>158701479502</v>
      </c>
      <c r="B188" s="4" t="s">
        <v>2300</v>
      </c>
      <c r="C188" s="1"/>
      <c r="D188" s="5" t="str">
        <f t="shared" si="6"/>
        <v>0</v>
      </c>
      <c r="E188" s="5" t="str">
        <f>IFERROR(IF(VLOOKUP(A188,Base!AA:AA,1,0)&gt;0,"1","0"),"0")</f>
        <v>0</v>
      </c>
      <c r="F188" s="5" t="str">
        <f t="shared" si="7"/>
        <v>-</v>
      </c>
      <c r="G188" s="5" t="str">
        <f t="shared" si="8"/>
        <v>0</v>
      </c>
    </row>
    <row r="189" spans="1:7">
      <c r="A189" s="4">
        <v>142720086902</v>
      </c>
      <c r="B189" s="4" t="s">
        <v>2301</v>
      </c>
      <c r="C189" s="1"/>
      <c r="D189" s="5" t="str">
        <f t="shared" si="6"/>
        <v>0</v>
      </c>
      <c r="E189" s="5" t="str">
        <f>IFERROR(IF(VLOOKUP(A189,Base!AA:AA,1,0)&gt;0,"1","0"),"0")</f>
        <v>0</v>
      </c>
      <c r="F189" s="5" t="str">
        <f t="shared" si="7"/>
        <v>-</v>
      </c>
      <c r="G189" s="5" t="str">
        <f t="shared" si="8"/>
        <v>0</v>
      </c>
    </row>
    <row r="190" spans="1:7">
      <c r="A190" s="4">
        <v>106892707902</v>
      </c>
      <c r="B190" s="4" t="s">
        <v>2302</v>
      </c>
      <c r="C190" s="1"/>
      <c r="D190" s="5" t="str">
        <f t="shared" si="6"/>
        <v>0</v>
      </c>
      <c r="E190" s="5" t="str">
        <f>IFERROR(IF(VLOOKUP(A190,Base!AA:AA,1,0)&gt;0,"1","0"),"0")</f>
        <v>0</v>
      </c>
      <c r="F190" s="5" t="str">
        <f t="shared" si="7"/>
        <v>-</v>
      </c>
      <c r="G190" s="5" t="str">
        <f t="shared" si="8"/>
        <v>0</v>
      </c>
    </row>
    <row r="191" spans="1:7">
      <c r="A191" s="4">
        <v>164556184602</v>
      </c>
      <c r="B191" s="4" t="s">
        <v>2303</v>
      </c>
      <c r="C191" s="1"/>
      <c r="D191" s="5" t="str">
        <f t="shared" si="6"/>
        <v>0</v>
      </c>
      <c r="E191" s="5" t="str">
        <f>IFERROR(IF(VLOOKUP(A191,Base!AA:AA,1,0)&gt;0,"1","0"),"0")</f>
        <v>0</v>
      </c>
      <c r="F191" s="5" t="str">
        <f t="shared" si="7"/>
        <v>-</v>
      </c>
      <c r="G191" s="5" t="str">
        <f t="shared" si="8"/>
        <v>0</v>
      </c>
    </row>
    <row r="192" spans="1:7">
      <c r="A192" s="4">
        <v>62421319902</v>
      </c>
      <c r="B192" s="4" t="s">
        <v>1944</v>
      </c>
      <c r="C192" s="1"/>
      <c r="D192" s="5" t="str">
        <f t="shared" si="6"/>
        <v>0</v>
      </c>
      <c r="E192" s="5" t="str">
        <f>IFERROR(IF(VLOOKUP(A192,Base!AA:AA,1,0)&gt;0,"1","0"),"0")</f>
        <v>0</v>
      </c>
      <c r="F192" s="5" t="str">
        <f t="shared" si="7"/>
        <v>-</v>
      </c>
      <c r="G192" s="5" t="str">
        <f t="shared" si="8"/>
        <v>0</v>
      </c>
    </row>
    <row r="193" spans="1:7">
      <c r="A193" s="4">
        <v>44765160202</v>
      </c>
      <c r="B193" s="4" t="s">
        <v>2304</v>
      </c>
      <c r="C193" s="1"/>
      <c r="D193" s="5" t="str">
        <f t="shared" si="6"/>
        <v>0</v>
      </c>
      <c r="E193" s="5" t="str">
        <f>IFERROR(IF(VLOOKUP(A193,Base!AA:AA,1,0)&gt;0,"1","0"),"0")</f>
        <v>0</v>
      </c>
      <c r="F193" s="5" t="str">
        <f t="shared" si="7"/>
        <v>-</v>
      </c>
      <c r="G193" s="5" t="str">
        <f t="shared" si="8"/>
        <v>0</v>
      </c>
    </row>
    <row r="194" spans="1:7">
      <c r="A194" s="4">
        <v>318109251502</v>
      </c>
      <c r="B194" s="4" t="s">
        <v>2305</v>
      </c>
      <c r="C194" s="1"/>
      <c r="D194" s="5" t="str">
        <f t="shared" si="6"/>
        <v>0</v>
      </c>
      <c r="E194" s="5" t="str">
        <f>IFERROR(IF(VLOOKUP(A194,Base!AA:AA,1,0)&gt;0,"1","0"),"0")</f>
        <v>0</v>
      </c>
      <c r="F194" s="5" t="str">
        <f t="shared" si="7"/>
        <v>-</v>
      </c>
      <c r="G194" s="5" t="str">
        <f t="shared" si="8"/>
        <v>0</v>
      </c>
    </row>
    <row r="195" spans="1:7">
      <c r="A195" s="4">
        <v>721128628302</v>
      </c>
      <c r="B195" s="4" t="s">
        <v>1362</v>
      </c>
      <c r="C195" s="1"/>
      <c r="D195" s="5" t="str">
        <f t="shared" si="6"/>
        <v>0</v>
      </c>
      <c r="E195" s="5" t="str">
        <f>IFERROR(IF(VLOOKUP(A195,Base!AA:AA,1,0)&gt;0,"1","0"),"0")</f>
        <v>0</v>
      </c>
      <c r="F195" s="5" t="str">
        <f t="shared" si="7"/>
        <v>-</v>
      </c>
      <c r="G195" s="5" t="str">
        <f t="shared" si="8"/>
        <v>0</v>
      </c>
    </row>
    <row r="196" spans="1:7">
      <c r="A196" s="4">
        <v>538911850502</v>
      </c>
      <c r="B196" s="4" t="s">
        <v>2306</v>
      </c>
      <c r="C196" s="1" t="e">
        <f ca="1">_xlfn.XLOOKUP(A196,'[1]Sellers Pro'!$C:$C,'[1]Sellers Pro'!$F:$F)</f>
        <v>#NAME?</v>
      </c>
      <c r="D196" s="5" t="e">
        <f t="shared" ref="D196:D204" si="9">IF(C196="","0","1")</f>
        <v>#NAME?</v>
      </c>
      <c r="E196" s="5" t="str">
        <f>IFERROR(IF(VLOOKUP(A196,Base!AA:AA,1,0)&gt;0,"1","0"),"0")</f>
        <v>1</v>
      </c>
      <c r="F196" s="5" t="e">
        <f t="shared" ref="F196:F204" si="10">IF(C196="","-",IF(OR(BC196="Muito satisfeito",BC196="Satisfeito"),"1","0"))</f>
        <v>#NAME?</v>
      </c>
      <c r="G196" s="5" t="str">
        <f t="shared" ref="G196:G204" si="11">IF(BC196="","0","1")</f>
        <v>0</v>
      </c>
    </row>
    <row r="197" spans="1:7">
      <c r="A197" s="4">
        <v>256525648402</v>
      </c>
      <c r="B197" s="4" t="s">
        <v>2307</v>
      </c>
      <c r="C197" s="1" t="e">
        <f ca="1">_xlfn.XLOOKUP(A197,'[1]Sellers Pro'!$C:$C,'[1]Sellers Pro'!$F:$F)</f>
        <v>#NAME?</v>
      </c>
      <c r="D197" s="5" t="e">
        <f t="shared" si="9"/>
        <v>#NAME?</v>
      </c>
      <c r="E197" s="5" t="str">
        <f>IFERROR(IF(VLOOKUP(A197,Base!AA:AA,1,0)&gt;0,"1","0"),"0")</f>
        <v>1</v>
      </c>
      <c r="F197" s="5" t="e">
        <f t="shared" si="10"/>
        <v>#NAME?</v>
      </c>
      <c r="G197" s="5" t="str">
        <f t="shared" si="11"/>
        <v>0</v>
      </c>
    </row>
    <row r="198" spans="1:7">
      <c r="A198" s="4">
        <v>124090551902</v>
      </c>
      <c r="B198" s="4" t="s">
        <v>1956</v>
      </c>
      <c r="C198" s="1" t="e">
        <f ca="1">_xlfn.XLOOKUP(A198,'[1]Sellers Pro'!$C:$C,'[1]Sellers Pro'!$F:$F)</f>
        <v>#NAME?</v>
      </c>
      <c r="D198" s="5" t="e">
        <f t="shared" si="9"/>
        <v>#NAME?</v>
      </c>
      <c r="E198" s="5" t="str">
        <f>IFERROR(IF(VLOOKUP(A198,Base!AA:AA,1,0)&gt;0,"1","0"),"0")</f>
        <v>1</v>
      </c>
      <c r="F198" s="5" t="e">
        <f t="shared" si="10"/>
        <v>#NAME?</v>
      </c>
      <c r="G198" s="5" t="str">
        <f t="shared" si="11"/>
        <v>0</v>
      </c>
    </row>
    <row r="199" spans="1:7">
      <c r="A199" s="4">
        <v>26322058702</v>
      </c>
      <c r="B199" s="4" t="s">
        <v>1559</v>
      </c>
      <c r="C199" s="1" t="e">
        <f ca="1">_xlfn.XLOOKUP(A199,'[1]Sellers Pro'!$C:$C,'[1]Sellers Pro'!$F:$F)</f>
        <v>#NAME?</v>
      </c>
      <c r="D199" s="5" t="e">
        <f t="shared" si="9"/>
        <v>#NAME?</v>
      </c>
      <c r="E199" s="5" t="str">
        <f>IFERROR(IF(VLOOKUP(A199,Base!AA:AA,1,0)&gt;0,"1","0"),"0")</f>
        <v>0</v>
      </c>
      <c r="F199" s="5" t="e">
        <f t="shared" si="10"/>
        <v>#NAME?</v>
      </c>
      <c r="G199" s="5" t="str">
        <f t="shared" si="11"/>
        <v>0</v>
      </c>
    </row>
    <row r="200" spans="1:7">
      <c r="A200" s="4">
        <v>844422866302</v>
      </c>
      <c r="B200" s="4" t="s">
        <v>2308</v>
      </c>
      <c r="C200" s="1" t="e">
        <f ca="1">_xlfn.XLOOKUP(A200,'[1]Sellers Pro'!$C:$C,'[1]Sellers Pro'!$F:$F)</f>
        <v>#NAME?</v>
      </c>
      <c r="D200" s="5" t="e">
        <f t="shared" si="9"/>
        <v>#NAME?</v>
      </c>
      <c r="E200" s="5" t="str">
        <f>IFERROR(IF(VLOOKUP(A200,Base!AA:AA,1,0)&gt;0,"1","0"),"0")</f>
        <v>1</v>
      </c>
      <c r="F200" s="5" t="e">
        <f t="shared" si="10"/>
        <v>#NAME?</v>
      </c>
      <c r="G200" s="5" t="str">
        <f t="shared" si="11"/>
        <v>0</v>
      </c>
    </row>
    <row r="201" spans="1:7">
      <c r="A201" s="4">
        <v>281658231902</v>
      </c>
      <c r="B201" s="4" t="s">
        <v>2309</v>
      </c>
      <c r="C201" s="1" t="e">
        <f ca="1">_xlfn.XLOOKUP(A201,'[1]Sellers Pro'!$C:$C,'[1]Sellers Pro'!$F:$F)</f>
        <v>#NAME?</v>
      </c>
      <c r="D201" s="5" t="e">
        <f t="shared" si="9"/>
        <v>#NAME?</v>
      </c>
      <c r="E201" s="5" t="str">
        <f>IFERROR(IF(VLOOKUP(A201,Base!AA:AA,1,0)&gt;0,"1","0"),"0")</f>
        <v>0</v>
      </c>
      <c r="F201" s="5" t="e">
        <f t="shared" si="10"/>
        <v>#NAME?</v>
      </c>
      <c r="G201" s="5" t="str">
        <f t="shared" si="11"/>
        <v>0</v>
      </c>
    </row>
    <row r="202" spans="1:7">
      <c r="A202" s="4">
        <v>838524899602</v>
      </c>
      <c r="B202" s="4" t="s">
        <v>2310</v>
      </c>
      <c r="C202" s="1" t="e">
        <f ca="1">_xlfn.XLOOKUP(A202,'[1]Sellers Pro'!$C:$C,'[1]Sellers Pro'!$F:$F)</f>
        <v>#NAME?</v>
      </c>
      <c r="D202" s="5" t="e">
        <f t="shared" si="9"/>
        <v>#NAME?</v>
      </c>
      <c r="E202" s="5" t="str">
        <f>IFERROR(IF(VLOOKUP(A202,Base!AA:AA,1,0)&gt;0,"1","0"),"0")</f>
        <v>0</v>
      </c>
      <c r="F202" s="5" t="e">
        <f t="shared" si="10"/>
        <v>#NAME?</v>
      </c>
      <c r="G202" s="5" t="str">
        <f t="shared" si="11"/>
        <v>0</v>
      </c>
    </row>
    <row r="203" spans="1:7">
      <c r="A203" s="4">
        <v>490336347502</v>
      </c>
      <c r="B203" s="4" t="s">
        <v>2311</v>
      </c>
      <c r="C203" s="1" t="e">
        <f ca="1">_xlfn.XLOOKUP(A203,'[1]Sellers Pro'!$C:$C,'[1]Sellers Pro'!$F:$F)</f>
        <v>#NAME?</v>
      </c>
      <c r="D203" s="5" t="e">
        <f t="shared" si="9"/>
        <v>#NAME?</v>
      </c>
      <c r="E203" s="5" t="str">
        <f>IFERROR(IF(VLOOKUP(A203,Base!AA:AA,1,0)&gt;0,"1","0"),"0")</f>
        <v>0</v>
      </c>
      <c r="F203" s="5" t="e">
        <f t="shared" si="10"/>
        <v>#NAME?</v>
      </c>
      <c r="G203" s="5" t="str">
        <f t="shared" si="11"/>
        <v>0</v>
      </c>
    </row>
    <row r="204" spans="1:7">
      <c r="A204" s="4">
        <v>1026263719202</v>
      </c>
      <c r="B204" s="4" t="s">
        <v>616</v>
      </c>
      <c r="C204" s="1" t="e">
        <f ca="1">_xlfn.XLOOKUP(A204,'[1]Sellers Pro'!$C:$C,'[1]Sellers Pro'!$F:$F)</f>
        <v>#NAME?</v>
      </c>
      <c r="D204" s="5" t="e">
        <f t="shared" si="9"/>
        <v>#NAME?</v>
      </c>
      <c r="E204" s="5" t="str">
        <f>IFERROR(IF(VLOOKUP(A204,Base!AA:AA,1,0)&gt;0,"1","0"),"0")</f>
        <v>1</v>
      </c>
      <c r="F204" s="5" t="e">
        <f t="shared" si="10"/>
        <v>#NAME?</v>
      </c>
      <c r="G204" s="5" t="str">
        <f t="shared" si="11"/>
        <v>0</v>
      </c>
    </row>
    <row r="210" spans="6:6">
      <c r="F210" s="29"/>
    </row>
  </sheetData>
  <conditionalFormatting sqref="A1:A204">
    <cfRule type="duplicateValues" dxfId="1" priority="1"/>
  </conditionalFormatting>
  <conditionalFormatting sqref="A3:A199">
    <cfRule type="duplicateValues" dxfId="0" priority="2"/>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489"/>
  <sheetViews>
    <sheetView workbookViewId="0">
      <selection activeCell="B1" sqref="B1"/>
    </sheetView>
  </sheetViews>
  <sheetFormatPr defaultRowHeight="14.45"/>
  <cols>
    <col min="1" max="1" width="9.375" bestFit="1" customWidth="1"/>
    <col min="3" max="3" width="9.375" bestFit="1" customWidth="1"/>
    <col min="17" max="17" width="10.125" style="3" bestFit="1" customWidth="1"/>
  </cols>
  <sheetData>
    <row r="1" spans="1:18">
      <c r="A1" t="s">
        <v>2312</v>
      </c>
      <c r="B1" t="s">
        <v>2313</v>
      </c>
      <c r="C1" t="s">
        <v>2314</v>
      </c>
      <c r="D1" t="s">
        <v>2315</v>
      </c>
      <c r="E1" t="s">
        <v>2316</v>
      </c>
      <c r="F1" t="s">
        <v>2317</v>
      </c>
      <c r="G1" t="s">
        <v>2318</v>
      </c>
      <c r="H1" t="s">
        <v>2319</v>
      </c>
      <c r="I1" t="s">
        <v>2320</v>
      </c>
      <c r="J1" t="s">
        <v>2321</v>
      </c>
      <c r="K1" t="s">
        <v>2322</v>
      </c>
      <c r="L1" t="s">
        <v>2323</v>
      </c>
      <c r="M1" t="s">
        <v>2324</v>
      </c>
      <c r="N1" t="s">
        <v>2325</v>
      </c>
      <c r="O1" t="s">
        <v>2326</v>
      </c>
      <c r="P1" t="s">
        <v>2327</v>
      </c>
      <c r="Q1" s="3" t="s">
        <v>2328</v>
      </c>
      <c r="R1" t="s">
        <v>2329</v>
      </c>
    </row>
    <row r="2" spans="1:18" hidden="1">
      <c r="A2">
        <v>251774695102</v>
      </c>
      <c r="B2" t="s">
        <v>1058</v>
      </c>
      <c r="C2">
        <v>251774695102</v>
      </c>
      <c r="D2" t="s">
        <v>1058</v>
      </c>
      <c r="E2" t="s">
        <v>2330</v>
      </c>
      <c r="G2" t="s">
        <v>2331</v>
      </c>
      <c r="H2" t="s">
        <v>2332</v>
      </c>
      <c r="I2" t="s">
        <v>2333</v>
      </c>
      <c r="J2" t="s">
        <v>2333</v>
      </c>
      <c r="K2" t="s">
        <v>2334</v>
      </c>
      <c r="L2" t="s">
        <v>2335</v>
      </c>
      <c r="M2" s="43">
        <v>45523.848869386573</v>
      </c>
      <c r="N2" t="s">
        <v>2333</v>
      </c>
      <c r="O2">
        <v>0</v>
      </c>
      <c r="P2">
        <v>1</v>
      </c>
      <c r="Q2" s="43"/>
      <c r="R2" s="43"/>
    </row>
    <row r="3" spans="1:18" hidden="1">
      <c r="A3">
        <v>11103651302</v>
      </c>
      <c r="B3" t="s">
        <v>1482</v>
      </c>
      <c r="C3">
        <v>11103651302</v>
      </c>
      <c r="D3" t="s">
        <v>1482</v>
      </c>
      <c r="E3" t="s">
        <v>2336</v>
      </c>
      <c r="F3" t="s">
        <v>39</v>
      </c>
      <c r="G3" t="s">
        <v>2337</v>
      </c>
      <c r="H3" t="s">
        <v>2332</v>
      </c>
      <c r="I3" t="s">
        <v>2338</v>
      </c>
      <c r="J3" t="s">
        <v>2338</v>
      </c>
      <c r="K3" t="s">
        <v>2334</v>
      </c>
      <c r="L3" t="s">
        <v>2335</v>
      </c>
      <c r="M3" s="43">
        <v>45673.725325543979</v>
      </c>
      <c r="N3" t="s">
        <v>2338</v>
      </c>
      <c r="O3">
        <v>0</v>
      </c>
      <c r="P3">
        <v>1</v>
      </c>
      <c r="Q3" s="43">
        <v>45889.742898206016</v>
      </c>
      <c r="R3" s="43"/>
    </row>
    <row r="4" spans="1:18" hidden="1">
      <c r="A4">
        <v>11103651302</v>
      </c>
      <c r="B4" t="s">
        <v>1482</v>
      </c>
      <c r="C4">
        <v>161445746002</v>
      </c>
      <c r="D4" t="s">
        <v>2339</v>
      </c>
      <c r="E4" t="s">
        <v>2336</v>
      </c>
      <c r="F4" t="s">
        <v>39</v>
      </c>
      <c r="G4" t="s">
        <v>2337</v>
      </c>
      <c r="H4" t="s">
        <v>2332</v>
      </c>
      <c r="I4" t="s">
        <v>2338</v>
      </c>
      <c r="J4" t="s">
        <v>2338</v>
      </c>
      <c r="K4" t="s">
        <v>2334</v>
      </c>
      <c r="L4" t="s">
        <v>2335</v>
      </c>
      <c r="M4" s="43">
        <v>45673.725325543979</v>
      </c>
      <c r="N4" t="s">
        <v>2338</v>
      </c>
      <c r="O4">
        <v>1</v>
      </c>
      <c r="P4">
        <v>0</v>
      </c>
      <c r="Q4" s="43">
        <v>45845.724123472224</v>
      </c>
      <c r="R4" s="43"/>
    </row>
    <row r="5" spans="1:18" hidden="1">
      <c r="A5">
        <v>11103651302</v>
      </c>
      <c r="B5" t="s">
        <v>1482</v>
      </c>
      <c r="C5">
        <v>439493352402</v>
      </c>
      <c r="D5" t="s">
        <v>2340</v>
      </c>
      <c r="E5" t="s">
        <v>2336</v>
      </c>
      <c r="F5" t="s">
        <v>39</v>
      </c>
      <c r="G5" t="s">
        <v>2337</v>
      </c>
      <c r="H5" t="s">
        <v>2332</v>
      </c>
      <c r="I5" t="s">
        <v>2338</v>
      </c>
      <c r="J5" t="s">
        <v>2338</v>
      </c>
      <c r="K5" t="s">
        <v>2334</v>
      </c>
      <c r="L5" t="s">
        <v>2335</v>
      </c>
      <c r="M5" s="43">
        <v>45673.725325543979</v>
      </c>
      <c r="N5" t="s">
        <v>2338</v>
      </c>
      <c r="O5">
        <v>0</v>
      </c>
      <c r="P5">
        <v>0</v>
      </c>
      <c r="Q5" s="43">
        <v>45889.742898182871</v>
      </c>
      <c r="R5" s="43"/>
    </row>
    <row r="6" spans="1:18" hidden="1">
      <c r="A6">
        <v>690138852002</v>
      </c>
      <c r="B6" t="s">
        <v>2341</v>
      </c>
      <c r="C6">
        <v>12218349602</v>
      </c>
      <c r="D6" t="s">
        <v>1399</v>
      </c>
      <c r="E6" t="s">
        <v>2342</v>
      </c>
      <c r="F6" t="s">
        <v>38</v>
      </c>
      <c r="G6" t="s">
        <v>2337</v>
      </c>
      <c r="H6" t="s">
        <v>2332</v>
      </c>
      <c r="I6" t="s">
        <v>2338</v>
      </c>
      <c r="J6" t="s">
        <v>2338</v>
      </c>
      <c r="K6" t="s">
        <v>2334</v>
      </c>
      <c r="L6" t="s">
        <v>2335</v>
      </c>
      <c r="M6" s="43">
        <v>45328.735019490741</v>
      </c>
      <c r="N6" t="s">
        <v>2338</v>
      </c>
      <c r="O6">
        <v>0</v>
      </c>
      <c r="P6">
        <v>1</v>
      </c>
      <c r="Q6" s="43">
        <v>45943.591710694447</v>
      </c>
      <c r="R6" s="43">
        <v>46028.870729120368</v>
      </c>
    </row>
    <row r="7" spans="1:18" hidden="1">
      <c r="A7">
        <v>690138852002</v>
      </c>
      <c r="B7" t="s">
        <v>2341</v>
      </c>
      <c r="C7">
        <v>548279192902</v>
      </c>
      <c r="D7" t="s">
        <v>2343</v>
      </c>
      <c r="E7" t="s">
        <v>2342</v>
      </c>
      <c r="F7" t="s">
        <v>38</v>
      </c>
      <c r="G7" t="s">
        <v>2337</v>
      </c>
      <c r="H7" t="s">
        <v>2332</v>
      </c>
      <c r="I7" t="s">
        <v>2338</v>
      </c>
      <c r="J7" t="s">
        <v>2338</v>
      </c>
      <c r="K7" t="s">
        <v>2334</v>
      </c>
      <c r="L7" t="s">
        <v>2335</v>
      </c>
      <c r="M7" s="43">
        <v>45328.735019490741</v>
      </c>
      <c r="N7" t="s">
        <v>2338</v>
      </c>
      <c r="O7">
        <v>0</v>
      </c>
      <c r="P7">
        <v>0</v>
      </c>
      <c r="Q7" s="43">
        <v>45943.591706377316</v>
      </c>
      <c r="R7" s="43">
        <v>46028.870729120368</v>
      </c>
    </row>
    <row r="8" spans="1:18" hidden="1">
      <c r="A8">
        <v>690138852002</v>
      </c>
      <c r="B8" t="s">
        <v>2341</v>
      </c>
      <c r="C8">
        <v>660765584502</v>
      </c>
      <c r="D8" t="s">
        <v>1402</v>
      </c>
      <c r="E8" t="s">
        <v>2342</v>
      </c>
      <c r="F8" t="s">
        <v>38</v>
      </c>
      <c r="G8" t="s">
        <v>2337</v>
      </c>
      <c r="H8" t="s">
        <v>2332</v>
      </c>
      <c r="I8" t="s">
        <v>2338</v>
      </c>
      <c r="J8" t="s">
        <v>2338</v>
      </c>
      <c r="K8" t="s">
        <v>2334</v>
      </c>
      <c r="L8" t="s">
        <v>2335</v>
      </c>
      <c r="M8" s="43">
        <v>45328.735019490741</v>
      </c>
      <c r="N8" t="s">
        <v>2338</v>
      </c>
      <c r="O8">
        <v>0</v>
      </c>
      <c r="P8">
        <v>0</v>
      </c>
      <c r="Q8" s="43">
        <v>45943.591712986112</v>
      </c>
      <c r="R8" s="43">
        <v>46028.870729120368</v>
      </c>
    </row>
    <row r="9" spans="1:18" hidden="1">
      <c r="A9">
        <v>690138852002</v>
      </c>
      <c r="B9" t="s">
        <v>2341</v>
      </c>
      <c r="C9">
        <v>690138852002</v>
      </c>
      <c r="D9" t="s">
        <v>2341</v>
      </c>
      <c r="E9" t="s">
        <v>2342</v>
      </c>
      <c r="F9" t="s">
        <v>38</v>
      </c>
      <c r="G9" t="s">
        <v>2337</v>
      </c>
      <c r="H9" t="s">
        <v>2332</v>
      </c>
      <c r="I9" t="s">
        <v>2338</v>
      </c>
      <c r="J9" t="s">
        <v>2338</v>
      </c>
      <c r="K9" t="s">
        <v>2334</v>
      </c>
      <c r="L9" t="s">
        <v>2335</v>
      </c>
      <c r="M9" s="43">
        <v>45328.735019490741</v>
      </c>
      <c r="N9" t="s">
        <v>2338</v>
      </c>
      <c r="O9">
        <v>1</v>
      </c>
      <c r="P9">
        <v>0</v>
      </c>
      <c r="Q9" s="43">
        <v>45943.591702893522</v>
      </c>
      <c r="R9" s="43">
        <v>46028.870729120368</v>
      </c>
    </row>
    <row r="10" spans="1:18">
      <c r="A10">
        <v>101837981602</v>
      </c>
      <c r="B10" t="s">
        <v>746</v>
      </c>
      <c r="C10">
        <v>101837981602</v>
      </c>
      <c r="D10" t="s">
        <v>746</v>
      </c>
      <c r="E10" t="s">
        <v>2344</v>
      </c>
      <c r="F10" t="s">
        <v>37</v>
      </c>
      <c r="G10" t="s">
        <v>2337</v>
      </c>
      <c r="H10" t="s">
        <v>2332</v>
      </c>
      <c r="I10" t="s">
        <v>2333</v>
      </c>
      <c r="J10" t="s">
        <v>2338</v>
      </c>
      <c r="K10" t="s">
        <v>2334</v>
      </c>
      <c r="L10" t="s">
        <v>2335</v>
      </c>
      <c r="M10" s="43">
        <v>45635.500704502316</v>
      </c>
      <c r="N10" t="s">
        <v>2338</v>
      </c>
      <c r="O10">
        <v>0</v>
      </c>
      <c r="P10">
        <v>1</v>
      </c>
      <c r="Q10" s="43">
        <v>45957.822066956018</v>
      </c>
      <c r="R10" s="43">
        <v>46034.772482789354</v>
      </c>
    </row>
    <row r="11" spans="1:18" hidden="1">
      <c r="A11">
        <v>101837981602</v>
      </c>
      <c r="B11" t="s">
        <v>746</v>
      </c>
      <c r="C11">
        <v>131430188302</v>
      </c>
      <c r="D11" t="s">
        <v>2345</v>
      </c>
      <c r="E11" t="s">
        <v>2344</v>
      </c>
      <c r="F11" t="s">
        <v>37</v>
      </c>
      <c r="G11" t="s">
        <v>2337</v>
      </c>
      <c r="H11" t="s">
        <v>2332</v>
      </c>
      <c r="I11" t="s">
        <v>2333</v>
      </c>
      <c r="J11" t="s">
        <v>2338</v>
      </c>
      <c r="K11" t="s">
        <v>2334</v>
      </c>
      <c r="L11" t="s">
        <v>2335</v>
      </c>
      <c r="M11" s="43">
        <v>45635.500704502316</v>
      </c>
      <c r="N11" t="s">
        <v>2338</v>
      </c>
      <c r="O11">
        <v>0</v>
      </c>
      <c r="P11">
        <v>0</v>
      </c>
      <c r="Q11" s="43">
        <v>45957.822067106485</v>
      </c>
      <c r="R11" s="43">
        <v>46034.772482789354</v>
      </c>
    </row>
    <row r="12" spans="1:18" hidden="1">
      <c r="A12">
        <v>101837981602</v>
      </c>
      <c r="B12" t="s">
        <v>746</v>
      </c>
      <c r="C12">
        <v>963780507202</v>
      </c>
      <c r="D12" t="s">
        <v>2346</v>
      </c>
      <c r="E12" t="s">
        <v>2344</v>
      </c>
      <c r="F12" t="s">
        <v>37</v>
      </c>
      <c r="G12" t="s">
        <v>2337</v>
      </c>
      <c r="H12" t="s">
        <v>2332</v>
      </c>
      <c r="I12" t="s">
        <v>2338</v>
      </c>
      <c r="J12" t="s">
        <v>2338</v>
      </c>
      <c r="K12" t="s">
        <v>2334</v>
      </c>
      <c r="L12" t="s">
        <v>2335</v>
      </c>
      <c r="M12" s="43">
        <v>45635.500704502316</v>
      </c>
      <c r="N12" t="s">
        <v>2338</v>
      </c>
      <c r="O12">
        <v>1</v>
      </c>
      <c r="P12">
        <v>0</v>
      </c>
      <c r="Q12" s="43">
        <v>45957.822066655091</v>
      </c>
      <c r="R12" s="43">
        <v>46034.772482789354</v>
      </c>
    </row>
    <row r="13" spans="1:18" hidden="1">
      <c r="A13">
        <v>795323312102</v>
      </c>
      <c r="B13" t="s">
        <v>357</v>
      </c>
      <c r="C13">
        <v>795323312102</v>
      </c>
      <c r="D13" t="s">
        <v>357</v>
      </c>
      <c r="E13" t="s">
        <v>2347</v>
      </c>
      <c r="F13" t="s">
        <v>38</v>
      </c>
      <c r="G13" t="s">
        <v>2337</v>
      </c>
      <c r="H13" t="s">
        <v>2332</v>
      </c>
      <c r="I13" t="s">
        <v>2338</v>
      </c>
      <c r="J13" t="s">
        <v>2338</v>
      </c>
      <c r="K13" t="s">
        <v>2334</v>
      </c>
      <c r="L13" t="s">
        <v>2335</v>
      </c>
      <c r="M13" s="43">
        <v>45530.734853888891</v>
      </c>
      <c r="N13" t="s">
        <v>2338</v>
      </c>
      <c r="O13">
        <v>1</v>
      </c>
      <c r="P13">
        <v>1</v>
      </c>
      <c r="Q13" s="43">
        <v>45943.59172921296</v>
      </c>
      <c r="R13" s="43">
        <v>46057.762673564815</v>
      </c>
    </row>
    <row r="14" spans="1:18">
      <c r="A14">
        <v>836521734602</v>
      </c>
      <c r="B14" t="s">
        <v>2348</v>
      </c>
      <c r="C14">
        <v>836521734602</v>
      </c>
      <c r="D14" t="s">
        <v>2348</v>
      </c>
      <c r="E14" t="s">
        <v>2349</v>
      </c>
      <c r="G14" t="s">
        <v>2331</v>
      </c>
      <c r="H14" t="s">
        <v>2332</v>
      </c>
      <c r="I14" t="s">
        <v>2333</v>
      </c>
      <c r="J14" t="s">
        <v>2333</v>
      </c>
      <c r="K14" t="s">
        <v>2334</v>
      </c>
      <c r="L14" t="s">
        <v>2335</v>
      </c>
      <c r="M14" s="43">
        <v>46049.578235439818</v>
      </c>
      <c r="N14" t="s">
        <v>2333</v>
      </c>
      <c r="O14">
        <v>0</v>
      </c>
      <c r="P14">
        <v>1</v>
      </c>
      <c r="Q14" s="43"/>
      <c r="R14" s="43"/>
    </row>
    <row r="15" spans="1:18">
      <c r="A15">
        <v>1045128782102</v>
      </c>
      <c r="B15" t="s">
        <v>474</v>
      </c>
      <c r="C15">
        <v>1041132329602</v>
      </c>
      <c r="D15" t="s">
        <v>2350</v>
      </c>
      <c r="E15" t="s">
        <v>2351</v>
      </c>
      <c r="F15" t="s">
        <v>37</v>
      </c>
      <c r="G15" t="s">
        <v>2337</v>
      </c>
      <c r="H15" t="s">
        <v>2332</v>
      </c>
      <c r="I15" t="s">
        <v>2338</v>
      </c>
      <c r="J15" t="s">
        <v>2338</v>
      </c>
      <c r="K15" t="s">
        <v>2334</v>
      </c>
      <c r="L15" t="s">
        <v>2335</v>
      </c>
      <c r="M15" s="43">
        <v>45993.768437916668</v>
      </c>
      <c r="N15" t="s">
        <v>2338</v>
      </c>
      <c r="O15">
        <v>0</v>
      </c>
      <c r="P15">
        <v>1</v>
      </c>
      <c r="Q15" s="43">
        <v>45999.716001759261</v>
      </c>
      <c r="R15" s="43">
        <v>46045.785944212963</v>
      </c>
    </row>
    <row r="16" spans="1:18" hidden="1">
      <c r="A16">
        <v>1045128782102</v>
      </c>
      <c r="B16" t="s">
        <v>474</v>
      </c>
      <c r="C16">
        <v>1045128782102</v>
      </c>
      <c r="D16" t="s">
        <v>474</v>
      </c>
      <c r="E16" t="s">
        <v>2351</v>
      </c>
      <c r="F16" t="s">
        <v>37</v>
      </c>
      <c r="G16" t="s">
        <v>2337</v>
      </c>
      <c r="H16" t="s">
        <v>2332</v>
      </c>
      <c r="I16" t="s">
        <v>2338</v>
      </c>
      <c r="J16" t="s">
        <v>2338</v>
      </c>
      <c r="K16" t="s">
        <v>2334</v>
      </c>
      <c r="L16" t="s">
        <v>2335</v>
      </c>
      <c r="M16" s="43">
        <v>45993.768437916668</v>
      </c>
      <c r="N16" t="s">
        <v>2338</v>
      </c>
      <c r="O16">
        <v>1</v>
      </c>
      <c r="P16">
        <v>0</v>
      </c>
      <c r="Q16" s="43">
        <v>45999.716000972221</v>
      </c>
      <c r="R16" s="43">
        <v>46045.785944212963</v>
      </c>
    </row>
    <row r="17" spans="1:18" hidden="1">
      <c r="A17">
        <v>282538163102</v>
      </c>
      <c r="B17" t="s">
        <v>2154</v>
      </c>
      <c r="C17">
        <v>282538163102</v>
      </c>
      <c r="D17" t="s">
        <v>2154</v>
      </c>
      <c r="E17" t="s">
        <v>2352</v>
      </c>
      <c r="F17" t="s">
        <v>40</v>
      </c>
      <c r="G17" t="s">
        <v>2337</v>
      </c>
      <c r="H17" t="s">
        <v>2332</v>
      </c>
      <c r="I17" t="s">
        <v>2338</v>
      </c>
      <c r="J17" t="s">
        <v>2338</v>
      </c>
      <c r="K17" t="s">
        <v>2334</v>
      </c>
      <c r="L17" t="s">
        <v>2335</v>
      </c>
      <c r="M17" s="43">
        <v>45680.539564247687</v>
      </c>
      <c r="N17" t="s">
        <v>2338</v>
      </c>
      <c r="O17">
        <v>1</v>
      </c>
      <c r="P17">
        <v>1</v>
      </c>
      <c r="Q17" s="43">
        <v>45943.591697465279</v>
      </c>
      <c r="R17" s="43"/>
    </row>
    <row r="18" spans="1:18" hidden="1">
      <c r="A18">
        <v>355214089002</v>
      </c>
      <c r="B18" t="s">
        <v>101</v>
      </c>
      <c r="C18">
        <v>355214089002</v>
      </c>
      <c r="D18" t="s">
        <v>101</v>
      </c>
      <c r="E18" t="s">
        <v>2353</v>
      </c>
      <c r="F18" t="s">
        <v>36</v>
      </c>
      <c r="G18" t="s">
        <v>2337</v>
      </c>
      <c r="H18" t="s">
        <v>2332</v>
      </c>
      <c r="I18" t="s">
        <v>2338</v>
      </c>
      <c r="J18" t="s">
        <v>2338</v>
      </c>
      <c r="K18" t="s">
        <v>2334</v>
      </c>
      <c r="L18" t="s">
        <v>2335</v>
      </c>
      <c r="M18" s="43">
        <v>45657.893324363424</v>
      </c>
      <c r="N18" t="s">
        <v>2338</v>
      </c>
      <c r="O18">
        <v>0</v>
      </c>
      <c r="P18">
        <v>1</v>
      </c>
      <c r="Q18" s="43">
        <v>45943.591729780092</v>
      </c>
      <c r="R18" s="43">
        <v>46036.68617064815</v>
      </c>
    </row>
    <row r="19" spans="1:18" hidden="1">
      <c r="A19">
        <v>355214089002</v>
      </c>
      <c r="B19" t="s">
        <v>101</v>
      </c>
      <c r="C19">
        <v>1095970973902</v>
      </c>
      <c r="D19" t="s">
        <v>2354</v>
      </c>
      <c r="E19" t="s">
        <v>2353</v>
      </c>
      <c r="F19" t="s">
        <v>36</v>
      </c>
      <c r="G19" t="s">
        <v>2337</v>
      </c>
      <c r="H19" t="s">
        <v>2332</v>
      </c>
      <c r="I19" t="s">
        <v>2338</v>
      </c>
      <c r="J19" t="s">
        <v>2338</v>
      </c>
      <c r="K19" t="s">
        <v>2334</v>
      </c>
      <c r="L19" t="s">
        <v>2335</v>
      </c>
      <c r="M19" s="43">
        <v>45657.893324363424</v>
      </c>
      <c r="N19" t="s">
        <v>2338</v>
      </c>
      <c r="O19">
        <v>1</v>
      </c>
      <c r="P19">
        <v>0</v>
      </c>
      <c r="Q19" s="43">
        <v>45943.591727754632</v>
      </c>
      <c r="R19" s="43">
        <v>46036.68617064815</v>
      </c>
    </row>
    <row r="20" spans="1:18" hidden="1">
      <c r="A20">
        <v>241419664602</v>
      </c>
      <c r="B20" t="s">
        <v>628</v>
      </c>
      <c r="C20">
        <v>241419664602</v>
      </c>
      <c r="D20" t="s">
        <v>628</v>
      </c>
      <c r="E20" t="s">
        <v>2355</v>
      </c>
      <c r="F20" t="s">
        <v>36</v>
      </c>
      <c r="G20" t="s">
        <v>2337</v>
      </c>
      <c r="H20" t="s">
        <v>2332</v>
      </c>
      <c r="I20" t="s">
        <v>2338</v>
      </c>
      <c r="J20" t="s">
        <v>2338</v>
      </c>
      <c r="K20" t="s">
        <v>2334</v>
      </c>
      <c r="L20" t="s">
        <v>2335</v>
      </c>
      <c r="M20" s="43">
        <v>45957.85332934028</v>
      </c>
      <c r="N20" t="s">
        <v>2338</v>
      </c>
      <c r="O20">
        <v>1</v>
      </c>
      <c r="P20">
        <v>1</v>
      </c>
      <c r="Q20" s="43">
        <v>45978.773304432871</v>
      </c>
      <c r="R20" s="43">
        <v>46028.559697106481</v>
      </c>
    </row>
    <row r="21" spans="1:18">
      <c r="A21">
        <v>481703768002</v>
      </c>
      <c r="B21" t="s">
        <v>258</v>
      </c>
      <c r="C21">
        <v>21230697402</v>
      </c>
      <c r="D21" t="s">
        <v>2356</v>
      </c>
      <c r="E21" t="s">
        <v>2342</v>
      </c>
      <c r="F21" t="s">
        <v>38</v>
      </c>
      <c r="G21" t="s">
        <v>2337</v>
      </c>
      <c r="H21" t="s">
        <v>2332</v>
      </c>
      <c r="I21" t="s">
        <v>2338</v>
      </c>
      <c r="J21" t="s">
        <v>2338</v>
      </c>
      <c r="K21" t="s">
        <v>2334</v>
      </c>
      <c r="L21" t="s">
        <v>2335</v>
      </c>
      <c r="M21" s="43">
        <v>45149.699060763887</v>
      </c>
      <c r="N21" t="s">
        <v>2338</v>
      </c>
      <c r="O21">
        <v>1</v>
      </c>
      <c r="P21">
        <v>1</v>
      </c>
      <c r="Q21" s="43">
        <v>45845.724126446759</v>
      </c>
      <c r="R21" s="43">
        <v>46048.825513692129</v>
      </c>
    </row>
    <row r="22" spans="1:18">
      <c r="A22">
        <v>481703768002</v>
      </c>
      <c r="B22" t="s">
        <v>258</v>
      </c>
      <c r="C22">
        <v>91552422202</v>
      </c>
      <c r="D22" t="s">
        <v>2357</v>
      </c>
      <c r="E22" t="s">
        <v>2342</v>
      </c>
      <c r="F22" t="s">
        <v>38</v>
      </c>
      <c r="G22" t="s">
        <v>2337</v>
      </c>
      <c r="H22" t="s">
        <v>2332</v>
      </c>
      <c r="I22" t="s">
        <v>2338</v>
      </c>
      <c r="J22" t="s">
        <v>2338</v>
      </c>
      <c r="K22" t="s">
        <v>2334</v>
      </c>
      <c r="L22" t="s">
        <v>2335</v>
      </c>
      <c r="M22" s="43">
        <v>45149.699060763887</v>
      </c>
      <c r="N22" t="s">
        <v>2338</v>
      </c>
      <c r="O22">
        <v>0</v>
      </c>
      <c r="P22">
        <v>0</v>
      </c>
      <c r="Q22" s="43">
        <v>45894.779135428238</v>
      </c>
      <c r="R22" s="43">
        <v>46048.825513692129</v>
      </c>
    </row>
    <row r="23" spans="1:18" hidden="1">
      <c r="A23">
        <v>481703768002</v>
      </c>
      <c r="B23" t="s">
        <v>258</v>
      </c>
      <c r="C23">
        <v>395702288202</v>
      </c>
      <c r="D23" t="s">
        <v>2358</v>
      </c>
      <c r="E23" t="s">
        <v>2342</v>
      </c>
      <c r="F23" t="s">
        <v>38</v>
      </c>
      <c r="G23" t="s">
        <v>2337</v>
      </c>
      <c r="H23" t="s">
        <v>2332</v>
      </c>
      <c r="I23" t="s">
        <v>2338</v>
      </c>
      <c r="J23" t="s">
        <v>2338</v>
      </c>
      <c r="K23" t="s">
        <v>2334</v>
      </c>
      <c r="L23" t="s">
        <v>2335</v>
      </c>
      <c r="M23" s="43">
        <v>45149.699060763887</v>
      </c>
      <c r="N23" t="s">
        <v>2338</v>
      </c>
      <c r="O23">
        <v>0</v>
      </c>
      <c r="P23">
        <v>0</v>
      </c>
      <c r="Q23" s="43">
        <v>45894.779136064812</v>
      </c>
      <c r="R23" s="43">
        <v>46048.825513692129</v>
      </c>
    </row>
    <row r="24" spans="1:18" hidden="1">
      <c r="A24">
        <v>481703768002</v>
      </c>
      <c r="B24" t="s">
        <v>258</v>
      </c>
      <c r="C24">
        <v>481703768002</v>
      </c>
      <c r="D24" t="s">
        <v>258</v>
      </c>
      <c r="E24" t="s">
        <v>2342</v>
      </c>
      <c r="F24" t="s">
        <v>38</v>
      </c>
      <c r="G24" t="s">
        <v>2337</v>
      </c>
      <c r="H24" t="s">
        <v>2332</v>
      </c>
      <c r="I24" t="s">
        <v>2338</v>
      </c>
      <c r="J24" t="s">
        <v>2338</v>
      </c>
      <c r="K24" t="s">
        <v>2334</v>
      </c>
      <c r="L24" t="s">
        <v>2335</v>
      </c>
      <c r="M24" s="43">
        <v>45149.699060763887</v>
      </c>
      <c r="N24" t="s">
        <v>2338</v>
      </c>
      <c r="O24">
        <v>0</v>
      </c>
      <c r="P24">
        <v>0</v>
      </c>
      <c r="Q24" s="43">
        <v>45894.779135659723</v>
      </c>
      <c r="R24" s="43">
        <v>46048.825513692129</v>
      </c>
    </row>
    <row r="25" spans="1:18" hidden="1">
      <c r="A25">
        <v>481703768002</v>
      </c>
      <c r="B25" t="s">
        <v>258</v>
      </c>
      <c r="C25">
        <v>621619033302</v>
      </c>
      <c r="D25" t="s">
        <v>2359</v>
      </c>
      <c r="E25" t="s">
        <v>2342</v>
      </c>
      <c r="F25" t="s">
        <v>38</v>
      </c>
      <c r="G25" t="s">
        <v>2337</v>
      </c>
      <c r="H25" t="s">
        <v>2332</v>
      </c>
      <c r="I25" t="s">
        <v>2338</v>
      </c>
      <c r="J25" t="s">
        <v>2338</v>
      </c>
      <c r="K25" t="s">
        <v>2334</v>
      </c>
      <c r="L25" t="s">
        <v>2335</v>
      </c>
      <c r="M25" s="43">
        <v>45149.699060763887</v>
      </c>
      <c r="N25" t="s">
        <v>2338</v>
      </c>
      <c r="O25">
        <v>0</v>
      </c>
      <c r="P25">
        <v>0</v>
      </c>
      <c r="Q25" s="43">
        <v>45894.77913574074</v>
      </c>
      <c r="R25" s="43">
        <v>46048.825513692129</v>
      </c>
    </row>
    <row r="26" spans="1:18" hidden="1">
      <c r="A26">
        <v>24928216102</v>
      </c>
      <c r="B26" t="s">
        <v>2360</v>
      </c>
      <c r="C26">
        <v>24928216102</v>
      </c>
      <c r="D26" t="s">
        <v>2360</v>
      </c>
      <c r="E26" t="s">
        <v>2361</v>
      </c>
      <c r="F26" t="s">
        <v>40</v>
      </c>
      <c r="G26" t="s">
        <v>2337</v>
      </c>
      <c r="H26" t="s">
        <v>2332</v>
      </c>
      <c r="I26" t="s">
        <v>2338</v>
      </c>
      <c r="J26" t="s">
        <v>2338</v>
      </c>
      <c r="K26" t="s">
        <v>2334</v>
      </c>
      <c r="L26" t="s">
        <v>2335</v>
      </c>
      <c r="M26" s="43">
        <v>45957.873490925929</v>
      </c>
      <c r="N26" t="s">
        <v>2338</v>
      </c>
      <c r="O26">
        <v>1</v>
      </c>
      <c r="P26">
        <v>1</v>
      </c>
      <c r="Q26" s="43">
        <v>45978.773304490744</v>
      </c>
      <c r="R26" s="43">
        <v>46027.497414606485</v>
      </c>
    </row>
    <row r="27" spans="1:18" hidden="1">
      <c r="A27">
        <v>351067276502</v>
      </c>
      <c r="B27" t="s">
        <v>284</v>
      </c>
      <c r="C27">
        <v>351067276502</v>
      </c>
      <c r="D27" t="s">
        <v>284</v>
      </c>
      <c r="E27" t="s">
        <v>2362</v>
      </c>
      <c r="F27" t="s">
        <v>39</v>
      </c>
      <c r="G27" t="s">
        <v>2337</v>
      </c>
      <c r="H27" t="s">
        <v>2332</v>
      </c>
      <c r="I27" t="s">
        <v>2338</v>
      </c>
      <c r="J27" t="s">
        <v>2338</v>
      </c>
      <c r="K27" t="s">
        <v>2334</v>
      </c>
      <c r="L27" t="s">
        <v>2335</v>
      </c>
      <c r="M27" s="43">
        <v>45980.832010798615</v>
      </c>
      <c r="N27" t="s">
        <v>2338</v>
      </c>
      <c r="O27">
        <v>1</v>
      </c>
      <c r="P27">
        <v>1</v>
      </c>
      <c r="Q27" s="43">
        <v>45985.779980879626</v>
      </c>
      <c r="R27" s="43"/>
    </row>
    <row r="28" spans="1:18" hidden="1">
      <c r="A28">
        <v>24663245702</v>
      </c>
      <c r="B28" t="s">
        <v>1834</v>
      </c>
      <c r="C28">
        <v>24663245702</v>
      </c>
      <c r="D28" t="s">
        <v>1834</v>
      </c>
      <c r="E28" t="s">
        <v>2363</v>
      </c>
      <c r="F28" t="s">
        <v>40</v>
      </c>
      <c r="G28" t="s">
        <v>2337</v>
      </c>
      <c r="H28" t="s">
        <v>2332</v>
      </c>
      <c r="I28" t="s">
        <v>2338</v>
      </c>
      <c r="J28" t="s">
        <v>2338</v>
      </c>
      <c r="K28" t="s">
        <v>2334</v>
      </c>
      <c r="L28" t="s">
        <v>2335</v>
      </c>
      <c r="M28" s="43">
        <v>46078.900239374998</v>
      </c>
      <c r="N28" t="s">
        <v>2338</v>
      </c>
      <c r="O28">
        <v>1</v>
      </c>
      <c r="P28">
        <v>1</v>
      </c>
      <c r="Q28" s="43">
        <v>46086.559630925927</v>
      </c>
      <c r="R28" s="43"/>
    </row>
    <row r="29" spans="1:18" hidden="1">
      <c r="A29">
        <v>24663245702</v>
      </c>
      <c r="B29" t="s">
        <v>1834</v>
      </c>
      <c r="C29">
        <v>702866446802</v>
      </c>
      <c r="D29" t="s">
        <v>1837</v>
      </c>
      <c r="E29" t="s">
        <v>2363</v>
      </c>
      <c r="F29" t="s">
        <v>40</v>
      </c>
      <c r="G29" t="s">
        <v>2337</v>
      </c>
      <c r="H29" t="s">
        <v>2332</v>
      </c>
      <c r="I29" t="s">
        <v>2338</v>
      </c>
      <c r="J29" t="s">
        <v>2338</v>
      </c>
      <c r="K29" t="s">
        <v>2334</v>
      </c>
      <c r="L29" t="s">
        <v>2335</v>
      </c>
      <c r="M29" s="43">
        <v>46078.900239374998</v>
      </c>
      <c r="N29" t="s">
        <v>2338</v>
      </c>
      <c r="O29">
        <v>0</v>
      </c>
      <c r="P29">
        <v>0</v>
      </c>
      <c r="Q29" s="43">
        <v>46086.559630925927</v>
      </c>
      <c r="R29" s="43"/>
    </row>
    <row r="30" spans="1:18" hidden="1">
      <c r="A30">
        <v>434163431202</v>
      </c>
      <c r="B30" t="s">
        <v>1258</v>
      </c>
      <c r="C30">
        <v>291732783002</v>
      </c>
      <c r="D30" t="s">
        <v>1261</v>
      </c>
      <c r="E30" t="s">
        <v>2364</v>
      </c>
      <c r="F30" t="s">
        <v>37</v>
      </c>
      <c r="G30" t="s">
        <v>2337</v>
      </c>
      <c r="H30" t="s">
        <v>2332</v>
      </c>
      <c r="I30" t="s">
        <v>2338</v>
      </c>
      <c r="J30" t="s">
        <v>2338</v>
      </c>
      <c r="K30" t="s">
        <v>2334</v>
      </c>
      <c r="L30" t="s">
        <v>2335</v>
      </c>
      <c r="M30" s="43">
        <v>45680.748249826385</v>
      </c>
      <c r="N30" t="s">
        <v>2338</v>
      </c>
      <c r="O30">
        <v>0</v>
      </c>
      <c r="P30">
        <v>1</v>
      </c>
      <c r="Q30" s="43">
        <v>45943.591709548615</v>
      </c>
      <c r="R30" s="43">
        <v>46044.749972546299</v>
      </c>
    </row>
    <row r="31" spans="1:18" hidden="1">
      <c r="A31">
        <v>434163431202</v>
      </c>
      <c r="B31" t="s">
        <v>1258</v>
      </c>
      <c r="C31">
        <v>434163431202</v>
      </c>
      <c r="D31" t="s">
        <v>1258</v>
      </c>
      <c r="E31" t="s">
        <v>2364</v>
      </c>
      <c r="F31" t="s">
        <v>37</v>
      </c>
      <c r="G31" t="s">
        <v>2337</v>
      </c>
      <c r="H31" t="s">
        <v>2332</v>
      </c>
      <c r="I31" t="s">
        <v>2338</v>
      </c>
      <c r="J31" t="s">
        <v>2338</v>
      </c>
      <c r="K31" t="s">
        <v>2334</v>
      </c>
      <c r="L31" t="s">
        <v>2335</v>
      </c>
      <c r="M31" s="43">
        <v>45680.748249826385</v>
      </c>
      <c r="N31" t="s">
        <v>2338</v>
      </c>
      <c r="O31">
        <v>1</v>
      </c>
      <c r="P31">
        <v>0</v>
      </c>
      <c r="Q31" s="43">
        <v>45943.59170247685</v>
      </c>
      <c r="R31" s="43">
        <v>46044.749972546299</v>
      </c>
    </row>
    <row r="32" spans="1:18" hidden="1">
      <c r="A32">
        <v>687037975702</v>
      </c>
      <c r="B32" t="s">
        <v>171</v>
      </c>
      <c r="C32">
        <v>687037975702</v>
      </c>
      <c r="D32" t="s">
        <v>171</v>
      </c>
      <c r="E32" t="s">
        <v>2364</v>
      </c>
      <c r="F32" t="s">
        <v>37</v>
      </c>
      <c r="G32" t="s">
        <v>2337</v>
      </c>
      <c r="H32" t="s">
        <v>2332</v>
      </c>
      <c r="I32" t="s">
        <v>2338</v>
      </c>
      <c r="J32" t="s">
        <v>2338</v>
      </c>
      <c r="K32" t="s">
        <v>2334</v>
      </c>
      <c r="L32" t="s">
        <v>2335</v>
      </c>
      <c r="M32" s="43">
        <v>45953.721278078701</v>
      </c>
      <c r="N32" t="s">
        <v>2338</v>
      </c>
      <c r="O32">
        <v>1</v>
      </c>
      <c r="P32">
        <v>1</v>
      </c>
      <c r="Q32" s="43">
        <v>45966.733635046294</v>
      </c>
      <c r="R32" s="43">
        <v>46029.848309710651</v>
      </c>
    </row>
    <row r="33" spans="1:18" hidden="1">
      <c r="A33">
        <v>487573149502</v>
      </c>
      <c r="B33" t="s">
        <v>244</v>
      </c>
      <c r="C33">
        <v>487573149502</v>
      </c>
      <c r="D33" t="s">
        <v>244</v>
      </c>
      <c r="E33" t="s">
        <v>2347</v>
      </c>
      <c r="G33" t="s">
        <v>2331</v>
      </c>
      <c r="H33" t="s">
        <v>2332</v>
      </c>
      <c r="I33" t="s">
        <v>2333</v>
      </c>
      <c r="J33" t="s">
        <v>2333</v>
      </c>
      <c r="K33" t="s">
        <v>2334</v>
      </c>
      <c r="L33" t="s">
        <v>2335</v>
      </c>
      <c r="M33" s="43">
        <v>45674.733904918983</v>
      </c>
      <c r="N33" t="s">
        <v>2333</v>
      </c>
      <c r="O33">
        <v>0</v>
      </c>
      <c r="P33">
        <v>1</v>
      </c>
      <c r="Q33" s="43"/>
      <c r="R33" s="43"/>
    </row>
    <row r="34" spans="1:18" hidden="1">
      <c r="A34">
        <v>617231255902</v>
      </c>
      <c r="B34" t="s">
        <v>2365</v>
      </c>
      <c r="C34">
        <v>617214756102</v>
      </c>
      <c r="D34" t="s">
        <v>2365</v>
      </c>
      <c r="E34" t="s">
        <v>2362</v>
      </c>
      <c r="F34" t="s">
        <v>39</v>
      </c>
      <c r="G34" t="s">
        <v>2337</v>
      </c>
      <c r="H34" t="s">
        <v>2332</v>
      </c>
      <c r="I34" t="s">
        <v>2338</v>
      </c>
      <c r="J34" t="s">
        <v>2338</v>
      </c>
      <c r="K34" t="s">
        <v>2334</v>
      </c>
      <c r="L34" t="s">
        <v>2335</v>
      </c>
      <c r="M34" s="43">
        <v>46017.740552986113</v>
      </c>
      <c r="N34" t="s">
        <v>2338</v>
      </c>
      <c r="O34">
        <v>1</v>
      </c>
      <c r="P34">
        <v>1</v>
      </c>
      <c r="Q34" s="43">
        <v>46031.76359855324</v>
      </c>
      <c r="R34" s="43"/>
    </row>
    <row r="35" spans="1:18" hidden="1">
      <c r="A35">
        <v>582151058602</v>
      </c>
      <c r="B35" t="s">
        <v>2294</v>
      </c>
      <c r="C35">
        <v>582151058602</v>
      </c>
      <c r="D35" t="s">
        <v>2294</v>
      </c>
      <c r="E35" t="s">
        <v>2366</v>
      </c>
      <c r="G35" t="s">
        <v>2331</v>
      </c>
      <c r="H35" t="s">
        <v>2332</v>
      </c>
      <c r="I35" t="s">
        <v>2333</v>
      </c>
      <c r="J35" t="s">
        <v>2333</v>
      </c>
      <c r="K35" t="s">
        <v>2334</v>
      </c>
      <c r="L35" t="s">
        <v>2335</v>
      </c>
      <c r="M35" s="43">
        <v>45320.573098090281</v>
      </c>
      <c r="N35" t="s">
        <v>2333</v>
      </c>
      <c r="O35">
        <v>0</v>
      </c>
      <c r="P35">
        <v>1</v>
      </c>
      <c r="Q35" s="43"/>
      <c r="R35" s="43"/>
    </row>
    <row r="36" spans="1:18" hidden="1">
      <c r="A36">
        <v>582151058602</v>
      </c>
      <c r="B36" t="s">
        <v>2294</v>
      </c>
      <c r="C36">
        <v>629116898602</v>
      </c>
      <c r="D36" t="s">
        <v>2367</v>
      </c>
      <c r="E36" t="s">
        <v>2366</v>
      </c>
      <c r="G36" t="s">
        <v>2331</v>
      </c>
      <c r="H36" t="s">
        <v>2332</v>
      </c>
      <c r="I36" t="s">
        <v>2333</v>
      </c>
      <c r="J36" t="s">
        <v>2333</v>
      </c>
      <c r="K36" t="s">
        <v>2334</v>
      </c>
      <c r="L36" t="s">
        <v>2335</v>
      </c>
      <c r="M36" s="43">
        <v>45320.573098090281</v>
      </c>
      <c r="N36" t="s">
        <v>2333</v>
      </c>
      <c r="O36">
        <v>0</v>
      </c>
      <c r="P36">
        <v>0</v>
      </c>
      <c r="Q36" s="43"/>
      <c r="R36" s="43"/>
    </row>
    <row r="37" spans="1:18" hidden="1">
      <c r="A37">
        <v>16116314302</v>
      </c>
      <c r="B37" t="s">
        <v>1654</v>
      </c>
      <c r="C37">
        <v>16116314302</v>
      </c>
      <c r="D37" t="s">
        <v>1654</v>
      </c>
      <c r="E37" t="s">
        <v>2336</v>
      </c>
      <c r="F37" t="s">
        <v>39</v>
      </c>
      <c r="G37" t="s">
        <v>2337</v>
      </c>
      <c r="H37" t="s">
        <v>2332</v>
      </c>
      <c r="I37" t="s">
        <v>2338</v>
      </c>
      <c r="J37" t="s">
        <v>2338</v>
      </c>
      <c r="K37" t="s">
        <v>2334</v>
      </c>
      <c r="L37" t="s">
        <v>2335</v>
      </c>
      <c r="M37" s="43">
        <v>45369.968110486108</v>
      </c>
      <c r="N37" t="s">
        <v>2338</v>
      </c>
      <c r="O37">
        <v>1</v>
      </c>
      <c r="P37">
        <v>1</v>
      </c>
      <c r="Q37" s="43">
        <v>45845.724122847219</v>
      </c>
    </row>
    <row r="38" spans="1:18" hidden="1">
      <c r="A38">
        <v>16116314302</v>
      </c>
      <c r="B38" t="s">
        <v>1654</v>
      </c>
      <c r="C38">
        <v>1206694354402</v>
      </c>
      <c r="D38" t="s">
        <v>2368</v>
      </c>
      <c r="E38" t="s">
        <v>2336</v>
      </c>
      <c r="F38" t="s">
        <v>39</v>
      </c>
      <c r="G38" t="s">
        <v>2337</v>
      </c>
      <c r="H38" t="s">
        <v>2332</v>
      </c>
      <c r="I38" t="s">
        <v>2338</v>
      </c>
      <c r="J38" t="s">
        <v>2338</v>
      </c>
      <c r="K38" t="s">
        <v>2334</v>
      </c>
      <c r="L38" t="s">
        <v>2335</v>
      </c>
      <c r="M38" s="43">
        <v>45369.968110486108</v>
      </c>
      <c r="N38" t="s">
        <v>2338</v>
      </c>
      <c r="O38">
        <v>0</v>
      </c>
      <c r="P38">
        <v>0</v>
      </c>
      <c r="Q38" s="43">
        <v>46093.692644849536</v>
      </c>
    </row>
    <row r="39" spans="1:18" hidden="1">
      <c r="A39">
        <v>302130688502</v>
      </c>
      <c r="B39" t="s">
        <v>991</v>
      </c>
      <c r="C39">
        <v>302130688502</v>
      </c>
      <c r="D39" t="s">
        <v>991</v>
      </c>
      <c r="E39" t="s">
        <v>2369</v>
      </c>
      <c r="G39" t="s">
        <v>2331</v>
      </c>
      <c r="H39" t="s">
        <v>2332</v>
      </c>
      <c r="I39" t="s">
        <v>2333</v>
      </c>
      <c r="J39" t="s">
        <v>2333</v>
      </c>
      <c r="K39" t="s">
        <v>2334</v>
      </c>
      <c r="L39" t="s">
        <v>2335</v>
      </c>
      <c r="M39" s="43">
        <v>45930.889161087965</v>
      </c>
      <c r="N39" t="s">
        <v>2333</v>
      </c>
      <c r="O39">
        <v>0</v>
      </c>
      <c r="P39">
        <v>1</v>
      </c>
      <c r="Q39" s="43"/>
      <c r="R39" s="43"/>
    </row>
    <row r="40" spans="1:18">
      <c r="A40">
        <v>302130688502</v>
      </c>
      <c r="B40" t="s">
        <v>991</v>
      </c>
      <c r="C40">
        <v>390767362702</v>
      </c>
      <c r="D40" t="s">
        <v>2370</v>
      </c>
      <c r="E40" t="s">
        <v>2369</v>
      </c>
      <c r="G40" t="s">
        <v>2331</v>
      </c>
      <c r="H40" t="s">
        <v>2332</v>
      </c>
      <c r="I40" t="s">
        <v>2333</v>
      </c>
      <c r="J40" t="s">
        <v>2333</v>
      </c>
      <c r="K40" t="s">
        <v>2334</v>
      </c>
      <c r="L40" t="s">
        <v>2335</v>
      </c>
      <c r="M40" s="43">
        <v>45930.889161087965</v>
      </c>
      <c r="N40" t="s">
        <v>2333</v>
      </c>
      <c r="O40">
        <v>0</v>
      </c>
      <c r="P40">
        <v>0</v>
      </c>
      <c r="Q40" s="43"/>
      <c r="R40" s="43"/>
    </row>
    <row r="41" spans="1:18">
      <c r="A41">
        <v>302130688502</v>
      </c>
      <c r="B41" t="s">
        <v>991</v>
      </c>
      <c r="C41">
        <v>480001006102</v>
      </c>
      <c r="D41" t="s">
        <v>2371</v>
      </c>
      <c r="E41" t="s">
        <v>2369</v>
      </c>
      <c r="G41" t="s">
        <v>2331</v>
      </c>
      <c r="H41" t="s">
        <v>2332</v>
      </c>
      <c r="I41" t="s">
        <v>2333</v>
      </c>
      <c r="J41" t="s">
        <v>2333</v>
      </c>
      <c r="K41" t="s">
        <v>2334</v>
      </c>
      <c r="L41" t="s">
        <v>2335</v>
      </c>
      <c r="M41" s="43">
        <v>45930.889161087965</v>
      </c>
      <c r="N41" t="s">
        <v>2333</v>
      </c>
      <c r="O41">
        <v>0</v>
      </c>
      <c r="P41">
        <v>0</v>
      </c>
      <c r="Q41" s="43"/>
      <c r="R41" s="43"/>
    </row>
    <row r="42" spans="1:18">
      <c r="A42">
        <v>1096087678002</v>
      </c>
      <c r="B42" t="s">
        <v>2372</v>
      </c>
      <c r="C42">
        <v>731694233402</v>
      </c>
      <c r="D42" t="s">
        <v>2373</v>
      </c>
      <c r="E42" t="s">
        <v>2351</v>
      </c>
      <c r="F42" t="s">
        <v>37</v>
      </c>
      <c r="G42" t="s">
        <v>2337</v>
      </c>
      <c r="H42" t="s">
        <v>2332</v>
      </c>
      <c r="I42" t="s">
        <v>2338</v>
      </c>
      <c r="J42" t="s">
        <v>2338</v>
      </c>
      <c r="K42" t="s">
        <v>2334</v>
      </c>
      <c r="L42" t="s">
        <v>2335</v>
      </c>
      <c r="M42" s="43">
        <v>46031.516346481483</v>
      </c>
      <c r="N42" t="s">
        <v>2338</v>
      </c>
      <c r="O42">
        <v>0</v>
      </c>
      <c r="P42">
        <v>1</v>
      </c>
      <c r="Q42" s="43">
        <v>46036.57911716435</v>
      </c>
      <c r="R42" s="43">
        <v>46037.828424525462</v>
      </c>
    </row>
    <row r="43" spans="1:18">
      <c r="A43">
        <v>1096087678002</v>
      </c>
      <c r="B43" t="s">
        <v>2372</v>
      </c>
      <c r="C43">
        <v>845246523302</v>
      </c>
      <c r="D43" t="s">
        <v>2374</v>
      </c>
      <c r="E43" t="s">
        <v>2351</v>
      </c>
      <c r="F43" t="s">
        <v>37</v>
      </c>
      <c r="G43" t="s">
        <v>2337</v>
      </c>
      <c r="H43" t="s">
        <v>2332</v>
      </c>
      <c r="I43" t="s">
        <v>2338</v>
      </c>
      <c r="J43" t="s">
        <v>2338</v>
      </c>
      <c r="K43" t="s">
        <v>2334</v>
      </c>
      <c r="L43" t="s">
        <v>2335</v>
      </c>
      <c r="M43" s="43">
        <v>46031.516346481483</v>
      </c>
      <c r="N43" t="s">
        <v>2338</v>
      </c>
      <c r="O43">
        <v>0</v>
      </c>
      <c r="P43">
        <v>0</v>
      </c>
      <c r="Q43" s="43">
        <v>46050.81604578704</v>
      </c>
      <c r="R43" s="43">
        <v>46037.828424525462</v>
      </c>
    </row>
    <row r="44" spans="1:18">
      <c r="A44">
        <v>1096087678002</v>
      </c>
      <c r="B44" t="s">
        <v>2372</v>
      </c>
      <c r="C44">
        <v>1096087678002</v>
      </c>
      <c r="D44" t="s">
        <v>2372</v>
      </c>
      <c r="E44" t="s">
        <v>2351</v>
      </c>
      <c r="F44" t="s">
        <v>37</v>
      </c>
      <c r="G44" t="s">
        <v>2337</v>
      </c>
      <c r="H44" t="s">
        <v>2332</v>
      </c>
      <c r="I44" t="s">
        <v>2338</v>
      </c>
      <c r="J44" t="s">
        <v>2338</v>
      </c>
      <c r="K44" t="s">
        <v>2334</v>
      </c>
      <c r="L44" t="s">
        <v>2335</v>
      </c>
      <c r="M44" s="43">
        <v>46031.516346481483</v>
      </c>
      <c r="N44" t="s">
        <v>2338</v>
      </c>
      <c r="O44">
        <v>1</v>
      </c>
      <c r="P44">
        <v>0</v>
      </c>
      <c r="Q44" s="43">
        <v>46036.579116793982</v>
      </c>
      <c r="R44" s="43">
        <v>46037.828424525462</v>
      </c>
    </row>
    <row r="45" spans="1:18" hidden="1">
      <c r="A45">
        <v>125288528002</v>
      </c>
      <c r="B45" t="s">
        <v>668</v>
      </c>
      <c r="C45">
        <v>125288528002</v>
      </c>
      <c r="D45" t="s">
        <v>668</v>
      </c>
      <c r="E45" t="s">
        <v>2344</v>
      </c>
      <c r="F45" t="s">
        <v>37</v>
      </c>
      <c r="G45" t="s">
        <v>2337</v>
      </c>
      <c r="H45" t="s">
        <v>2332</v>
      </c>
      <c r="I45" t="s">
        <v>2338</v>
      </c>
      <c r="J45" t="s">
        <v>2338</v>
      </c>
      <c r="K45" t="s">
        <v>2334</v>
      </c>
      <c r="L45" t="s">
        <v>2335</v>
      </c>
      <c r="M45" s="43">
        <v>45895.590288796295</v>
      </c>
      <c r="N45" t="s">
        <v>2338</v>
      </c>
      <c r="O45">
        <v>1</v>
      </c>
      <c r="P45">
        <v>1</v>
      </c>
      <c r="Q45" s="43">
        <v>45943.59171390046</v>
      </c>
      <c r="R45" s="43">
        <v>46030.570456307869</v>
      </c>
    </row>
    <row r="46" spans="1:18" hidden="1">
      <c r="A46">
        <v>625725137302</v>
      </c>
      <c r="B46" t="s">
        <v>1537</v>
      </c>
      <c r="C46">
        <v>575629095302</v>
      </c>
      <c r="D46" t="s">
        <v>2375</v>
      </c>
      <c r="E46" t="s">
        <v>2364</v>
      </c>
      <c r="F46" t="s">
        <v>37</v>
      </c>
      <c r="G46" t="s">
        <v>2337</v>
      </c>
      <c r="H46" t="s">
        <v>2332</v>
      </c>
      <c r="I46" t="s">
        <v>2338</v>
      </c>
      <c r="J46" t="s">
        <v>2338</v>
      </c>
      <c r="K46" t="s">
        <v>2334</v>
      </c>
      <c r="L46" t="s">
        <v>2335</v>
      </c>
      <c r="M46" s="43">
        <v>45287.021905567133</v>
      </c>
      <c r="N46" t="s">
        <v>2338</v>
      </c>
      <c r="O46">
        <v>0</v>
      </c>
      <c r="P46">
        <v>1</v>
      </c>
      <c r="Q46" s="43">
        <v>45943.591700150464</v>
      </c>
      <c r="R46" s="43">
        <v>46029.859358263886</v>
      </c>
    </row>
    <row r="47" spans="1:18" hidden="1">
      <c r="A47">
        <v>625725137302</v>
      </c>
      <c r="B47" t="s">
        <v>1537</v>
      </c>
      <c r="C47">
        <v>625725137302</v>
      </c>
      <c r="D47" t="s">
        <v>1537</v>
      </c>
      <c r="E47" t="s">
        <v>2364</v>
      </c>
      <c r="F47" t="s">
        <v>37</v>
      </c>
      <c r="G47" t="s">
        <v>2337</v>
      </c>
      <c r="H47" t="s">
        <v>2332</v>
      </c>
      <c r="I47" t="s">
        <v>2338</v>
      </c>
      <c r="J47" t="s">
        <v>2338</v>
      </c>
      <c r="K47" t="s">
        <v>2334</v>
      </c>
      <c r="L47" t="s">
        <v>2335</v>
      </c>
      <c r="M47" s="43">
        <v>45287.021905567133</v>
      </c>
      <c r="N47" t="s">
        <v>2338</v>
      </c>
      <c r="O47">
        <v>1</v>
      </c>
      <c r="P47">
        <v>0</v>
      </c>
      <c r="Q47" s="43">
        <v>45845.72412554398</v>
      </c>
      <c r="R47" s="43">
        <v>46029.859358263886</v>
      </c>
    </row>
    <row r="48" spans="1:18">
      <c r="A48">
        <v>625725137302</v>
      </c>
      <c r="B48" t="s">
        <v>1537</v>
      </c>
      <c r="C48">
        <v>810505986102</v>
      </c>
      <c r="D48" t="s">
        <v>2376</v>
      </c>
      <c r="E48" t="s">
        <v>2364</v>
      </c>
      <c r="F48" t="s">
        <v>37</v>
      </c>
      <c r="G48" t="s">
        <v>2337</v>
      </c>
      <c r="H48" t="s">
        <v>2332</v>
      </c>
      <c r="I48" t="s">
        <v>2338</v>
      </c>
      <c r="J48" t="s">
        <v>2338</v>
      </c>
      <c r="K48" t="s">
        <v>2334</v>
      </c>
      <c r="L48" t="s">
        <v>2335</v>
      </c>
      <c r="M48" s="43">
        <v>45287.021905567133</v>
      </c>
      <c r="N48" t="s">
        <v>2338</v>
      </c>
      <c r="O48">
        <v>0</v>
      </c>
      <c r="P48">
        <v>0</v>
      </c>
      <c r="Q48" s="43">
        <v>45845.724125983797</v>
      </c>
      <c r="R48" s="43">
        <v>46029.859358263886</v>
      </c>
    </row>
    <row r="49" spans="1:18">
      <c r="A49">
        <v>637388064002</v>
      </c>
      <c r="B49" t="s">
        <v>2377</v>
      </c>
      <c r="C49">
        <v>637388064002</v>
      </c>
      <c r="D49" t="s">
        <v>2377</v>
      </c>
      <c r="E49" t="s">
        <v>2378</v>
      </c>
      <c r="F49" t="s">
        <v>36</v>
      </c>
      <c r="G49" t="s">
        <v>2337</v>
      </c>
      <c r="H49" t="s">
        <v>2332</v>
      </c>
      <c r="I49" t="s">
        <v>2338</v>
      </c>
      <c r="J49" t="s">
        <v>2338</v>
      </c>
      <c r="K49" t="s">
        <v>2334</v>
      </c>
      <c r="L49" t="s">
        <v>2335</v>
      </c>
      <c r="M49" s="43">
        <v>46037.863031898145</v>
      </c>
      <c r="N49" t="s">
        <v>2338</v>
      </c>
      <c r="O49">
        <v>1</v>
      </c>
      <c r="P49">
        <v>1</v>
      </c>
      <c r="Q49" s="43">
        <v>46052.77227908565</v>
      </c>
    </row>
    <row r="50" spans="1:18">
      <c r="A50">
        <v>637388064002</v>
      </c>
      <c r="B50" t="s">
        <v>2377</v>
      </c>
      <c r="C50">
        <v>637388064002</v>
      </c>
      <c r="D50" t="s">
        <v>2377</v>
      </c>
      <c r="E50" t="s">
        <v>2378</v>
      </c>
      <c r="F50" t="s">
        <v>36</v>
      </c>
      <c r="G50" t="s">
        <v>2337</v>
      </c>
      <c r="H50" t="s">
        <v>2332</v>
      </c>
      <c r="I50" t="s">
        <v>2338</v>
      </c>
      <c r="J50" t="s">
        <v>2338</v>
      </c>
      <c r="K50" t="s">
        <v>2334</v>
      </c>
      <c r="L50" t="s">
        <v>2335</v>
      </c>
      <c r="M50" s="43">
        <v>46037.863031898145</v>
      </c>
      <c r="N50" t="s">
        <v>2338</v>
      </c>
      <c r="O50">
        <v>0</v>
      </c>
      <c r="P50">
        <v>0</v>
      </c>
      <c r="Q50" s="43">
        <v>46052.772279409721</v>
      </c>
    </row>
    <row r="51" spans="1:18" hidden="1">
      <c r="A51">
        <v>322287200702</v>
      </c>
      <c r="B51" t="s">
        <v>2253</v>
      </c>
      <c r="C51">
        <v>322287200702</v>
      </c>
      <c r="D51" t="s">
        <v>2253</v>
      </c>
      <c r="E51" t="s">
        <v>2379</v>
      </c>
      <c r="F51" t="s">
        <v>38</v>
      </c>
      <c r="G51" t="s">
        <v>2337</v>
      </c>
      <c r="H51" t="s">
        <v>2332</v>
      </c>
      <c r="I51" t="s">
        <v>2338</v>
      </c>
      <c r="J51" t="s">
        <v>2338</v>
      </c>
      <c r="K51" t="s">
        <v>2334</v>
      </c>
      <c r="L51" t="s">
        <v>2335</v>
      </c>
      <c r="M51" s="43">
        <v>45680.535473043979</v>
      </c>
      <c r="N51" t="s">
        <v>2338</v>
      </c>
      <c r="O51">
        <v>0</v>
      </c>
      <c r="P51">
        <v>1</v>
      </c>
      <c r="Q51" s="43">
        <v>45943.591729513886</v>
      </c>
      <c r="R51" s="43"/>
    </row>
    <row r="52" spans="1:18" hidden="1">
      <c r="A52">
        <v>322287200702</v>
      </c>
      <c r="B52" t="s">
        <v>2253</v>
      </c>
      <c r="C52">
        <v>398869765802</v>
      </c>
      <c r="D52" t="s">
        <v>2380</v>
      </c>
      <c r="E52" t="s">
        <v>2379</v>
      </c>
      <c r="F52" t="s">
        <v>38</v>
      </c>
      <c r="G52" t="s">
        <v>2337</v>
      </c>
      <c r="H52" t="s">
        <v>2332</v>
      </c>
      <c r="I52" t="s">
        <v>2338</v>
      </c>
      <c r="J52" t="s">
        <v>2338</v>
      </c>
      <c r="K52" t="s">
        <v>2334</v>
      </c>
      <c r="L52" t="s">
        <v>2335</v>
      </c>
      <c r="M52" s="43">
        <v>45680.535473043979</v>
      </c>
      <c r="N52" t="s">
        <v>2338</v>
      </c>
      <c r="O52">
        <v>1</v>
      </c>
      <c r="P52">
        <v>0</v>
      </c>
      <c r="Q52" s="43">
        <v>45943.59172689815</v>
      </c>
      <c r="R52" s="43"/>
    </row>
    <row r="53" spans="1:18" hidden="1">
      <c r="A53">
        <v>395118894802</v>
      </c>
      <c r="B53" t="s">
        <v>2287</v>
      </c>
      <c r="C53">
        <v>395118894802</v>
      </c>
      <c r="D53" t="s">
        <v>2287</v>
      </c>
      <c r="E53" t="s">
        <v>2369</v>
      </c>
      <c r="G53" t="s">
        <v>2331</v>
      </c>
      <c r="H53" t="s">
        <v>2332</v>
      </c>
      <c r="I53" t="s">
        <v>2333</v>
      </c>
      <c r="J53" t="s">
        <v>2333</v>
      </c>
      <c r="K53" t="s">
        <v>2334</v>
      </c>
      <c r="L53" t="s">
        <v>2335</v>
      </c>
      <c r="M53" s="43">
        <v>45684.68047590278</v>
      </c>
      <c r="N53" t="s">
        <v>2333</v>
      </c>
      <c r="O53">
        <v>0</v>
      </c>
      <c r="P53">
        <v>1</v>
      </c>
      <c r="Q53" s="43"/>
      <c r="R53" s="43"/>
    </row>
    <row r="54" spans="1:18" hidden="1">
      <c r="A54">
        <v>26774818902</v>
      </c>
      <c r="B54" t="s">
        <v>1125</v>
      </c>
      <c r="C54">
        <v>26774818902</v>
      </c>
      <c r="D54" t="s">
        <v>1125</v>
      </c>
      <c r="E54" t="s">
        <v>2381</v>
      </c>
      <c r="F54" t="s">
        <v>38</v>
      </c>
      <c r="G54" t="s">
        <v>2337</v>
      </c>
      <c r="H54" t="s">
        <v>2332</v>
      </c>
      <c r="I54" t="s">
        <v>2338</v>
      </c>
      <c r="J54" t="s">
        <v>2338</v>
      </c>
      <c r="K54" t="s">
        <v>2334</v>
      </c>
      <c r="L54" t="s">
        <v>2335</v>
      </c>
      <c r="M54" s="43">
        <v>45663.736185405091</v>
      </c>
      <c r="N54" t="s">
        <v>2338</v>
      </c>
      <c r="O54">
        <v>1</v>
      </c>
      <c r="P54">
        <v>1</v>
      </c>
      <c r="Q54" s="43">
        <v>45882.831885914355</v>
      </c>
    </row>
    <row r="55" spans="1:18" hidden="1">
      <c r="A55">
        <v>722230222402</v>
      </c>
      <c r="B55" t="s">
        <v>2382</v>
      </c>
      <c r="C55">
        <v>53235675602</v>
      </c>
      <c r="D55" t="s">
        <v>2383</v>
      </c>
      <c r="E55" t="s">
        <v>2344</v>
      </c>
      <c r="F55" t="s">
        <v>37</v>
      </c>
      <c r="G55" t="s">
        <v>2337</v>
      </c>
      <c r="H55" t="s">
        <v>2332</v>
      </c>
      <c r="I55" t="s">
        <v>2338</v>
      </c>
      <c r="J55" t="s">
        <v>2338</v>
      </c>
      <c r="K55" t="s">
        <v>2334</v>
      </c>
      <c r="L55" t="s">
        <v>2335</v>
      </c>
      <c r="M55" s="43">
        <v>46079.778887534725</v>
      </c>
      <c r="N55" t="s">
        <v>2338</v>
      </c>
      <c r="O55">
        <v>0</v>
      </c>
      <c r="P55">
        <v>1</v>
      </c>
      <c r="Q55" s="43">
        <v>46086.559631076387</v>
      </c>
    </row>
    <row r="56" spans="1:18">
      <c r="A56">
        <v>722230222402</v>
      </c>
      <c r="B56" t="s">
        <v>2382</v>
      </c>
      <c r="C56">
        <v>722230222402</v>
      </c>
      <c r="D56" t="s">
        <v>2382</v>
      </c>
      <c r="E56" t="s">
        <v>2344</v>
      </c>
      <c r="F56" t="s">
        <v>37</v>
      </c>
      <c r="G56" t="s">
        <v>2337</v>
      </c>
      <c r="H56" t="s">
        <v>2332</v>
      </c>
      <c r="I56" t="s">
        <v>2338</v>
      </c>
      <c r="J56" t="s">
        <v>2338</v>
      </c>
      <c r="K56" t="s">
        <v>2334</v>
      </c>
      <c r="L56" t="s">
        <v>2335</v>
      </c>
      <c r="M56" s="43">
        <v>46079.778887534725</v>
      </c>
      <c r="N56" t="s">
        <v>2338</v>
      </c>
      <c r="O56">
        <v>1</v>
      </c>
      <c r="P56">
        <v>0</v>
      </c>
      <c r="Q56" s="43">
        <v>46052.772279351855</v>
      </c>
      <c r="R56" s="43"/>
    </row>
    <row r="57" spans="1:18" hidden="1">
      <c r="A57">
        <v>722230222402</v>
      </c>
      <c r="B57" t="s">
        <v>2382</v>
      </c>
      <c r="C57">
        <v>722230222402</v>
      </c>
      <c r="D57" t="s">
        <v>2382</v>
      </c>
      <c r="E57" t="s">
        <v>2344</v>
      </c>
      <c r="F57" t="s">
        <v>37</v>
      </c>
      <c r="G57" t="s">
        <v>2337</v>
      </c>
      <c r="H57" t="s">
        <v>2332</v>
      </c>
      <c r="I57" t="s">
        <v>2338</v>
      </c>
      <c r="J57" t="s">
        <v>2338</v>
      </c>
      <c r="K57" t="s">
        <v>2334</v>
      </c>
      <c r="L57" t="s">
        <v>2335</v>
      </c>
      <c r="M57" s="43">
        <v>46079.778887534725</v>
      </c>
      <c r="N57" t="s">
        <v>2338</v>
      </c>
      <c r="O57">
        <v>0</v>
      </c>
      <c r="P57">
        <v>0</v>
      </c>
      <c r="Q57" s="43">
        <v>46052.77228060185</v>
      </c>
      <c r="R57" s="43"/>
    </row>
    <row r="58" spans="1:18" hidden="1">
      <c r="A58">
        <v>722230222402</v>
      </c>
      <c r="B58" t="s">
        <v>2382</v>
      </c>
      <c r="C58">
        <v>782804695602</v>
      </c>
      <c r="D58" t="s">
        <v>2384</v>
      </c>
      <c r="E58" t="s">
        <v>2344</v>
      </c>
      <c r="F58" t="s">
        <v>37</v>
      </c>
      <c r="G58" t="s">
        <v>2337</v>
      </c>
      <c r="H58" t="s">
        <v>2332</v>
      </c>
      <c r="I58" t="s">
        <v>2338</v>
      </c>
      <c r="J58" t="s">
        <v>2338</v>
      </c>
      <c r="K58" t="s">
        <v>2334</v>
      </c>
      <c r="L58" t="s">
        <v>2335</v>
      </c>
      <c r="M58" s="43">
        <v>46079.778887534725</v>
      </c>
      <c r="N58" t="s">
        <v>2338</v>
      </c>
      <c r="O58">
        <v>0</v>
      </c>
      <c r="P58">
        <v>0</v>
      </c>
      <c r="Q58" s="43">
        <v>46086.559631064818</v>
      </c>
      <c r="R58" s="43"/>
    </row>
    <row r="59" spans="1:18" hidden="1">
      <c r="A59">
        <v>722230222402</v>
      </c>
      <c r="B59" t="s">
        <v>2382</v>
      </c>
      <c r="C59">
        <v>1067780183802</v>
      </c>
      <c r="D59" t="s">
        <v>2385</v>
      </c>
      <c r="E59" t="s">
        <v>2344</v>
      </c>
      <c r="F59" t="s">
        <v>37</v>
      </c>
      <c r="G59" t="s">
        <v>2337</v>
      </c>
      <c r="H59" t="s">
        <v>2332</v>
      </c>
      <c r="I59" t="s">
        <v>2338</v>
      </c>
      <c r="J59" t="s">
        <v>2338</v>
      </c>
      <c r="K59" t="s">
        <v>2334</v>
      </c>
      <c r="L59" t="s">
        <v>2335</v>
      </c>
      <c r="M59" s="43">
        <v>46079.778887534725</v>
      </c>
      <c r="N59" t="s">
        <v>2338</v>
      </c>
      <c r="O59">
        <v>0</v>
      </c>
      <c r="P59">
        <v>0</v>
      </c>
      <c r="Q59" s="43">
        <v>46086.559630937503</v>
      </c>
      <c r="R59" s="43"/>
    </row>
    <row r="60" spans="1:18" hidden="1">
      <c r="A60">
        <v>1004366724902</v>
      </c>
      <c r="B60" t="s">
        <v>2386</v>
      </c>
      <c r="C60">
        <v>1004366724902</v>
      </c>
      <c r="D60" t="s">
        <v>2386</v>
      </c>
      <c r="E60" t="s">
        <v>2378</v>
      </c>
      <c r="F60" t="s">
        <v>36</v>
      </c>
      <c r="G60" t="s">
        <v>2337</v>
      </c>
      <c r="H60" t="s">
        <v>2332</v>
      </c>
      <c r="I60" t="s">
        <v>2338</v>
      </c>
      <c r="J60" t="s">
        <v>2338</v>
      </c>
      <c r="K60" t="s">
        <v>2334</v>
      </c>
      <c r="L60" t="s">
        <v>2335</v>
      </c>
      <c r="M60" s="43">
        <v>46037.863301030091</v>
      </c>
      <c r="N60" t="s">
        <v>2338</v>
      </c>
      <c r="O60">
        <v>1</v>
      </c>
      <c r="P60">
        <v>1</v>
      </c>
      <c r="Q60" s="43">
        <v>46052.772279212964</v>
      </c>
      <c r="R60" s="43">
        <v>46057.504234409724</v>
      </c>
    </row>
    <row r="61" spans="1:18" hidden="1">
      <c r="A61">
        <v>1004366724902</v>
      </c>
      <c r="B61" t="s">
        <v>2386</v>
      </c>
      <c r="C61">
        <v>1004366724902</v>
      </c>
      <c r="D61" t="s">
        <v>2386</v>
      </c>
      <c r="E61" t="s">
        <v>2378</v>
      </c>
      <c r="F61" t="s">
        <v>36</v>
      </c>
      <c r="G61" t="s">
        <v>2337</v>
      </c>
      <c r="H61" t="s">
        <v>2332</v>
      </c>
      <c r="I61" t="s">
        <v>2338</v>
      </c>
      <c r="J61" t="s">
        <v>2338</v>
      </c>
      <c r="K61" t="s">
        <v>2334</v>
      </c>
      <c r="L61" t="s">
        <v>2335</v>
      </c>
      <c r="M61" s="43">
        <v>46037.863301030091</v>
      </c>
      <c r="N61" t="s">
        <v>2338</v>
      </c>
      <c r="O61">
        <v>0</v>
      </c>
      <c r="P61">
        <v>0</v>
      </c>
      <c r="Q61" s="43">
        <v>46052.772280370373</v>
      </c>
      <c r="R61" s="43">
        <v>46057.504234409724</v>
      </c>
    </row>
    <row r="62" spans="1:18" hidden="1">
      <c r="A62">
        <v>25545596202</v>
      </c>
      <c r="B62" t="s">
        <v>696</v>
      </c>
      <c r="C62">
        <v>25545596202</v>
      </c>
      <c r="D62" t="s">
        <v>696</v>
      </c>
      <c r="E62" t="s">
        <v>2369</v>
      </c>
      <c r="G62" t="s">
        <v>2331</v>
      </c>
      <c r="H62" t="s">
        <v>2332</v>
      </c>
      <c r="I62" t="s">
        <v>2333</v>
      </c>
      <c r="J62" t="s">
        <v>2333</v>
      </c>
      <c r="K62" t="s">
        <v>2334</v>
      </c>
      <c r="L62" t="s">
        <v>2335</v>
      </c>
      <c r="M62" s="43">
        <v>45576.817212303242</v>
      </c>
      <c r="N62" t="s">
        <v>2333</v>
      </c>
      <c r="O62">
        <v>0</v>
      </c>
      <c r="P62">
        <v>1</v>
      </c>
      <c r="Q62" s="43"/>
      <c r="R62" s="43"/>
    </row>
    <row r="63" spans="1:18" hidden="1">
      <c r="A63">
        <v>844422866302</v>
      </c>
      <c r="B63" t="s">
        <v>2308</v>
      </c>
      <c r="C63">
        <v>508744538702</v>
      </c>
      <c r="D63" t="s">
        <v>2387</v>
      </c>
      <c r="E63" t="s">
        <v>2351</v>
      </c>
      <c r="F63" t="s">
        <v>37</v>
      </c>
      <c r="G63" t="s">
        <v>2337</v>
      </c>
      <c r="H63" t="s">
        <v>2332</v>
      </c>
      <c r="I63" t="s">
        <v>2338</v>
      </c>
      <c r="J63" t="s">
        <v>2338</v>
      </c>
      <c r="K63" t="s">
        <v>2334</v>
      </c>
      <c r="L63" t="s">
        <v>2335</v>
      </c>
      <c r="M63" s="43">
        <v>45873.722110706018</v>
      </c>
      <c r="N63" t="s">
        <v>2338</v>
      </c>
      <c r="O63">
        <v>0</v>
      </c>
      <c r="P63">
        <v>1</v>
      </c>
      <c r="Q63" s="43">
        <v>45957.833414490742</v>
      </c>
      <c r="R63" s="43"/>
    </row>
    <row r="64" spans="1:18" hidden="1">
      <c r="A64">
        <v>844422866302</v>
      </c>
      <c r="B64" t="s">
        <v>2308</v>
      </c>
      <c r="C64">
        <v>844422866302</v>
      </c>
      <c r="D64" t="s">
        <v>2308</v>
      </c>
      <c r="E64" t="s">
        <v>2351</v>
      </c>
      <c r="F64" t="s">
        <v>37</v>
      </c>
      <c r="G64" t="s">
        <v>2337</v>
      </c>
      <c r="H64" t="s">
        <v>2332</v>
      </c>
      <c r="I64" t="s">
        <v>2338</v>
      </c>
      <c r="J64" t="s">
        <v>2338</v>
      </c>
      <c r="K64" t="s">
        <v>2334</v>
      </c>
      <c r="L64" t="s">
        <v>2335</v>
      </c>
      <c r="M64" s="43">
        <v>45873.722110706018</v>
      </c>
      <c r="N64" t="s">
        <v>2338</v>
      </c>
      <c r="O64">
        <v>1</v>
      </c>
      <c r="P64">
        <v>0</v>
      </c>
      <c r="Q64" s="43">
        <v>45943.591703217593</v>
      </c>
      <c r="R64" s="43"/>
    </row>
    <row r="65" spans="1:18" hidden="1">
      <c r="A65">
        <v>24674493302</v>
      </c>
      <c r="B65" t="s">
        <v>551</v>
      </c>
      <c r="C65">
        <v>24674493302</v>
      </c>
      <c r="D65" t="s">
        <v>551</v>
      </c>
      <c r="E65" t="s">
        <v>2342</v>
      </c>
      <c r="F65" t="s">
        <v>38</v>
      </c>
      <c r="G65" t="s">
        <v>2337</v>
      </c>
      <c r="H65" t="s">
        <v>2332</v>
      </c>
      <c r="I65" t="s">
        <v>2338</v>
      </c>
      <c r="J65" t="s">
        <v>2338</v>
      </c>
      <c r="K65" t="s">
        <v>2334</v>
      </c>
      <c r="L65" t="s">
        <v>2335</v>
      </c>
      <c r="M65" s="43">
        <v>45687.701704606479</v>
      </c>
      <c r="N65" t="s">
        <v>2338</v>
      </c>
      <c r="O65">
        <v>1</v>
      </c>
      <c r="P65">
        <v>1</v>
      </c>
      <c r="Q65" s="43">
        <v>45882.831886041669</v>
      </c>
      <c r="R65" s="43">
        <v>46057.862397824072</v>
      </c>
    </row>
    <row r="66" spans="1:18" hidden="1">
      <c r="A66">
        <v>24674493302</v>
      </c>
      <c r="B66" t="s">
        <v>551</v>
      </c>
      <c r="C66">
        <v>24938392802</v>
      </c>
      <c r="D66" t="s">
        <v>2388</v>
      </c>
      <c r="E66" t="s">
        <v>2342</v>
      </c>
      <c r="F66" t="s">
        <v>38</v>
      </c>
      <c r="G66" t="s">
        <v>2337</v>
      </c>
      <c r="H66" t="s">
        <v>2332</v>
      </c>
      <c r="I66" t="s">
        <v>2338</v>
      </c>
      <c r="J66" t="s">
        <v>2338</v>
      </c>
      <c r="K66" t="s">
        <v>2334</v>
      </c>
      <c r="L66" t="s">
        <v>2335</v>
      </c>
      <c r="M66" s="43">
        <v>45687.701704606479</v>
      </c>
      <c r="N66" t="s">
        <v>2338</v>
      </c>
      <c r="O66">
        <v>0</v>
      </c>
      <c r="P66">
        <v>0</v>
      </c>
      <c r="Q66" s="43">
        <v>45894.779135462966</v>
      </c>
      <c r="R66" s="43">
        <v>46057.862397824072</v>
      </c>
    </row>
    <row r="67" spans="1:18" hidden="1">
      <c r="A67">
        <v>24679550702</v>
      </c>
      <c r="B67" t="s">
        <v>2389</v>
      </c>
      <c r="C67">
        <v>24679550702</v>
      </c>
      <c r="D67" t="s">
        <v>2389</v>
      </c>
      <c r="E67" t="s">
        <v>2364</v>
      </c>
      <c r="F67" t="s">
        <v>37</v>
      </c>
      <c r="G67" t="s">
        <v>2337</v>
      </c>
      <c r="H67" t="s">
        <v>2332</v>
      </c>
      <c r="I67" t="s">
        <v>2338</v>
      </c>
      <c r="J67" t="s">
        <v>2338</v>
      </c>
      <c r="K67" t="s">
        <v>2334</v>
      </c>
      <c r="L67" t="s">
        <v>2335</v>
      </c>
      <c r="M67" s="43">
        <v>45987.554852534726</v>
      </c>
      <c r="N67" t="s">
        <v>2338</v>
      </c>
      <c r="O67">
        <v>1</v>
      </c>
      <c r="P67">
        <v>1</v>
      </c>
      <c r="Q67" s="43">
        <v>46001.874994710648</v>
      </c>
      <c r="R67" s="43">
        <v>46034.843677974539</v>
      </c>
    </row>
    <row r="68" spans="1:18" hidden="1">
      <c r="A68">
        <v>150738856702</v>
      </c>
      <c r="B68" t="s">
        <v>2099</v>
      </c>
      <c r="C68">
        <v>150738856702</v>
      </c>
      <c r="D68" t="s">
        <v>2099</v>
      </c>
      <c r="E68" t="s">
        <v>2366</v>
      </c>
      <c r="G68" t="s">
        <v>2331</v>
      </c>
      <c r="H68" t="s">
        <v>2332</v>
      </c>
      <c r="I68" t="s">
        <v>2333</v>
      </c>
      <c r="J68" t="s">
        <v>2333</v>
      </c>
      <c r="K68" t="s">
        <v>2334</v>
      </c>
      <c r="L68" t="s">
        <v>2335</v>
      </c>
      <c r="M68" s="43">
        <v>45663.731064143518</v>
      </c>
      <c r="N68" t="s">
        <v>2333</v>
      </c>
      <c r="O68">
        <v>0</v>
      </c>
      <c r="P68">
        <v>1</v>
      </c>
      <c r="Q68" s="43"/>
      <c r="R68" s="43"/>
    </row>
    <row r="69" spans="1:18" hidden="1">
      <c r="A69">
        <v>601998582602</v>
      </c>
      <c r="B69" t="s">
        <v>234</v>
      </c>
      <c r="C69">
        <v>601998582602</v>
      </c>
      <c r="D69" t="s">
        <v>234</v>
      </c>
      <c r="E69" t="s">
        <v>2347</v>
      </c>
      <c r="F69" t="s">
        <v>38</v>
      </c>
      <c r="G69" t="s">
        <v>2337</v>
      </c>
      <c r="H69" t="s">
        <v>2332</v>
      </c>
      <c r="I69" t="s">
        <v>2338</v>
      </c>
      <c r="J69" t="s">
        <v>2338</v>
      </c>
      <c r="K69" t="s">
        <v>2334</v>
      </c>
      <c r="L69" t="s">
        <v>2335</v>
      </c>
      <c r="M69" s="43">
        <v>45657.888916331016</v>
      </c>
      <c r="N69" t="s">
        <v>2338</v>
      </c>
      <c r="O69">
        <v>1</v>
      </c>
      <c r="P69">
        <v>1</v>
      </c>
      <c r="Q69" s="43">
        <v>45845.724122719905</v>
      </c>
      <c r="R69" s="43">
        <v>46056.705457824071</v>
      </c>
    </row>
    <row r="70" spans="1:18" hidden="1">
      <c r="A70">
        <v>639370275302</v>
      </c>
      <c r="B70" t="s">
        <v>301</v>
      </c>
      <c r="C70">
        <v>639370275302</v>
      </c>
      <c r="D70" t="s">
        <v>301</v>
      </c>
      <c r="E70" t="s">
        <v>2342</v>
      </c>
      <c r="F70" t="s">
        <v>38</v>
      </c>
      <c r="G70" t="s">
        <v>2337</v>
      </c>
      <c r="H70" t="s">
        <v>2332</v>
      </c>
      <c r="I70" t="s">
        <v>2338</v>
      </c>
      <c r="J70" t="s">
        <v>2338</v>
      </c>
      <c r="K70" t="s">
        <v>2334</v>
      </c>
      <c r="L70" t="s">
        <v>2335</v>
      </c>
      <c r="M70" s="43">
        <v>45686.149712592596</v>
      </c>
      <c r="N70" t="s">
        <v>2338</v>
      </c>
      <c r="O70">
        <v>0</v>
      </c>
      <c r="P70">
        <v>1</v>
      </c>
      <c r="Q70" s="43">
        <v>45943.591711851848</v>
      </c>
    </row>
    <row r="71" spans="1:18" hidden="1">
      <c r="A71">
        <v>639370275302</v>
      </c>
      <c r="B71" t="s">
        <v>301</v>
      </c>
      <c r="C71">
        <v>840556373002</v>
      </c>
      <c r="D71" t="s">
        <v>2390</v>
      </c>
      <c r="E71" t="s">
        <v>2342</v>
      </c>
      <c r="F71" t="s">
        <v>38</v>
      </c>
      <c r="G71" t="s">
        <v>2337</v>
      </c>
      <c r="H71" t="s">
        <v>2332</v>
      </c>
      <c r="I71" t="s">
        <v>2338</v>
      </c>
      <c r="J71" t="s">
        <v>2338</v>
      </c>
      <c r="K71" t="s">
        <v>2334</v>
      </c>
      <c r="L71" t="s">
        <v>2335</v>
      </c>
      <c r="M71" s="43">
        <v>45686.149712592596</v>
      </c>
      <c r="N71" t="s">
        <v>2338</v>
      </c>
      <c r="O71">
        <v>1</v>
      </c>
      <c r="P71">
        <v>0</v>
      </c>
      <c r="Q71" s="43">
        <v>45943.591698923614</v>
      </c>
      <c r="R71" s="43"/>
    </row>
    <row r="72" spans="1:18" hidden="1">
      <c r="A72">
        <v>768067542102</v>
      </c>
      <c r="B72" t="s">
        <v>2391</v>
      </c>
      <c r="C72">
        <v>768067542102</v>
      </c>
      <c r="D72" t="s">
        <v>2391</v>
      </c>
      <c r="E72" t="s">
        <v>2369</v>
      </c>
      <c r="G72" t="s">
        <v>2331</v>
      </c>
      <c r="H72" t="s">
        <v>2332</v>
      </c>
      <c r="I72" t="s">
        <v>2333</v>
      </c>
      <c r="J72" t="s">
        <v>2333</v>
      </c>
      <c r="K72" t="s">
        <v>2334</v>
      </c>
      <c r="L72" t="s">
        <v>2335</v>
      </c>
      <c r="M72" s="43">
        <v>45957.870035243053</v>
      </c>
      <c r="N72" t="s">
        <v>2333</v>
      </c>
      <c r="O72">
        <v>0</v>
      </c>
      <c r="P72">
        <v>1</v>
      </c>
      <c r="Q72" s="43"/>
      <c r="R72" s="43"/>
    </row>
    <row r="73" spans="1:18" hidden="1">
      <c r="A73">
        <v>726856152402</v>
      </c>
      <c r="B73" t="s">
        <v>2392</v>
      </c>
      <c r="C73">
        <v>726856152402</v>
      </c>
      <c r="D73" t="s">
        <v>2392</v>
      </c>
      <c r="E73" t="s">
        <v>2344</v>
      </c>
      <c r="F73" t="s">
        <v>37</v>
      </c>
      <c r="G73" t="s">
        <v>2337</v>
      </c>
      <c r="H73" t="s">
        <v>2332</v>
      </c>
      <c r="I73" t="s">
        <v>2338</v>
      </c>
      <c r="J73" t="s">
        <v>2338</v>
      </c>
      <c r="K73" t="s">
        <v>2334</v>
      </c>
      <c r="L73" t="s">
        <v>2335</v>
      </c>
      <c r="M73" s="43">
        <v>46049.729488541663</v>
      </c>
      <c r="N73" t="s">
        <v>2338</v>
      </c>
      <c r="O73">
        <v>1</v>
      </c>
      <c r="P73">
        <v>1</v>
      </c>
      <c r="Q73" s="43">
        <v>46052.772280347221</v>
      </c>
      <c r="R73" s="43">
        <v>46058.582142777777</v>
      </c>
    </row>
    <row r="74" spans="1:18" hidden="1">
      <c r="A74">
        <v>72695582302</v>
      </c>
      <c r="B74" t="s">
        <v>707</v>
      </c>
      <c r="C74">
        <v>72695582302</v>
      </c>
      <c r="D74" t="s">
        <v>707</v>
      </c>
      <c r="E74" t="s">
        <v>2393</v>
      </c>
      <c r="F74" t="s">
        <v>40</v>
      </c>
      <c r="G74" t="s">
        <v>2337</v>
      </c>
      <c r="H74" t="s">
        <v>2332</v>
      </c>
      <c r="I74" t="s">
        <v>2338</v>
      </c>
      <c r="J74" t="s">
        <v>2338</v>
      </c>
      <c r="K74" t="s">
        <v>2334</v>
      </c>
      <c r="L74" t="s">
        <v>2335</v>
      </c>
      <c r="M74" s="43">
        <v>45663.762504282407</v>
      </c>
      <c r="N74" t="s">
        <v>2338</v>
      </c>
      <c r="O74">
        <v>0</v>
      </c>
      <c r="P74">
        <v>1</v>
      </c>
      <c r="Q74" s="43">
        <v>45894.779136296296</v>
      </c>
      <c r="R74" s="43">
        <v>46072.706120821756</v>
      </c>
    </row>
    <row r="75" spans="1:18">
      <c r="A75">
        <v>72695582302</v>
      </c>
      <c r="B75" t="s">
        <v>707</v>
      </c>
      <c r="C75">
        <v>851886444902</v>
      </c>
      <c r="D75" t="s">
        <v>2394</v>
      </c>
      <c r="E75" t="s">
        <v>2393</v>
      </c>
      <c r="F75" t="s">
        <v>40</v>
      </c>
      <c r="G75" t="s">
        <v>2337</v>
      </c>
      <c r="H75" t="s">
        <v>2332</v>
      </c>
      <c r="I75" t="s">
        <v>2338</v>
      </c>
      <c r="J75" t="s">
        <v>2338</v>
      </c>
      <c r="K75" t="s">
        <v>2334</v>
      </c>
      <c r="L75" t="s">
        <v>2335</v>
      </c>
      <c r="M75" s="43">
        <v>45663.762504282407</v>
      </c>
      <c r="N75" t="s">
        <v>2338</v>
      </c>
      <c r="O75">
        <v>1</v>
      </c>
      <c r="P75">
        <v>0</v>
      </c>
      <c r="Q75" s="43">
        <v>45845.724126168985</v>
      </c>
      <c r="R75" s="43">
        <v>46072.706120821756</v>
      </c>
    </row>
    <row r="76" spans="1:18" hidden="1">
      <c r="A76">
        <v>72695582302</v>
      </c>
      <c r="B76" t="s">
        <v>707</v>
      </c>
      <c r="C76">
        <v>1121498636702</v>
      </c>
      <c r="D76" t="s">
        <v>2395</v>
      </c>
      <c r="E76" t="s">
        <v>2393</v>
      </c>
      <c r="F76" t="s">
        <v>40</v>
      </c>
      <c r="G76" t="s">
        <v>2337</v>
      </c>
      <c r="H76" t="s">
        <v>2332</v>
      </c>
      <c r="I76" t="s">
        <v>2338</v>
      </c>
      <c r="J76" t="s">
        <v>2338</v>
      </c>
      <c r="K76" t="s">
        <v>2334</v>
      </c>
      <c r="L76" t="s">
        <v>2335</v>
      </c>
      <c r="M76" s="43">
        <v>45663.762504282407</v>
      </c>
      <c r="N76" t="s">
        <v>2338</v>
      </c>
      <c r="O76">
        <v>0</v>
      </c>
      <c r="P76">
        <v>0</v>
      </c>
      <c r="Q76" s="43">
        <v>45894.779136331017</v>
      </c>
      <c r="R76" s="43">
        <v>46072.706120821756</v>
      </c>
    </row>
    <row r="77" spans="1:18" hidden="1">
      <c r="A77">
        <v>133844711902</v>
      </c>
      <c r="B77" t="s">
        <v>2283</v>
      </c>
      <c r="C77">
        <v>133844711902</v>
      </c>
      <c r="D77" t="s">
        <v>2283</v>
      </c>
      <c r="E77" t="s">
        <v>2355</v>
      </c>
      <c r="F77" t="s">
        <v>36</v>
      </c>
      <c r="G77" t="s">
        <v>2337</v>
      </c>
      <c r="H77" t="s">
        <v>2332</v>
      </c>
      <c r="I77" t="s">
        <v>2338</v>
      </c>
      <c r="J77" t="s">
        <v>2338</v>
      </c>
      <c r="K77" t="s">
        <v>2334</v>
      </c>
      <c r="L77" t="s">
        <v>2335</v>
      </c>
      <c r="M77" s="43">
        <v>45684.695415694441</v>
      </c>
      <c r="N77" t="s">
        <v>2338</v>
      </c>
      <c r="O77">
        <v>1</v>
      </c>
      <c r="P77">
        <v>1</v>
      </c>
      <c r="Q77" s="43">
        <v>45845.724126145833</v>
      </c>
      <c r="R77" s="43">
        <v>46043.838878136572</v>
      </c>
    </row>
    <row r="78" spans="1:18" hidden="1">
      <c r="A78">
        <v>666400200602</v>
      </c>
      <c r="B78" t="s">
        <v>2396</v>
      </c>
      <c r="C78">
        <v>666400200602</v>
      </c>
      <c r="D78" t="s">
        <v>2396</v>
      </c>
      <c r="E78" t="s">
        <v>2351</v>
      </c>
      <c r="F78" t="s">
        <v>37</v>
      </c>
      <c r="G78" t="s">
        <v>2337</v>
      </c>
      <c r="H78" t="s">
        <v>2332</v>
      </c>
      <c r="I78" t="s">
        <v>2338</v>
      </c>
      <c r="J78" t="s">
        <v>2338</v>
      </c>
      <c r="K78" t="s">
        <v>2334</v>
      </c>
      <c r="L78" t="s">
        <v>2335</v>
      </c>
      <c r="M78" s="43">
        <v>46017.745730046299</v>
      </c>
      <c r="N78" t="s">
        <v>2338</v>
      </c>
      <c r="O78">
        <v>1</v>
      </c>
      <c r="P78">
        <v>1</v>
      </c>
      <c r="Q78" s="43">
        <v>46036.579116782406</v>
      </c>
      <c r="R78" s="43">
        <v>46037.746602523148</v>
      </c>
    </row>
    <row r="79" spans="1:18" hidden="1">
      <c r="A79">
        <v>696396556502</v>
      </c>
      <c r="B79" t="s">
        <v>1622</v>
      </c>
      <c r="C79">
        <v>696396556502</v>
      </c>
      <c r="D79" t="s">
        <v>1622</v>
      </c>
      <c r="E79" t="s">
        <v>2344</v>
      </c>
      <c r="F79" t="s">
        <v>37</v>
      </c>
      <c r="G79" t="s">
        <v>2337</v>
      </c>
      <c r="H79" t="s">
        <v>2332</v>
      </c>
      <c r="I79" t="s">
        <v>2338</v>
      </c>
      <c r="J79" t="s">
        <v>2338</v>
      </c>
      <c r="K79" t="s">
        <v>2334</v>
      </c>
      <c r="L79" t="s">
        <v>2335</v>
      </c>
      <c r="M79" s="43">
        <v>45686.590590694446</v>
      </c>
      <c r="N79" t="s">
        <v>2338</v>
      </c>
      <c r="O79">
        <v>1</v>
      </c>
      <c r="P79">
        <v>1</v>
      </c>
      <c r="Q79" s="43">
        <v>45943.591700381941</v>
      </c>
      <c r="R79" s="43"/>
    </row>
    <row r="80" spans="1:18" hidden="1">
      <c r="A80">
        <v>696396556502</v>
      </c>
      <c r="B80" t="s">
        <v>1622</v>
      </c>
      <c r="C80">
        <v>822674551702</v>
      </c>
      <c r="D80" t="s">
        <v>2397</v>
      </c>
      <c r="E80" t="s">
        <v>2344</v>
      </c>
      <c r="F80" t="s">
        <v>37</v>
      </c>
      <c r="G80" t="s">
        <v>2337</v>
      </c>
      <c r="H80" t="s">
        <v>2332</v>
      </c>
      <c r="I80" t="s">
        <v>2338</v>
      </c>
      <c r="J80" t="s">
        <v>2338</v>
      </c>
      <c r="K80" t="s">
        <v>2334</v>
      </c>
      <c r="L80" t="s">
        <v>2335</v>
      </c>
      <c r="M80" s="43">
        <v>45686.590590694446</v>
      </c>
      <c r="N80" t="s">
        <v>2338</v>
      </c>
      <c r="O80">
        <v>0</v>
      </c>
      <c r="P80">
        <v>0</v>
      </c>
      <c r="Q80" s="43">
        <v>45943.591701863428</v>
      </c>
      <c r="R80" s="43"/>
    </row>
    <row r="81" spans="1:18" hidden="1">
      <c r="A81">
        <v>358111169102</v>
      </c>
      <c r="B81" t="s">
        <v>1331</v>
      </c>
      <c r="C81">
        <v>358111169102</v>
      </c>
      <c r="D81" t="s">
        <v>1331</v>
      </c>
      <c r="E81" t="s">
        <v>2330</v>
      </c>
      <c r="G81" t="s">
        <v>2331</v>
      </c>
      <c r="H81" t="s">
        <v>2332</v>
      </c>
      <c r="I81" t="s">
        <v>2333</v>
      </c>
      <c r="J81" t="s">
        <v>2333</v>
      </c>
      <c r="K81" t="s">
        <v>2334</v>
      </c>
      <c r="L81" t="s">
        <v>2335</v>
      </c>
      <c r="M81" s="43">
        <v>45961.592028402774</v>
      </c>
      <c r="N81" t="s">
        <v>2333</v>
      </c>
      <c r="O81">
        <v>0</v>
      </c>
      <c r="P81">
        <v>1</v>
      </c>
      <c r="Q81" s="43"/>
      <c r="R81" s="43"/>
    </row>
    <row r="82" spans="1:18" hidden="1">
      <c r="A82">
        <v>358111169102</v>
      </c>
      <c r="B82" t="s">
        <v>1331</v>
      </c>
      <c r="C82">
        <v>1020692807102</v>
      </c>
      <c r="D82" t="s">
        <v>2398</v>
      </c>
      <c r="E82" t="s">
        <v>2330</v>
      </c>
      <c r="G82" t="s">
        <v>2331</v>
      </c>
      <c r="H82" t="s">
        <v>2332</v>
      </c>
      <c r="I82" t="s">
        <v>2333</v>
      </c>
      <c r="J82" t="s">
        <v>2333</v>
      </c>
      <c r="K82" t="s">
        <v>2334</v>
      </c>
      <c r="L82" t="s">
        <v>2335</v>
      </c>
      <c r="M82" s="43">
        <v>45961.592028402774</v>
      </c>
      <c r="N82" t="s">
        <v>2333</v>
      </c>
      <c r="O82">
        <v>0</v>
      </c>
      <c r="P82">
        <v>0</v>
      </c>
      <c r="Q82" s="43"/>
      <c r="R82" s="43"/>
    </row>
    <row r="83" spans="1:18" hidden="1">
      <c r="A83">
        <v>1075537274402</v>
      </c>
      <c r="B83" t="s">
        <v>2399</v>
      </c>
      <c r="C83">
        <v>1075529253502</v>
      </c>
      <c r="D83" t="s">
        <v>2399</v>
      </c>
      <c r="E83" t="s">
        <v>2378</v>
      </c>
      <c r="G83" t="s">
        <v>2331</v>
      </c>
      <c r="H83" t="s">
        <v>2332</v>
      </c>
      <c r="I83" t="s">
        <v>2338</v>
      </c>
      <c r="J83" t="s">
        <v>2338</v>
      </c>
      <c r="K83" t="s">
        <v>2400</v>
      </c>
      <c r="L83" t="s">
        <v>2401</v>
      </c>
      <c r="M83" s="43">
        <v>46050.783983564812</v>
      </c>
      <c r="N83" t="s">
        <v>2338</v>
      </c>
      <c r="O83">
        <v>0</v>
      </c>
      <c r="P83">
        <v>1</v>
      </c>
      <c r="Q83" s="43"/>
      <c r="R83" s="43"/>
    </row>
    <row r="84" spans="1:18" hidden="1">
      <c r="A84">
        <v>1078200608102</v>
      </c>
      <c r="B84" t="s">
        <v>1272</v>
      </c>
      <c r="C84">
        <v>284153487302</v>
      </c>
      <c r="D84" t="s">
        <v>2402</v>
      </c>
      <c r="E84" t="s">
        <v>2364</v>
      </c>
      <c r="F84" t="s">
        <v>37</v>
      </c>
      <c r="G84" t="s">
        <v>2337</v>
      </c>
      <c r="H84" t="s">
        <v>2332</v>
      </c>
      <c r="I84" t="s">
        <v>2338</v>
      </c>
      <c r="J84" t="s">
        <v>2338</v>
      </c>
      <c r="K84" t="s">
        <v>2334</v>
      </c>
      <c r="L84" t="s">
        <v>2335</v>
      </c>
      <c r="M84" s="43">
        <v>45589.902081747685</v>
      </c>
      <c r="N84" t="s">
        <v>2338</v>
      </c>
      <c r="O84">
        <v>1</v>
      </c>
      <c r="P84">
        <v>1</v>
      </c>
      <c r="Q84" s="43">
        <v>45943.591700243058</v>
      </c>
      <c r="R84" s="43">
        <v>46037.829987060184</v>
      </c>
    </row>
    <row r="85" spans="1:18" hidden="1">
      <c r="A85">
        <v>1078200608102</v>
      </c>
      <c r="B85" t="s">
        <v>1272</v>
      </c>
      <c r="C85">
        <v>287289131302</v>
      </c>
      <c r="D85" t="s">
        <v>1275</v>
      </c>
      <c r="E85" t="s">
        <v>2364</v>
      </c>
      <c r="F85" t="s">
        <v>37</v>
      </c>
      <c r="G85" t="s">
        <v>2337</v>
      </c>
      <c r="H85" t="s">
        <v>2332</v>
      </c>
      <c r="I85" t="s">
        <v>2338</v>
      </c>
      <c r="J85" t="s">
        <v>2338</v>
      </c>
      <c r="K85" t="s">
        <v>2334</v>
      </c>
      <c r="L85" t="s">
        <v>2335</v>
      </c>
      <c r="M85" s="43">
        <v>45589.902081747685</v>
      </c>
      <c r="N85" t="s">
        <v>2338</v>
      </c>
      <c r="O85">
        <v>0</v>
      </c>
      <c r="P85">
        <v>0</v>
      </c>
      <c r="Q85" s="43">
        <v>45943.591710185188</v>
      </c>
      <c r="R85" s="43">
        <v>46037.829987060184</v>
      </c>
    </row>
    <row r="86" spans="1:18" hidden="1">
      <c r="A86">
        <v>1078200608102</v>
      </c>
      <c r="B86" t="s">
        <v>1272</v>
      </c>
      <c r="C86">
        <v>949931980602</v>
      </c>
      <c r="D86" t="s">
        <v>2403</v>
      </c>
      <c r="E86" t="s">
        <v>2364</v>
      </c>
      <c r="F86" t="s">
        <v>37</v>
      </c>
      <c r="G86" t="s">
        <v>2337</v>
      </c>
      <c r="H86" t="s">
        <v>2332</v>
      </c>
      <c r="I86" t="s">
        <v>2338</v>
      </c>
      <c r="J86" t="s">
        <v>2338</v>
      </c>
      <c r="K86" t="s">
        <v>2334</v>
      </c>
      <c r="L86" t="s">
        <v>2335</v>
      </c>
      <c r="M86" s="43">
        <v>45589.902081747685</v>
      </c>
      <c r="N86" t="s">
        <v>2338</v>
      </c>
      <c r="O86">
        <v>0</v>
      </c>
      <c r="P86">
        <v>0</v>
      </c>
      <c r="Q86" s="43">
        <v>45943.591704340281</v>
      </c>
      <c r="R86" s="43">
        <v>46037.829987060184</v>
      </c>
    </row>
    <row r="87" spans="1:18" hidden="1">
      <c r="A87">
        <v>1078200608102</v>
      </c>
      <c r="B87" t="s">
        <v>1272</v>
      </c>
      <c r="C87">
        <v>950538002502</v>
      </c>
      <c r="D87" t="s">
        <v>2404</v>
      </c>
      <c r="E87" t="s">
        <v>2364</v>
      </c>
      <c r="F87" t="s">
        <v>37</v>
      </c>
      <c r="G87" t="s">
        <v>2337</v>
      </c>
      <c r="H87" t="s">
        <v>2332</v>
      </c>
      <c r="I87" t="s">
        <v>2338</v>
      </c>
      <c r="J87" t="s">
        <v>2338</v>
      </c>
      <c r="K87" t="s">
        <v>2334</v>
      </c>
      <c r="L87" t="s">
        <v>2335</v>
      </c>
      <c r="M87" s="43">
        <v>45589.902081747685</v>
      </c>
      <c r="N87" t="s">
        <v>2338</v>
      </c>
      <c r="O87">
        <v>0</v>
      </c>
      <c r="P87">
        <v>0</v>
      </c>
      <c r="Q87" s="43">
        <v>45943.591714444447</v>
      </c>
      <c r="R87" s="43">
        <v>46037.829987060184</v>
      </c>
    </row>
    <row r="88" spans="1:18">
      <c r="A88">
        <v>1078200608102</v>
      </c>
      <c r="B88" t="s">
        <v>1272</v>
      </c>
      <c r="C88">
        <v>1078200608102</v>
      </c>
      <c r="D88" t="s">
        <v>1272</v>
      </c>
      <c r="E88" t="s">
        <v>2364</v>
      </c>
      <c r="F88" t="s">
        <v>37</v>
      </c>
      <c r="G88" t="s">
        <v>2337</v>
      </c>
      <c r="H88" t="s">
        <v>2332</v>
      </c>
      <c r="I88" t="s">
        <v>2338</v>
      </c>
      <c r="J88" t="s">
        <v>2338</v>
      </c>
      <c r="K88" t="s">
        <v>2334</v>
      </c>
      <c r="L88" t="s">
        <v>2335</v>
      </c>
      <c r="M88" s="43">
        <v>45589.902081747685</v>
      </c>
      <c r="N88" t="s">
        <v>2338</v>
      </c>
      <c r="O88">
        <v>0</v>
      </c>
      <c r="P88">
        <v>0</v>
      </c>
      <c r="Q88" s="43">
        <v>45943.591719675926</v>
      </c>
      <c r="R88" s="43">
        <v>46037.829987060184</v>
      </c>
    </row>
    <row r="89" spans="1:18">
      <c r="A89">
        <v>1078200608102</v>
      </c>
      <c r="B89" t="s">
        <v>1272</v>
      </c>
      <c r="C89">
        <v>1087999910402</v>
      </c>
      <c r="D89" t="s">
        <v>2405</v>
      </c>
      <c r="E89" t="s">
        <v>2364</v>
      </c>
      <c r="F89" t="s">
        <v>37</v>
      </c>
      <c r="G89" t="s">
        <v>2337</v>
      </c>
      <c r="H89" t="s">
        <v>2332</v>
      </c>
      <c r="I89" t="s">
        <v>2338</v>
      </c>
      <c r="J89" t="s">
        <v>2338</v>
      </c>
      <c r="K89" t="s">
        <v>2334</v>
      </c>
      <c r="L89" t="s">
        <v>2335</v>
      </c>
      <c r="M89" s="43">
        <v>45589.902081747685</v>
      </c>
      <c r="N89" t="s">
        <v>2338</v>
      </c>
      <c r="O89">
        <v>0</v>
      </c>
      <c r="P89">
        <v>0</v>
      </c>
      <c r="Q89" s="43">
        <v>45943.591713587964</v>
      </c>
      <c r="R89" s="43">
        <v>46037.829987060184</v>
      </c>
    </row>
    <row r="90" spans="1:18">
      <c r="A90">
        <v>61648289002</v>
      </c>
      <c r="B90" t="s">
        <v>2406</v>
      </c>
      <c r="C90">
        <v>61648289002</v>
      </c>
      <c r="D90" t="s">
        <v>2406</v>
      </c>
      <c r="E90" t="s">
        <v>2336</v>
      </c>
      <c r="F90" t="s">
        <v>39</v>
      </c>
      <c r="G90" t="s">
        <v>2337</v>
      </c>
      <c r="H90" t="s">
        <v>2332</v>
      </c>
      <c r="I90" t="s">
        <v>2338</v>
      </c>
      <c r="J90" t="s">
        <v>2338</v>
      </c>
      <c r="K90" t="s">
        <v>2334</v>
      </c>
      <c r="L90" t="s">
        <v>2335</v>
      </c>
      <c r="M90" s="43">
        <v>46017.730720127314</v>
      </c>
      <c r="N90" t="s">
        <v>2338</v>
      </c>
      <c r="O90">
        <v>1</v>
      </c>
      <c r="P90">
        <v>1</v>
      </c>
      <c r="Q90" s="43">
        <v>46031.763598807869</v>
      </c>
      <c r="R90" s="43"/>
    </row>
    <row r="91" spans="1:18">
      <c r="A91">
        <v>61648289002</v>
      </c>
      <c r="B91" t="s">
        <v>2406</v>
      </c>
      <c r="C91">
        <v>770968607002</v>
      </c>
      <c r="D91" t="s">
        <v>2407</v>
      </c>
      <c r="E91" t="s">
        <v>2336</v>
      </c>
      <c r="F91" t="s">
        <v>39</v>
      </c>
      <c r="G91" t="s">
        <v>2337</v>
      </c>
      <c r="H91" t="s">
        <v>2332</v>
      </c>
      <c r="I91" t="s">
        <v>2338</v>
      </c>
      <c r="J91" t="s">
        <v>2338</v>
      </c>
      <c r="K91" t="s">
        <v>2334</v>
      </c>
      <c r="L91" t="s">
        <v>2335</v>
      </c>
      <c r="M91" s="43">
        <v>46017.730720127314</v>
      </c>
      <c r="N91" t="s">
        <v>2338</v>
      </c>
      <c r="O91">
        <v>0</v>
      </c>
      <c r="P91">
        <v>0</v>
      </c>
      <c r="Q91" s="43">
        <v>46086.559630949072</v>
      </c>
      <c r="R91" s="43"/>
    </row>
    <row r="92" spans="1:18" hidden="1">
      <c r="A92">
        <v>24386750602</v>
      </c>
      <c r="B92" t="s">
        <v>1847</v>
      </c>
      <c r="C92">
        <v>24386750602</v>
      </c>
      <c r="D92" t="s">
        <v>1847</v>
      </c>
      <c r="E92" t="s">
        <v>2408</v>
      </c>
      <c r="F92" t="s">
        <v>39</v>
      </c>
      <c r="G92" t="s">
        <v>2337</v>
      </c>
      <c r="H92" t="s">
        <v>2332</v>
      </c>
      <c r="I92" t="s">
        <v>2338</v>
      </c>
      <c r="J92" t="s">
        <v>2338</v>
      </c>
      <c r="K92" t="s">
        <v>2334</v>
      </c>
      <c r="L92" t="s">
        <v>2335</v>
      </c>
      <c r="M92" s="43">
        <v>45681.575212928241</v>
      </c>
      <c r="N92" t="s">
        <v>2338</v>
      </c>
      <c r="O92">
        <v>0</v>
      </c>
      <c r="P92">
        <v>1</v>
      </c>
      <c r="Q92" s="43">
        <v>45845.724122789354</v>
      </c>
      <c r="R92" s="43"/>
    </row>
    <row r="93" spans="1:18" hidden="1">
      <c r="A93">
        <v>24386750602</v>
      </c>
      <c r="B93" t="s">
        <v>1847</v>
      </c>
      <c r="C93">
        <v>826870081802</v>
      </c>
      <c r="D93" t="s">
        <v>2409</v>
      </c>
      <c r="E93" t="s">
        <v>2408</v>
      </c>
      <c r="F93" t="s">
        <v>39</v>
      </c>
      <c r="G93" t="s">
        <v>2337</v>
      </c>
      <c r="H93" t="s">
        <v>2332</v>
      </c>
      <c r="I93" t="s">
        <v>2338</v>
      </c>
      <c r="J93" t="s">
        <v>2338</v>
      </c>
      <c r="K93" t="s">
        <v>2334</v>
      </c>
      <c r="L93" t="s">
        <v>2335</v>
      </c>
      <c r="M93" s="43">
        <v>45681.575212928241</v>
      </c>
      <c r="N93" t="s">
        <v>2338</v>
      </c>
      <c r="O93">
        <v>1</v>
      </c>
      <c r="P93">
        <v>0</v>
      </c>
      <c r="Q93" s="43">
        <v>45429.621825335649</v>
      </c>
      <c r="R93" s="43"/>
    </row>
    <row r="94" spans="1:18" hidden="1">
      <c r="A94">
        <v>644913231602</v>
      </c>
      <c r="B94" t="s">
        <v>2410</v>
      </c>
      <c r="C94">
        <v>644913231602</v>
      </c>
      <c r="D94" t="s">
        <v>2410</v>
      </c>
      <c r="E94" t="s">
        <v>2352</v>
      </c>
      <c r="F94" t="s">
        <v>40</v>
      </c>
      <c r="G94" t="s">
        <v>2337</v>
      </c>
      <c r="H94" t="s">
        <v>2332</v>
      </c>
      <c r="I94" t="s">
        <v>2338</v>
      </c>
      <c r="J94" t="s">
        <v>2338</v>
      </c>
      <c r="K94" t="s">
        <v>2334</v>
      </c>
      <c r="L94" t="s">
        <v>2335</v>
      </c>
      <c r="M94" s="43">
        <v>46079.088519386576</v>
      </c>
      <c r="N94" t="s">
        <v>2338</v>
      </c>
      <c r="O94">
        <v>1</v>
      </c>
      <c r="P94">
        <v>1</v>
      </c>
      <c r="Q94" s="43">
        <v>46093.692645127318</v>
      </c>
      <c r="R94" s="43"/>
    </row>
    <row r="95" spans="1:18">
      <c r="A95">
        <v>577689852902</v>
      </c>
      <c r="B95" t="s">
        <v>2277</v>
      </c>
      <c r="C95">
        <v>577689852902</v>
      </c>
      <c r="D95" t="s">
        <v>2277</v>
      </c>
      <c r="E95" t="s">
        <v>2411</v>
      </c>
      <c r="G95" t="s">
        <v>2331</v>
      </c>
      <c r="H95" t="s">
        <v>2332</v>
      </c>
      <c r="I95" t="s">
        <v>2333</v>
      </c>
      <c r="J95" t="s">
        <v>2333</v>
      </c>
      <c r="K95" t="s">
        <v>2334</v>
      </c>
      <c r="L95" t="s">
        <v>2335</v>
      </c>
      <c r="M95" s="43">
        <v>45589.916317870367</v>
      </c>
      <c r="N95" t="s">
        <v>2333</v>
      </c>
      <c r="O95">
        <v>0</v>
      </c>
      <c r="P95">
        <v>1</v>
      </c>
      <c r="Q95" s="43"/>
      <c r="R95" s="43"/>
    </row>
    <row r="96" spans="1:18">
      <c r="A96">
        <v>577689852902</v>
      </c>
      <c r="B96" t="s">
        <v>2277</v>
      </c>
      <c r="C96">
        <v>706035266402</v>
      </c>
      <c r="D96" t="s">
        <v>2412</v>
      </c>
      <c r="E96" t="s">
        <v>2411</v>
      </c>
      <c r="G96" t="s">
        <v>2331</v>
      </c>
      <c r="H96" t="s">
        <v>2332</v>
      </c>
      <c r="I96" t="s">
        <v>2333</v>
      </c>
      <c r="J96" t="s">
        <v>2333</v>
      </c>
      <c r="K96" t="s">
        <v>2334</v>
      </c>
      <c r="L96" t="s">
        <v>2335</v>
      </c>
      <c r="M96" s="43">
        <v>45589.916317870367</v>
      </c>
      <c r="N96" t="s">
        <v>2333</v>
      </c>
      <c r="O96">
        <v>0</v>
      </c>
      <c r="P96">
        <v>0</v>
      </c>
      <c r="Q96" s="43"/>
      <c r="R96" s="43"/>
    </row>
    <row r="97" spans="1:18" hidden="1">
      <c r="A97">
        <v>577689852902</v>
      </c>
      <c r="B97" t="s">
        <v>2277</v>
      </c>
      <c r="C97">
        <v>784462922402</v>
      </c>
      <c r="D97" t="s">
        <v>2413</v>
      </c>
      <c r="E97" t="s">
        <v>2411</v>
      </c>
      <c r="G97" t="s">
        <v>2331</v>
      </c>
      <c r="H97" t="s">
        <v>2332</v>
      </c>
      <c r="I97" t="s">
        <v>2333</v>
      </c>
      <c r="J97" t="s">
        <v>2333</v>
      </c>
      <c r="K97" t="s">
        <v>2334</v>
      </c>
      <c r="L97" t="s">
        <v>2335</v>
      </c>
      <c r="M97" s="43">
        <v>45589.916317870367</v>
      </c>
      <c r="N97" t="s">
        <v>2333</v>
      </c>
      <c r="O97">
        <v>0</v>
      </c>
      <c r="P97">
        <v>0</v>
      </c>
      <c r="Q97" s="43"/>
      <c r="R97" s="43"/>
    </row>
    <row r="98" spans="1:18" hidden="1">
      <c r="A98">
        <v>577689852902</v>
      </c>
      <c r="B98" t="s">
        <v>2277</v>
      </c>
      <c r="C98">
        <v>947856252502</v>
      </c>
      <c r="D98" t="s">
        <v>2414</v>
      </c>
      <c r="E98" t="s">
        <v>2411</v>
      </c>
      <c r="G98" t="s">
        <v>2331</v>
      </c>
      <c r="H98" t="s">
        <v>2332</v>
      </c>
      <c r="I98" t="s">
        <v>2333</v>
      </c>
      <c r="J98" t="s">
        <v>2333</v>
      </c>
      <c r="K98" t="s">
        <v>2334</v>
      </c>
      <c r="L98" t="s">
        <v>2335</v>
      </c>
      <c r="M98" s="43">
        <v>45589.916317870367</v>
      </c>
      <c r="N98" t="s">
        <v>2333</v>
      </c>
      <c r="O98">
        <v>0</v>
      </c>
      <c r="P98">
        <v>0</v>
      </c>
      <c r="Q98" s="43"/>
      <c r="R98" s="43"/>
    </row>
    <row r="99" spans="1:18" hidden="1">
      <c r="A99">
        <v>827345792502</v>
      </c>
      <c r="B99" t="s">
        <v>2415</v>
      </c>
      <c r="C99">
        <v>366470259302</v>
      </c>
      <c r="D99" t="s">
        <v>2416</v>
      </c>
      <c r="E99" t="s">
        <v>2379</v>
      </c>
      <c r="F99" t="s">
        <v>38</v>
      </c>
      <c r="G99" t="s">
        <v>2337</v>
      </c>
      <c r="H99" t="s">
        <v>2332</v>
      </c>
      <c r="I99" t="s">
        <v>2338</v>
      </c>
      <c r="J99" t="s">
        <v>2338</v>
      </c>
      <c r="K99" t="s">
        <v>2334</v>
      </c>
      <c r="L99" t="s">
        <v>2335</v>
      </c>
      <c r="M99" s="43">
        <v>45433.77177107639</v>
      </c>
      <c r="N99" t="s">
        <v>2338</v>
      </c>
      <c r="O99">
        <v>1</v>
      </c>
      <c r="P99">
        <v>1</v>
      </c>
      <c r="Q99" s="43">
        <v>45943.591702152778</v>
      </c>
      <c r="R99" s="43">
        <v>46028.824122951388</v>
      </c>
    </row>
    <row r="100" spans="1:18" hidden="1">
      <c r="A100">
        <v>827345792502</v>
      </c>
      <c r="B100" t="s">
        <v>2415</v>
      </c>
      <c r="C100">
        <v>475371934802</v>
      </c>
      <c r="D100" t="s">
        <v>2417</v>
      </c>
      <c r="E100" t="s">
        <v>2379</v>
      </c>
      <c r="F100" t="s">
        <v>38</v>
      </c>
      <c r="G100" t="s">
        <v>2337</v>
      </c>
      <c r="H100" t="s">
        <v>2332</v>
      </c>
      <c r="I100" t="s">
        <v>2338</v>
      </c>
      <c r="J100" t="s">
        <v>2338</v>
      </c>
      <c r="K100" t="s">
        <v>2334</v>
      </c>
      <c r="L100" t="s">
        <v>2335</v>
      </c>
      <c r="M100" s="43">
        <v>45433.77177107639</v>
      </c>
      <c r="N100" t="s">
        <v>2338</v>
      </c>
      <c r="O100">
        <v>0</v>
      </c>
      <c r="P100">
        <v>0</v>
      </c>
      <c r="Q100" s="43">
        <v>45943.591713310183</v>
      </c>
      <c r="R100" s="43">
        <v>46028.824122951388</v>
      </c>
    </row>
    <row r="101" spans="1:18" hidden="1">
      <c r="A101">
        <v>827345792502</v>
      </c>
      <c r="B101" t="s">
        <v>2415</v>
      </c>
      <c r="C101">
        <v>827345792502</v>
      </c>
      <c r="D101" t="s">
        <v>2415</v>
      </c>
      <c r="E101" t="s">
        <v>2379</v>
      </c>
      <c r="F101" t="s">
        <v>38</v>
      </c>
      <c r="G101" t="s">
        <v>2337</v>
      </c>
      <c r="H101" t="s">
        <v>2332</v>
      </c>
      <c r="I101" t="s">
        <v>2338</v>
      </c>
      <c r="J101" t="s">
        <v>2338</v>
      </c>
      <c r="K101" t="s">
        <v>2334</v>
      </c>
      <c r="L101" t="s">
        <v>2335</v>
      </c>
      <c r="M101" s="43">
        <v>45433.77177107639</v>
      </c>
      <c r="N101" t="s">
        <v>2338</v>
      </c>
      <c r="O101">
        <v>0</v>
      </c>
      <c r="P101">
        <v>0</v>
      </c>
      <c r="Q101" s="43">
        <v>45943.591704641207</v>
      </c>
      <c r="R101" s="43">
        <v>46028.824122951388</v>
      </c>
    </row>
    <row r="102" spans="1:18" hidden="1">
      <c r="A102">
        <v>619747148002</v>
      </c>
      <c r="B102" t="s">
        <v>828</v>
      </c>
      <c r="C102">
        <v>502852074302</v>
      </c>
      <c r="D102" t="s">
        <v>2418</v>
      </c>
      <c r="E102" t="s">
        <v>2351</v>
      </c>
      <c r="F102" t="s">
        <v>37</v>
      </c>
      <c r="G102" t="s">
        <v>2337</v>
      </c>
      <c r="H102" t="s">
        <v>2332</v>
      </c>
      <c r="I102" t="s">
        <v>2338</v>
      </c>
      <c r="J102" t="s">
        <v>2338</v>
      </c>
      <c r="K102" t="s">
        <v>2334</v>
      </c>
      <c r="L102" t="s">
        <v>2335</v>
      </c>
      <c r="M102" s="43">
        <v>45873.723542835651</v>
      </c>
      <c r="N102" t="s">
        <v>2338</v>
      </c>
      <c r="O102">
        <v>0</v>
      </c>
      <c r="P102">
        <v>1</v>
      </c>
      <c r="Q102" s="43">
        <v>45943.591699884259</v>
      </c>
      <c r="R102" s="43">
        <v>46094.776420138885</v>
      </c>
    </row>
    <row r="103" spans="1:18">
      <c r="A103">
        <v>619747148002</v>
      </c>
      <c r="B103" t="s">
        <v>828</v>
      </c>
      <c r="C103">
        <v>506544099802</v>
      </c>
      <c r="D103" t="s">
        <v>2419</v>
      </c>
      <c r="E103" t="s">
        <v>2351</v>
      </c>
      <c r="F103" t="s">
        <v>37</v>
      </c>
      <c r="G103" t="s">
        <v>2337</v>
      </c>
      <c r="H103" t="s">
        <v>2332</v>
      </c>
      <c r="I103" t="s">
        <v>2338</v>
      </c>
      <c r="J103" t="s">
        <v>2338</v>
      </c>
      <c r="K103" t="s">
        <v>2334</v>
      </c>
      <c r="L103" t="s">
        <v>2335</v>
      </c>
      <c r="M103" s="43">
        <v>45873.723542835651</v>
      </c>
      <c r="N103" t="s">
        <v>2338</v>
      </c>
      <c r="O103">
        <v>0</v>
      </c>
      <c r="P103">
        <v>0</v>
      </c>
      <c r="Q103" s="43">
        <v>45943.591717650466</v>
      </c>
      <c r="R103" s="43">
        <v>46094.776420138885</v>
      </c>
    </row>
    <row r="104" spans="1:18" hidden="1">
      <c r="A104">
        <v>619747148002</v>
      </c>
      <c r="B104" t="s">
        <v>828</v>
      </c>
      <c r="C104">
        <v>619747148002</v>
      </c>
      <c r="D104" t="s">
        <v>828</v>
      </c>
      <c r="E104" t="s">
        <v>2351</v>
      </c>
      <c r="F104" t="s">
        <v>37</v>
      </c>
      <c r="G104" t="s">
        <v>2337</v>
      </c>
      <c r="H104" t="s">
        <v>2332</v>
      </c>
      <c r="I104" t="s">
        <v>2338</v>
      </c>
      <c r="J104" t="s">
        <v>2338</v>
      </c>
      <c r="K104" t="s">
        <v>2334</v>
      </c>
      <c r="L104" t="s">
        <v>2335</v>
      </c>
      <c r="M104" s="43">
        <v>45873.723542835651</v>
      </c>
      <c r="N104" t="s">
        <v>2338</v>
      </c>
      <c r="O104">
        <v>1</v>
      </c>
      <c r="P104">
        <v>0</v>
      </c>
      <c r="Q104" s="43">
        <v>45908.494721284726</v>
      </c>
      <c r="R104" s="43">
        <v>46094.776420138885</v>
      </c>
    </row>
    <row r="105" spans="1:18" hidden="1">
      <c r="A105">
        <v>627010921602</v>
      </c>
      <c r="B105" t="s">
        <v>1204</v>
      </c>
      <c r="C105">
        <v>627010921602</v>
      </c>
      <c r="D105" t="s">
        <v>1204</v>
      </c>
      <c r="E105" t="s">
        <v>2379</v>
      </c>
      <c r="F105" t="s">
        <v>38</v>
      </c>
      <c r="G105" t="s">
        <v>2337</v>
      </c>
      <c r="H105" t="s">
        <v>2332</v>
      </c>
      <c r="I105" t="s">
        <v>2338</v>
      </c>
      <c r="J105" t="s">
        <v>2338</v>
      </c>
      <c r="K105" t="s">
        <v>2334</v>
      </c>
      <c r="L105" t="s">
        <v>2335</v>
      </c>
      <c r="M105" s="43">
        <v>45510.924105682869</v>
      </c>
      <c r="N105" t="s">
        <v>2338</v>
      </c>
      <c r="O105">
        <v>1</v>
      </c>
      <c r="P105">
        <v>1</v>
      </c>
      <c r="Q105" s="43">
        <v>45845.724122569445</v>
      </c>
      <c r="R105" s="43">
        <v>46037.894835081017</v>
      </c>
    </row>
    <row r="106" spans="1:18" hidden="1">
      <c r="A106">
        <v>56875076002</v>
      </c>
      <c r="B106" t="s">
        <v>561</v>
      </c>
      <c r="C106">
        <v>56875076002</v>
      </c>
      <c r="D106" t="s">
        <v>561</v>
      </c>
      <c r="E106" t="s">
        <v>2347</v>
      </c>
      <c r="G106" t="s">
        <v>2331</v>
      </c>
      <c r="H106" t="s">
        <v>2332</v>
      </c>
      <c r="I106" t="s">
        <v>2333</v>
      </c>
      <c r="J106" t="s">
        <v>2333</v>
      </c>
      <c r="K106" t="s">
        <v>2334</v>
      </c>
      <c r="L106" t="s">
        <v>2335</v>
      </c>
      <c r="M106" s="43">
        <v>45680.522850821762</v>
      </c>
      <c r="N106" t="s">
        <v>2333</v>
      </c>
      <c r="O106">
        <v>0</v>
      </c>
      <c r="P106">
        <v>1</v>
      </c>
      <c r="Q106" s="43"/>
      <c r="R106" s="43"/>
    </row>
    <row r="107" spans="1:18" hidden="1">
      <c r="A107">
        <v>170004727002</v>
      </c>
      <c r="B107" t="s">
        <v>2180</v>
      </c>
      <c r="C107">
        <v>170004727002</v>
      </c>
      <c r="D107" t="s">
        <v>2180</v>
      </c>
      <c r="E107" t="s">
        <v>2352</v>
      </c>
      <c r="F107" t="s">
        <v>40</v>
      </c>
      <c r="G107" t="s">
        <v>2337</v>
      </c>
      <c r="H107" t="s">
        <v>2332</v>
      </c>
      <c r="I107" t="s">
        <v>2338</v>
      </c>
      <c r="J107" t="s">
        <v>2338</v>
      </c>
      <c r="K107" t="s">
        <v>2334</v>
      </c>
      <c r="L107" t="s">
        <v>2335</v>
      </c>
      <c r="M107" s="43">
        <v>45862.608576238425</v>
      </c>
      <c r="N107" t="s">
        <v>2338</v>
      </c>
      <c r="O107">
        <v>1</v>
      </c>
      <c r="P107">
        <v>1</v>
      </c>
      <c r="Q107" s="43">
        <v>45845.724125810186</v>
      </c>
      <c r="R107" s="43"/>
    </row>
    <row r="108" spans="1:18" hidden="1">
      <c r="A108">
        <v>170004727002</v>
      </c>
      <c r="B108" t="s">
        <v>2180</v>
      </c>
      <c r="C108">
        <v>1084260090102</v>
      </c>
      <c r="D108" t="s">
        <v>2420</v>
      </c>
      <c r="E108" t="s">
        <v>2352</v>
      </c>
      <c r="F108" t="s">
        <v>40</v>
      </c>
      <c r="G108" t="s">
        <v>2337</v>
      </c>
      <c r="H108" t="s">
        <v>2332</v>
      </c>
      <c r="I108" t="s">
        <v>2338</v>
      </c>
      <c r="J108" t="s">
        <v>2338</v>
      </c>
      <c r="K108" t="s">
        <v>2334</v>
      </c>
      <c r="L108" t="s">
        <v>2335</v>
      </c>
      <c r="M108" s="43">
        <v>45862.608576238425</v>
      </c>
      <c r="N108" t="s">
        <v>2338</v>
      </c>
      <c r="O108">
        <v>0</v>
      </c>
      <c r="P108">
        <v>0</v>
      </c>
      <c r="Q108" s="43">
        <v>45889.742897581018</v>
      </c>
      <c r="R108" s="43"/>
    </row>
    <row r="109" spans="1:18" hidden="1">
      <c r="A109">
        <v>435346364602</v>
      </c>
      <c r="B109" t="s">
        <v>1636</v>
      </c>
      <c r="C109">
        <v>435346364602</v>
      </c>
      <c r="D109" t="s">
        <v>1636</v>
      </c>
      <c r="E109" t="s">
        <v>2421</v>
      </c>
      <c r="F109" t="s">
        <v>36</v>
      </c>
      <c r="G109" t="s">
        <v>2337</v>
      </c>
      <c r="H109" t="s">
        <v>2332</v>
      </c>
      <c r="I109" t="s">
        <v>2338</v>
      </c>
      <c r="J109" t="s">
        <v>2338</v>
      </c>
      <c r="K109" t="s">
        <v>2334</v>
      </c>
      <c r="L109" t="s">
        <v>2335</v>
      </c>
      <c r="M109" s="43">
        <v>45993.767091828704</v>
      </c>
      <c r="N109" t="s">
        <v>2338</v>
      </c>
      <c r="O109">
        <v>1</v>
      </c>
      <c r="P109">
        <v>1</v>
      </c>
      <c r="Q109" s="43">
        <v>45999.716000983797</v>
      </c>
      <c r="R109" s="43">
        <v>46031.681355821762</v>
      </c>
    </row>
    <row r="110" spans="1:18" hidden="1">
      <c r="A110">
        <v>132884220402</v>
      </c>
      <c r="B110" t="s">
        <v>2422</v>
      </c>
      <c r="C110">
        <v>132884220402</v>
      </c>
      <c r="D110" t="s">
        <v>2422</v>
      </c>
      <c r="E110" t="s">
        <v>2423</v>
      </c>
      <c r="G110" t="s">
        <v>2331</v>
      </c>
      <c r="H110" t="s">
        <v>2332</v>
      </c>
      <c r="I110" t="s">
        <v>2333</v>
      </c>
      <c r="J110" t="s">
        <v>2333</v>
      </c>
      <c r="K110" t="s">
        <v>2334</v>
      </c>
      <c r="L110" t="s">
        <v>2335</v>
      </c>
      <c r="M110" s="43">
        <v>46042.861902314813</v>
      </c>
      <c r="N110" t="s">
        <v>2333</v>
      </c>
      <c r="O110">
        <v>0</v>
      </c>
      <c r="P110">
        <v>1</v>
      </c>
      <c r="Q110" s="43"/>
      <c r="R110" s="43"/>
    </row>
    <row r="111" spans="1:18" hidden="1">
      <c r="A111">
        <v>1148686680402</v>
      </c>
      <c r="B111" t="s">
        <v>2424</v>
      </c>
      <c r="C111">
        <v>1148686680402</v>
      </c>
      <c r="D111" t="s">
        <v>2424</v>
      </c>
      <c r="E111" t="s">
        <v>2408</v>
      </c>
      <c r="F111" t="s">
        <v>39</v>
      </c>
      <c r="G111" t="s">
        <v>2337</v>
      </c>
      <c r="H111" t="s">
        <v>2332</v>
      </c>
      <c r="I111" t="s">
        <v>2338</v>
      </c>
      <c r="J111" t="s">
        <v>2338</v>
      </c>
      <c r="K111" t="s">
        <v>2400</v>
      </c>
      <c r="L111" t="s">
        <v>2335</v>
      </c>
      <c r="M111" s="43">
        <v>45980.833066562504</v>
      </c>
      <c r="N111" t="s">
        <v>2338</v>
      </c>
      <c r="O111">
        <v>1</v>
      </c>
      <c r="P111">
        <v>1</v>
      </c>
      <c r="Q111" s="43">
        <v>46001.755100254632</v>
      </c>
      <c r="R111" s="43"/>
    </row>
    <row r="112" spans="1:18" hidden="1">
      <c r="A112">
        <v>159666680002</v>
      </c>
      <c r="B112" t="s">
        <v>2109</v>
      </c>
      <c r="C112">
        <v>159666680002</v>
      </c>
      <c r="D112" t="s">
        <v>2109</v>
      </c>
      <c r="E112" t="s">
        <v>2361</v>
      </c>
      <c r="F112" t="s">
        <v>40</v>
      </c>
      <c r="G112" t="s">
        <v>2337</v>
      </c>
      <c r="H112" t="s">
        <v>2332</v>
      </c>
      <c r="I112" t="s">
        <v>2338</v>
      </c>
      <c r="J112" t="s">
        <v>2338</v>
      </c>
      <c r="K112" t="s">
        <v>2334</v>
      </c>
      <c r="L112" t="s">
        <v>2335</v>
      </c>
      <c r="M112" s="43">
        <v>45527.612407314817</v>
      </c>
      <c r="N112" t="s">
        <v>2338</v>
      </c>
      <c r="O112">
        <v>0</v>
      </c>
      <c r="P112">
        <v>1</v>
      </c>
      <c r="Q112" s="43">
        <v>45943.591720543984</v>
      </c>
      <c r="R112" s="43"/>
    </row>
    <row r="113" spans="1:18" hidden="1">
      <c r="A113">
        <v>159666680002</v>
      </c>
      <c r="B113" t="s">
        <v>2109</v>
      </c>
      <c r="C113">
        <v>398381486702</v>
      </c>
      <c r="D113" t="s">
        <v>2425</v>
      </c>
      <c r="E113" t="s">
        <v>2361</v>
      </c>
      <c r="F113" t="s">
        <v>40</v>
      </c>
      <c r="G113" t="s">
        <v>2337</v>
      </c>
      <c r="H113" t="s">
        <v>2332</v>
      </c>
      <c r="I113" t="s">
        <v>2338</v>
      </c>
      <c r="J113" t="s">
        <v>2338</v>
      </c>
      <c r="K113" t="s">
        <v>2334</v>
      </c>
      <c r="L113" t="s">
        <v>2335</v>
      </c>
      <c r="M113" s="43">
        <v>45527.612407314817</v>
      </c>
      <c r="N113" t="s">
        <v>2338</v>
      </c>
      <c r="O113">
        <v>0</v>
      </c>
      <c r="P113">
        <v>0</v>
      </c>
      <c r="Q113" s="43">
        <v>45943.591720810182</v>
      </c>
      <c r="R113" s="43"/>
    </row>
    <row r="114" spans="1:18" hidden="1">
      <c r="A114">
        <v>159666680002</v>
      </c>
      <c r="B114" t="s">
        <v>2109</v>
      </c>
      <c r="C114">
        <v>428548350302</v>
      </c>
      <c r="D114" t="s">
        <v>2426</v>
      </c>
      <c r="E114" t="s">
        <v>2361</v>
      </c>
      <c r="F114" t="s">
        <v>40</v>
      </c>
      <c r="G114" t="s">
        <v>2337</v>
      </c>
      <c r="H114" t="s">
        <v>2332</v>
      </c>
      <c r="I114" t="s">
        <v>2338</v>
      </c>
      <c r="J114" t="s">
        <v>2338</v>
      </c>
      <c r="K114" t="s">
        <v>2334</v>
      </c>
      <c r="L114" t="s">
        <v>2335</v>
      </c>
      <c r="M114" s="43">
        <v>45527.612407314817</v>
      </c>
      <c r="N114" t="s">
        <v>2338</v>
      </c>
      <c r="O114">
        <v>0</v>
      </c>
      <c r="P114">
        <v>0</v>
      </c>
      <c r="Q114" s="43">
        <v>45943.59172546296</v>
      </c>
      <c r="R114" s="43"/>
    </row>
    <row r="115" spans="1:18" hidden="1">
      <c r="A115">
        <v>159666680002</v>
      </c>
      <c r="B115" t="s">
        <v>2109</v>
      </c>
      <c r="C115">
        <v>602057730902</v>
      </c>
      <c r="D115" t="s">
        <v>2427</v>
      </c>
      <c r="E115" t="s">
        <v>2361</v>
      </c>
      <c r="F115" t="s">
        <v>40</v>
      </c>
      <c r="G115" t="s">
        <v>2337</v>
      </c>
      <c r="H115" t="s">
        <v>2332</v>
      </c>
      <c r="I115" t="s">
        <v>2338</v>
      </c>
      <c r="J115" t="s">
        <v>2338</v>
      </c>
      <c r="K115" t="s">
        <v>2334</v>
      </c>
      <c r="L115" t="s">
        <v>2335</v>
      </c>
      <c r="M115" s="43">
        <v>45527.612407314817</v>
      </c>
      <c r="N115" t="s">
        <v>2338</v>
      </c>
      <c r="O115">
        <v>1</v>
      </c>
      <c r="P115">
        <v>0</v>
      </c>
      <c r="Q115" s="43">
        <v>45943.591719953707</v>
      </c>
      <c r="R115" s="43"/>
    </row>
    <row r="116" spans="1:18" hidden="1">
      <c r="A116">
        <v>159666680002</v>
      </c>
      <c r="B116" t="s">
        <v>2109</v>
      </c>
      <c r="C116">
        <v>622908280602</v>
      </c>
      <c r="D116" t="s">
        <v>2428</v>
      </c>
      <c r="E116" t="s">
        <v>2361</v>
      </c>
      <c r="F116" t="s">
        <v>40</v>
      </c>
      <c r="G116" t="s">
        <v>2337</v>
      </c>
      <c r="H116" t="s">
        <v>2332</v>
      </c>
      <c r="I116" t="s">
        <v>2338</v>
      </c>
      <c r="J116" t="s">
        <v>2338</v>
      </c>
      <c r="K116" t="s">
        <v>2334</v>
      </c>
      <c r="L116" t="s">
        <v>2335</v>
      </c>
      <c r="M116" s="43">
        <v>45527.612407314817</v>
      </c>
      <c r="N116" t="s">
        <v>2338</v>
      </c>
      <c r="O116">
        <v>0</v>
      </c>
      <c r="P116">
        <v>0</v>
      </c>
      <c r="Q116" s="43">
        <v>45943.591720231481</v>
      </c>
      <c r="R116" s="43"/>
    </row>
    <row r="117" spans="1:18" hidden="1">
      <c r="A117">
        <v>653955892602</v>
      </c>
      <c r="B117" t="s">
        <v>860</v>
      </c>
      <c r="C117">
        <v>653955892602</v>
      </c>
      <c r="D117" t="s">
        <v>860</v>
      </c>
      <c r="E117" t="s">
        <v>2379</v>
      </c>
      <c r="F117" t="s">
        <v>38</v>
      </c>
      <c r="G117" t="s">
        <v>2337</v>
      </c>
      <c r="H117" t="s">
        <v>2332</v>
      </c>
      <c r="I117" t="s">
        <v>2338</v>
      </c>
      <c r="J117" t="s">
        <v>2338</v>
      </c>
      <c r="K117" t="s">
        <v>2334</v>
      </c>
      <c r="L117" t="s">
        <v>2335</v>
      </c>
      <c r="M117" s="43">
        <v>45922.753834629628</v>
      </c>
      <c r="N117" t="s">
        <v>2338</v>
      </c>
      <c r="O117">
        <v>1</v>
      </c>
      <c r="P117">
        <v>1</v>
      </c>
      <c r="Q117" s="43">
        <v>45957.833414560184</v>
      </c>
      <c r="R117" s="43">
        <v>46058.867935486109</v>
      </c>
    </row>
    <row r="118" spans="1:18" hidden="1">
      <c r="A118">
        <v>763850718402</v>
      </c>
      <c r="B118" t="s">
        <v>2429</v>
      </c>
      <c r="C118">
        <v>763850718402</v>
      </c>
      <c r="D118" t="s">
        <v>2429</v>
      </c>
      <c r="E118" t="s">
        <v>2336</v>
      </c>
      <c r="F118" t="s">
        <v>39</v>
      </c>
      <c r="G118" t="s">
        <v>2337</v>
      </c>
      <c r="H118" t="s">
        <v>2332</v>
      </c>
      <c r="I118" t="s">
        <v>2338</v>
      </c>
      <c r="J118" t="s">
        <v>2338</v>
      </c>
      <c r="K118" t="s">
        <v>2334</v>
      </c>
      <c r="L118" t="s">
        <v>2335</v>
      </c>
      <c r="M118" s="43">
        <v>46079.782400787037</v>
      </c>
      <c r="N118" t="s">
        <v>2338</v>
      </c>
      <c r="O118">
        <v>1</v>
      </c>
      <c r="P118">
        <v>1</v>
      </c>
      <c r="Q118" s="43">
        <v>46031.763598564816</v>
      </c>
      <c r="R118" s="43"/>
    </row>
    <row r="119" spans="1:18" hidden="1">
      <c r="A119">
        <v>763850718402</v>
      </c>
      <c r="B119" t="s">
        <v>2429</v>
      </c>
      <c r="C119">
        <v>1083912347902</v>
      </c>
      <c r="D119" t="s">
        <v>2430</v>
      </c>
      <c r="E119" t="s">
        <v>2336</v>
      </c>
      <c r="F119" t="s">
        <v>39</v>
      </c>
      <c r="G119" t="s">
        <v>2337</v>
      </c>
      <c r="H119" t="s">
        <v>2332</v>
      </c>
      <c r="I119" t="s">
        <v>2338</v>
      </c>
      <c r="J119" t="s">
        <v>2338</v>
      </c>
      <c r="K119" t="s">
        <v>2334</v>
      </c>
      <c r="L119" t="s">
        <v>2335</v>
      </c>
      <c r="M119" s="43">
        <v>46079.782400787037</v>
      </c>
      <c r="N119" t="s">
        <v>2338</v>
      </c>
      <c r="O119">
        <v>0</v>
      </c>
      <c r="P119">
        <v>0</v>
      </c>
      <c r="Q119" s="43">
        <v>46086.559630625001</v>
      </c>
      <c r="R119" s="43"/>
    </row>
    <row r="120" spans="1:18" hidden="1">
      <c r="A120">
        <v>655945459902</v>
      </c>
      <c r="B120" t="s">
        <v>312</v>
      </c>
      <c r="C120">
        <v>655945459902</v>
      </c>
      <c r="D120" t="s">
        <v>312</v>
      </c>
      <c r="E120" t="s">
        <v>2347</v>
      </c>
      <c r="F120" t="s">
        <v>38</v>
      </c>
      <c r="G120" t="s">
        <v>2337</v>
      </c>
      <c r="H120" t="s">
        <v>2332</v>
      </c>
      <c r="I120" t="s">
        <v>2338</v>
      </c>
      <c r="J120" t="s">
        <v>2338</v>
      </c>
      <c r="K120" t="s">
        <v>2334</v>
      </c>
      <c r="L120" t="s">
        <v>2335</v>
      </c>
      <c r="M120" s="43">
        <v>45953.816841435182</v>
      </c>
      <c r="N120" t="s">
        <v>2338</v>
      </c>
      <c r="O120">
        <v>1</v>
      </c>
      <c r="P120">
        <v>1</v>
      </c>
      <c r="Q120" s="43">
        <v>45971.744508634256</v>
      </c>
      <c r="R120" s="43">
        <v>46029.771925439818</v>
      </c>
    </row>
    <row r="121" spans="1:18" hidden="1">
      <c r="A121">
        <v>128664783802</v>
      </c>
      <c r="B121" t="s">
        <v>1216</v>
      </c>
      <c r="C121">
        <v>128664783802</v>
      </c>
      <c r="D121" t="s">
        <v>1216</v>
      </c>
      <c r="E121" t="s">
        <v>2361</v>
      </c>
      <c r="F121" t="s">
        <v>40</v>
      </c>
      <c r="G121" t="s">
        <v>2337</v>
      </c>
      <c r="H121" t="s">
        <v>2332</v>
      </c>
      <c r="I121" t="s">
        <v>2338</v>
      </c>
      <c r="J121" t="s">
        <v>2338</v>
      </c>
      <c r="K121" t="s">
        <v>2334</v>
      </c>
      <c r="L121" t="s">
        <v>2335</v>
      </c>
      <c r="M121" s="43">
        <v>45957.554402557871</v>
      </c>
      <c r="N121" t="s">
        <v>2338</v>
      </c>
      <c r="O121">
        <v>1</v>
      </c>
      <c r="P121">
        <v>1</v>
      </c>
      <c r="Q121" s="43">
        <v>45943.591699467594</v>
      </c>
      <c r="R121" s="43">
        <v>46077.787510138885</v>
      </c>
    </row>
    <row r="122" spans="1:18" hidden="1">
      <c r="A122">
        <v>128664783802</v>
      </c>
      <c r="B122" t="s">
        <v>1216</v>
      </c>
      <c r="C122">
        <v>892333803902</v>
      </c>
      <c r="D122" t="s">
        <v>2431</v>
      </c>
      <c r="E122" t="s">
        <v>2361</v>
      </c>
      <c r="F122" t="s">
        <v>40</v>
      </c>
      <c r="G122" t="s">
        <v>2337</v>
      </c>
      <c r="H122" t="s">
        <v>2332</v>
      </c>
      <c r="I122" t="s">
        <v>2338</v>
      </c>
      <c r="J122" t="s">
        <v>2338</v>
      </c>
      <c r="K122" t="s">
        <v>2334</v>
      </c>
      <c r="L122" t="s">
        <v>2335</v>
      </c>
      <c r="M122" s="43">
        <v>45957.554402557871</v>
      </c>
      <c r="N122" t="s">
        <v>2338</v>
      </c>
      <c r="O122">
        <v>0</v>
      </c>
      <c r="P122">
        <v>0</v>
      </c>
      <c r="Q122" s="43">
        <v>45943.591699965276</v>
      </c>
      <c r="R122" s="43">
        <v>46077.787510138885</v>
      </c>
    </row>
    <row r="123" spans="1:18" hidden="1">
      <c r="A123">
        <v>128664783802</v>
      </c>
      <c r="B123" t="s">
        <v>1216</v>
      </c>
      <c r="C123">
        <v>1080652429702</v>
      </c>
      <c r="D123" t="s">
        <v>1219</v>
      </c>
      <c r="E123" t="s">
        <v>2361</v>
      </c>
      <c r="F123" t="s">
        <v>40</v>
      </c>
      <c r="G123" t="s">
        <v>2337</v>
      </c>
      <c r="H123" t="s">
        <v>2332</v>
      </c>
      <c r="I123" t="s">
        <v>2338</v>
      </c>
      <c r="J123" t="s">
        <v>2338</v>
      </c>
      <c r="K123" t="s">
        <v>2334</v>
      </c>
      <c r="L123" t="s">
        <v>2335</v>
      </c>
      <c r="M123" s="43">
        <v>45957.554402557871</v>
      </c>
      <c r="N123" t="s">
        <v>2338</v>
      </c>
      <c r="O123">
        <v>0</v>
      </c>
      <c r="P123">
        <v>0</v>
      </c>
      <c r="Q123" s="43">
        <v>45982.737222673612</v>
      </c>
      <c r="R123" s="43">
        <v>46077.787510138885</v>
      </c>
    </row>
    <row r="124" spans="1:18" hidden="1">
      <c r="A124">
        <v>98835860802</v>
      </c>
      <c r="B124" t="s">
        <v>1667</v>
      </c>
      <c r="C124">
        <v>98835860802</v>
      </c>
      <c r="D124" t="s">
        <v>1667</v>
      </c>
      <c r="E124" t="s">
        <v>2353</v>
      </c>
      <c r="F124" t="s">
        <v>36</v>
      </c>
      <c r="G124" t="s">
        <v>2337</v>
      </c>
      <c r="H124" t="s">
        <v>2332</v>
      </c>
      <c r="I124" t="s">
        <v>2338</v>
      </c>
      <c r="J124" t="s">
        <v>2338</v>
      </c>
      <c r="K124" t="s">
        <v>2334</v>
      </c>
      <c r="L124" t="s">
        <v>2335</v>
      </c>
      <c r="M124" s="43">
        <v>45286.856976099538</v>
      </c>
      <c r="N124" t="s">
        <v>2338</v>
      </c>
      <c r="O124">
        <v>1</v>
      </c>
      <c r="P124">
        <v>1</v>
      </c>
      <c r="Q124" s="43">
        <v>45845.724123576387</v>
      </c>
      <c r="R124" s="43">
        <v>46037.7943777662</v>
      </c>
    </row>
    <row r="125" spans="1:18" hidden="1">
      <c r="A125">
        <v>128837707402</v>
      </c>
      <c r="B125" t="s">
        <v>390</v>
      </c>
      <c r="C125">
        <v>128837707402</v>
      </c>
      <c r="D125" t="s">
        <v>390</v>
      </c>
      <c r="E125" t="s">
        <v>2347</v>
      </c>
      <c r="F125" t="s">
        <v>38</v>
      </c>
      <c r="G125" t="s">
        <v>2337</v>
      </c>
      <c r="H125" t="s">
        <v>2332</v>
      </c>
      <c r="I125" t="s">
        <v>2338</v>
      </c>
      <c r="J125" t="s">
        <v>2338</v>
      </c>
      <c r="K125" t="s">
        <v>2334</v>
      </c>
      <c r="L125" t="s">
        <v>2335</v>
      </c>
      <c r="M125" s="43">
        <v>45680.710528518517</v>
      </c>
      <c r="N125" t="s">
        <v>2338</v>
      </c>
      <c r="O125">
        <v>1</v>
      </c>
      <c r="P125">
        <v>1</v>
      </c>
      <c r="Q125" s="43">
        <v>45943.591730069442</v>
      </c>
      <c r="R125" s="43">
        <v>46058.693331585651</v>
      </c>
    </row>
    <row r="126" spans="1:18" hidden="1">
      <c r="A126">
        <v>1041281178802</v>
      </c>
      <c r="B126" t="s">
        <v>726</v>
      </c>
      <c r="C126">
        <v>14279576402</v>
      </c>
      <c r="D126" t="s">
        <v>2285</v>
      </c>
      <c r="E126" t="s">
        <v>2336</v>
      </c>
      <c r="F126" t="s">
        <v>39</v>
      </c>
      <c r="G126" t="s">
        <v>2337</v>
      </c>
      <c r="H126" t="s">
        <v>2332</v>
      </c>
      <c r="I126" t="s">
        <v>2338</v>
      </c>
      <c r="J126" t="s">
        <v>2338</v>
      </c>
      <c r="K126" t="s">
        <v>2334</v>
      </c>
      <c r="L126" t="s">
        <v>2335</v>
      </c>
      <c r="M126" s="43">
        <v>45940.714433298614</v>
      </c>
      <c r="N126" t="s">
        <v>2338</v>
      </c>
      <c r="O126">
        <v>0</v>
      </c>
      <c r="P126">
        <v>1</v>
      </c>
      <c r="Q126" s="43">
        <v>45894.779135289355</v>
      </c>
      <c r="R126" s="43"/>
    </row>
    <row r="127" spans="1:18">
      <c r="A127">
        <v>1041281178802</v>
      </c>
      <c r="B127" t="s">
        <v>726</v>
      </c>
      <c r="C127">
        <v>506559759302</v>
      </c>
      <c r="D127" t="s">
        <v>2432</v>
      </c>
      <c r="E127" t="s">
        <v>2336</v>
      </c>
      <c r="F127" t="s">
        <v>39</v>
      </c>
      <c r="G127" t="s">
        <v>2337</v>
      </c>
      <c r="H127" t="s">
        <v>2332</v>
      </c>
      <c r="I127" t="s">
        <v>2338</v>
      </c>
      <c r="J127" t="s">
        <v>2338</v>
      </c>
      <c r="K127" t="s">
        <v>2334</v>
      </c>
      <c r="L127" t="s">
        <v>2335</v>
      </c>
      <c r="M127" s="43">
        <v>45940.714433298614</v>
      </c>
      <c r="N127" t="s">
        <v>2338</v>
      </c>
      <c r="O127">
        <v>1</v>
      </c>
      <c r="P127">
        <v>0</v>
      </c>
      <c r="Q127" s="43">
        <v>45845.724123553242</v>
      </c>
      <c r="R127" s="43"/>
    </row>
    <row r="128" spans="1:18" hidden="1">
      <c r="A128">
        <v>1041281178802</v>
      </c>
      <c r="B128" t="s">
        <v>726</v>
      </c>
      <c r="C128">
        <v>1041281178802</v>
      </c>
      <c r="D128" t="s">
        <v>726</v>
      </c>
      <c r="E128" t="s">
        <v>2336</v>
      </c>
      <c r="F128" t="s">
        <v>39</v>
      </c>
      <c r="G128" t="s">
        <v>2337</v>
      </c>
      <c r="H128" t="s">
        <v>2332</v>
      </c>
      <c r="I128" t="s">
        <v>2338</v>
      </c>
      <c r="J128" t="s">
        <v>2338</v>
      </c>
      <c r="K128" t="s">
        <v>2334</v>
      </c>
      <c r="L128" t="s">
        <v>2335</v>
      </c>
      <c r="M128" s="43">
        <v>45940.714433298614</v>
      </c>
      <c r="N128" t="s">
        <v>2338</v>
      </c>
      <c r="O128">
        <v>0</v>
      </c>
      <c r="P128">
        <v>0</v>
      </c>
      <c r="Q128" s="43">
        <v>45937.733951354166</v>
      </c>
    </row>
    <row r="129" spans="1:18" hidden="1">
      <c r="A129">
        <v>1041281178802</v>
      </c>
      <c r="B129" t="s">
        <v>726</v>
      </c>
      <c r="C129">
        <v>1106270355002</v>
      </c>
      <c r="D129" t="s">
        <v>2433</v>
      </c>
      <c r="E129" t="s">
        <v>2336</v>
      </c>
      <c r="F129" t="s">
        <v>39</v>
      </c>
      <c r="G129" t="s">
        <v>2337</v>
      </c>
      <c r="H129" t="s">
        <v>2332</v>
      </c>
      <c r="I129" t="s">
        <v>2338</v>
      </c>
      <c r="J129" t="s">
        <v>2338</v>
      </c>
      <c r="K129" t="s">
        <v>2334</v>
      </c>
      <c r="L129" t="s">
        <v>2335</v>
      </c>
      <c r="M129" s="43">
        <v>45940.714433298614</v>
      </c>
      <c r="N129" t="s">
        <v>2338</v>
      </c>
      <c r="O129">
        <v>0</v>
      </c>
      <c r="P129">
        <v>0</v>
      </c>
      <c r="Q129" s="43">
        <v>45937.733950810187</v>
      </c>
      <c r="R129" s="43"/>
    </row>
    <row r="130" spans="1:18" hidden="1">
      <c r="A130">
        <v>851188356602</v>
      </c>
      <c r="B130" t="s">
        <v>2434</v>
      </c>
      <c r="C130">
        <v>851188356602</v>
      </c>
      <c r="D130" t="s">
        <v>2434</v>
      </c>
      <c r="E130" t="s">
        <v>2378</v>
      </c>
      <c r="F130" t="s">
        <v>39</v>
      </c>
      <c r="G130" t="s">
        <v>2337</v>
      </c>
      <c r="H130" t="s">
        <v>2332</v>
      </c>
      <c r="I130" t="s">
        <v>2338</v>
      </c>
      <c r="J130" t="s">
        <v>2338</v>
      </c>
      <c r="K130" t="s">
        <v>2334</v>
      </c>
      <c r="L130" t="s">
        <v>2335</v>
      </c>
      <c r="M130" s="43">
        <v>46050.783749178241</v>
      </c>
      <c r="N130" t="s">
        <v>2338</v>
      </c>
      <c r="O130">
        <v>1</v>
      </c>
      <c r="P130">
        <v>1</v>
      </c>
      <c r="Q130" s="43">
        <v>46052.772279236109</v>
      </c>
      <c r="R130" s="43">
        <v>46063.874548564818</v>
      </c>
    </row>
    <row r="131" spans="1:18" hidden="1">
      <c r="A131">
        <v>31616534302</v>
      </c>
      <c r="B131" t="s">
        <v>2295</v>
      </c>
      <c r="C131">
        <v>31616534302</v>
      </c>
      <c r="D131" t="s">
        <v>2295</v>
      </c>
      <c r="E131" t="s">
        <v>2369</v>
      </c>
      <c r="G131" t="s">
        <v>2331</v>
      </c>
      <c r="H131" t="s">
        <v>2332</v>
      </c>
      <c r="I131" t="s">
        <v>2333</v>
      </c>
      <c r="J131" t="s">
        <v>2333</v>
      </c>
      <c r="K131" t="s">
        <v>2334</v>
      </c>
      <c r="L131" t="s">
        <v>2335</v>
      </c>
      <c r="M131" s="43">
        <v>45677.910013229164</v>
      </c>
      <c r="N131" t="s">
        <v>2333</v>
      </c>
      <c r="O131">
        <v>0</v>
      </c>
      <c r="P131">
        <v>1</v>
      </c>
      <c r="Q131" s="43"/>
      <c r="R131" s="43"/>
    </row>
    <row r="132" spans="1:18" hidden="1">
      <c r="A132">
        <v>716769647502</v>
      </c>
      <c r="B132" t="s">
        <v>2435</v>
      </c>
      <c r="C132">
        <v>490336347502</v>
      </c>
      <c r="D132" t="s">
        <v>2311</v>
      </c>
      <c r="E132" t="s">
        <v>2351</v>
      </c>
      <c r="F132" t="s">
        <v>37</v>
      </c>
      <c r="G132" t="s">
        <v>2337</v>
      </c>
      <c r="H132" t="s">
        <v>2332</v>
      </c>
      <c r="I132" t="s">
        <v>2338</v>
      </c>
      <c r="J132" t="s">
        <v>2338</v>
      </c>
      <c r="K132" t="s">
        <v>2334</v>
      </c>
      <c r="L132" t="s">
        <v>2335</v>
      </c>
      <c r="M132" s="43">
        <v>45873.722792754626</v>
      </c>
      <c r="N132" t="s">
        <v>2338</v>
      </c>
      <c r="O132">
        <v>1</v>
      </c>
      <c r="P132">
        <v>1</v>
      </c>
      <c r="Q132" s="43">
        <v>45943.591702233796</v>
      </c>
      <c r="R132" s="43">
        <v>46029.861842719911</v>
      </c>
    </row>
    <row r="133" spans="1:18" hidden="1">
      <c r="A133">
        <v>716769647502</v>
      </c>
      <c r="B133" t="s">
        <v>2435</v>
      </c>
      <c r="C133">
        <v>591291307902</v>
      </c>
      <c r="D133" t="s">
        <v>2436</v>
      </c>
      <c r="E133" t="s">
        <v>2351</v>
      </c>
      <c r="F133" t="s">
        <v>37</v>
      </c>
      <c r="G133" t="s">
        <v>2337</v>
      </c>
      <c r="H133" t="s">
        <v>2332</v>
      </c>
      <c r="I133" t="s">
        <v>2338</v>
      </c>
      <c r="J133" t="s">
        <v>2338</v>
      </c>
      <c r="K133" t="s">
        <v>2334</v>
      </c>
      <c r="L133" t="s">
        <v>2335</v>
      </c>
      <c r="M133" s="43">
        <v>45873.722792754626</v>
      </c>
      <c r="N133" t="s">
        <v>2338</v>
      </c>
      <c r="O133">
        <v>0</v>
      </c>
      <c r="P133">
        <v>0</v>
      </c>
      <c r="Q133" s="43">
        <v>45943.5917162037</v>
      </c>
      <c r="R133" s="43">
        <v>46029.861842719911</v>
      </c>
    </row>
    <row r="134" spans="1:18" hidden="1">
      <c r="A134">
        <v>716769647502</v>
      </c>
      <c r="B134" t="s">
        <v>2435</v>
      </c>
      <c r="C134">
        <v>716769647502</v>
      </c>
      <c r="D134" t="s">
        <v>2435</v>
      </c>
      <c r="E134" t="s">
        <v>2351</v>
      </c>
      <c r="F134" t="s">
        <v>37</v>
      </c>
      <c r="G134" t="s">
        <v>2337</v>
      </c>
      <c r="H134" t="s">
        <v>2332</v>
      </c>
      <c r="I134" t="s">
        <v>2338</v>
      </c>
      <c r="J134" t="s">
        <v>2338</v>
      </c>
      <c r="K134" t="s">
        <v>2334</v>
      </c>
      <c r="L134" t="s">
        <v>2335</v>
      </c>
      <c r="M134" s="43">
        <v>45873.722792754626</v>
      </c>
      <c r="N134" t="s">
        <v>2338</v>
      </c>
      <c r="O134">
        <v>0</v>
      </c>
      <c r="P134">
        <v>0</v>
      </c>
      <c r="Q134" s="43">
        <v>45957.833414363427</v>
      </c>
      <c r="R134" s="43">
        <v>46029.861842719911</v>
      </c>
    </row>
    <row r="135" spans="1:18" hidden="1">
      <c r="A135">
        <v>137029362402</v>
      </c>
      <c r="B135" t="s">
        <v>1441</v>
      </c>
      <c r="C135">
        <v>137029362402</v>
      </c>
      <c r="D135" t="s">
        <v>1441</v>
      </c>
      <c r="E135" t="s">
        <v>2364</v>
      </c>
      <c r="F135" t="s">
        <v>37</v>
      </c>
      <c r="G135" t="s">
        <v>2337</v>
      </c>
      <c r="H135" t="s">
        <v>2332</v>
      </c>
      <c r="I135" t="s">
        <v>2338</v>
      </c>
      <c r="J135" t="s">
        <v>2338</v>
      </c>
      <c r="K135" t="s">
        <v>2334</v>
      </c>
      <c r="L135" t="s">
        <v>2335</v>
      </c>
      <c r="M135" s="43">
        <v>45665.789892025467</v>
      </c>
      <c r="N135" t="s">
        <v>2338</v>
      </c>
      <c r="O135">
        <v>1</v>
      </c>
      <c r="P135">
        <v>1</v>
      </c>
      <c r="Q135" s="43">
        <v>45845.724125555556</v>
      </c>
      <c r="R135" s="43">
        <v>46030.865857824072</v>
      </c>
    </row>
    <row r="136" spans="1:18" hidden="1">
      <c r="A136">
        <v>137029362402</v>
      </c>
      <c r="B136" t="s">
        <v>1441</v>
      </c>
      <c r="C136">
        <v>957435887502</v>
      </c>
      <c r="D136" t="s">
        <v>2437</v>
      </c>
      <c r="E136" t="s">
        <v>2364</v>
      </c>
      <c r="F136" t="s">
        <v>37</v>
      </c>
      <c r="G136" t="s">
        <v>2337</v>
      </c>
      <c r="H136" t="s">
        <v>2332</v>
      </c>
      <c r="I136" t="s">
        <v>2338</v>
      </c>
      <c r="J136" t="s">
        <v>2338</v>
      </c>
      <c r="K136" t="s">
        <v>2334</v>
      </c>
      <c r="L136" t="s">
        <v>2335</v>
      </c>
      <c r="M136" s="43">
        <v>45665.789892025467</v>
      </c>
      <c r="N136" t="s">
        <v>2338</v>
      </c>
      <c r="O136">
        <v>0</v>
      </c>
      <c r="P136">
        <v>0</v>
      </c>
      <c r="Q136" s="43">
        <v>45889.742898472221</v>
      </c>
      <c r="R136" s="43">
        <v>46030.865857824072</v>
      </c>
    </row>
    <row r="137" spans="1:18" hidden="1">
      <c r="A137">
        <v>137029362402</v>
      </c>
      <c r="B137" t="s">
        <v>1441</v>
      </c>
      <c r="C137">
        <v>1180189456802</v>
      </c>
      <c r="D137" t="s">
        <v>2438</v>
      </c>
      <c r="E137" t="s">
        <v>2364</v>
      </c>
      <c r="F137" t="s">
        <v>37</v>
      </c>
      <c r="G137" t="s">
        <v>2337</v>
      </c>
      <c r="H137" t="s">
        <v>2332</v>
      </c>
      <c r="I137" t="s">
        <v>2338</v>
      </c>
      <c r="J137" t="s">
        <v>2338</v>
      </c>
      <c r="K137" t="s">
        <v>2334</v>
      </c>
      <c r="L137" t="s">
        <v>2335</v>
      </c>
      <c r="M137" s="43">
        <v>45665.789892025467</v>
      </c>
      <c r="N137" t="s">
        <v>2338</v>
      </c>
      <c r="O137">
        <v>0</v>
      </c>
      <c r="P137">
        <v>0</v>
      </c>
      <c r="Q137" s="43">
        <v>46050.816045081017</v>
      </c>
      <c r="R137" s="43">
        <v>46030.865857824072</v>
      </c>
    </row>
    <row r="138" spans="1:18" hidden="1">
      <c r="A138">
        <v>361885515402</v>
      </c>
      <c r="B138" t="s">
        <v>1603</v>
      </c>
      <c r="C138">
        <v>361885515402</v>
      </c>
      <c r="D138" t="s">
        <v>1603</v>
      </c>
      <c r="E138" t="s">
        <v>2362</v>
      </c>
      <c r="F138" t="s">
        <v>39</v>
      </c>
      <c r="G138" t="s">
        <v>2337</v>
      </c>
      <c r="H138" t="s">
        <v>2332</v>
      </c>
      <c r="I138" t="s">
        <v>2338</v>
      </c>
      <c r="J138" t="s">
        <v>2338</v>
      </c>
      <c r="K138" t="s">
        <v>2334</v>
      </c>
      <c r="L138" t="s">
        <v>2335</v>
      </c>
      <c r="M138" s="43">
        <v>45667.684516018518</v>
      </c>
      <c r="N138" t="s">
        <v>2338</v>
      </c>
      <c r="O138">
        <v>1</v>
      </c>
      <c r="P138">
        <v>1</v>
      </c>
      <c r="Q138" s="43">
        <v>45845.72412337963</v>
      </c>
      <c r="R138" s="43"/>
    </row>
    <row r="139" spans="1:18" hidden="1">
      <c r="A139">
        <v>133398128802</v>
      </c>
      <c r="B139" t="s">
        <v>1175</v>
      </c>
      <c r="C139">
        <v>47148034115</v>
      </c>
      <c r="D139" t="s">
        <v>2439</v>
      </c>
      <c r="E139" t="s">
        <v>2378</v>
      </c>
      <c r="G139" t="s">
        <v>2331</v>
      </c>
      <c r="H139" t="s">
        <v>2332</v>
      </c>
      <c r="I139" t="s">
        <v>2333</v>
      </c>
      <c r="J139" t="s">
        <v>2333</v>
      </c>
      <c r="K139" t="s">
        <v>2334</v>
      </c>
      <c r="L139" t="s">
        <v>2335</v>
      </c>
      <c r="M139" s="43">
        <v>45686.135423981483</v>
      </c>
      <c r="N139" t="s">
        <v>2333</v>
      </c>
      <c r="O139">
        <v>0</v>
      </c>
      <c r="P139">
        <v>1</v>
      </c>
      <c r="Q139" s="43"/>
      <c r="R139" s="43"/>
    </row>
    <row r="140" spans="1:18" hidden="1">
      <c r="A140">
        <v>133398128802</v>
      </c>
      <c r="B140" t="s">
        <v>1175</v>
      </c>
      <c r="C140">
        <v>133398128802</v>
      </c>
      <c r="D140" t="s">
        <v>1175</v>
      </c>
      <c r="E140" t="s">
        <v>2378</v>
      </c>
      <c r="G140" t="s">
        <v>2331</v>
      </c>
      <c r="H140" t="s">
        <v>2332</v>
      </c>
      <c r="I140" t="s">
        <v>2333</v>
      </c>
      <c r="J140" t="s">
        <v>2333</v>
      </c>
      <c r="K140" t="s">
        <v>2334</v>
      </c>
      <c r="L140" t="s">
        <v>2335</v>
      </c>
      <c r="M140" s="43">
        <v>45686.135423981483</v>
      </c>
      <c r="N140" t="s">
        <v>2333</v>
      </c>
      <c r="O140">
        <v>0</v>
      </c>
      <c r="P140">
        <v>0</v>
      </c>
      <c r="Q140" s="43"/>
    </row>
    <row r="141" spans="1:18" hidden="1">
      <c r="A141">
        <v>133398128802</v>
      </c>
      <c r="B141" t="s">
        <v>1175</v>
      </c>
      <c r="C141">
        <v>540947583202</v>
      </c>
      <c r="D141" t="s">
        <v>2440</v>
      </c>
      <c r="E141" t="s">
        <v>2378</v>
      </c>
      <c r="G141" t="s">
        <v>2331</v>
      </c>
      <c r="H141" t="s">
        <v>2332</v>
      </c>
      <c r="I141" t="s">
        <v>2333</v>
      </c>
      <c r="J141" t="s">
        <v>2333</v>
      </c>
      <c r="K141" t="s">
        <v>2334</v>
      </c>
      <c r="L141" t="s">
        <v>2335</v>
      </c>
      <c r="M141" s="43">
        <v>45686.135423981483</v>
      </c>
      <c r="N141" t="s">
        <v>2333</v>
      </c>
      <c r="O141">
        <v>0</v>
      </c>
      <c r="P141">
        <v>0</v>
      </c>
      <c r="Q141" s="43"/>
      <c r="R141" s="43"/>
    </row>
    <row r="142" spans="1:18" hidden="1">
      <c r="A142">
        <v>133398128802</v>
      </c>
      <c r="B142" t="s">
        <v>1175</v>
      </c>
      <c r="C142">
        <v>878617535402</v>
      </c>
      <c r="D142" t="s">
        <v>2441</v>
      </c>
      <c r="E142" t="s">
        <v>2378</v>
      </c>
      <c r="G142" t="s">
        <v>2331</v>
      </c>
      <c r="H142" t="s">
        <v>2332</v>
      </c>
      <c r="I142" t="s">
        <v>2333</v>
      </c>
      <c r="J142" t="s">
        <v>2333</v>
      </c>
      <c r="K142" t="s">
        <v>2334</v>
      </c>
      <c r="L142" t="s">
        <v>2335</v>
      </c>
      <c r="M142" s="43">
        <v>45686.135423981483</v>
      </c>
      <c r="N142" t="s">
        <v>2333</v>
      </c>
      <c r="O142">
        <v>0</v>
      </c>
      <c r="P142">
        <v>0</v>
      </c>
      <c r="Q142" s="43"/>
      <c r="R142" s="43"/>
    </row>
    <row r="143" spans="1:18" hidden="1">
      <c r="A143">
        <v>133398128802</v>
      </c>
      <c r="B143" t="s">
        <v>1175</v>
      </c>
      <c r="C143">
        <v>1133002699402</v>
      </c>
      <c r="D143" t="s">
        <v>2442</v>
      </c>
      <c r="E143" t="s">
        <v>2378</v>
      </c>
      <c r="G143" t="s">
        <v>2331</v>
      </c>
      <c r="H143" t="s">
        <v>2332</v>
      </c>
      <c r="I143" t="s">
        <v>2333</v>
      </c>
      <c r="J143" t="s">
        <v>2333</v>
      </c>
      <c r="K143" t="s">
        <v>2334</v>
      </c>
      <c r="L143" t="s">
        <v>2335</v>
      </c>
      <c r="M143" s="43">
        <v>45686.135423981483</v>
      </c>
      <c r="N143" t="s">
        <v>2333</v>
      </c>
      <c r="O143">
        <v>0</v>
      </c>
      <c r="P143">
        <v>0</v>
      </c>
      <c r="Q143" s="43"/>
      <c r="R143" s="43"/>
    </row>
    <row r="144" spans="1:18" hidden="1">
      <c r="A144">
        <v>671124237502</v>
      </c>
      <c r="B144" t="s">
        <v>2443</v>
      </c>
      <c r="C144">
        <v>264522213102</v>
      </c>
      <c r="D144" t="s">
        <v>2444</v>
      </c>
      <c r="E144" t="s">
        <v>2353</v>
      </c>
      <c r="F144" t="s">
        <v>36</v>
      </c>
      <c r="G144" t="s">
        <v>2337</v>
      </c>
      <c r="H144" t="s">
        <v>2332</v>
      </c>
      <c r="I144" t="s">
        <v>2338</v>
      </c>
      <c r="J144" t="s">
        <v>2338</v>
      </c>
      <c r="K144" t="s">
        <v>2334</v>
      </c>
      <c r="L144" t="s">
        <v>2335</v>
      </c>
      <c r="M144" s="43">
        <v>46017.742243321758</v>
      </c>
      <c r="N144" t="s">
        <v>2338</v>
      </c>
      <c r="O144">
        <v>0</v>
      </c>
      <c r="P144">
        <v>1</v>
      </c>
      <c r="Q144" s="43">
        <v>46066.160094537037</v>
      </c>
      <c r="R144" s="43">
        <v>46073.650181874997</v>
      </c>
    </row>
    <row r="145" spans="1:18" hidden="1">
      <c r="A145">
        <v>671124237502</v>
      </c>
      <c r="B145" t="s">
        <v>2443</v>
      </c>
      <c r="C145">
        <v>671124237502</v>
      </c>
      <c r="D145" t="s">
        <v>2443</v>
      </c>
      <c r="E145" t="s">
        <v>2353</v>
      </c>
      <c r="F145" t="s">
        <v>36</v>
      </c>
      <c r="G145" t="s">
        <v>2337</v>
      </c>
      <c r="H145" t="s">
        <v>2332</v>
      </c>
      <c r="I145" t="s">
        <v>2338</v>
      </c>
      <c r="J145" t="s">
        <v>2338</v>
      </c>
      <c r="K145" t="s">
        <v>2334</v>
      </c>
      <c r="L145" t="s">
        <v>2335</v>
      </c>
      <c r="M145" s="43">
        <v>46017.742243321758</v>
      </c>
      <c r="N145" t="s">
        <v>2338</v>
      </c>
      <c r="O145">
        <v>1</v>
      </c>
      <c r="P145">
        <v>0</v>
      </c>
      <c r="Q145" s="43">
        <v>46031.763598611113</v>
      </c>
      <c r="R145" s="43">
        <v>46073.650181874997</v>
      </c>
    </row>
    <row r="146" spans="1:18" hidden="1">
      <c r="A146">
        <v>597004571302</v>
      </c>
      <c r="B146" t="s">
        <v>2203</v>
      </c>
      <c r="C146">
        <v>442895480102</v>
      </c>
      <c r="D146" t="s">
        <v>2445</v>
      </c>
      <c r="E146" t="s">
        <v>2353</v>
      </c>
      <c r="F146" t="s">
        <v>36</v>
      </c>
      <c r="G146" t="s">
        <v>2337</v>
      </c>
      <c r="H146" t="s">
        <v>2332</v>
      </c>
      <c r="I146" t="s">
        <v>2338</v>
      </c>
      <c r="J146" t="s">
        <v>2338</v>
      </c>
      <c r="K146" t="s">
        <v>2334</v>
      </c>
      <c r="L146" t="s">
        <v>2335</v>
      </c>
      <c r="M146" s="43">
        <v>45926.854755520835</v>
      </c>
      <c r="N146" t="s">
        <v>2338</v>
      </c>
      <c r="O146">
        <v>0</v>
      </c>
      <c r="P146">
        <v>1</v>
      </c>
      <c r="Q146" s="43">
        <v>45943.591717361109</v>
      </c>
      <c r="R146" s="43">
        <v>46048.730382222224</v>
      </c>
    </row>
    <row r="147" spans="1:18" hidden="1">
      <c r="A147">
        <v>597004571302</v>
      </c>
      <c r="B147" t="s">
        <v>2203</v>
      </c>
      <c r="C147">
        <v>597004571302</v>
      </c>
      <c r="D147" t="s">
        <v>2203</v>
      </c>
      <c r="E147" t="s">
        <v>2353</v>
      </c>
      <c r="F147" t="s">
        <v>36</v>
      </c>
      <c r="G147" t="s">
        <v>2337</v>
      </c>
      <c r="H147" t="s">
        <v>2332</v>
      </c>
      <c r="I147" t="s">
        <v>2338</v>
      </c>
      <c r="J147" t="s">
        <v>2338</v>
      </c>
      <c r="K147" t="s">
        <v>2334</v>
      </c>
      <c r="L147" t="s">
        <v>2335</v>
      </c>
      <c r="M147" s="43">
        <v>45926.854755520835</v>
      </c>
      <c r="N147" t="s">
        <v>2338</v>
      </c>
      <c r="O147">
        <v>0</v>
      </c>
      <c r="P147">
        <v>0</v>
      </c>
      <c r="Q147" s="43">
        <v>45943.591702500002</v>
      </c>
      <c r="R147" s="43">
        <v>46048.730382222224</v>
      </c>
    </row>
    <row r="148" spans="1:18" hidden="1">
      <c r="A148">
        <v>597004571302</v>
      </c>
      <c r="B148" t="s">
        <v>2203</v>
      </c>
      <c r="C148">
        <v>1089853461002</v>
      </c>
      <c r="D148" t="s">
        <v>2446</v>
      </c>
      <c r="E148" t="s">
        <v>2353</v>
      </c>
      <c r="F148" t="s">
        <v>36</v>
      </c>
      <c r="G148" t="s">
        <v>2337</v>
      </c>
      <c r="H148" t="s">
        <v>2332</v>
      </c>
      <c r="I148" t="s">
        <v>2338</v>
      </c>
      <c r="J148" t="s">
        <v>2338</v>
      </c>
      <c r="K148" t="s">
        <v>2334</v>
      </c>
      <c r="L148" t="s">
        <v>2335</v>
      </c>
      <c r="M148" s="43">
        <v>45926.854755520835</v>
      </c>
      <c r="N148" t="s">
        <v>2338</v>
      </c>
      <c r="O148">
        <v>1</v>
      </c>
      <c r="P148">
        <v>0</v>
      </c>
      <c r="Q148" s="43">
        <v>45943.591700011573</v>
      </c>
      <c r="R148" s="43">
        <v>46048.730382222224</v>
      </c>
    </row>
    <row r="149" spans="1:18" hidden="1">
      <c r="A149">
        <v>245677411802</v>
      </c>
      <c r="B149" t="s">
        <v>2447</v>
      </c>
      <c r="C149">
        <v>47713862502</v>
      </c>
      <c r="D149" t="s">
        <v>929</v>
      </c>
      <c r="E149" t="s">
        <v>2361</v>
      </c>
      <c r="F149" t="s">
        <v>40</v>
      </c>
      <c r="G149" t="s">
        <v>2337</v>
      </c>
      <c r="H149" t="s">
        <v>2332</v>
      </c>
      <c r="I149" t="s">
        <v>2338</v>
      </c>
      <c r="J149" t="s">
        <v>2338</v>
      </c>
      <c r="K149" t="s">
        <v>2334</v>
      </c>
      <c r="L149" t="s">
        <v>2335</v>
      </c>
      <c r="M149" s="43">
        <v>45975.598287245368</v>
      </c>
      <c r="N149" t="s">
        <v>2338</v>
      </c>
      <c r="O149">
        <v>1</v>
      </c>
      <c r="P149">
        <v>1</v>
      </c>
      <c r="Q149" s="43">
        <v>46049.551781608796</v>
      </c>
      <c r="R149" s="43">
        <v>46055.882470196761</v>
      </c>
    </row>
    <row r="150" spans="1:18" hidden="1">
      <c r="A150">
        <v>245677411802</v>
      </c>
      <c r="B150" t="s">
        <v>2447</v>
      </c>
      <c r="C150">
        <v>245677411802</v>
      </c>
      <c r="D150" t="s">
        <v>2447</v>
      </c>
      <c r="E150" t="s">
        <v>2361</v>
      </c>
      <c r="F150" t="s">
        <v>40</v>
      </c>
      <c r="G150" t="s">
        <v>2337</v>
      </c>
      <c r="H150" t="s">
        <v>2332</v>
      </c>
      <c r="I150" t="s">
        <v>2338</v>
      </c>
      <c r="J150" t="s">
        <v>2338</v>
      </c>
      <c r="K150" t="s">
        <v>2334</v>
      </c>
      <c r="L150" t="s">
        <v>2335</v>
      </c>
      <c r="M150" s="43">
        <v>45975.598287245368</v>
      </c>
      <c r="N150" t="s">
        <v>2338</v>
      </c>
      <c r="O150">
        <v>0</v>
      </c>
      <c r="P150">
        <v>0</v>
      </c>
      <c r="Q150" s="43">
        <v>46050.816045520834</v>
      </c>
      <c r="R150" s="43">
        <v>46055.882470196761</v>
      </c>
    </row>
    <row r="151" spans="1:18" hidden="1">
      <c r="A151">
        <v>245677411802</v>
      </c>
      <c r="B151" t="s">
        <v>2447</v>
      </c>
      <c r="C151">
        <v>443593453602</v>
      </c>
      <c r="D151" t="s">
        <v>2448</v>
      </c>
      <c r="E151" t="s">
        <v>2361</v>
      </c>
      <c r="F151" t="s">
        <v>40</v>
      </c>
      <c r="G151" t="s">
        <v>2337</v>
      </c>
      <c r="H151" t="s">
        <v>2332</v>
      </c>
      <c r="I151" t="s">
        <v>2338</v>
      </c>
      <c r="J151" t="s">
        <v>2338</v>
      </c>
      <c r="K151" t="s">
        <v>2334</v>
      </c>
      <c r="L151" t="s">
        <v>2335</v>
      </c>
      <c r="M151" s="43">
        <v>45975.598287245368</v>
      </c>
      <c r="N151" t="s">
        <v>2338</v>
      </c>
      <c r="O151">
        <v>0</v>
      </c>
      <c r="P151">
        <v>0</v>
      </c>
      <c r="Q151" s="43">
        <v>46050.816045231484</v>
      </c>
      <c r="R151" s="43">
        <v>46055.882470196761</v>
      </c>
    </row>
    <row r="152" spans="1:18" hidden="1">
      <c r="A152">
        <v>118772541402</v>
      </c>
      <c r="B152" t="s">
        <v>2085</v>
      </c>
      <c r="C152">
        <v>118772541402</v>
      </c>
      <c r="D152" t="s">
        <v>2085</v>
      </c>
      <c r="E152" t="s">
        <v>2353</v>
      </c>
      <c r="G152" t="s">
        <v>2331</v>
      </c>
      <c r="H152" t="s">
        <v>2332</v>
      </c>
      <c r="I152" t="s">
        <v>2333</v>
      </c>
      <c r="J152" t="s">
        <v>2333</v>
      </c>
      <c r="K152" t="s">
        <v>2334</v>
      </c>
      <c r="L152" t="s">
        <v>2335</v>
      </c>
      <c r="M152" s="43">
        <v>45338.528355879629</v>
      </c>
      <c r="N152" t="s">
        <v>2333</v>
      </c>
      <c r="O152">
        <v>0</v>
      </c>
      <c r="P152">
        <v>1</v>
      </c>
      <c r="Q152" s="43"/>
    </row>
    <row r="153" spans="1:18" hidden="1">
      <c r="A153">
        <v>118772541402</v>
      </c>
      <c r="B153" t="s">
        <v>2085</v>
      </c>
      <c r="C153">
        <v>740195132402</v>
      </c>
      <c r="D153" t="s">
        <v>2449</v>
      </c>
      <c r="E153" t="s">
        <v>2353</v>
      </c>
      <c r="G153" t="s">
        <v>2331</v>
      </c>
      <c r="H153" t="s">
        <v>2332</v>
      </c>
      <c r="I153" t="s">
        <v>2333</v>
      </c>
      <c r="J153" t="s">
        <v>2333</v>
      </c>
      <c r="K153" t="s">
        <v>2334</v>
      </c>
      <c r="L153" t="s">
        <v>2335</v>
      </c>
      <c r="M153" s="43">
        <v>45338.528355879629</v>
      </c>
      <c r="N153" t="s">
        <v>2333</v>
      </c>
      <c r="O153">
        <v>0</v>
      </c>
      <c r="P153">
        <v>0</v>
      </c>
      <c r="Q153" s="43"/>
      <c r="R153" s="43"/>
    </row>
    <row r="154" spans="1:18" hidden="1">
      <c r="A154">
        <v>721128628302</v>
      </c>
      <c r="B154" t="s">
        <v>1362</v>
      </c>
      <c r="C154">
        <v>536388313802</v>
      </c>
      <c r="D154" t="s">
        <v>2450</v>
      </c>
      <c r="E154" t="s">
        <v>2349</v>
      </c>
      <c r="G154" t="s">
        <v>2331</v>
      </c>
      <c r="H154" t="s">
        <v>2332</v>
      </c>
      <c r="I154" t="s">
        <v>2333</v>
      </c>
      <c r="J154" t="s">
        <v>2333</v>
      </c>
      <c r="K154" t="s">
        <v>2334</v>
      </c>
      <c r="L154" t="s">
        <v>2335</v>
      </c>
      <c r="M154" s="43">
        <v>45747.513254409721</v>
      </c>
      <c r="N154" t="s">
        <v>2333</v>
      </c>
      <c r="O154">
        <v>0</v>
      </c>
      <c r="P154">
        <v>1</v>
      </c>
      <c r="Q154" s="43"/>
      <c r="R154" s="43"/>
    </row>
    <row r="155" spans="1:18" hidden="1">
      <c r="A155">
        <v>721128628302</v>
      </c>
      <c r="B155" t="s">
        <v>1362</v>
      </c>
      <c r="C155">
        <v>721128628302</v>
      </c>
      <c r="D155" t="s">
        <v>1362</v>
      </c>
      <c r="E155" t="s">
        <v>2349</v>
      </c>
      <c r="G155" t="s">
        <v>2331</v>
      </c>
      <c r="H155" t="s">
        <v>2332</v>
      </c>
      <c r="I155" t="s">
        <v>2333</v>
      </c>
      <c r="J155" t="s">
        <v>2333</v>
      </c>
      <c r="K155" t="s">
        <v>2334</v>
      </c>
      <c r="L155" t="s">
        <v>2335</v>
      </c>
      <c r="M155" s="43">
        <v>45747.513254409721</v>
      </c>
      <c r="N155" t="s">
        <v>2333</v>
      </c>
      <c r="O155">
        <v>0</v>
      </c>
      <c r="P155">
        <v>0</v>
      </c>
      <c r="Q155" s="43"/>
      <c r="R155" s="43"/>
    </row>
    <row r="156" spans="1:18" hidden="1">
      <c r="A156">
        <v>414165418502</v>
      </c>
      <c r="B156" t="s">
        <v>1569</v>
      </c>
      <c r="C156">
        <v>414165418502</v>
      </c>
      <c r="D156" t="s">
        <v>1569</v>
      </c>
      <c r="E156" t="s">
        <v>2336</v>
      </c>
      <c r="F156" t="s">
        <v>39</v>
      </c>
      <c r="G156" t="s">
        <v>2337</v>
      </c>
      <c r="H156" t="s">
        <v>2332</v>
      </c>
      <c r="I156" t="s">
        <v>2338</v>
      </c>
      <c r="J156" t="s">
        <v>2338</v>
      </c>
      <c r="K156" t="s">
        <v>2334</v>
      </c>
      <c r="L156" t="s">
        <v>2335</v>
      </c>
      <c r="M156" s="43">
        <v>45927.023041701388</v>
      </c>
      <c r="N156" t="s">
        <v>2338</v>
      </c>
      <c r="O156">
        <v>0</v>
      </c>
      <c r="P156">
        <v>1</v>
      </c>
      <c r="Q156" s="43">
        <v>45845.724123229164</v>
      </c>
      <c r="R156" s="43"/>
    </row>
    <row r="157" spans="1:18">
      <c r="A157">
        <v>414165418502</v>
      </c>
      <c r="B157" t="s">
        <v>1569</v>
      </c>
      <c r="C157">
        <v>841372402902</v>
      </c>
      <c r="D157" t="s">
        <v>2451</v>
      </c>
      <c r="E157" t="s">
        <v>2336</v>
      </c>
      <c r="F157" t="s">
        <v>39</v>
      </c>
      <c r="G157" t="s">
        <v>2337</v>
      </c>
      <c r="H157" t="s">
        <v>2332</v>
      </c>
      <c r="I157" t="s">
        <v>2338</v>
      </c>
      <c r="J157" t="s">
        <v>2338</v>
      </c>
      <c r="K157" t="s">
        <v>2334</v>
      </c>
      <c r="L157" t="s">
        <v>2335</v>
      </c>
      <c r="M157" s="43">
        <v>45927.023041701388</v>
      </c>
      <c r="N157" t="s">
        <v>2338</v>
      </c>
      <c r="O157">
        <v>1</v>
      </c>
      <c r="P157">
        <v>0</v>
      </c>
      <c r="Q157" s="43">
        <v>45434.542228310187</v>
      </c>
      <c r="R157" s="43"/>
    </row>
    <row r="158" spans="1:18">
      <c r="A158">
        <v>414165418502</v>
      </c>
      <c r="B158" t="s">
        <v>1569</v>
      </c>
      <c r="C158">
        <v>1126409110002</v>
      </c>
      <c r="D158" t="s">
        <v>2452</v>
      </c>
      <c r="E158" t="s">
        <v>2336</v>
      </c>
      <c r="F158" t="s">
        <v>39</v>
      </c>
      <c r="G158" t="s">
        <v>2337</v>
      </c>
      <c r="H158" t="s">
        <v>2332</v>
      </c>
      <c r="I158" t="s">
        <v>2338</v>
      </c>
      <c r="J158" t="s">
        <v>2338</v>
      </c>
      <c r="K158" t="s">
        <v>2334</v>
      </c>
      <c r="L158" t="s">
        <v>2335</v>
      </c>
      <c r="M158" s="43">
        <v>45927.023041701388</v>
      </c>
      <c r="N158" t="s">
        <v>2338</v>
      </c>
      <c r="O158">
        <v>0</v>
      </c>
      <c r="P158">
        <v>0</v>
      </c>
      <c r="Q158" s="43">
        <v>45930.772956666668</v>
      </c>
      <c r="R158" s="43"/>
    </row>
    <row r="159" spans="1:18" hidden="1">
      <c r="A159">
        <v>368561207102</v>
      </c>
      <c r="B159" t="s">
        <v>486</v>
      </c>
      <c r="C159">
        <v>368561207102</v>
      </c>
      <c r="D159" t="s">
        <v>486</v>
      </c>
      <c r="E159" t="s">
        <v>2364</v>
      </c>
      <c r="F159" t="s">
        <v>37</v>
      </c>
      <c r="G159" t="s">
        <v>2337</v>
      </c>
      <c r="H159" t="s">
        <v>2332</v>
      </c>
      <c r="I159" t="s">
        <v>2338</v>
      </c>
      <c r="J159" t="s">
        <v>2338</v>
      </c>
      <c r="K159" t="s">
        <v>2334</v>
      </c>
      <c r="L159" t="s">
        <v>2335</v>
      </c>
      <c r="M159" s="43">
        <v>45673.688299444446</v>
      </c>
      <c r="N159" t="s">
        <v>2338</v>
      </c>
      <c r="O159">
        <v>1</v>
      </c>
      <c r="P159">
        <v>1</v>
      </c>
      <c r="Q159" s="43">
        <v>45943.591699166667</v>
      </c>
      <c r="R159" s="43"/>
    </row>
    <row r="160" spans="1:18" hidden="1">
      <c r="A160">
        <v>381567616102</v>
      </c>
      <c r="B160" t="s">
        <v>2453</v>
      </c>
      <c r="C160">
        <v>381567616102</v>
      </c>
      <c r="D160" t="s">
        <v>2453</v>
      </c>
      <c r="E160" t="s">
        <v>2364</v>
      </c>
      <c r="F160" t="s">
        <v>37</v>
      </c>
      <c r="G160" t="s">
        <v>2337</v>
      </c>
      <c r="H160" t="s">
        <v>2332</v>
      </c>
      <c r="I160" t="s">
        <v>2338</v>
      </c>
      <c r="J160" t="s">
        <v>2338</v>
      </c>
      <c r="K160" t="s">
        <v>2334</v>
      </c>
      <c r="L160" t="s">
        <v>2335</v>
      </c>
      <c r="M160" s="43">
        <v>46042.866828622682</v>
      </c>
      <c r="N160" t="s">
        <v>2338</v>
      </c>
      <c r="O160">
        <v>1</v>
      </c>
      <c r="P160">
        <v>1</v>
      </c>
      <c r="Q160" s="43">
        <v>46052.77228002315</v>
      </c>
      <c r="R160" s="43">
        <v>46085.863426585645</v>
      </c>
    </row>
    <row r="161" spans="1:18">
      <c r="A161">
        <v>97759973202</v>
      </c>
      <c r="B161" t="s">
        <v>2118</v>
      </c>
      <c r="C161">
        <v>97759973202</v>
      </c>
      <c r="D161" t="s">
        <v>2118</v>
      </c>
      <c r="E161" t="s">
        <v>2361</v>
      </c>
      <c r="F161" t="s">
        <v>40</v>
      </c>
      <c r="G161" t="s">
        <v>2337</v>
      </c>
      <c r="H161" t="s">
        <v>2332</v>
      </c>
      <c r="I161" t="s">
        <v>2338</v>
      </c>
      <c r="J161" t="s">
        <v>2338</v>
      </c>
      <c r="K161" t="s">
        <v>2334</v>
      </c>
      <c r="L161" t="s">
        <v>2335</v>
      </c>
      <c r="M161" s="43">
        <v>45663.727224652779</v>
      </c>
      <c r="N161" t="s">
        <v>2338</v>
      </c>
      <c r="O161">
        <v>1</v>
      </c>
      <c r="P161">
        <v>1</v>
      </c>
      <c r="Q161" s="43">
        <v>45845.724123194443</v>
      </c>
      <c r="R161" s="43">
        <v>46083.730765416665</v>
      </c>
    </row>
    <row r="162" spans="1:18" hidden="1">
      <c r="A162">
        <v>97759973202</v>
      </c>
      <c r="B162" t="s">
        <v>2118</v>
      </c>
      <c r="C162">
        <v>794325328902</v>
      </c>
      <c r="D162" t="s">
        <v>2121</v>
      </c>
      <c r="E162" t="s">
        <v>2361</v>
      </c>
      <c r="F162" t="s">
        <v>40</v>
      </c>
      <c r="G162" t="s">
        <v>2337</v>
      </c>
      <c r="H162" t="s">
        <v>2332</v>
      </c>
      <c r="I162" t="s">
        <v>2338</v>
      </c>
      <c r="J162" t="s">
        <v>2338</v>
      </c>
      <c r="K162" t="s">
        <v>2334</v>
      </c>
      <c r="L162" t="s">
        <v>2335</v>
      </c>
      <c r="M162" s="43">
        <v>45663.727224652779</v>
      </c>
      <c r="N162" t="s">
        <v>2338</v>
      </c>
      <c r="O162">
        <v>0</v>
      </c>
      <c r="P162">
        <v>0</v>
      </c>
      <c r="Q162" s="43">
        <v>45894.779136319441</v>
      </c>
      <c r="R162" s="43">
        <v>46083.730765416665</v>
      </c>
    </row>
    <row r="163" spans="1:18" hidden="1">
      <c r="A163">
        <v>59283260402</v>
      </c>
      <c r="B163" t="s">
        <v>905</v>
      </c>
      <c r="C163">
        <v>59283260402</v>
      </c>
      <c r="D163" t="s">
        <v>905</v>
      </c>
      <c r="E163" t="s">
        <v>2355</v>
      </c>
      <c r="F163" t="s">
        <v>36</v>
      </c>
      <c r="G163" t="s">
        <v>2337</v>
      </c>
      <c r="H163" t="s">
        <v>2332</v>
      </c>
      <c r="I163" t="s">
        <v>2338</v>
      </c>
      <c r="J163" t="s">
        <v>2338</v>
      </c>
      <c r="K163" t="s">
        <v>2334</v>
      </c>
      <c r="L163" t="s">
        <v>2335</v>
      </c>
      <c r="M163" s="43">
        <v>45684.691052974536</v>
      </c>
      <c r="N163" t="s">
        <v>2338</v>
      </c>
      <c r="O163">
        <v>0</v>
      </c>
      <c r="P163">
        <v>1</v>
      </c>
      <c r="Q163" s="43">
        <v>45943.591701111109</v>
      </c>
      <c r="R163" s="43">
        <v>46034.680141956022</v>
      </c>
    </row>
    <row r="164" spans="1:18" hidden="1">
      <c r="A164">
        <v>59283260402</v>
      </c>
      <c r="B164" t="s">
        <v>905</v>
      </c>
      <c r="C164">
        <v>702886126902</v>
      </c>
      <c r="D164" t="s">
        <v>2454</v>
      </c>
      <c r="E164" t="s">
        <v>2355</v>
      </c>
      <c r="F164" t="s">
        <v>36</v>
      </c>
      <c r="G164" t="s">
        <v>2337</v>
      </c>
      <c r="H164" t="s">
        <v>2332</v>
      </c>
      <c r="I164" t="s">
        <v>2338</v>
      </c>
      <c r="J164" t="s">
        <v>2338</v>
      </c>
      <c r="K164" t="s">
        <v>2334</v>
      </c>
      <c r="L164" t="s">
        <v>2335</v>
      </c>
      <c r="M164" s="43">
        <v>45684.691052974536</v>
      </c>
      <c r="N164" t="s">
        <v>2338</v>
      </c>
      <c r="O164">
        <v>1</v>
      </c>
      <c r="P164">
        <v>0</v>
      </c>
      <c r="Q164" s="43">
        <v>45943.591699884259</v>
      </c>
      <c r="R164" s="43">
        <v>46034.680141956022</v>
      </c>
    </row>
    <row r="165" spans="1:18" hidden="1">
      <c r="A165">
        <v>131648381902</v>
      </c>
      <c r="B165" t="s">
        <v>1142</v>
      </c>
      <c r="C165">
        <v>131648381902</v>
      </c>
      <c r="D165" t="s">
        <v>1142</v>
      </c>
      <c r="E165" t="s">
        <v>2330</v>
      </c>
      <c r="G165" t="s">
        <v>2331</v>
      </c>
      <c r="H165" t="s">
        <v>2332</v>
      </c>
      <c r="I165" t="s">
        <v>2333</v>
      </c>
      <c r="J165" t="s">
        <v>2333</v>
      </c>
      <c r="K165" t="s">
        <v>2334</v>
      </c>
      <c r="L165" t="s">
        <v>2335</v>
      </c>
      <c r="M165" s="43">
        <v>45663.737698217592</v>
      </c>
      <c r="N165" t="s">
        <v>2333</v>
      </c>
      <c r="O165">
        <v>0</v>
      </c>
      <c r="P165">
        <v>1</v>
      </c>
      <c r="Q165" s="43"/>
      <c r="R165" s="43"/>
    </row>
    <row r="166" spans="1:18" hidden="1">
      <c r="A166">
        <v>131648381902</v>
      </c>
      <c r="B166" t="s">
        <v>1142</v>
      </c>
      <c r="C166">
        <v>777216427602</v>
      </c>
      <c r="D166" t="s">
        <v>2455</v>
      </c>
      <c r="E166" t="s">
        <v>2330</v>
      </c>
      <c r="G166" t="s">
        <v>2331</v>
      </c>
      <c r="H166" t="s">
        <v>2332</v>
      </c>
      <c r="I166" t="s">
        <v>2333</v>
      </c>
      <c r="J166" t="s">
        <v>2333</v>
      </c>
      <c r="K166" t="s">
        <v>2334</v>
      </c>
      <c r="L166" t="s">
        <v>2335</v>
      </c>
      <c r="M166" s="43">
        <v>45663.737698217592</v>
      </c>
      <c r="N166" t="s">
        <v>2333</v>
      </c>
      <c r="O166">
        <v>0</v>
      </c>
      <c r="P166">
        <v>0</v>
      </c>
      <c r="Q166" s="43"/>
      <c r="R166" s="43"/>
    </row>
    <row r="167" spans="1:18" hidden="1">
      <c r="A167">
        <v>286214821402</v>
      </c>
      <c r="B167" t="s">
        <v>2456</v>
      </c>
      <c r="C167">
        <v>286214821402</v>
      </c>
      <c r="D167" t="s">
        <v>2456</v>
      </c>
      <c r="E167" t="s">
        <v>2361</v>
      </c>
      <c r="F167" t="s">
        <v>40</v>
      </c>
      <c r="G167" t="s">
        <v>2337</v>
      </c>
      <c r="H167" t="s">
        <v>2332</v>
      </c>
      <c r="I167" t="s">
        <v>2338</v>
      </c>
      <c r="J167" t="s">
        <v>2338</v>
      </c>
      <c r="K167" t="s">
        <v>2334</v>
      </c>
      <c r="L167" t="s">
        <v>2335</v>
      </c>
      <c r="M167" s="43">
        <v>46017.735178726849</v>
      </c>
      <c r="N167" t="s">
        <v>2338</v>
      </c>
      <c r="O167">
        <v>1</v>
      </c>
      <c r="P167">
        <v>1</v>
      </c>
      <c r="Q167" s="43">
        <v>46036.579116944442</v>
      </c>
      <c r="R167" s="43"/>
    </row>
    <row r="168" spans="1:18" hidden="1">
      <c r="A168">
        <v>380157072302</v>
      </c>
      <c r="B168" t="s">
        <v>2293</v>
      </c>
      <c r="C168">
        <v>380157072302</v>
      </c>
      <c r="D168" t="s">
        <v>2293</v>
      </c>
      <c r="E168" t="s">
        <v>2393</v>
      </c>
      <c r="F168" t="s">
        <v>40</v>
      </c>
      <c r="G168" t="s">
        <v>2337</v>
      </c>
      <c r="H168" t="s">
        <v>2332</v>
      </c>
      <c r="I168" t="s">
        <v>2338</v>
      </c>
      <c r="J168" t="s">
        <v>2338</v>
      </c>
      <c r="K168" t="s">
        <v>2334</v>
      </c>
      <c r="L168" t="s">
        <v>2335</v>
      </c>
      <c r="M168" s="43">
        <v>45961.433368344908</v>
      </c>
      <c r="N168" t="s">
        <v>2338</v>
      </c>
      <c r="O168">
        <v>1</v>
      </c>
      <c r="P168">
        <v>1</v>
      </c>
      <c r="Q168" s="43">
        <v>45967.784050462964</v>
      </c>
      <c r="R168" s="43">
        <v>46029.764610092592</v>
      </c>
    </row>
    <row r="169" spans="1:18" hidden="1">
      <c r="A169">
        <v>380157072302</v>
      </c>
      <c r="B169" t="s">
        <v>2293</v>
      </c>
      <c r="C169">
        <v>772282276502</v>
      </c>
      <c r="D169" t="s">
        <v>2457</v>
      </c>
      <c r="E169" t="s">
        <v>2393</v>
      </c>
      <c r="F169" t="s">
        <v>40</v>
      </c>
      <c r="G169" t="s">
        <v>2337</v>
      </c>
      <c r="H169" t="s">
        <v>2332</v>
      </c>
      <c r="I169" t="s">
        <v>2338</v>
      </c>
      <c r="J169" t="s">
        <v>2338</v>
      </c>
      <c r="K169" t="s">
        <v>2334</v>
      </c>
      <c r="L169" t="s">
        <v>2335</v>
      </c>
      <c r="M169" s="43">
        <v>45961.433368344908</v>
      </c>
      <c r="N169" t="s">
        <v>2338</v>
      </c>
      <c r="O169">
        <v>0</v>
      </c>
      <c r="P169">
        <v>0</v>
      </c>
      <c r="Q169" s="43">
        <v>45971.74576140046</v>
      </c>
      <c r="R169" s="43">
        <v>46029.764610092592</v>
      </c>
    </row>
    <row r="170" spans="1:18" hidden="1">
      <c r="A170">
        <v>301392154502</v>
      </c>
      <c r="B170" t="s">
        <v>2130</v>
      </c>
      <c r="C170">
        <v>301392154502</v>
      </c>
      <c r="D170" t="s">
        <v>2130</v>
      </c>
      <c r="E170" t="s">
        <v>2349</v>
      </c>
      <c r="G170" t="s">
        <v>2331</v>
      </c>
      <c r="H170" t="s">
        <v>2332</v>
      </c>
      <c r="I170" t="s">
        <v>2333</v>
      </c>
      <c r="J170" t="s">
        <v>2333</v>
      </c>
      <c r="K170" t="s">
        <v>2334</v>
      </c>
      <c r="L170" t="s">
        <v>2335</v>
      </c>
      <c r="M170" s="43">
        <v>45859.566670601853</v>
      </c>
      <c r="N170" t="s">
        <v>2333</v>
      </c>
      <c r="O170">
        <v>0</v>
      </c>
      <c r="P170">
        <v>1</v>
      </c>
      <c r="Q170" s="43"/>
      <c r="R170" s="43"/>
    </row>
    <row r="171" spans="1:18" hidden="1">
      <c r="A171">
        <v>301392154502</v>
      </c>
      <c r="B171" t="s">
        <v>2130</v>
      </c>
      <c r="C171">
        <v>472654638202</v>
      </c>
      <c r="D171" t="s">
        <v>2458</v>
      </c>
      <c r="E171" t="s">
        <v>2349</v>
      </c>
      <c r="G171" t="s">
        <v>2331</v>
      </c>
      <c r="H171" t="s">
        <v>2332</v>
      </c>
      <c r="I171" t="s">
        <v>2333</v>
      </c>
      <c r="J171" t="s">
        <v>2333</v>
      </c>
      <c r="K171" t="s">
        <v>2334</v>
      </c>
      <c r="L171" t="s">
        <v>2335</v>
      </c>
      <c r="M171" s="43">
        <v>45859.566670601853</v>
      </c>
      <c r="N171" t="s">
        <v>2333</v>
      </c>
      <c r="O171">
        <v>0</v>
      </c>
      <c r="P171">
        <v>0</v>
      </c>
      <c r="Q171" s="43"/>
      <c r="R171" s="43"/>
    </row>
    <row r="172" spans="1:18" hidden="1">
      <c r="A172">
        <v>301392154502</v>
      </c>
      <c r="B172" t="s">
        <v>2130</v>
      </c>
      <c r="C172">
        <v>596969205902</v>
      </c>
      <c r="D172" t="s">
        <v>2459</v>
      </c>
      <c r="E172" t="s">
        <v>2349</v>
      </c>
      <c r="G172" t="s">
        <v>2331</v>
      </c>
      <c r="H172" t="s">
        <v>2332</v>
      </c>
      <c r="I172" t="s">
        <v>2333</v>
      </c>
      <c r="J172" t="s">
        <v>2333</v>
      </c>
      <c r="K172" t="s">
        <v>2334</v>
      </c>
      <c r="L172" t="s">
        <v>2335</v>
      </c>
      <c r="M172" s="43">
        <v>45859.566670601853</v>
      </c>
      <c r="N172" t="s">
        <v>2333</v>
      </c>
      <c r="O172">
        <v>0</v>
      </c>
      <c r="P172">
        <v>0</v>
      </c>
      <c r="Q172" s="43"/>
      <c r="R172" s="43"/>
    </row>
    <row r="173" spans="1:18" hidden="1">
      <c r="A173">
        <v>1125727641302</v>
      </c>
      <c r="B173" t="s">
        <v>2460</v>
      </c>
      <c r="C173">
        <v>1125728484902</v>
      </c>
      <c r="D173" t="s">
        <v>2460</v>
      </c>
      <c r="E173" t="s">
        <v>2378</v>
      </c>
      <c r="G173" t="s">
        <v>2331</v>
      </c>
      <c r="H173" t="s">
        <v>2332</v>
      </c>
      <c r="I173" t="s">
        <v>2338</v>
      </c>
      <c r="J173" t="s">
        <v>2338</v>
      </c>
      <c r="K173" t="s">
        <v>2400</v>
      </c>
      <c r="L173" t="s">
        <v>2401</v>
      </c>
      <c r="M173" s="43">
        <v>46050.784184710647</v>
      </c>
      <c r="N173" t="s">
        <v>2338</v>
      </c>
      <c r="O173">
        <v>0</v>
      </c>
      <c r="P173">
        <v>1</v>
      </c>
      <c r="Q173" s="43"/>
      <c r="R173" s="43"/>
    </row>
    <row r="174" spans="1:18" hidden="1">
      <c r="A174">
        <v>24807318802</v>
      </c>
      <c r="B174" t="s">
        <v>1098</v>
      </c>
      <c r="C174">
        <v>24807318802</v>
      </c>
      <c r="D174" t="s">
        <v>1098</v>
      </c>
      <c r="E174" t="s">
        <v>2352</v>
      </c>
      <c r="F174" t="s">
        <v>40</v>
      </c>
      <c r="G174" t="s">
        <v>2337</v>
      </c>
      <c r="H174" t="s">
        <v>2332</v>
      </c>
      <c r="I174" t="s">
        <v>2338</v>
      </c>
      <c r="J174" t="s">
        <v>2338</v>
      </c>
      <c r="K174" t="s">
        <v>2334</v>
      </c>
      <c r="L174" t="s">
        <v>2335</v>
      </c>
      <c r="M174" s="43">
        <v>46079.861243101848</v>
      </c>
      <c r="N174" t="s">
        <v>2338</v>
      </c>
      <c r="O174">
        <v>1</v>
      </c>
      <c r="P174">
        <v>1</v>
      </c>
      <c r="Q174" s="43">
        <v>46093.692645127318</v>
      </c>
      <c r="R174" s="43"/>
    </row>
    <row r="175" spans="1:18" hidden="1">
      <c r="A175">
        <v>103928980802</v>
      </c>
      <c r="B175" t="s">
        <v>1764</v>
      </c>
      <c r="C175">
        <v>103928980802</v>
      </c>
      <c r="D175" t="s">
        <v>1764</v>
      </c>
      <c r="E175" t="s">
        <v>2362</v>
      </c>
      <c r="F175" t="s">
        <v>39</v>
      </c>
      <c r="G175" t="s">
        <v>2337</v>
      </c>
      <c r="H175" t="s">
        <v>2332</v>
      </c>
      <c r="I175" t="s">
        <v>2338</v>
      </c>
      <c r="J175" t="s">
        <v>2338</v>
      </c>
      <c r="K175" t="s">
        <v>2334</v>
      </c>
      <c r="L175" t="s">
        <v>2335</v>
      </c>
      <c r="M175" s="43">
        <v>45663.727913668983</v>
      </c>
      <c r="N175" t="s">
        <v>2338</v>
      </c>
      <c r="O175">
        <v>1</v>
      </c>
      <c r="P175">
        <v>1</v>
      </c>
      <c r="Q175" s="43">
        <v>45845.724122974534</v>
      </c>
      <c r="R175" s="43"/>
    </row>
    <row r="176" spans="1:18" hidden="1">
      <c r="A176">
        <v>103928980802</v>
      </c>
      <c r="B176" t="s">
        <v>1764</v>
      </c>
      <c r="C176">
        <v>780132216302</v>
      </c>
      <c r="D176" t="s">
        <v>2461</v>
      </c>
      <c r="E176" t="s">
        <v>2362</v>
      </c>
      <c r="F176" t="s">
        <v>39</v>
      </c>
      <c r="G176" t="s">
        <v>2337</v>
      </c>
      <c r="H176" t="s">
        <v>2332</v>
      </c>
      <c r="I176" t="s">
        <v>2338</v>
      </c>
      <c r="J176" t="s">
        <v>2338</v>
      </c>
      <c r="K176" t="s">
        <v>2334</v>
      </c>
      <c r="L176" t="s">
        <v>2335</v>
      </c>
      <c r="M176" s="43">
        <v>45663.727913668983</v>
      </c>
      <c r="N176" t="s">
        <v>2338</v>
      </c>
      <c r="O176">
        <v>0</v>
      </c>
      <c r="P176">
        <v>0</v>
      </c>
      <c r="Q176" s="43">
        <v>45845.724123564818</v>
      </c>
    </row>
    <row r="177" spans="1:18" hidden="1">
      <c r="A177">
        <v>98998632802</v>
      </c>
      <c r="B177" t="s">
        <v>2040</v>
      </c>
      <c r="C177">
        <v>98998632802</v>
      </c>
      <c r="D177" t="s">
        <v>2040</v>
      </c>
      <c r="E177" t="s">
        <v>2361</v>
      </c>
      <c r="F177" t="s">
        <v>40</v>
      </c>
      <c r="G177" t="s">
        <v>2337</v>
      </c>
      <c r="H177" t="s">
        <v>2332</v>
      </c>
      <c r="I177" t="s">
        <v>2338</v>
      </c>
      <c r="J177" t="s">
        <v>2338</v>
      </c>
      <c r="K177" t="s">
        <v>2334</v>
      </c>
      <c r="L177" t="s">
        <v>2335</v>
      </c>
      <c r="M177" s="43">
        <v>45957.556467916664</v>
      </c>
      <c r="N177" t="s">
        <v>2338</v>
      </c>
      <c r="O177">
        <v>1</v>
      </c>
      <c r="P177">
        <v>1</v>
      </c>
      <c r="Q177" s="43">
        <v>45971.735513182874</v>
      </c>
      <c r="R177" s="43"/>
    </row>
    <row r="178" spans="1:18">
      <c r="A178">
        <v>530870446802</v>
      </c>
      <c r="B178" t="s">
        <v>1288</v>
      </c>
      <c r="C178">
        <v>530870446802</v>
      </c>
      <c r="D178" t="s">
        <v>1288</v>
      </c>
      <c r="E178" t="s">
        <v>2355</v>
      </c>
      <c r="F178" t="s">
        <v>36</v>
      </c>
      <c r="G178" t="s">
        <v>2337</v>
      </c>
      <c r="H178" t="s">
        <v>2332</v>
      </c>
      <c r="I178" t="s">
        <v>2338</v>
      </c>
      <c r="J178" t="s">
        <v>2338</v>
      </c>
      <c r="K178" t="s">
        <v>2334</v>
      </c>
      <c r="L178" t="s">
        <v>2335</v>
      </c>
      <c r="M178" s="43">
        <v>45657.908194571763</v>
      </c>
      <c r="N178" t="s">
        <v>2338</v>
      </c>
      <c r="O178">
        <v>1</v>
      </c>
      <c r="P178">
        <v>1</v>
      </c>
      <c r="Q178" s="43">
        <v>45943.591706666666</v>
      </c>
      <c r="R178" s="43">
        <v>46028.535064699077</v>
      </c>
    </row>
    <row r="179" spans="1:18">
      <c r="A179">
        <v>530870446802</v>
      </c>
      <c r="B179" t="s">
        <v>1288</v>
      </c>
      <c r="C179">
        <v>1086425873902</v>
      </c>
      <c r="D179" t="s">
        <v>2462</v>
      </c>
      <c r="E179" t="s">
        <v>2355</v>
      </c>
      <c r="F179" t="s">
        <v>36</v>
      </c>
      <c r="G179" t="s">
        <v>2337</v>
      </c>
      <c r="H179" t="s">
        <v>2332</v>
      </c>
      <c r="I179" t="s">
        <v>2338</v>
      </c>
      <c r="J179" t="s">
        <v>2338</v>
      </c>
      <c r="K179" t="s">
        <v>2334</v>
      </c>
      <c r="L179" t="s">
        <v>2335</v>
      </c>
      <c r="M179" s="43">
        <v>45657.908194571763</v>
      </c>
      <c r="N179" t="s">
        <v>2338</v>
      </c>
      <c r="O179">
        <v>0</v>
      </c>
      <c r="P179">
        <v>0</v>
      </c>
      <c r="Q179" s="43">
        <v>45943.591715347226</v>
      </c>
      <c r="R179" s="43">
        <v>46028.535064699077</v>
      </c>
    </row>
    <row r="180" spans="1:18" hidden="1">
      <c r="A180">
        <v>45146550802</v>
      </c>
      <c r="B180" t="s">
        <v>2008</v>
      </c>
      <c r="C180">
        <v>45146550802</v>
      </c>
      <c r="D180" t="s">
        <v>2008</v>
      </c>
      <c r="E180" t="s">
        <v>2362</v>
      </c>
      <c r="F180" t="s">
        <v>39</v>
      </c>
      <c r="G180" t="s">
        <v>2337</v>
      </c>
      <c r="H180" t="s">
        <v>2332</v>
      </c>
      <c r="I180" t="s">
        <v>2338</v>
      </c>
      <c r="J180" t="s">
        <v>2338</v>
      </c>
      <c r="K180" t="s">
        <v>2334</v>
      </c>
      <c r="L180" t="s">
        <v>2335</v>
      </c>
      <c r="M180" s="43">
        <v>45771.568946585649</v>
      </c>
      <c r="N180" t="s">
        <v>2338</v>
      </c>
      <c r="O180">
        <v>1</v>
      </c>
      <c r="P180">
        <v>1</v>
      </c>
      <c r="Q180" s="43">
        <v>45943.591722256948</v>
      </c>
      <c r="R180" s="43"/>
    </row>
    <row r="181" spans="1:18" hidden="1">
      <c r="A181">
        <v>158701479502</v>
      </c>
      <c r="B181" t="s">
        <v>2300</v>
      </c>
      <c r="C181">
        <v>158701479502</v>
      </c>
      <c r="D181" t="s">
        <v>2300</v>
      </c>
      <c r="E181" t="s">
        <v>2366</v>
      </c>
      <c r="G181" t="s">
        <v>2331</v>
      </c>
      <c r="H181" t="s">
        <v>2332</v>
      </c>
      <c r="I181" t="s">
        <v>2333</v>
      </c>
      <c r="J181" t="s">
        <v>2333</v>
      </c>
      <c r="K181" t="s">
        <v>2334</v>
      </c>
      <c r="L181" t="s">
        <v>2335</v>
      </c>
      <c r="M181" s="43">
        <v>45320.54653028935</v>
      </c>
      <c r="N181" t="s">
        <v>2333</v>
      </c>
      <c r="O181">
        <v>0</v>
      </c>
      <c r="P181">
        <v>1</v>
      </c>
      <c r="Q181" s="43"/>
      <c r="R181" s="43"/>
    </row>
    <row r="182" spans="1:18" hidden="1">
      <c r="A182">
        <v>55427353102</v>
      </c>
      <c r="B182" t="s">
        <v>1972</v>
      </c>
      <c r="C182">
        <v>55427353102</v>
      </c>
      <c r="D182" t="s">
        <v>1972</v>
      </c>
      <c r="E182" t="s">
        <v>2421</v>
      </c>
      <c r="F182" t="s">
        <v>36</v>
      </c>
      <c r="G182" t="s">
        <v>2337</v>
      </c>
      <c r="H182" t="s">
        <v>2332</v>
      </c>
      <c r="I182" t="s">
        <v>2338</v>
      </c>
      <c r="J182" t="s">
        <v>2338</v>
      </c>
      <c r="K182" t="s">
        <v>2334</v>
      </c>
      <c r="L182" t="s">
        <v>2335</v>
      </c>
      <c r="M182" s="43">
        <v>45287.015827083334</v>
      </c>
      <c r="N182" t="s">
        <v>2338</v>
      </c>
      <c r="O182">
        <v>1</v>
      </c>
      <c r="P182">
        <v>1</v>
      </c>
      <c r="Q182" s="43">
        <v>45845.615569108799</v>
      </c>
      <c r="R182" s="43">
        <v>46028.868297245368</v>
      </c>
    </row>
    <row r="183" spans="1:18" hidden="1">
      <c r="A183">
        <v>352653660902</v>
      </c>
      <c r="B183" t="s">
        <v>1013</v>
      </c>
      <c r="C183">
        <v>352653660902</v>
      </c>
      <c r="D183" t="s">
        <v>1013</v>
      </c>
      <c r="E183" t="s">
        <v>2347</v>
      </c>
      <c r="G183" t="s">
        <v>2331</v>
      </c>
      <c r="H183" t="s">
        <v>2332</v>
      </c>
      <c r="I183" t="s">
        <v>2333</v>
      </c>
      <c r="J183" t="s">
        <v>2333</v>
      </c>
      <c r="K183" t="s">
        <v>2334</v>
      </c>
      <c r="L183" t="s">
        <v>2335</v>
      </c>
      <c r="M183" s="43">
        <v>45680.521774895831</v>
      </c>
      <c r="N183" t="s">
        <v>2333</v>
      </c>
      <c r="O183">
        <v>0</v>
      </c>
      <c r="P183">
        <v>1</v>
      </c>
      <c r="Q183" s="43"/>
    </row>
    <row r="184" spans="1:18" hidden="1">
      <c r="A184">
        <v>885740551602</v>
      </c>
      <c r="B184" t="s">
        <v>2463</v>
      </c>
      <c r="C184">
        <v>885740551602</v>
      </c>
      <c r="D184" t="s">
        <v>2463</v>
      </c>
      <c r="E184" t="s">
        <v>2349</v>
      </c>
      <c r="G184" t="s">
        <v>2331</v>
      </c>
      <c r="H184" t="s">
        <v>2332</v>
      </c>
      <c r="I184" t="s">
        <v>2333</v>
      </c>
      <c r="J184" t="s">
        <v>2333</v>
      </c>
      <c r="K184" t="s">
        <v>2334</v>
      </c>
      <c r="L184" t="s">
        <v>2335</v>
      </c>
      <c r="M184" s="43">
        <v>46017.730789895832</v>
      </c>
      <c r="N184" t="s">
        <v>2333</v>
      </c>
      <c r="O184">
        <v>0</v>
      </c>
      <c r="P184">
        <v>1</v>
      </c>
      <c r="Q184" s="43"/>
      <c r="R184" s="43"/>
    </row>
    <row r="185" spans="1:18" hidden="1">
      <c r="A185">
        <v>21753463202</v>
      </c>
      <c r="B185" t="s">
        <v>2172</v>
      </c>
      <c r="C185">
        <v>21753463202</v>
      </c>
      <c r="D185" t="s">
        <v>2172</v>
      </c>
      <c r="E185" t="s">
        <v>2363</v>
      </c>
      <c r="F185" t="s">
        <v>40</v>
      </c>
      <c r="G185" t="s">
        <v>2337</v>
      </c>
      <c r="H185" t="s">
        <v>2332</v>
      </c>
      <c r="I185" t="s">
        <v>2338</v>
      </c>
      <c r="J185" t="s">
        <v>2338</v>
      </c>
      <c r="K185" t="s">
        <v>2334</v>
      </c>
      <c r="L185" t="s">
        <v>2335</v>
      </c>
      <c r="M185" s="43">
        <v>45862.607795810189</v>
      </c>
      <c r="N185" t="s">
        <v>2338</v>
      </c>
      <c r="O185">
        <v>0</v>
      </c>
      <c r="P185">
        <v>1</v>
      </c>
      <c r="Q185" s="43">
        <v>45943.591702650461</v>
      </c>
      <c r="R185" s="43">
        <v>46035.710098993055</v>
      </c>
    </row>
    <row r="186" spans="1:18" hidden="1">
      <c r="A186">
        <v>21753463202</v>
      </c>
      <c r="B186" t="s">
        <v>2172</v>
      </c>
      <c r="C186">
        <v>22945409202</v>
      </c>
      <c r="D186" t="s">
        <v>2464</v>
      </c>
      <c r="E186" t="s">
        <v>2363</v>
      </c>
      <c r="F186" t="s">
        <v>40</v>
      </c>
      <c r="G186" t="s">
        <v>2337</v>
      </c>
      <c r="H186" t="s">
        <v>2332</v>
      </c>
      <c r="I186" t="s">
        <v>2338</v>
      </c>
      <c r="J186" t="s">
        <v>2338</v>
      </c>
      <c r="K186" t="s">
        <v>2334</v>
      </c>
      <c r="L186" t="s">
        <v>2335</v>
      </c>
      <c r="M186" s="43">
        <v>45862.607795810189</v>
      </c>
      <c r="N186" t="s">
        <v>2338</v>
      </c>
      <c r="O186">
        <v>0</v>
      </c>
      <c r="P186">
        <v>0</v>
      </c>
      <c r="Q186" s="43">
        <v>45943.591709247688</v>
      </c>
      <c r="R186" s="43">
        <v>46035.710098993055</v>
      </c>
    </row>
    <row r="187" spans="1:18" hidden="1">
      <c r="A187">
        <v>21753463202</v>
      </c>
      <c r="B187" t="s">
        <v>2172</v>
      </c>
      <c r="C187">
        <v>193208728502</v>
      </c>
      <c r="D187" t="s">
        <v>2465</v>
      </c>
      <c r="E187" t="s">
        <v>2363</v>
      </c>
      <c r="F187" t="s">
        <v>40</v>
      </c>
      <c r="G187" t="s">
        <v>2337</v>
      </c>
      <c r="H187" t="s">
        <v>2332</v>
      </c>
      <c r="I187" t="s">
        <v>2338</v>
      </c>
      <c r="J187" t="s">
        <v>2338</v>
      </c>
      <c r="K187" t="s">
        <v>2334</v>
      </c>
      <c r="L187" t="s">
        <v>2335</v>
      </c>
      <c r="M187" s="43">
        <v>45862.607795810189</v>
      </c>
      <c r="N187" t="s">
        <v>2338</v>
      </c>
      <c r="O187">
        <v>0</v>
      </c>
      <c r="P187">
        <v>0</v>
      </c>
      <c r="Q187" s="43">
        <v>45943.591710416666</v>
      </c>
      <c r="R187" s="43">
        <v>46035.710098993055</v>
      </c>
    </row>
    <row r="188" spans="1:18" hidden="1">
      <c r="A188">
        <v>21753463202</v>
      </c>
      <c r="B188" t="s">
        <v>2172</v>
      </c>
      <c r="C188">
        <v>1102146047902</v>
      </c>
      <c r="D188" t="s">
        <v>2466</v>
      </c>
      <c r="E188" t="s">
        <v>2363</v>
      </c>
      <c r="F188" t="s">
        <v>40</v>
      </c>
      <c r="G188" t="s">
        <v>2337</v>
      </c>
      <c r="H188" t="s">
        <v>2332</v>
      </c>
      <c r="I188" t="s">
        <v>2338</v>
      </c>
      <c r="J188" t="s">
        <v>2338</v>
      </c>
      <c r="K188" t="s">
        <v>2334</v>
      </c>
      <c r="L188" t="s">
        <v>2335</v>
      </c>
      <c r="M188" s="43">
        <v>45862.607795810189</v>
      </c>
      <c r="N188" t="s">
        <v>2338</v>
      </c>
      <c r="O188">
        <v>1</v>
      </c>
      <c r="P188">
        <v>0</v>
      </c>
      <c r="Q188" s="43">
        <v>45943.591702094905</v>
      </c>
      <c r="R188" s="43">
        <v>46035.710098993055</v>
      </c>
    </row>
    <row r="189" spans="1:18" hidden="1">
      <c r="A189">
        <v>21753463202</v>
      </c>
      <c r="B189" t="s">
        <v>2172</v>
      </c>
      <c r="C189">
        <v>1102237904002</v>
      </c>
      <c r="D189" t="s">
        <v>2467</v>
      </c>
      <c r="E189" t="s">
        <v>2363</v>
      </c>
      <c r="F189" t="s">
        <v>40</v>
      </c>
      <c r="G189" t="s">
        <v>2337</v>
      </c>
      <c r="H189" t="s">
        <v>2332</v>
      </c>
      <c r="I189" t="s">
        <v>2338</v>
      </c>
      <c r="J189" t="s">
        <v>2338</v>
      </c>
      <c r="K189" t="s">
        <v>2334</v>
      </c>
      <c r="L189" t="s">
        <v>2335</v>
      </c>
      <c r="M189" s="43">
        <v>45862.607795810189</v>
      </c>
      <c r="N189" t="s">
        <v>2338</v>
      </c>
      <c r="O189">
        <v>0</v>
      </c>
      <c r="P189">
        <v>0</v>
      </c>
      <c r="Q189" s="43">
        <v>45943.59170271991</v>
      </c>
      <c r="R189" s="43">
        <v>46035.710098993055</v>
      </c>
    </row>
    <row r="190" spans="1:18" hidden="1">
      <c r="A190">
        <v>397021068802</v>
      </c>
      <c r="B190" t="s">
        <v>2243</v>
      </c>
      <c r="C190">
        <v>397021068802</v>
      </c>
      <c r="D190" t="s">
        <v>2243</v>
      </c>
      <c r="E190" t="s">
        <v>2366</v>
      </c>
      <c r="G190" t="s">
        <v>2331</v>
      </c>
      <c r="H190" t="s">
        <v>2332</v>
      </c>
      <c r="I190" t="s">
        <v>2333</v>
      </c>
      <c r="J190" t="s">
        <v>2333</v>
      </c>
      <c r="K190" t="s">
        <v>2334</v>
      </c>
      <c r="L190" t="s">
        <v>2335</v>
      </c>
      <c r="M190" s="43">
        <v>45657.892554456019</v>
      </c>
      <c r="N190" t="s">
        <v>2333</v>
      </c>
      <c r="O190">
        <v>0</v>
      </c>
      <c r="P190">
        <v>1</v>
      </c>
      <c r="Q190" s="43"/>
      <c r="R190" s="43"/>
    </row>
    <row r="191" spans="1:18" hidden="1">
      <c r="A191">
        <v>560201489502</v>
      </c>
      <c r="B191" t="s">
        <v>1032</v>
      </c>
      <c r="C191">
        <v>560201489502</v>
      </c>
      <c r="D191" t="s">
        <v>1032</v>
      </c>
      <c r="E191" t="s">
        <v>2369</v>
      </c>
      <c r="F191" t="s">
        <v>37</v>
      </c>
      <c r="G191" t="s">
        <v>2337</v>
      </c>
      <c r="H191" t="s">
        <v>2332</v>
      </c>
      <c r="I191" t="s">
        <v>2338</v>
      </c>
      <c r="J191" t="s">
        <v>2338</v>
      </c>
      <c r="K191" t="s">
        <v>2334</v>
      </c>
      <c r="L191" t="s">
        <v>2335</v>
      </c>
      <c r="M191" s="43">
        <v>45918.738672222222</v>
      </c>
      <c r="N191" t="s">
        <v>2338</v>
      </c>
      <c r="O191">
        <v>1</v>
      </c>
      <c r="P191">
        <v>1</v>
      </c>
      <c r="Q191" s="43">
        <v>45943.591701249999</v>
      </c>
      <c r="R191" s="43">
        <v>46029.85320503472</v>
      </c>
    </row>
    <row r="192" spans="1:18" hidden="1">
      <c r="A192">
        <v>560201489502</v>
      </c>
      <c r="B192" t="s">
        <v>1032</v>
      </c>
      <c r="C192">
        <v>686172844702</v>
      </c>
      <c r="D192" t="s">
        <v>2468</v>
      </c>
      <c r="E192" t="s">
        <v>2344</v>
      </c>
      <c r="F192" t="s">
        <v>37</v>
      </c>
      <c r="G192" t="s">
        <v>2337</v>
      </c>
      <c r="H192" t="s">
        <v>2332</v>
      </c>
      <c r="I192" t="s">
        <v>2338</v>
      </c>
      <c r="J192" t="s">
        <v>2338</v>
      </c>
      <c r="K192" t="s">
        <v>2334</v>
      </c>
      <c r="L192" t="s">
        <v>2335</v>
      </c>
      <c r="M192" s="43">
        <v>45918.738672222222</v>
      </c>
      <c r="N192" t="s">
        <v>2338</v>
      </c>
      <c r="O192">
        <v>0</v>
      </c>
      <c r="P192">
        <v>0</v>
      </c>
      <c r="Q192" s="43">
        <v>45943.591702500002</v>
      </c>
      <c r="R192" s="43">
        <v>46029.85320503472</v>
      </c>
    </row>
    <row r="193" spans="1:18" hidden="1">
      <c r="A193">
        <v>60769061802</v>
      </c>
      <c r="B193" t="s">
        <v>2141</v>
      </c>
      <c r="C193">
        <v>60769061802</v>
      </c>
      <c r="D193" t="s">
        <v>2141</v>
      </c>
      <c r="E193" t="s">
        <v>2421</v>
      </c>
      <c r="F193" t="s">
        <v>36</v>
      </c>
      <c r="G193" t="s">
        <v>2337</v>
      </c>
      <c r="H193" t="s">
        <v>2332</v>
      </c>
      <c r="I193" t="s">
        <v>2338</v>
      </c>
      <c r="J193" t="s">
        <v>2338</v>
      </c>
      <c r="K193" t="s">
        <v>2334</v>
      </c>
      <c r="L193" t="s">
        <v>2335</v>
      </c>
      <c r="M193" s="43">
        <v>45320.531759328704</v>
      </c>
      <c r="N193" t="s">
        <v>2338</v>
      </c>
      <c r="O193">
        <v>1</v>
      </c>
      <c r="P193">
        <v>1</v>
      </c>
      <c r="Q193" s="43">
        <v>45943.591699837962</v>
      </c>
      <c r="R193" s="43">
        <v>46055.525723888888</v>
      </c>
    </row>
    <row r="194" spans="1:18" hidden="1">
      <c r="A194">
        <v>94015899402</v>
      </c>
      <c r="B194" t="s">
        <v>2469</v>
      </c>
      <c r="C194">
        <v>94015899402</v>
      </c>
      <c r="D194" t="s">
        <v>2469</v>
      </c>
      <c r="E194" t="s">
        <v>2355</v>
      </c>
      <c r="F194" t="s">
        <v>36</v>
      </c>
      <c r="G194" t="s">
        <v>2337</v>
      </c>
      <c r="H194" t="s">
        <v>2332</v>
      </c>
      <c r="I194" t="s">
        <v>2338</v>
      </c>
      <c r="J194" t="s">
        <v>2338</v>
      </c>
      <c r="K194" t="s">
        <v>2334</v>
      </c>
      <c r="L194" t="s">
        <v>2335</v>
      </c>
      <c r="M194" s="43">
        <v>45684.683521006948</v>
      </c>
      <c r="N194" t="s">
        <v>2338</v>
      </c>
      <c r="O194">
        <v>1</v>
      </c>
      <c r="P194">
        <v>1</v>
      </c>
      <c r="Q194" s="43">
        <v>45943.591717048614</v>
      </c>
      <c r="R194" s="43">
        <v>46048.522093796295</v>
      </c>
    </row>
    <row r="195" spans="1:18" hidden="1">
      <c r="A195">
        <v>774839834202</v>
      </c>
      <c r="B195" t="s">
        <v>2470</v>
      </c>
      <c r="C195">
        <v>480079948102</v>
      </c>
      <c r="D195" t="s">
        <v>2471</v>
      </c>
      <c r="E195" t="s">
        <v>2472</v>
      </c>
      <c r="F195" t="s">
        <v>36</v>
      </c>
      <c r="G195" t="s">
        <v>2337</v>
      </c>
      <c r="H195" t="s">
        <v>2332</v>
      </c>
      <c r="I195" t="s">
        <v>2338</v>
      </c>
      <c r="J195" t="s">
        <v>2338</v>
      </c>
      <c r="K195" t="s">
        <v>2334</v>
      </c>
      <c r="L195" t="s">
        <v>2335</v>
      </c>
      <c r="M195" s="43">
        <v>46020.712103483798</v>
      </c>
      <c r="N195" t="s">
        <v>2338</v>
      </c>
      <c r="O195">
        <v>0</v>
      </c>
      <c r="P195">
        <v>1</v>
      </c>
      <c r="Q195" s="43">
        <v>46057.736322835648</v>
      </c>
      <c r="R195" s="43">
        <v>46049.516582708333</v>
      </c>
    </row>
    <row r="196" spans="1:18" hidden="1">
      <c r="A196">
        <v>774839834202</v>
      </c>
      <c r="B196" t="s">
        <v>2470</v>
      </c>
      <c r="C196">
        <v>774839834202</v>
      </c>
      <c r="D196" t="s">
        <v>2470</v>
      </c>
      <c r="E196" t="s">
        <v>2472</v>
      </c>
      <c r="F196" t="s">
        <v>36</v>
      </c>
      <c r="G196" t="s">
        <v>2337</v>
      </c>
      <c r="H196" t="s">
        <v>2332</v>
      </c>
      <c r="I196" t="s">
        <v>2338</v>
      </c>
      <c r="J196" t="s">
        <v>2338</v>
      </c>
      <c r="K196" t="s">
        <v>2334</v>
      </c>
      <c r="L196" t="s">
        <v>2335</v>
      </c>
      <c r="M196" s="43">
        <v>46020.712103483798</v>
      </c>
      <c r="N196" t="s">
        <v>2338</v>
      </c>
      <c r="O196">
        <v>1</v>
      </c>
      <c r="P196">
        <v>0</v>
      </c>
      <c r="Q196" s="43">
        <v>46031.763598564816</v>
      </c>
      <c r="R196" s="43">
        <v>46049.516582708333</v>
      </c>
    </row>
    <row r="197" spans="1:18" hidden="1">
      <c r="A197">
        <v>114045214402</v>
      </c>
      <c r="B197" t="s">
        <v>798</v>
      </c>
      <c r="C197">
        <v>114045214402</v>
      </c>
      <c r="D197" t="s">
        <v>798</v>
      </c>
      <c r="E197" t="s">
        <v>2369</v>
      </c>
      <c r="G197" t="s">
        <v>2331</v>
      </c>
      <c r="H197" t="s">
        <v>2332</v>
      </c>
      <c r="I197" t="s">
        <v>2333</v>
      </c>
      <c r="J197" t="s">
        <v>2333</v>
      </c>
      <c r="K197" t="s">
        <v>2334</v>
      </c>
      <c r="L197" t="s">
        <v>2335</v>
      </c>
      <c r="M197" s="43">
        <v>45686.134359594907</v>
      </c>
      <c r="N197" t="s">
        <v>2333</v>
      </c>
      <c r="O197">
        <v>0</v>
      </c>
      <c r="P197">
        <v>1</v>
      </c>
      <c r="Q197" s="43"/>
      <c r="R197" s="43"/>
    </row>
    <row r="198" spans="1:18" hidden="1">
      <c r="A198">
        <v>114045214402</v>
      </c>
      <c r="B198" t="s">
        <v>798</v>
      </c>
      <c r="C198">
        <v>393731502702</v>
      </c>
      <c r="D198" t="s">
        <v>2473</v>
      </c>
      <c r="E198" t="s">
        <v>2369</v>
      </c>
      <c r="G198" t="s">
        <v>2331</v>
      </c>
      <c r="H198" t="s">
        <v>2332</v>
      </c>
      <c r="I198" t="s">
        <v>2333</v>
      </c>
      <c r="J198" t="s">
        <v>2333</v>
      </c>
      <c r="K198" t="s">
        <v>2334</v>
      </c>
      <c r="L198" t="s">
        <v>2335</v>
      </c>
      <c r="M198" s="43">
        <v>45686.134359594907</v>
      </c>
      <c r="N198" t="s">
        <v>2333</v>
      </c>
      <c r="O198">
        <v>0</v>
      </c>
      <c r="P198">
        <v>0</v>
      </c>
      <c r="Q198" s="43"/>
      <c r="R198" s="43"/>
    </row>
    <row r="199" spans="1:18" hidden="1">
      <c r="A199">
        <v>971539676602</v>
      </c>
      <c r="B199" t="s">
        <v>2474</v>
      </c>
      <c r="C199">
        <v>389244098902</v>
      </c>
      <c r="D199" t="s">
        <v>2475</v>
      </c>
      <c r="E199" t="s">
        <v>2421</v>
      </c>
      <c r="F199" t="s">
        <v>36</v>
      </c>
      <c r="G199" t="s">
        <v>2337</v>
      </c>
      <c r="H199" t="s">
        <v>2332</v>
      </c>
      <c r="I199" t="s">
        <v>2338</v>
      </c>
      <c r="J199" t="s">
        <v>2338</v>
      </c>
      <c r="K199" t="s">
        <v>2334</v>
      </c>
      <c r="L199" t="s">
        <v>2335</v>
      </c>
      <c r="M199" s="43">
        <v>45987.559303807873</v>
      </c>
      <c r="N199" t="s">
        <v>2338</v>
      </c>
      <c r="O199">
        <v>0</v>
      </c>
      <c r="P199">
        <v>1</v>
      </c>
      <c r="Q199" s="43">
        <v>46057.736322476849</v>
      </c>
      <c r="R199" s="43">
        <v>46027.556222812498</v>
      </c>
    </row>
    <row r="200" spans="1:18" hidden="1">
      <c r="A200">
        <v>971539676602</v>
      </c>
      <c r="B200" t="s">
        <v>2474</v>
      </c>
      <c r="C200">
        <v>971539676602</v>
      </c>
      <c r="D200" t="s">
        <v>2474</v>
      </c>
      <c r="E200" t="s">
        <v>2421</v>
      </c>
      <c r="F200" t="s">
        <v>36</v>
      </c>
      <c r="G200" t="s">
        <v>2337</v>
      </c>
      <c r="H200" t="s">
        <v>2332</v>
      </c>
      <c r="I200" t="s">
        <v>2338</v>
      </c>
      <c r="J200" t="s">
        <v>2338</v>
      </c>
      <c r="K200" t="s">
        <v>2334</v>
      </c>
      <c r="L200" t="s">
        <v>2335</v>
      </c>
      <c r="M200" s="43">
        <v>45987.559303807873</v>
      </c>
      <c r="N200" t="s">
        <v>2338</v>
      </c>
      <c r="O200">
        <v>1</v>
      </c>
      <c r="P200">
        <v>0</v>
      </c>
      <c r="Q200" s="43">
        <v>46002.824534201391</v>
      </c>
      <c r="R200" s="43">
        <v>46027.556222812498</v>
      </c>
    </row>
    <row r="201" spans="1:18" hidden="1">
      <c r="A201">
        <v>430279805602</v>
      </c>
      <c r="B201" t="s">
        <v>1049</v>
      </c>
      <c r="C201">
        <v>430279805602</v>
      </c>
      <c r="D201" t="s">
        <v>1049</v>
      </c>
      <c r="E201" t="s">
        <v>2379</v>
      </c>
      <c r="F201" t="s">
        <v>38</v>
      </c>
      <c r="G201" t="s">
        <v>2337</v>
      </c>
      <c r="H201" t="s">
        <v>2332</v>
      </c>
      <c r="I201" t="s">
        <v>2338</v>
      </c>
      <c r="J201" t="s">
        <v>2338</v>
      </c>
      <c r="K201" t="s">
        <v>2334</v>
      </c>
      <c r="L201" t="s">
        <v>2335</v>
      </c>
      <c r="M201" s="43">
        <v>45684.60395837963</v>
      </c>
      <c r="N201" t="s">
        <v>2338</v>
      </c>
      <c r="O201">
        <v>1</v>
      </c>
      <c r="P201">
        <v>1</v>
      </c>
      <c r="Q201" s="43">
        <v>45943.591708101849</v>
      </c>
      <c r="R201" s="43">
        <v>46037.754149722219</v>
      </c>
    </row>
    <row r="202" spans="1:18" hidden="1">
      <c r="A202">
        <v>438747217402</v>
      </c>
      <c r="B202" t="s">
        <v>1377</v>
      </c>
      <c r="C202">
        <v>412423553002</v>
      </c>
      <c r="D202" t="s">
        <v>2476</v>
      </c>
      <c r="E202" t="s">
        <v>2408</v>
      </c>
      <c r="F202" t="s">
        <v>39</v>
      </c>
      <c r="G202" t="s">
        <v>2337</v>
      </c>
      <c r="H202" t="s">
        <v>2332</v>
      </c>
      <c r="I202" t="s">
        <v>2338</v>
      </c>
      <c r="J202" t="s">
        <v>2338</v>
      </c>
      <c r="K202" t="s">
        <v>2334</v>
      </c>
      <c r="L202" t="s">
        <v>2335</v>
      </c>
      <c r="M202" s="43">
        <v>45287.000830775462</v>
      </c>
      <c r="N202" t="s">
        <v>2338</v>
      </c>
      <c r="O202">
        <v>0</v>
      </c>
      <c r="P202">
        <v>1</v>
      </c>
      <c r="Q202" s="43">
        <v>45908.494721539355</v>
      </c>
      <c r="R202" s="43"/>
    </row>
    <row r="203" spans="1:18" hidden="1">
      <c r="A203">
        <v>438747217402</v>
      </c>
      <c r="B203" t="s">
        <v>1377</v>
      </c>
      <c r="C203">
        <v>438747217402</v>
      </c>
      <c r="D203" t="s">
        <v>1377</v>
      </c>
      <c r="E203" t="s">
        <v>2408</v>
      </c>
      <c r="F203" t="s">
        <v>39</v>
      </c>
      <c r="G203" t="s">
        <v>2337</v>
      </c>
      <c r="H203" t="s">
        <v>2332</v>
      </c>
      <c r="I203" t="s">
        <v>2338</v>
      </c>
      <c r="J203" t="s">
        <v>2338</v>
      </c>
      <c r="K203" t="s">
        <v>2334</v>
      </c>
      <c r="L203" t="s">
        <v>2335</v>
      </c>
      <c r="M203" s="43">
        <v>45287.000830775462</v>
      </c>
      <c r="N203" t="s">
        <v>2338</v>
      </c>
      <c r="O203">
        <v>1</v>
      </c>
      <c r="P203">
        <v>0</v>
      </c>
      <c r="Q203" s="43">
        <v>45908.494720439812</v>
      </c>
      <c r="R203" s="43"/>
    </row>
    <row r="204" spans="1:18" hidden="1">
      <c r="A204">
        <v>438747217402</v>
      </c>
      <c r="B204" t="s">
        <v>1377</v>
      </c>
      <c r="C204">
        <v>933459575402</v>
      </c>
      <c r="D204" t="s">
        <v>2477</v>
      </c>
      <c r="E204" t="s">
        <v>2408</v>
      </c>
      <c r="F204" t="s">
        <v>39</v>
      </c>
      <c r="G204" t="s">
        <v>2337</v>
      </c>
      <c r="H204" t="s">
        <v>2332</v>
      </c>
      <c r="I204" t="s">
        <v>2338</v>
      </c>
      <c r="J204" t="s">
        <v>2338</v>
      </c>
      <c r="K204" t="s">
        <v>2334</v>
      </c>
      <c r="L204" t="s">
        <v>2335</v>
      </c>
      <c r="M204" s="43">
        <v>45287.000830775462</v>
      </c>
      <c r="N204" t="s">
        <v>2338</v>
      </c>
      <c r="O204">
        <v>0</v>
      </c>
      <c r="P204">
        <v>0</v>
      </c>
      <c r="Q204" s="43">
        <v>45908.494721643518</v>
      </c>
      <c r="R204" s="43"/>
    </row>
    <row r="205" spans="1:18" hidden="1">
      <c r="A205">
        <v>1069577391202</v>
      </c>
      <c r="B205" t="s">
        <v>2478</v>
      </c>
      <c r="C205">
        <v>1069577391202</v>
      </c>
      <c r="D205" t="s">
        <v>2478</v>
      </c>
      <c r="E205" t="s">
        <v>2408</v>
      </c>
      <c r="F205" t="s">
        <v>39</v>
      </c>
      <c r="G205" t="s">
        <v>2337</v>
      </c>
      <c r="H205" t="s">
        <v>2332</v>
      </c>
      <c r="I205" t="s">
        <v>2338</v>
      </c>
      <c r="J205" t="s">
        <v>2338</v>
      </c>
      <c r="K205" t="s">
        <v>2334</v>
      </c>
      <c r="L205" t="s">
        <v>2335</v>
      </c>
      <c r="M205" s="43">
        <v>46014.576985023145</v>
      </c>
      <c r="N205" t="s">
        <v>2338</v>
      </c>
      <c r="O205">
        <v>1</v>
      </c>
      <c r="P205">
        <v>1</v>
      </c>
      <c r="Q205" s="43">
        <v>46049.551781736111</v>
      </c>
      <c r="R205" s="43"/>
    </row>
    <row r="206" spans="1:18" hidden="1">
      <c r="A206">
        <v>22445894402</v>
      </c>
      <c r="B206" t="s">
        <v>573</v>
      </c>
      <c r="C206">
        <v>22445894402</v>
      </c>
      <c r="D206" t="s">
        <v>573</v>
      </c>
      <c r="E206" t="s">
        <v>2342</v>
      </c>
      <c r="F206" t="s">
        <v>38</v>
      </c>
      <c r="G206" t="s">
        <v>2337</v>
      </c>
      <c r="H206" t="s">
        <v>2332</v>
      </c>
      <c r="I206" t="s">
        <v>2338</v>
      </c>
      <c r="J206" t="s">
        <v>2338</v>
      </c>
      <c r="K206" t="s">
        <v>2334</v>
      </c>
      <c r="L206" t="s">
        <v>2335</v>
      </c>
      <c r="M206" s="1">
        <v>45282.854722222219</v>
      </c>
      <c r="N206" t="s">
        <v>2338</v>
      </c>
      <c r="O206">
        <v>1</v>
      </c>
      <c r="P206">
        <v>1</v>
      </c>
      <c r="Q206" s="43">
        <v>45882.831885046297</v>
      </c>
      <c r="R206" s="43">
        <v>46034.879024351852</v>
      </c>
    </row>
    <row r="207" spans="1:18" hidden="1">
      <c r="A207">
        <v>175133439302</v>
      </c>
      <c r="B207" t="s">
        <v>920</v>
      </c>
      <c r="C207">
        <v>175133439302</v>
      </c>
      <c r="D207" t="s">
        <v>920</v>
      </c>
      <c r="E207" t="s">
        <v>2351</v>
      </c>
      <c r="F207" t="s">
        <v>37</v>
      </c>
      <c r="G207" t="s">
        <v>2337</v>
      </c>
      <c r="H207" t="s">
        <v>2332</v>
      </c>
      <c r="I207" t="s">
        <v>2338</v>
      </c>
      <c r="J207" t="s">
        <v>2338</v>
      </c>
      <c r="K207" t="s">
        <v>2334</v>
      </c>
      <c r="L207" t="s">
        <v>2335</v>
      </c>
      <c r="M207" s="43">
        <v>45320.549001585649</v>
      </c>
      <c r="N207" t="s">
        <v>2338</v>
      </c>
      <c r="O207">
        <v>1</v>
      </c>
      <c r="P207">
        <v>1</v>
      </c>
      <c r="Q207" s="43">
        <v>45882.831886053238</v>
      </c>
      <c r="R207" s="43">
        <v>46048.829454004626</v>
      </c>
    </row>
    <row r="208" spans="1:18">
      <c r="A208">
        <v>175133439302</v>
      </c>
      <c r="B208" t="s">
        <v>920</v>
      </c>
      <c r="C208">
        <v>366781295402</v>
      </c>
      <c r="D208" t="s">
        <v>2479</v>
      </c>
      <c r="E208" t="s">
        <v>2351</v>
      </c>
      <c r="F208" t="s">
        <v>37</v>
      </c>
      <c r="G208" t="s">
        <v>2337</v>
      </c>
      <c r="H208" t="s">
        <v>2332</v>
      </c>
      <c r="I208" t="s">
        <v>2338</v>
      </c>
      <c r="J208" t="s">
        <v>2338</v>
      </c>
      <c r="K208" t="s">
        <v>2334</v>
      </c>
      <c r="L208" t="s">
        <v>2335</v>
      </c>
      <c r="M208" s="43">
        <v>45320.549001585649</v>
      </c>
      <c r="N208" t="s">
        <v>2338</v>
      </c>
      <c r="O208">
        <v>0</v>
      </c>
      <c r="P208">
        <v>0</v>
      </c>
      <c r="Q208" s="43">
        <v>45894.779135520832</v>
      </c>
      <c r="R208" s="43">
        <v>46048.829454004626</v>
      </c>
    </row>
    <row r="209" spans="1:18" hidden="1">
      <c r="A209">
        <v>316318935902</v>
      </c>
      <c r="B209" t="s">
        <v>2286</v>
      </c>
      <c r="C209">
        <v>316318935902</v>
      </c>
      <c r="D209" t="s">
        <v>2286</v>
      </c>
      <c r="E209" t="s">
        <v>2423</v>
      </c>
      <c r="G209" t="s">
        <v>2331</v>
      </c>
      <c r="H209" t="s">
        <v>2332</v>
      </c>
      <c r="I209" t="s">
        <v>2333</v>
      </c>
      <c r="J209" t="s">
        <v>2333</v>
      </c>
      <c r="K209" t="s">
        <v>2334</v>
      </c>
      <c r="L209" t="s">
        <v>2335</v>
      </c>
      <c r="M209" s="43">
        <v>45350.906595497683</v>
      </c>
      <c r="N209" t="s">
        <v>2333</v>
      </c>
      <c r="O209">
        <v>0</v>
      </c>
      <c r="P209">
        <v>1</v>
      </c>
      <c r="Q209" s="43"/>
      <c r="R209" s="43"/>
    </row>
    <row r="210" spans="1:18" hidden="1">
      <c r="A210">
        <v>316318935902</v>
      </c>
      <c r="B210" t="s">
        <v>2286</v>
      </c>
      <c r="C210">
        <v>823019944302</v>
      </c>
      <c r="D210" t="s">
        <v>2480</v>
      </c>
      <c r="E210" t="s">
        <v>2423</v>
      </c>
      <c r="G210" t="s">
        <v>2331</v>
      </c>
      <c r="H210" t="s">
        <v>2332</v>
      </c>
      <c r="I210" t="s">
        <v>2333</v>
      </c>
      <c r="J210" t="s">
        <v>2333</v>
      </c>
      <c r="K210" t="s">
        <v>2334</v>
      </c>
      <c r="L210" t="s">
        <v>2335</v>
      </c>
      <c r="M210" s="43">
        <v>45350.906595497683</v>
      </c>
      <c r="N210" t="s">
        <v>2333</v>
      </c>
      <c r="O210">
        <v>0</v>
      </c>
      <c r="P210">
        <v>0</v>
      </c>
      <c r="Q210" s="43"/>
      <c r="R210" s="43"/>
    </row>
    <row r="211" spans="1:18" hidden="1">
      <c r="A211">
        <v>613907784102</v>
      </c>
      <c r="B211" t="s">
        <v>2481</v>
      </c>
      <c r="C211">
        <v>613907784102</v>
      </c>
      <c r="D211" t="s">
        <v>2481</v>
      </c>
      <c r="E211" t="s">
        <v>2349</v>
      </c>
      <c r="G211" t="s">
        <v>2331</v>
      </c>
      <c r="H211" t="s">
        <v>2332</v>
      </c>
      <c r="I211" t="s">
        <v>2333</v>
      </c>
      <c r="J211" t="s">
        <v>2333</v>
      </c>
      <c r="K211" t="s">
        <v>2334</v>
      </c>
      <c r="L211" t="s">
        <v>2335</v>
      </c>
      <c r="M211" s="43">
        <v>46049.577791793985</v>
      </c>
      <c r="N211" t="s">
        <v>2333</v>
      </c>
      <c r="O211">
        <v>0</v>
      </c>
      <c r="P211">
        <v>1</v>
      </c>
      <c r="Q211" s="43"/>
      <c r="R211" s="43"/>
    </row>
    <row r="212" spans="1:18" hidden="1">
      <c r="A212">
        <v>13351599302</v>
      </c>
      <c r="B212" t="s">
        <v>1583</v>
      </c>
      <c r="C212">
        <v>13351599302</v>
      </c>
      <c r="D212" t="s">
        <v>1583</v>
      </c>
      <c r="E212" t="s">
        <v>2393</v>
      </c>
      <c r="F212" t="s">
        <v>40</v>
      </c>
      <c r="G212" t="s">
        <v>2337</v>
      </c>
      <c r="H212" t="s">
        <v>2332</v>
      </c>
      <c r="I212" t="s">
        <v>2338</v>
      </c>
      <c r="J212" t="s">
        <v>2338</v>
      </c>
      <c r="K212" t="s">
        <v>2334</v>
      </c>
      <c r="L212" t="s">
        <v>2335</v>
      </c>
      <c r="M212" s="43">
        <v>45148.863826921297</v>
      </c>
      <c r="N212" t="s">
        <v>2338</v>
      </c>
      <c r="O212">
        <v>1</v>
      </c>
      <c r="P212">
        <v>1</v>
      </c>
      <c r="Q212" s="43">
        <v>45908.494721226853</v>
      </c>
      <c r="R212" s="43">
        <v>46030.85098599537</v>
      </c>
    </row>
    <row r="213" spans="1:18" hidden="1">
      <c r="A213">
        <v>13351599302</v>
      </c>
      <c r="B213" t="s">
        <v>1583</v>
      </c>
      <c r="C213">
        <v>803007155202</v>
      </c>
      <c r="D213" t="s">
        <v>2482</v>
      </c>
      <c r="E213" t="s">
        <v>2393</v>
      </c>
      <c r="F213" t="s">
        <v>40</v>
      </c>
      <c r="G213" t="s">
        <v>2337</v>
      </c>
      <c r="H213" t="s">
        <v>2332</v>
      </c>
      <c r="I213" t="s">
        <v>2338</v>
      </c>
      <c r="J213" t="s">
        <v>2338</v>
      </c>
      <c r="K213" t="s">
        <v>2334</v>
      </c>
      <c r="L213" t="s">
        <v>2335</v>
      </c>
      <c r="M213" s="43">
        <v>45148.863826921297</v>
      </c>
      <c r="N213" t="s">
        <v>2338</v>
      </c>
      <c r="O213">
        <v>0</v>
      </c>
      <c r="P213">
        <v>0</v>
      </c>
      <c r="Q213" s="43">
        <v>45908.494721400464</v>
      </c>
      <c r="R213" s="43">
        <v>46030.85098599537</v>
      </c>
    </row>
    <row r="214" spans="1:18" hidden="1">
      <c r="A214">
        <v>98385811302</v>
      </c>
      <c r="B214" t="s">
        <v>1591</v>
      </c>
      <c r="C214">
        <v>98385811302</v>
      </c>
      <c r="D214" t="s">
        <v>1591</v>
      </c>
      <c r="E214" t="s">
        <v>2342</v>
      </c>
      <c r="F214" t="s">
        <v>38</v>
      </c>
      <c r="G214" t="s">
        <v>2337</v>
      </c>
      <c r="H214" t="s">
        <v>2332</v>
      </c>
      <c r="I214" t="s">
        <v>2338</v>
      </c>
      <c r="J214" t="s">
        <v>2338</v>
      </c>
      <c r="K214" t="s">
        <v>2334</v>
      </c>
      <c r="L214" t="s">
        <v>2335</v>
      </c>
      <c r="M214" s="43">
        <v>45282.858547800926</v>
      </c>
      <c r="N214" t="s">
        <v>2338</v>
      </c>
      <c r="O214">
        <v>1</v>
      </c>
      <c r="P214">
        <v>1</v>
      </c>
      <c r="Q214" s="43">
        <v>45882.831886006941</v>
      </c>
      <c r="R214" s="43">
        <v>46038.626622013886</v>
      </c>
    </row>
    <row r="215" spans="1:18" hidden="1">
      <c r="A215">
        <v>98385811302</v>
      </c>
      <c r="B215" t="s">
        <v>1591</v>
      </c>
      <c r="C215">
        <v>611778301402</v>
      </c>
      <c r="D215" t="s">
        <v>2483</v>
      </c>
      <c r="E215" t="s">
        <v>2342</v>
      </c>
      <c r="F215" t="s">
        <v>38</v>
      </c>
      <c r="G215" t="s">
        <v>2337</v>
      </c>
      <c r="H215" t="s">
        <v>2332</v>
      </c>
      <c r="I215" t="s">
        <v>2338</v>
      </c>
      <c r="J215" t="s">
        <v>2338</v>
      </c>
      <c r="K215" t="s">
        <v>2334</v>
      </c>
      <c r="L215" t="s">
        <v>2335</v>
      </c>
      <c r="M215" s="43">
        <v>45282.858547800926</v>
      </c>
      <c r="N215" t="s">
        <v>2338</v>
      </c>
      <c r="O215">
        <v>0</v>
      </c>
      <c r="P215">
        <v>0</v>
      </c>
      <c r="Q215" s="43">
        <v>45894.779135532408</v>
      </c>
      <c r="R215" s="43">
        <v>46038.626622013886</v>
      </c>
    </row>
    <row r="216" spans="1:18" hidden="1">
      <c r="A216">
        <v>618906774602</v>
      </c>
      <c r="B216" t="s">
        <v>1430</v>
      </c>
      <c r="C216">
        <v>618906774602</v>
      </c>
      <c r="D216" t="s">
        <v>1430</v>
      </c>
      <c r="E216" t="s">
        <v>2366</v>
      </c>
      <c r="G216" t="s">
        <v>2331</v>
      </c>
      <c r="H216" t="s">
        <v>2332</v>
      </c>
      <c r="I216" t="s">
        <v>2333</v>
      </c>
      <c r="J216" t="s">
        <v>2333</v>
      </c>
      <c r="K216" t="s">
        <v>2334</v>
      </c>
      <c r="L216" t="s">
        <v>2335</v>
      </c>
      <c r="M216" s="43">
        <v>45680.521145868057</v>
      </c>
      <c r="N216" t="s">
        <v>2333</v>
      </c>
      <c r="O216">
        <v>0</v>
      </c>
      <c r="P216">
        <v>1</v>
      </c>
      <c r="Q216" s="43"/>
      <c r="R216" s="43"/>
    </row>
    <row r="217" spans="1:18">
      <c r="A217">
        <v>618906774602</v>
      </c>
      <c r="B217" t="s">
        <v>1430</v>
      </c>
      <c r="C217">
        <v>894940764202</v>
      </c>
      <c r="D217" t="s">
        <v>2484</v>
      </c>
      <c r="E217" t="s">
        <v>2366</v>
      </c>
      <c r="G217" t="s">
        <v>2331</v>
      </c>
      <c r="H217" t="s">
        <v>2332</v>
      </c>
      <c r="I217" t="s">
        <v>2333</v>
      </c>
      <c r="J217" t="s">
        <v>2333</v>
      </c>
      <c r="K217" t="s">
        <v>2334</v>
      </c>
      <c r="L217" t="s">
        <v>2335</v>
      </c>
      <c r="M217" s="43">
        <v>45680.521145868057</v>
      </c>
      <c r="N217" t="s">
        <v>2333</v>
      </c>
      <c r="O217">
        <v>0</v>
      </c>
      <c r="P217">
        <v>0</v>
      </c>
      <c r="Q217" s="43"/>
      <c r="R217" s="43"/>
    </row>
    <row r="218" spans="1:18">
      <c r="A218">
        <v>283888426602</v>
      </c>
      <c r="B218" t="s">
        <v>2485</v>
      </c>
      <c r="C218">
        <v>283888426602</v>
      </c>
      <c r="D218" t="s">
        <v>2485</v>
      </c>
      <c r="E218" t="s">
        <v>2472</v>
      </c>
      <c r="F218" t="s">
        <v>36</v>
      </c>
      <c r="G218" t="s">
        <v>2337</v>
      </c>
      <c r="H218" t="s">
        <v>2332</v>
      </c>
      <c r="I218" t="s">
        <v>2338</v>
      </c>
      <c r="J218" t="s">
        <v>2338</v>
      </c>
      <c r="K218" t="s">
        <v>2334</v>
      </c>
      <c r="L218" t="s">
        <v>2335</v>
      </c>
      <c r="M218" s="43">
        <v>46017.756930694442</v>
      </c>
      <c r="N218" t="s">
        <v>2338</v>
      </c>
      <c r="O218">
        <v>1</v>
      </c>
      <c r="P218">
        <v>1</v>
      </c>
      <c r="Q218" s="43">
        <v>46031.763598148151</v>
      </c>
      <c r="R218" s="43">
        <v>46083.526888356479</v>
      </c>
    </row>
    <row r="219" spans="1:18" hidden="1">
      <c r="A219">
        <v>538911850502</v>
      </c>
      <c r="B219" t="s">
        <v>2306</v>
      </c>
      <c r="C219">
        <v>108557751002</v>
      </c>
      <c r="D219" t="s">
        <v>2486</v>
      </c>
      <c r="E219" t="s">
        <v>2355</v>
      </c>
      <c r="F219" t="s">
        <v>36</v>
      </c>
      <c r="G219" t="s">
        <v>2337</v>
      </c>
      <c r="H219" t="s">
        <v>2332</v>
      </c>
      <c r="I219" t="s">
        <v>2338</v>
      </c>
      <c r="J219" t="s">
        <v>2338</v>
      </c>
      <c r="K219" t="s">
        <v>2334</v>
      </c>
      <c r="L219" t="s">
        <v>2335</v>
      </c>
      <c r="M219" s="43">
        <v>45684.709642789348</v>
      </c>
      <c r="N219" t="s">
        <v>2338</v>
      </c>
      <c r="O219">
        <v>1</v>
      </c>
      <c r="P219">
        <v>1</v>
      </c>
      <c r="Q219" s="43">
        <v>45943.591708391206</v>
      </c>
      <c r="R219" s="43">
        <v>46058.586315520835</v>
      </c>
    </row>
    <row r="220" spans="1:18" hidden="1">
      <c r="A220">
        <v>538911850502</v>
      </c>
      <c r="B220" t="s">
        <v>2306</v>
      </c>
      <c r="C220">
        <v>538911850502</v>
      </c>
      <c r="D220" t="s">
        <v>2306</v>
      </c>
      <c r="E220" t="s">
        <v>2355</v>
      </c>
      <c r="F220" t="s">
        <v>36</v>
      </c>
      <c r="G220" t="s">
        <v>2337</v>
      </c>
      <c r="H220" t="s">
        <v>2332</v>
      </c>
      <c r="I220" t="s">
        <v>2338</v>
      </c>
      <c r="J220" t="s">
        <v>2338</v>
      </c>
      <c r="K220" t="s">
        <v>2334</v>
      </c>
      <c r="L220" t="s">
        <v>2335</v>
      </c>
      <c r="M220" s="43">
        <v>45684.709642789348</v>
      </c>
      <c r="N220" t="s">
        <v>2338</v>
      </c>
      <c r="O220">
        <v>0</v>
      </c>
      <c r="P220">
        <v>0</v>
      </c>
      <c r="Q220" s="43">
        <v>45943.591716504627</v>
      </c>
      <c r="R220" s="43">
        <v>46058.586315520835</v>
      </c>
    </row>
    <row r="221" spans="1:18" hidden="1">
      <c r="A221">
        <v>642643854302</v>
      </c>
      <c r="B221" t="s">
        <v>1455</v>
      </c>
      <c r="C221">
        <v>64610950702</v>
      </c>
      <c r="D221" t="s">
        <v>2487</v>
      </c>
      <c r="E221" t="s">
        <v>2393</v>
      </c>
      <c r="F221" t="s">
        <v>40</v>
      </c>
      <c r="G221" t="s">
        <v>2337</v>
      </c>
      <c r="H221" t="s">
        <v>2332</v>
      </c>
      <c r="I221" t="s">
        <v>2338</v>
      </c>
      <c r="J221" t="s">
        <v>2338</v>
      </c>
      <c r="K221" t="s">
        <v>2334</v>
      </c>
      <c r="L221" t="s">
        <v>2335</v>
      </c>
      <c r="M221" s="43">
        <v>45971.663434444446</v>
      </c>
      <c r="N221" t="s">
        <v>2338</v>
      </c>
      <c r="O221">
        <v>0</v>
      </c>
      <c r="P221">
        <v>1</v>
      </c>
      <c r="Q221" s="43">
        <v>45943.591700335652</v>
      </c>
      <c r="R221" s="43">
        <v>46030.571404409726</v>
      </c>
    </row>
    <row r="222" spans="1:18" hidden="1">
      <c r="A222">
        <v>642643854302</v>
      </c>
      <c r="B222" t="s">
        <v>1455</v>
      </c>
      <c r="C222">
        <v>642643854302</v>
      </c>
      <c r="D222" t="s">
        <v>1455</v>
      </c>
      <c r="E222" t="s">
        <v>2393</v>
      </c>
      <c r="F222" t="s">
        <v>40</v>
      </c>
      <c r="G222" t="s">
        <v>2337</v>
      </c>
      <c r="H222" t="s">
        <v>2332</v>
      </c>
      <c r="I222" t="s">
        <v>2338</v>
      </c>
      <c r="J222" t="s">
        <v>2338</v>
      </c>
      <c r="K222" t="s">
        <v>2334</v>
      </c>
      <c r="L222" t="s">
        <v>2335</v>
      </c>
      <c r="M222" s="43">
        <v>45971.663434444446</v>
      </c>
      <c r="N222" t="s">
        <v>2338</v>
      </c>
      <c r="O222">
        <v>1</v>
      </c>
      <c r="P222">
        <v>0</v>
      </c>
      <c r="Q222" s="43">
        <v>45943.591699293982</v>
      </c>
      <c r="R222" s="43">
        <v>46030.571404409726</v>
      </c>
    </row>
    <row r="223" spans="1:18" hidden="1">
      <c r="A223">
        <v>642643854302</v>
      </c>
      <c r="B223" t="s">
        <v>1455</v>
      </c>
      <c r="C223">
        <v>1112678651302</v>
      </c>
      <c r="D223" t="s">
        <v>2488</v>
      </c>
      <c r="E223" t="s">
        <v>2393</v>
      </c>
      <c r="F223" t="s">
        <v>40</v>
      </c>
      <c r="G223" t="s">
        <v>2337</v>
      </c>
      <c r="H223" t="s">
        <v>2332</v>
      </c>
      <c r="I223" t="s">
        <v>2338</v>
      </c>
      <c r="J223" t="s">
        <v>2338</v>
      </c>
      <c r="K223" t="s">
        <v>2334</v>
      </c>
      <c r="L223" t="s">
        <v>2335</v>
      </c>
      <c r="M223" s="43">
        <v>45971.663434444446</v>
      </c>
      <c r="N223" t="s">
        <v>2338</v>
      </c>
      <c r="O223">
        <v>0</v>
      </c>
      <c r="P223">
        <v>0</v>
      </c>
      <c r="Q223" s="43">
        <v>45957.801329849535</v>
      </c>
      <c r="R223" s="43">
        <v>46030.571404409726</v>
      </c>
    </row>
    <row r="224" spans="1:18">
      <c r="A224">
        <v>22347342515</v>
      </c>
      <c r="B224" t="s">
        <v>2489</v>
      </c>
      <c r="C224">
        <v>22347342515</v>
      </c>
      <c r="D224" t="s">
        <v>2489</v>
      </c>
      <c r="E224" t="s">
        <v>2352</v>
      </c>
      <c r="F224" t="s">
        <v>40</v>
      </c>
      <c r="G224" t="s">
        <v>2337</v>
      </c>
      <c r="H224" t="s">
        <v>2332</v>
      </c>
      <c r="I224" t="s">
        <v>2338</v>
      </c>
      <c r="J224" t="s">
        <v>2338</v>
      </c>
      <c r="K224" t="s">
        <v>2334</v>
      </c>
      <c r="L224" t="s">
        <v>2335</v>
      </c>
      <c r="M224" s="43">
        <v>46017.730049282407</v>
      </c>
      <c r="N224" t="s">
        <v>2338</v>
      </c>
      <c r="O224">
        <v>1</v>
      </c>
      <c r="P224">
        <v>1</v>
      </c>
      <c r="Q224" s="43">
        <v>46031.763599120372</v>
      </c>
      <c r="R224" s="43"/>
    </row>
    <row r="225" spans="1:18" hidden="1">
      <c r="A225">
        <v>56744200802</v>
      </c>
      <c r="B225" t="s">
        <v>461</v>
      </c>
      <c r="C225">
        <v>56744200802</v>
      </c>
      <c r="D225" t="s">
        <v>461</v>
      </c>
      <c r="E225" t="s">
        <v>2352</v>
      </c>
      <c r="F225" t="s">
        <v>40</v>
      </c>
      <c r="G225" t="s">
        <v>2337</v>
      </c>
      <c r="H225" t="s">
        <v>2332</v>
      </c>
      <c r="I225" t="s">
        <v>2338</v>
      </c>
      <c r="J225" t="s">
        <v>2338</v>
      </c>
      <c r="K225" t="s">
        <v>2334</v>
      </c>
      <c r="L225" t="s">
        <v>2335</v>
      </c>
      <c r="M225" s="43">
        <v>45684.681541828701</v>
      </c>
      <c r="N225" t="s">
        <v>2338</v>
      </c>
      <c r="O225">
        <v>1</v>
      </c>
      <c r="P225">
        <v>1</v>
      </c>
      <c r="Q225" s="43">
        <v>45943.591705196763</v>
      </c>
      <c r="R225" s="43"/>
    </row>
    <row r="226" spans="1:18" hidden="1">
      <c r="A226">
        <v>56744200802</v>
      </c>
      <c r="B226" t="s">
        <v>461</v>
      </c>
      <c r="C226">
        <v>641070941202</v>
      </c>
      <c r="D226" t="s">
        <v>2490</v>
      </c>
      <c r="E226" t="s">
        <v>2352</v>
      </c>
      <c r="F226" t="s">
        <v>40</v>
      </c>
      <c r="G226" t="s">
        <v>2337</v>
      </c>
      <c r="H226" t="s">
        <v>2332</v>
      </c>
      <c r="I226" t="s">
        <v>2333</v>
      </c>
      <c r="J226" t="s">
        <v>2338</v>
      </c>
      <c r="K226" t="s">
        <v>2334</v>
      </c>
      <c r="L226" t="s">
        <v>2335</v>
      </c>
      <c r="M226" s="43">
        <v>45684.681541828701</v>
      </c>
      <c r="N226" t="s">
        <v>2338</v>
      </c>
      <c r="O226">
        <v>0</v>
      </c>
      <c r="P226">
        <v>0</v>
      </c>
      <c r="Q226" s="43">
        <v>46030.631660578707</v>
      </c>
      <c r="R226" s="43"/>
    </row>
    <row r="227" spans="1:18" hidden="1">
      <c r="A227">
        <v>551856008602</v>
      </c>
      <c r="B227" t="s">
        <v>1248</v>
      </c>
      <c r="C227">
        <v>219314571102</v>
      </c>
      <c r="D227" t="s">
        <v>2491</v>
      </c>
      <c r="E227" t="s">
        <v>2351</v>
      </c>
      <c r="F227" t="s">
        <v>37</v>
      </c>
      <c r="G227" t="s">
        <v>2337</v>
      </c>
      <c r="H227" t="s">
        <v>2332</v>
      </c>
      <c r="I227" t="s">
        <v>2338</v>
      </c>
      <c r="J227" t="s">
        <v>2338</v>
      </c>
      <c r="K227" t="s">
        <v>2334</v>
      </c>
      <c r="L227" t="s">
        <v>2335</v>
      </c>
      <c r="M227" s="43">
        <v>45833.773631886572</v>
      </c>
      <c r="N227" t="s">
        <v>2338</v>
      </c>
      <c r="O227">
        <v>0</v>
      </c>
      <c r="P227">
        <v>1</v>
      </c>
      <c r="Q227" s="43">
        <v>45889.742898217592</v>
      </c>
      <c r="R227" s="43">
        <v>46029.845970856484</v>
      </c>
    </row>
    <row r="228" spans="1:18" hidden="1">
      <c r="A228">
        <v>551856008602</v>
      </c>
      <c r="B228" t="s">
        <v>1248</v>
      </c>
      <c r="C228">
        <v>551856008602</v>
      </c>
      <c r="D228" t="s">
        <v>1248</v>
      </c>
      <c r="E228" t="s">
        <v>2351</v>
      </c>
      <c r="F228" t="s">
        <v>37</v>
      </c>
      <c r="G228" t="s">
        <v>2337</v>
      </c>
      <c r="H228" t="s">
        <v>2332</v>
      </c>
      <c r="I228" t="s">
        <v>2338</v>
      </c>
      <c r="J228" t="s">
        <v>2338</v>
      </c>
      <c r="K228" t="s">
        <v>2334</v>
      </c>
      <c r="L228" t="s">
        <v>2335</v>
      </c>
      <c r="M228" s="43">
        <v>45833.773631886572</v>
      </c>
      <c r="N228" t="s">
        <v>2338</v>
      </c>
      <c r="O228">
        <v>1</v>
      </c>
      <c r="P228">
        <v>0</v>
      </c>
      <c r="Q228" s="43">
        <v>45845.724123171298</v>
      </c>
      <c r="R228" s="43">
        <v>46029.845970856484</v>
      </c>
    </row>
    <row r="229" spans="1:18" hidden="1">
      <c r="A229">
        <v>563654665702</v>
      </c>
      <c r="B229" t="s">
        <v>1823</v>
      </c>
      <c r="C229">
        <v>563654665702</v>
      </c>
      <c r="D229" t="s">
        <v>1823</v>
      </c>
      <c r="E229" t="s">
        <v>2363</v>
      </c>
      <c r="F229" t="s">
        <v>40</v>
      </c>
      <c r="G229" t="s">
        <v>2337</v>
      </c>
      <c r="H229" t="s">
        <v>2332</v>
      </c>
      <c r="I229" t="s">
        <v>2333</v>
      </c>
      <c r="J229" t="s">
        <v>2338</v>
      </c>
      <c r="K229" t="s">
        <v>2334</v>
      </c>
      <c r="L229" t="s">
        <v>2335</v>
      </c>
      <c r="M229" s="43">
        <v>46079.920912754627</v>
      </c>
      <c r="N229" t="s">
        <v>2338</v>
      </c>
      <c r="O229">
        <v>1</v>
      </c>
      <c r="P229">
        <v>1</v>
      </c>
      <c r="Q229" s="43">
        <v>46086.559630972224</v>
      </c>
      <c r="R229" s="43">
        <v>46090.866180914352</v>
      </c>
    </row>
    <row r="230" spans="1:18" hidden="1">
      <c r="A230">
        <v>160165983902</v>
      </c>
      <c r="B230" t="s">
        <v>2221</v>
      </c>
      <c r="C230">
        <v>160165983902</v>
      </c>
      <c r="D230" t="s">
        <v>2221</v>
      </c>
      <c r="E230" t="s">
        <v>2408</v>
      </c>
      <c r="F230" t="s">
        <v>39</v>
      </c>
      <c r="G230" t="s">
        <v>2337</v>
      </c>
      <c r="H230" t="s">
        <v>2332</v>
      </c>
      <c r="I230" t="s">
        <v>2338</v>
      </c>
      <c r="J230" t="s">
        <v>2338</v>
      </c>
      <c r="K230" t="s">
        <v>2334</v>
      </c>
      <c r="L230" t="s">
        <v>2335</v>
      </c>
      <c r="M230" s="43">
        <v>45685.93926378472</v>
      </c>
      <c r="N230" t="s">
        <v>2338</v>
      </c>
      <c r="O230">
        <v>1</v>
      </c>
      <c r="P230">
        <v>1</v>
      </c>
      <c r="Q230" s="43">
        <v>45943.591721400466</v>
      </c>
      <c r="R230" s="43"/>
    </row>
    <row r="231" spans="1:18" hidden="1">
      <c r="A231">
        <v>589580604602</v>
      </c>
      <c r="B231" t="s">
        <v>2070</v>
      </c>
      <c r="C231">
        <v>547494309302</v>
      </c>
      <c r="D231" t="s">
        <v>2492</v>
      </c>
      <c r="E231" t="s">
        <v>2362</v>
      </c>
      <c r="F231" t="s">
        <v>39</v>
      </c>
      <c r="G231" t="s">
        <v>2337</v>
      </c>
      <c r="H231" t="s">
        <v>2332</v>
      </c>
      <c r="I231" t="s">
        <v>2338</v>
      </c>
      <c r="J231" t="s">
        <v>2338</v>
      </c>
      <c r="K231" t="s">
        <v>2334</v>
      </c>
      <c r="L231" t="s">
        <v>2335</v>
      </c>
      <c r="M231" s="43">
        <v>45686.147626099541</v>
      </c>
      <c r="N231" t="s">
        <v>2338</v>
      </c>
      <c r="O231">
        <v>0</v>
      </c>
      <c r="P231">
        <v>1</v>
      </c>
      <c r="Q231" s="43">
        <v>45943.591723437501</v>
      </c>
      <c r="R231" s="43"/>
    </row>
    <row r="232" spans="1:18" hidden="1">
      <c r="A232">
        <v>589580604602</v>
      </c>
      <c r="B232" t="s">
        <v>2070</v>
      </c>
      <c r="C232">
        <v>589580604602</v>
      </c>
      <c r="D232" t="s">
        <v>2070</v>
      </c>
      <c r="E232" t="s">
        <v>2362</v>
      </c>
      <c r="F232" t="s">
        <v>39</v>
      </c>
      <c r="G232" t="s">
        <v>2337</v>
      </c>
      <c r="H232" t="s">
        <v>2332</v>
      </c>
      <c r="I232" t="s">
        <v>2338</v>
      </c>
      <c r="J232" t="s">
        <v>2338</v>
      </c>
      <c r="K232" t="s">
        <v>2334</v>
      </c>
      <c r="L232" t="s">
        <v>2335</v>
      </c>
      <c r="M232" s="43">
        <v>45686.147626099541</v>
      </c>
      <c r="N232" t="s">
        <v>2338</v>
      </c>
      <c r="O232">
        <v>0</v>
      </c>
      <c r="P232">
        <v>0</v>
      </c>
      <c r="Q232" s="43">
        <v>45943.591714189817</v>
      </c>
      <c r="R232" s="43"/>
    </row>
    <row r="233" spans="1:18" hidden="1">
      <c r="A233">
        <v>589580604602</v>
      </c>
      <c r="B233" t="s">
        <v>2070</v>
      </c>
      <c r="C233">
        <v>624116505902</v>
      </c>
      <c r="D233" t="s">
        <v>2493</v>
      </c>
      <c r="E233" t="s">
        <v>2362</v>
      </c>
      <c r="F233" t="s">
        <v>39</v>
      </c>
      <c r="G233" t="s">
        <v>2337</v>
      </c>
      <c r="H233" t="s">
        <v>2332</v>
      </c>
      <c r="I233" t="s">
        <v>2338</v>
      </c>
      <c r="J233" t="s">
        <v>2338</v>
      </c>
      <c r="K233" t="s">
        <v>2334</v>
      </c>
      <c r="L233" t="s">
        <v>2335</v>
      </c>
      <c r="M233" s="43">
        <v>45686.147626099541</v>
      </c>
      <c r="N233" t="s">
        <v>2338</v>
      </c>
      <c r="O233">
        <v>0</v>
      </c>
      <c r="P233">
        <v>0</v>
      </c>
      <c r="Q233" s="43">
        <v>45943.591722858793</v>
      </c>
    </row>
    <row r="234" spans="1:18" hidden="1">
      <c r="A234">
        <v>589580604602</v>
      </c>
      <c r="B234" t="s">
        <v>2070</v>
      </c>
      <c r="C234">
        <v>704271827302</v>
      </c>
      <c r="D234" t="s">
        <v>2494</v>
      </c>
      <c r="E234" t="s">
        <v>2362</v>
      </c>
      <c r="F234" t="s">
        <v>39</v>
      </c>
      <c r="G234" t="s">
        <v>2337</v>
      </c>
      <c r="H234" t="s">
        <v>2332</v>
      </c>
      <c r="I234" t="s">
        <v>2338</v>
      </c>
      <c r="J234" t="s">
        <v>2338</v>
      </c>
      <c r="K234" t="s">
        <v>2334</v>
      </c>
      <c r="L234" t="s">
        <v>2335</v>
      </c>
      <c r="M234" s="43">
        <v>45686.147626099541</v>
      </c>
      <c r="N234" t="s">
        <v>2338</v>
      </c>
      <c r="O234">
        <v>1</v>
      </c>
      <c r="P234">
        <v>0</v>
      </c>
      <c r="Q234" s="43">
        <v>45943.591699999997</v>
      </c>
      <c r="R234" s="43"/>
    </row>
    <row r="235" spans="1:18" hidden="1">
      <c r="A235">
        <v>589580604602</v>
      </c>
      <c r="B235" t="s">
        <v>2070</v>
      </c>
      <c r="C235">
        <v>803520752602</v>
      </c>
      <c r="D235" t="s">
        <v>2495</v>
      </c>
      <c r="E235" t="s">
        <v>2362</v>
      </c>
      <c r="F235" t="s">
        <v>39</v>
      </c>
      <c r="G235" t="s">
        <v>2337</v>
      </c>
      <c r="H235" t="s">
        <v>2332</v>
      </c>
      <c r="I235" t="s">
        <v>2338</v>
      </c>
      <c r="J235" t="s">
        <v>2338</v>
      </c>
      <c r="K235" t="s">
        <v>2334</v>
      </c>
      <c r="L235" t="s">
        <v>2335</v>
      </c>
      <c r="M235" s="43">
        <v>45686.147626099541</v>
      </c>
      <c r="N235" t="s">
        <v>2338</v>
      </c>
      <c r="O235">
        <v>0</v>
      </c>
      <c r="P235">
        <v>0</v>
      </c>
      <c r="Q235" s="43">
        <v>45943.591704918981</v>
      </c>
      <c r="R235" s="43"/>
    </row>
    <row r="236" spans="1:18" hidden="1">
      <c r="A236">
        <v>45030065502</v>
      </c>
      <c r="B236" t="s">
        <v>2284</v>
      </c>
      <c r="C236">
        <v>45030065502</v>
      </c>
      <c r="D236" t="s">
        <v>2284</v>
      </c>
      <c r="E236" t="s">
        <v>2363</v>
      </c>
      <c r="F236" t="s">
        <v>40</v>
      </c>
      <c r="G236" t="s">
        <v>2337</v>
      </c>
      <c r="H236" t="s">
        <v>2332</v>
      </c>
      <c r="I236" t="s">
        <v>2338</v>
      </c>
      <c r="J236" t="s">
        <v>2338</v>
      </c>
      <c r="K236" t="s">
        <v>2334</v>
      </c>
      <c r="L236" t="s">
        <v>2335</v>
      </c>
      <c r="M236" s="43">
        <v>45663.757133090279</v>
      </c>
      <c r="N236" t="s">
        <v>2338</v>
      </c>
      <c r="O236">
        <v>0</v>
      </c>
      <c r="P236">
        <v>1</v>
      </c>
      <c r="Q236" s="43">
        <v>45943.591700416669</v>
      </c>
      <c r="R236" s="43">
        <v>46029.536000798609</v>
      </c>
    </row>
    <row r="237" spans="1:18" hidden="1">
      <c r="A237">
        <v>45030065502</v>
      </c>
      <c r="B237" t="s">
        <v>2284</v>
      </c>
      <c r="C237">
        <v>1096899393702</v>
      </c>
      <c r="D237" t="s">
        <v>2496</v>
      </c>
      <c r="E237" t="s">
        <v>2363</v>
      </c>
      <c r="F237" t="s">
        <v>40</v>
      </c>
      <c r="G237" t="s">
        <v>2337</v>
      </c>
      <c r="H237" t="s">
        <v>2332</v>
      </c>
      <c r="I237" t="s">
        <v>2338</v>
      </c>
      <c r="J237" t="s">
        <v>2338</v>
      </c>
      <c r="K237" t="s">
        <v>2334</v>
      </c>
      <c r="L237" t="s">
        <v>2335</v>
      </c>
      <c r="M237" s="43">
        <v>45663.757133090279</v>
      </c>
      <c r="N237" t="s">
        <v>2338</v>
      </c>
      <c r="O237">
        <v>1</v>
      </c>
      <c r="P237">
        <v>0</v>
      </c>
      <c r="Q237" s="43">
        <v>45943.591700104167</v>
      </c>
      <c r="R237" s="43">
        <v>46029.536000798609</v>
      </c>
    </row>
    <row r="238" spans="1:18" hidden="1">
      <c r="A238">
        <v>58318994402</v>
      </c>
      <c r="B238" t="s">
        <v>2048</v>
      </c>
      <c r="C238">
        <v>58318994402</v>
      </c>
      <c r="D238" t="s">
        <v>2048</v>
      </c>
      <c r="E238" t="s">
        <v>2369</v>
      </c>
      <c r="G238" t="s">
        <v>2331</v>
      </c>
      <c r="H238" t="s">
        <v>2332</v>
      </c>
      <c r="I238" t="s">
        <v>2333</v>
      </c>
      <c r="J238" t="s">
        <v>2333</v>
      </c>
      <c r="K238" t="s">
        <v>2334</v>
      </c>
      <c r="L238" t="s">
        <v>2335</v>
      </c>
      <c r="M238" s="43">
        <v>45176.938609421297</v>
      </c>
      <c r="N238" t="s">
        <v>2333</v>
      </c>
      <c r="O238">
        <v>0</v>
      </c>
      <c r="P238">
        <v>1</v>
      </c>
      <c r="Q238" s="43"/>
    </row>
    <row r="239" spans="1:18" hidden="1">
      <c r="A239">
        <v>189900969502</v>
      </c>
      <c r="B239" t="s">
        <v>2497</v>
      </c>
      <c r="C239">
        <v>189900969502</v>
      </c>
      <c r="D239" t="s">
        <v>2497</v>
      </c>
      <c r="E239" t="s">
        <v>2366</v>
      </c>
      <c r="G239" t="s">
        <v>2331</v>
      </c>
      <c r="H239" t="s">
        <v>2332</v>
      </c>
      <c r="I239" t="s">
        <v>2333</v>
      </c>
      <c r="J239" t="s">
        <v>2333</v>
      </c>
      <c r="K239" t="s">
        <v>2334</v>
      </c>
      <c r="L239" t="s">
        <v>2335</v>
      </c>
      <c r="M239" s="43">
        <v>46049.911936099539</v>
      </c>
      <c r="N239" t="s">
        <v>2333</v>
      </c>
      <c r="O239">
        <v>0</v>
      </c>
      <c r="P239">
        <v>1</v>
      </c>
      <c r="Q239" s="43"/>
      <c r="R239" s="43"/>
    </row>
    <row r="240" spans="1:18" hidden="1">
      <c r="A240">
        <v>743495001802</v>
      </c>
      <c r="B240" t="s">
        <v>584</v>
      </c>
      <c r="C240">
        <v>38010712715</v>
      </c>
      <c r="D240" t="s">
        <v>2498</v>
      </c>
      <c r="E240" t="s">
        <v>2349</v>
      </c>
      <c r="G240" t="s">
        <v>2331</v>
      </c>
      <c r="H240" t="s">
        <v>2332</v>
      </c>
      <c r="I240" t="s">
        <v>2333</v>
      </c>
      <c r="J240" t="s">
        <v>2333</v>
      </c>
      <c r="K240" t="s">
        <v>2334</v>
      </c>
      <c r="L240" t="s">
        <v>2335</v>
      </c>
      <c r="M240" s="43">
        <v>45176.937978379632</v>
      </c>
      <c r="N240" t="s">
        <v>2333</v>
      </c>
      <c r="O240">
        <v>0</v>
      </c>
      <c r="P240">
        <v>1</v>
      </c>
      <c r="Q240" s="43"/>
      <c r="R240" s="43"/>
    </row>
    <row r="241" spans="1:18">
      <c r="A241">
        <v>743495001802</v>
      </c>
      <c r="B241" t="s">
        <v>584</v>
      </c>
      <c r="C241">
        <v>743495001802</v>
      </c>
      <c r="D241" t="s">
        <v>584</v>
      </c>
      <c r="E241" t="s">
        <v>2349</v>
      </c>
      <c r="G241" t="s">
        <v>2331</v>
      </c>
      <c r="H241" t="s">
        <v>2332</v>
      </c>
      <c r="I241" t="s">
        <v>2333</v>
      </c>
      <c r="J241" t="s">
        <v>2333</v>
      </c>
      <c r="K241" t="s">
        <v>2334</v>
      </c>
      <c r="L241" t="s">
        <v>2335</v>
      </c>
      <c r="M241" s="43">
        <v>45176.937978379632</v>
      </c>
      <c r="N241" t="s">
        <v>2333</v>
      </c>
      <c r="O241">
        <v>0</v>
      </c>
      <c r="P241">
        <v>0</v>
      </c>
      <c r="Q241" s="43"/>
      <c r="R241" s="43"/>
    </row>
    <row r="242" spans="1:18">
      <c r="A242">
        <v>97596278102</v>
      </c>
      <c r="B242" t="s">
        <v>343</v>
      </c>
      <c r="C242">
        <v>97596278102</v>
      </c>
      <c r="D242" t="s">
        <v>343</v>
      </c>
      <c r="E242" t="s">
        <v>2421</v>
      </c>
      <c r="F242" t="s">
        <v>36</v>
      </c>
      <c r="G242" t="s">
        <v>2337</v>
      </c>
      <c r="H242" t="s">
        <v>2332</v>
      </c>
      <c r="I242" t="s">
        <v>2338</v>
      </c>
      <c r="J242" t="s">
        <v>2338</v>
      </c>
      <c r="K242" t="s">
        <v>2334</v>
      </c>
      <c r="L242" t="s">
        <v>2335</v>
      </c>
      <c r="M242" s="43">
        <v>45320.526402951386</v>
      </c>
      <c r="N242" t="s">
        <v>2338</v>
      </c>
      <c r="O242">
        <v>1</v>
      </c>
      <c r="P242">
        <v>1</v>
      </c>
      <c r="Q242" s="43">
        <v>45845.724123321757</v>
      </c>
      <c r="R242" s="43">
        <v>46063.662184074077</v>
      </c>
    </row>
    <row r="243" spans="1:18">
      <c r="A243">
        <v>153775969402</v>
      </c>
      <c r="B243" t="s">
        <v>1002</v>
      </c>
      <c r="C243">
        <v>153775969402</v>
      </c>
      <c r="D243" t="s">
        <v>1002</v>
      </c>
      <c r="E243" t="s">
        <v>2355</v>
      </c>
      <c r="F243" t="s">
        <v>36</v>
      </c>
      <c r="G243" t="s">
        <v>2337</v>
      </c>
      <c r="H243" t="s">
        <v>2332</v>
      </c>
      <c r="I243" t="s">
        <v>2338</v>
      </c>
      <c r="J243" t="s">
        <v>2338</v>
      </c>
      <c r="K243" t="s">
        <v>2334</v>
      </c>
      <c r="L243" t="s">
        <v>2335</v>
      </c>
      <c r="M243" s="43">
        <v>45684.691400451389</v>
      </c>
      <c r="N243" t="s">
        <v>2338</v>
      </c>
      <c r="O243">
        <v>1</v>
      </c>
      <c r="P243">
        <v>1</v>
      </c>
      <c r="Q243" s="43">
        <v>45845.724126435183</v>
      </c>
      <c r="R243" s="43">
        <v>46028.601830208332</v>
      </c>
    </row>
    <row r="244" spans="1:18">
      <c r="A244">
        <v>153775969402</v>
      </c>
      <c r="B244" t="s">
        <v>1002</v>
      </c>
      <c r="C244">
        <v>195492390002</v>
      </c>
      <c r="D244" t="s">
        <v>2499</v>
      </c>
      <c r="E244" t="s">
        <v>2355</v>
      </c>
      <c r="F244" t="s">
        <v>36</v>
      </c>
      <c r="G244" t="s">
        <v>2337</v>
      </c>
      <c r="H244" t="s">
        <v>2332</v>
      </c>
      <c r="I244" t="s">
        <v>2338</v>
      </c>
      <c r="J244" t="s">
        <v>2338</v>
      </c>
      <c r="K244" t="s">
        <v>2334</v>
      </c>
      <c r="L244" t="s">
        <v>2335</v>
      </c>
      <c r="M244" s="43">
        <v>45684.691400451389</v>
      </c>
      <c r="N244" t="s">
        <v>2338</v>
      </c>
      <c r="O244">
        <v>0</v>
      </c>
      <c r="P244">
        <v>0</v>
      </c>
      <c r="Q244" s="43">
        <v>45889.742897719909</v>
      </c>
      <c r="R244" s="43">
        <v>46028.601830208332</v>
      </c>
    </row>
    <row r="245" spans="1:18" hidden="1">
      <c r="A245">
        <v>11613361102</v>
      </c>
      <c r="B245" t="s">
        <v>1880</v>
      </c>
      <c r="C245">
        <v>11613361102</v>
      </c>
      <c r="D245" t="s">
        <v>1880</v>
      </c>
      <c r="E245" t="s">
        <v>2408</v>
      </c>
      <c r="F245" t="s">
        <v>39</v>
      </c>
      <c r="G245" t="s">
        <v>2337</v>
      </c>
      <c r="H245" t="s">
        <v>2332</v>
      </c>
      <c r="I245" t="s">
        <v>2338</v>
      </c>
      <c r="J245" t="s">
        <v>2338</v>
      </c>
      <c r="K245" t="s">
        <v>2334</v>
      </c>
      <c r="L245" t="s">
        <v>2335</v>
      </c>
      <c r="M245" s="43">
        <v>45286.992235196762</v>
      </c>
      <c r="N245" t="s">
        <v>2338</v>
      </c>
      <c r="O245">
        <v>0</v>
      </c>
      <c r="P245">
        <v>1</v>
      </c>
      <c r="Q245" s="43">
        <v>45845.724122337961</v>
      </c>
      <c r="R245" s="43"/>
    </row>
    <row r="246" spans="1:18" hidden="1">
      <c r="A246">
        <v>11613361102</v>
      </c>
      <c r="B246" t="s">
        <v>1880</v>
      </c>
      <c r="C246">
        <v>847074348102</v>
      </c>
      <c r="D246" t="s">
        <v>1883</v>
      </c>
      <c r="E246" t="s">
        <v>2408</v>
      </c>
      <c r="F246" t="s">
        <v>39</v>
      </c>
      <c r="G246" t="s">
        <v>2337</v>
      </c>
      <c r="H246" t="s">
        <v>2332</v>
      </c>
      <c r="I246" t="s">
        <v>2338</v>
      </c>
      <c r="J246" t="s">
        <v>2338</v>
      </c>
      <c r="K246" t="s">
        <v>2334</v>
      </c>
      <c r="L246" t="s">
        <v>2335</v>
      </c>
      <c r="M246" s="43">
        <v>45286.992235196762</v>
      </c>
      <c r="N246" t="s">
        <v>2338</v>
      </c>
      <c r="O246">
        <v>1</v>
      </c>
      <c r="P246">
        <v>0</v>
      </c>
      <c r="Q246" s="43">
        <v>45448.91711386574</v>
      </c>
      <c r="R246" s="43"/>
    </row>
    <row r="247" spans="1:18" hidden="1">
      <c r="A247">
        <v>69746651</v>
      </c>
      <c r="B247" t="s">
        <v>944</v>
      </c>
      <c r="C247">
        <v>69746651</v>
      </c>
      <c r="D247" t="s">
        <v>944</v>
      </c>
      <c r="E247" t="s">
        <v>2353</v>
      </c>
      <c r="F247" t="s">
        <v>36</v>
      </c>
      <c r="G247" t="s">
        <v>2337</v>
      </c>
      <c r="H247" t="s">
        <v>2332</v>
      </c>
      <c r="I247" t="s">
        <v>2338</v>
      </c>
      <c r="J247" t="s">
        <v>2338</v>
      </c>
      <c r="K247" t="s">
        <v>2334</v>
      </c>
      <c r="L247" t="s">
        <v>2335</v>
      </c>
      <c r="M247" s="43">
        <v>45680.68250988426</v>
      </c>
      <c r="N247" t="s">
        <v>2338</v>
      </c>
      <c r="O247">
        <v>1</v>
      </c>
      <c r="P247">
        <v>1</v>
      </c>
      <c r="Q247" s="43">
        <v>45943.591719097225</v>
      </c>
      <c r="R247" s="43">
        <v>46037.620225729166</v>
      </c>
    </row>
    <row r="248" spans="1:18" hidden="1">
      <c r="A248">
        <v>69746651</v>
      </c>
      <c r="B248" t="s">
        <v>944</v>
      </c>
      <c r="C248">
        <v>854385915602</v>
      </c>
      <c r="D248" t="s">
        <v>2500</v>
      </c>
      <c r="E248" t="s">
        <v>2353</v>
      </c>
      <c r="F248" t="s">
        <v>36</v>
      </c>
      <c r="G248" t="s">
        <v>2337</v>
      </c>
      <c r="H248" t="s">
        <v>2332</v>
      </c>
      <c r="I248" t="s">
        <v>2338</v>
      </c>
      <c r="J248" t="s">
        <v>2338</v>
      </c>
      <c r="K248" t="s">
        <v>2334</v>
      </c>
      <c r="L248" t="s">
        <v>2335</v>
      </c>
      <c r="M248" s="43">
        <v>45680.68250988426</v>
      </c>
      <c r="N248" t="s">
        <v>2338</v>
      </c>
      <c r="O248">
        <v>0</v>
      </c>
      <c r="P248">
        <v>0</v>
      </c>
      <c r="Q248" s="43">
        <v>45943.591726331018</v>
      </c>
      <c r="R248" s="43">
        <v>46037.620225729166</v>
      </c>
    </row>
    <row r="249" spans="1:18" hidden="1">
      <c r="A249">
        <v>326312039202</v>
      </c>
      <c r="B249" t="s">
        <v>2298</v>
      </c>
      <c r="C249">
        <v>326312039202</v>
      </c>
      <c r="D249" t="s">
        <v>2298</v>
      </c>
      <c r="E249" t="s">
        <v>2349</v>
      </c>
      <c r="G249" t="s">
        <v>2331</v>
      </c>
      <c r="H249" t="s">
        <v>2332</v>
      </c>
      <c r="I249" t="s">
        <v>2333</v>
      </c>
      <c r="J249" t="s">
        <v>2333</v>
      </c>
      <c r="K249" t="s">
        <v>2334</v>
      </c>
      <c r="L249" t="s">
        <v>2335</v>
      </c>
      <c r="M249" s="43">
        <v>45686.137972511577</v>
      </c>
      <c r="N249" t="s">
        <v>2333</v>
      </c>
      <c r="O249">
        <v>0</v>
      </c>
      <c r="P249">
        <v>1</v>
      </c>
      <c r="Q249" s="43"/>
    </row>
    <row r="250" spans="1:18" hidden="1">
      <c r="A250">
        <v>12650981605</v>
      </c>
      <c r="B250" t="s">
        <v>2055</v>
      </c>
      <c r="C250">
        <v>12650981605</v>
      </c>
      <c r="D250" t="s">
        <v>2055</v>
      </c>
      <c r="E250" t="s">
        <v>2369</v>
      </c>
      <c r="G250" t="s">
        <v>2331</v>
      </c>
      <c r="H250" t="s">
        <v>2332</v>
      </c>
      <c r="I250" t="s">
        <v>2333</v>
      </c>
      <c r="J250" t="s">
        <v>2333</v>
      </c>
      <c r="K250" t="s">
        <v>2334</v>
      </c>
      <c r="L250" t="s">
        <v>2335</v>
      </c>
      <c r="M250" s="43">
        <v>45663.738307395834</v>
      </c>
      <c r="N250" t="s">
        <v>2333</v>
      </c>
      <c r="O250">
        <v>0</v>
      </c>
      <c r="P250">
        <v>1</v>
      </c>
      <c r="Q250" s="43"/>
      <c r="R250" s="43"/>
    </row>
    <row r="251" spans="1:18" hidden="1">
      <c r="A251">
        <v>12650981605</v>
      </c>
      <c r="B251" t="s">
        <v>2055</v>
      </c>
      <c r="C251">
        <v>979484430002</v>
      </c>
      <c r="D251" t="s">
        <v>2501</v>
      </c>
      <c r="E251" t="s">
        <v>2369</v>
      </c>
      <c r="G251" t="s">
        <v>2331</v>
      </c>
      <c r="H251" t="s">
        <v>2332</v>
      </c>
      <c r="I251" t="s">
        <v>2333</v>
      </c>
      <c r="J251" t="s">
        <v>2333</v>
      </c>
      <c r="K251" t="s">
        <v>2334</v>
      </c>
      <c r="L251" t="s">
        <v>2335</v>
      </c>
      <c r="M251" s="43">
        <v>45663.738307395834</v>
      </c>
      <c r="N251" t="s">
        <v>2333</v>
      </c>
      <c r="O251">
        <v>0</v>
      </c>
      <c r="P251">
        <v>0</v>
      </c>
      <c r="Q251" s="43"/>
      <c r="R251" s="43"/>
    </row>
    <row r="252" spans="1:18" hidden="1">
      <c r="A252">
        <v>312652842702</v>
      </c>
      <c r="B252" t="s">
        <v>1348</v>
      </c>
      <c r="C252">
        <v>312652842702</v>
      </c>
      <c r="D252" t="s">
        <v>1348</v>
      </c>
      <c r="E252" t="s">
        <v>2369</v>
      </c>
      <c r="G252" t="s">
        <v>2331</v>
      </c>
      <c r="H252" t="s">
        <v>2332</v>
      </c>
      <c r="I252" t="s">
        <v>2333</v>
      </c>
      <c r="J252" t="s">
        <v>2333</v>
      </c>
      <c r="K252" t="s">
        <v>2334</v>
      </c>
      <c r="L252" t="s">
        <v>2335</v>
      </c>
      <c r="M252" s="43">
        <v>45859.562087789353</v>
      </c>
      <c r="N252" t="s">
        <v>2333</v>
      </c>
      <c r="O252">
        <v>0</v>
      </c>
      <c r="P252">
        <v>1</v>
      </c>
      <c r="Q252" s="43"/>
    </row>
    <row r="253" spans="1:18" hidden="1">
      <c r="A253">
        <v>312652842702</v>
      </c>
      <c r="B253" t="s">
        <v>1348</v>
      </c>
      <c r="C253">
        <v>441724999802</v>
      </c>
      <c r="D253" t="s">
        <v>2502</v>
      </c>
      <c r="E253" t="s">
        <v>2369</v>
      </c>
      <c r="G253" t="s">
        <v>2331</v>
      </c>
      <c r="H253" t="s">
        <v>2332</v>
      </c>
      <c r="I253" t="s">
        <v>2333</v>
      </c>
      <c r="J253" t="s">
        <v>2333</v>
      </c>
      <c r="K253" t="s">
        <v>2334</v>
      </c>
      <c r="L253" t="s">
        <v>2335</v>
      </c>
      <c r="M253" s="43">
        <v>45859.562087789353</v>
      </c>
      <c r="N253" t="s">
        <v>2333</v>
      </c>
      <c r="O253">
        <v>0</v>
      </c>
      <c r="P253">
        <v>0</v>
      </c>
      <c r="Q253" s="43"/>
      <c r="R253" s="43"/>
    </row>
    <row r="254" spans="1:18" hidden="1">
      <c r="A254">
        <v>301135555502</v>
      </c>
      <c r="B254" t="s">
        <v>1548</v>
      </c>
      <c r="C254">
        <v>301135555502</v>
      </c>
      <c r="D254" t="s">
        <v>1548</v>
      </c>
      <c r="E254" t="s">
        <v>2342</v>
      </c>
      <c r="G254" t="s">
        <v>2331</v>
      </c>
      <c r="H254" t="s">
        <v>2332</v>
      </c>
      <c r="I254" t="s">
        <v>2333</v>
      </c>
      <c r="J254" t="s">
        <v>2333</v>
      </c>
      <c r="K254" t="s">
        <v>2334</v>
      </c>
      <c r="L254" t="s">
        <v>2335</v>
      </c>
      <c r="M254" s="43">
        <v>45421.809993483796</v>
      </c>
      <c r="N254" t="s">
        <v>2333</v>
      </c>
      <c r="O254">
        <v>0</v>
      </c>
      <c r="P254">
        <v>1</v>
      </c>
      <c r="Q254" s="43"/>
      <c r="R254" s="43"/>
    </row>
    <row r="255" spans="1:18" hidden="1">
      <c r="A255">
        <v>779493596402</v>
      </c>
      <c r="B255" t="s">
        <v>512</v>
      </c>
      <c r="C255">
        <v>629892973702</v>
      </c>
      <c r="D255" t="s">
        <v>2503</v>
      </c>
      <c r="E255" t="s">
        <v>2344</v>
      </c>
      <c r="F255" t="s">
        <v>37</v>
      </c>
      <c r="G255" t="s">
        <v>2337</v>
      </c>
      <c r="H255" t="s">
        <v>2332</v>
      </c>
      <c r="I255" t="s">
        <v>2338</v>
      </c>
      <c r="J255" t="s">
        <v>2338</v>
      </c>
      <c r="K255" t="s">
        <v>2334</v>
      </c>
      <c r="L255" t="s">
        <v>2335</v>
      </c>
      <c r="M255" s="43">
        <v>46036.857647604164</v>
      </c>
      <c r="N255" t="s">
        <v>2338</v>
      </c>
      <c r="O255">
        <v>1</v>
      </c>
      <c r="P255">
        <v>1</v>
      </c>
      <c r="Q255" s="43">
        <v>46050.816044861109</v>
      </c>
      <c r="R255" s="43">
        <v>46055.799663715276</v>
      </c>
    </row>
    <row r="256" spans="1:18" hidden="1">
      <c r="A256">
        <v>779493596402</v>
      </c>
      <c r="B256" t="s">
        <v>512</v>
      </c>
      <c r="C256">
        <v>688479741602</v>
      </c>
      <c r="D256" t="s">
        <v>2504</v>
      </c>
      <c r="E256" t="s">
        <v>2344</v>
      </c>
      <c r="F256" t="s">
        <v>37</v>
      </c>
      <c r="G256" t="s">
        <v>2337</v>
      </c>
      <c r="H256" t="s">
        <v>2332</v>
      </c>
      <c r="I256" t="s">
        <v>2338</v>
      </c>
      <c r="J256" t="s">
        <v>2338</v>
      </c>
      <c r="K256" t="s">
        <v>2334</v>
      </c>
      <c r="L256" t="s">
        <v>2335</v>
      </c>
      <c r="M256" s="43">
        <v>46036.857647604164</v>
      </c>
      <c r="N256" t="s">
        <v>2338</v>
      </c>
      <c r="O256">
        <v>0</v>
      </c>
      <c r="P256">
        <v>0</v>
      </c>
      <c r="Q256" s="43">
        <v>46050.816045231484</v>
      </c>
      <c r="R256" s="43">
        <v>46055.799663715276</v>
      </c>
    </row>
    <row r="257" spans="1:18" hidden="1">
      <c r="A257">
        <v>779493596402</v>
      </c>
      <c r="B257" t="s">
        <v>512</v>
      </c>
      <c r="C257">
        <v>779493596402</v>
      </c>
      <c r="D257" t="s">
        <v>512</v>
      </c>
      <c r="E257" t="s">
        <v>2344</v>
      </c>
      <c r="F257" t="s">
        <v>37</v>
      </c>
      <c r="G257" t="s">
        <v>2337</v>
      </c>
      <c r="H257" t="s">
        <v>2332</v>
      </c>
      <c r="I257" t="s">
        <v>2338</v>
      </c>
      <c r="J257" t="s">
        <v>2338</v>
      </c>
      <c r="K257" t="s">
        <v>2334</v>
      </c>
      <c r="L257" t="s">
        <v>2335</v>
      </c>
      <c r="M257" s="43">
        <v>46036.857647604164</v>
      </c>
      <c r="N257" t="s">
        <v>2338</v>
      </c>
      <c r="O257">
        <v>0</v>
      </c>
      <c r="P257">
        <v>0</v>
      </c>
      <c r="Q257" s="43">
        <v>46050.816045347223</v>
      </c>
      <c r="R257" s="43">
        <v>46055.799663715276</v>
      </c>
    </row>
    <row r="258" spans="1:18" hidden="1">
      <c r="A258">
        <v>779493596402</v>
      </c>
      <c r="B258" t="s">
        <v>512</v>
      </c>
      <c r="C258">
        <v>952609312702</v>
      </c>
      <c r="D258" t="s">
        <v>2505</v>
      </c>
      <c r="E258" t="s">
        <v>2344</v>
      </c>
      <c r="F258" t="s">
        <v>37</v>
      </c>
      <c r="G258" t="s">
        <v>2337</v>
      </c>
      <c r="H258" t="s">
        <v>2332</v>
      </c>
      <c r="I258" t="s">
        <v>2338</v>
      </c>
      <c r="J258" t="s">
        <v>2338</v>
      </c>
      <c r="K258" t="s">
        <v>2334</v>
      </c>
      <c r="L258" t="s">
        <v>2335</v>
      </c>
      <c r="M258" s="43">
        <v>46036.857647604164</v>
      </c>
      <c r="N258" t="s">
        <v>2338</v>
      </c>
      <c r="O258">
        <v>0</v>
      </c>
      <c r="P258">
        <v>0</v>
      </c>
      <c r="Q258" s="43">
        <v>46050.816045370368</v>
      </c>
      <c r="R258" s="43">
        <v>46055.799663715276</v>
      </c>
    </row>
    <row r="259" spans="1:18" hidden="1">
      <c r="A259">
        <v>779493596402</v>
      </c>
      <c r="B259" t="s">
        <v>512</v>
      </c>
      <c r="C259">
        <v>996604083802</v>
      </c>
      <c r="D259" t="s">
        <v>2506</v>
      </c>
      <c r="E259" t="s">
        <v>2344</v>
      </c>
      <c r="F259" t="s">
        <v>37</v>
      </c>
      <c r="G259" t="s">
        <v>2337</v>
      </c>
      <c r="H259" t="s">
        <v>2332</v>
      </c>
      <c r="I259" t="s">
        <v>2338</v>
      </c>
      <c r="J259" t="s">
        <v>2338</v>
      </c>
      <c r="K259" t="s">
        <v>2334</v>
      </c>
      <c r="L259" t="s">
        <v>2335</v>
      </c>
      <c r="M259" s="43">
        <v>46036.857647604164</v>
      </c>
      <c r="N259" t="s">
        <v>2338</v>
      </c>
      <c r="O259">
        <v>0</v>
      </c>
      <c r="P259">
        <v>0</v>
      </c>
      <c r="Q259" s="43">
        <v>46050.816045208332</v>
      </c>
      <c r="R259" s="43">
        <v>46055.799663715276</v>
      </c>
    </row>
    <row r="260" spans="1:18" hidden="1">
      <c r="A260">
        <v>472181389102</v>
      </c>
      <c r="B260" t="s">
        <v>1914</v>
      </c>
      <c r="C260">
        <v>472181389102</v>
      </c>
      <c r="D260" t="s">
        <v>1914</v>
      </c>
      <c r="E260" t="s">
        <v>2421</v>
      </c>
      <c r="F260" t="s">
        <v>36</v>
      </c>
      <c r="G260" t="s">
        <v>2337</v>
      </c>
      <c r="H260" t="s">
        <v>2332</v>
      </c>
      <c r="I260" t="s">
        <v>2338</v>
      </c>
      <c r="J260" t="s">
        <v>2338</v>
      </c>
      <c r="K260" t="s">
        <v>2334</v>
      </c>
      <c r="L260" t="s">
        <v>2335</v>
      </c>
      <c r="M260" s="43">
        <v>45680.74758278935</v>
      </c>
      <c r="N260" t="s">
        <v>2338</v>
      </c>
      <c r="O260">
        <v>1</v>
      </c>
      <c r="P260">
        <v>1</v>
      </c>
      <c r="Q260" s="43">
        <v>45845.724123252316</v>
      </c>
      <c r="R260" s="43">
        <v>46059.731241435184</v>
      </c>
    </row>
    <row r="261" spans="1:18" hidden="1">
      <c r="A261">
        <v>472181389102</v>
      </c>
      <c r="B261" t="s">
        <v>1914</v>
      </c>
      <c r="C261">
        <v>726407220202</v>
      </c>
      <c r="D261" t="s">
        <v>2507</v>
      </c>
      <c r="E261" t="s">
        <v>2421</v>
      </c>
      <c r="F261" t="s">
        <v>36</v>
      </c>
      <c r="G261" t="s">
        <v>2337</v>
      </c>
      <c r="H261" t="s">
        <v>2332</v>
      </c>
      <c r="I261" t="s">
        <v>2338</v>
      </c>
      <c r="J261" t="s">
        <v>2338</v>
      </c>
      <c r="K261" t="s">
        <v>2334</v>
      </c>
      <c r="L261" t="s">
        <v>2335</v>
      </c>
      <c r="M261" s="43">
        <v>45680.74758278935</v>
      </c>
      <c r="N261" t="s">
        <v>2338</v>
      </c>
      <c r="O261">
        <v>0</v>
      </c>
      <c r="P261">
        <v>0</v>
      </c>
      <c r="Q261" s="43">
        <v>45894.779136354169</v>
      </c>
      <c r="R261" s="43">
        <v>46059.731241435184</v>
      </c>
    </row>
    <row r="262" spans="1:18" hidden="1">
      <c r="A262">
        <v>161292743602</v>
      </c>
      <c r="B262" t="s">
        <v>2508</v>
      </c>
      <c r="C262">
        <v>161292743602</v>
      </c>
      <c r="D262" t="s">
        <v>2508</v>
      </c>
      <c r="E262" t="s">
        <v>2472</v>
      </c>
      <c r="F262" t="s">
        <v>36</v>
      </c>
      <c r="G262" t="s">
        <v>2337</v>
      </c>
      <c r="H262" t="s">
        <v>2332</v>
      </c>
      <c r="I262" t="s">
        <v>2338</v>
      </c>
      <c r="J262" t="s">
        <v>2338</v>
      </c>
      <c r="K262" t="s">
        <v>2334</v>
      </c>
      <c r="L262" t="s">
        <v>2335</v>
      </c>
      <c r="M262" s="43">
        <v>46049.129110300928</v>
      </c>
      <c r="N262" t="s">
        <v>2338</v>
      </c>
      <c r="O262">
        <v>1</v>
      </c>
      <c r="P262">
        <v>1</v>
      </c>
      <c r="Q262" s="43">
        <v>46052.772280393518</v>
      </c>
      <c r="R262" s="43">
        <v>46056.759343807869</v>
      </c>
    </row>
    <row r="263" spans="1:18" hidden="1">
      <c r="A263">
        <v>862944388002</v>
      </c>
      <c r="B263" t="s">
        <v>1392</v>
      </c>
      <c r="C263">
        <v>862944388002</v>
      </c>
      <c r="D263" t="s">
        <v>1392</v>
      </c>
      <c r="E263" t="s">
        <v>2421</v>
      </c>
      <c r="G263" t="s">
        <v>2331</v>
      </c>
      <c r="H263" t="s">
        <v>2332</v>
      </c>
      <c r="I263" t="s">
        <v>2333</v>
      </c>
      <c r="J263" t="s">
        <v>2333</v>
      </c>
      <c r="K263" t="s">
        <v>2334</v>
      </c>
      <c r="L263" t="s">
        <v>2335</v>
      </c>
      <c r="M263" s="43">
        <v>45680.769404722225</v>
      </c>
      <c r="N263" t="s">
        <v>2333</v>
      </c>
      <c r="O263">
        <v>0</v>
      </c>
      <c r="P263">
        <v>1</v>
      </c>
      <c r="Q263" s="43"/>
      <c r="R263" s="43"/>
    </row>
    <row r="264" spans="1:18" hidden="1">
      <c r="A264">
        <v>278014817402</v>
      </c>
      <c r="B264" t="s">
        <v>2509</v>
      </c>
      <c r="C264">
        <v>278014817402</v>
      </c>
      <c r="D264" t="s">
        <v>2509</v>
      </c>
      <c r="E264" t="s">
        <v>2472</v>
      </c>
      <c r="F264" t="s">
        <v>36</v>
      </c>
      <c r="G264" t="s">
        <v>2337</v>
      </c>
      <c r="H264" t="s">
        <v>2332</v>
      </c>
      <c r="I264" t="s">
        <v>2338</v>
      </c>
      <c r="J264" t="s">
        <v>2338</v>
      </c>
      <c r="K264" t="s">
        <v>2334</v>
      </c>
      <c r="L264" t="s">
        <v>2335</v>
      </c>
      <c r="M264" s="43">
        <v>46050.782060821759</v>
      </c>
      <c r="N264" t="s">
        <v>2338</v>
      </c>
      <c r="O264">
        <v>1</v>
      </c>
      <c r="P264">
        <v>1</v>
      </c>
      <c r="Q264" s="43">
        <v>46057.736322141202</v>
      </c>
      <c r="R264" s="43"/>
    </row>
    <row r="265" spans="1:18" hidden="1">
      <c r="A265">
        <v>620340822902</v>
      </c>
      <c r="B265" t="s">
        <v>2510</v>
      </c>
      <c r="C265">
        <v>620355454002</v>
      </c>
      <c r="D265" t="s">
        <v>2510</v>
      </c>
      <c r="E265" t="s">
        <v>2423</v>
      </c>
      <c r="G265" t="s">
        <v>2331</v>
      </c>
      <c r="H265" t="s">
        <v>2332</v>
      </c>
      <c r="I265" t="s">
        <v>2333</v>
      </c>
      <c r="J265" t="s">
        <v>2333</v>
      </c>
      <c r="K265" t="s">
        <v>2334</v>
      </c>
      <c r="L265" t="s">
        <v>2335</v>
      </c>
      <c r="M265" s="43">
        <v>46079.781330115744</v>
      </c>
      <c r="N265" t="s">
        <v>2333</v>
      </c>
      <c r="O265">
        <v>0</v>
      </c>
      <c r="P265">
        <v>1</v>
      </c>
      <c r="Q265" s="43"/>
      <c r="R265" s="43"/>
    </row>
    <row r="266" spans="1:18">
      <c r="A266">
        <v>796328838902</v>
      </c>
      <c r="B266" t="s">
        <v>2511</v>
      </c>
      <c r="C266">
        <v>796328838902</v>
      </c>
      <c r="D266" t="s">
        <v>2511</v>
      </c>
      <c r="E266" t="s">
        <v>2423</v>
      </c>
      <c r="G266" t="s">
        <v>2331</v>
      </c>
      <c r="H266" t="s">
        <v>2332</v>
      </c>
      <c r="I266" t="s">
        <v>2333</v>
      </c>
      <c r="J266" t="s">
        <v>2333</v>
      </c>
      <c r="K266" t="s">
        <v>2334</v>
      </c>
      <c r="L266" t="s">
        <v>2335</v>
      </c>
      <c r="M266" s="43">
        <v>46037.862189722226</v>
      </c>
      <c r="N266" t="s">
        <v>2333</v>
      </c>
      <c r="O266">
        <v>0</v>
      </c>
      <c r="P266">
        <v>1</v>
      </c>
      <c r="Q266" s="43"/>
      <c r="R266" s="43"/>
    </row>
    <row r="267" spans="1:18">
      <c r="A267">
        <v>256525648402</v>
      </c>
      <c r="B267" t="s">
        <v>2307</v>
      </c>
      <c r="C267">
        <v>256525648402</v>
      </c>
      <c r="D267" t="s">
        <v>2307</v>
      </c>
      <c r="E267" t="s">
        <v>2342</v>
      </c>
      <c r="F267" t="s">
        <v>38</v>
      </c>
      <c r="G267" t="s">
        <v>2337</v>
      </c>
      <c r="H267" t="s">
        <v>2332</v>
      </c>
      <c r="I267" t="s">
        <v>2338</v>
      </c>
      <c r="J267" t="s">
        <v>2338</v>
      </c>
      <c r="K267" t="s">
        <v>2334</v>
      </c>
      <c r="L267" t="s">
        <v>2335</v>
      </c>
      <c r="M267" s="43">
        <v>45405.772154525461</v>
      </c>
      <c r="N267" t="s">
        <v>2338</v>
      </c>
      <c r="O267">
        <v>1</v>
      </c>
      <c r="P267">
        <v>1</v>
      </c>
      <c r="Q267" s="43">
        <v>45943.591712696762</v>
      </c>
      <c r="R267" s="43">
        <v>46049.575666736113</v>
      </c>
    </row>
    <row r="268" spans="1:18" hidden="1">
      <c r="A268">
        <v>106892707902</v>
      </c>
      <c r="B268" t="s">
        <v>2302</v>
      </c>
      <c r="C268">
        <v>106892707902</v>
      </c>
      <c r="D268" t="s">
        <v>2302</v>
      </c>
      <c r="E268" t="s">
        <v>2366</v>
      </c>
      <c r="G268" t="s">
        <v>2331</v>
      </c>
      <c r="H268" t="s">
        <v>2332</v>
      </c>
      <c r="I268" t="s">
        <v>2333</v>
      </c>
      <c r="J268" t="s">
        <v>2333</v>
      </c>
      <c r="K268" t="s">
        <v>2334</v>
      </c>
      <c r="L268" t="s">
        <v>2335</v>
      </c>
      <c r="M268" s="43">
        <v>45680.545588622685</v>
      </c>
      <c r="N268" t="s">
        <v>2333</v>
      </c>
      <c r="O268">
        <v>0</v>
      </c>
      <c r="P268">
        <v>1</v>
      </c>
      <c r="Q268" s="43"/>
      <c r="R268" s="43"/>
    </row>
    <row r="269" spans="1:18" hidden="1">
      <c r="A269">
        <v>106892707902</v>
      </c>
      <c r="B269" t="s">
        <v>2302</v>
      </c>
      <c r="C269">
        <v>396461794202</v>
      </c>
      <c r="D269" t="s">
        <v>2512</v>
      </c>
      <c r="E269" t="s">
        <v>2366</v>
      </c>
      <c r="G269" t="s">
        <v>2331</v>
      </c>
      <c r="H269" t="s">
        <v>2332</v>
      </c>
      <c r="I269" t="s">
        <v>2333</v>
      </c>
      <c r="J269" t="s">
        <v>2333</v>
      </c>
      <c r="K269" t="s">
        <v>2334</v>
      </c>
      <c r="L269" t="s">
        <v>2335</v>
      </c>
      <c r="M269" s="43">
        <v>45680.545588622685</v>
      </c>
      <c r="N269" t="s">
        <v>2333</v>
      </c>
      <c r="O269">
        <v>0</v>
      </c>
      <c r="P269">
        <v>0</v>
      </c>
      <c r="Q269" s="43"/>
    </row>
    <row r="270" spans="1:18" hidden="1">
      <c r="A270">
        <v>322177938302</v>
      </c>
      <c r="B270" t="s">
        <v>2288</v>
      </c>
      <c r="C270">
        <v>322177938302</v>
      </c>
      <c r="D270" t="s">
        <v>2288</v>
      </c>
      <c r="E270" t="s">
        <v>2366</v>
      </c>
      <c r="G270" t="s">
        <v>2331</v>
      </c>
      <c r="H270" t="s">
        <v>2332</v>
      </c>
      <c r="I270" t="s">
        <v>2333</v>
      </c>
      <c r="J270" t="s">
        <v>2333</v>
      </c>
      <c r="K270" t="s">
        <v>2334</v>
      </c>
      <c r="L270" t="s">
        <v>2335</v>
      </c>
      <c r="M270" s="43">
        <v>45680.564127349535</v>
      </c>
      <c r="N270" t="s">
        <v>2333</v>
      </c>
      <c r="O270">
        <v>0</v>
      </c>
      <c r="P270">
        <v>1</v>
      </c>
      <c r="Q270" s="43"/>
      <c r="R270" s="43"/>
    </row>
    <row r="271" spans="1:18" hidden="1">
      <c r="A271">
        <v>322177938302</v>
      </c>
      <c r="B271" t="s">
        <v>2288</v>
      </c>
      <c r="C271">
        <v>794862789002</v>
      </c>
      <c r="D271" t="s">
        <v>2513</v>
      </c>
      <c r="E271" t="s">
        <v>2366</v>
      </c>
      <c r="G271" t="s">
        <v>2331</v>
      </c>
      <c r="H271" t="s">
        <v>2332</v>
      </c>
      <c r="I271" t="s">
        <v>2333</v>
      </c>
      <c r="J271" t="s">
        <v>2333</v>
      </c>
      <c r="K271" t="s">
        <v>2334</v>
      </c>
      <c r="L271" t="s">
        <v>2335</v>
      </c>
      <c r="M271" s="43">
        <v>45680.564127349535</v>
      </c>
      <c r="N271" t="s">
        <v>2333</v>
      </c>
      <c r="O271">
        <v>0</v>
      </c>
      <c r="P271">
        <v>0</v>
      </c>
      <c r="Q271" s="43"/>
      <c r="R271" s="43"/>
    </row>
    <row r="272" spans="1:18" hidden="1">
      <c r="A272">
        <v>572185491502</v>
      </c>
      <c r="B272" t="s">
        <v>2514</v>
      </c>
      <c r="C272">
        <v>572185491502</v>
      </c>
      <c r="D272" t="s">
        <v>2514</v>
      </c>
      <c r="E272" t="s">
        <v>2344</v>
      </c>
      <c r="F272" t="s">
        <v>37</v>
      </c>
      <c r="G272" t="s">
        <v>2337</v>
      </c>
      <c r="H272" t="s">
        <v>2332</v>
      </c>
      <c r="I272" t="s">
        <v>2338</v>
      </c>
      <c r="J272" t="s">
        <v>2338</v>
      </c>
      <c r="K272" t="s">
        <v>2334</v>
      </c>
      <c r="L272" t="s">
        <v>2335</v>
      </c>
      <c r="M272" s="43">
        <v>46042.870179432874</v>
      </c>
      <c r="N272" t="s">
        <v>2338</v>
      </c>
      <c r="O272">
        <v>1</v>
      </c>
      <c r="P272">
        <v>1</v>
      </c>
      <c r="Q272" s="43">
        <v>46052.772278194447</v>
      </c>
      <c r="R272" s="43">
        <v>46059.847657569444</v>
      </c>
    </row>
    <row r="273" spans="1:18" hidden="1">
      <c r="A273">
        <v>985914499902</v>
      </c>
      <c r="B273" t="s">
        <v>2515</v>
      </c>
      <c r="C273">
        <v>758373730902</v>
      </c>
      <c r="D273" t="s">
        <v>2516</v>
      </c>
      <c r="E273" t="s">
        <v>2351</v>
      </c>
      <c r="F273" t="s">
        <v>37</v>
      </c>
      <c r="G273" t="s">
        <v>2337</v>
      </c>
      <c r="H273" t="s">
        <v>2332</v>
      </c>
      <c r="I273" t="s">
        <v>2338</v>
      </c>
      <c r="J273" t="s">
        <v>2338</v>
      </c>
      <c r="K273" t="s">
        <v>2334</v>
      </c>
      <c r="L273" t="s">
        <v>2335</v>
      </c>
      <c r="M273" s="43">
        <v>46020.894459456016</v>
      </c>
      <c r="N273" t="s">
        <v>2338</v>
      </c>
      <c r="O273">
        <v>0</v>
      </c>
      <c r="P273">
        <v>1</v>
      </c>
      <c r="Q273" s="43">
        <v>46036.579116840279</v>
      </c>
      <c r="R273" s="43">
        <v>46044.729537013889</v>
      </c>
    </row>
    <row r="274" spans="1:18" hidden="1">
      <c r="A274">
        <v>985914499902</v>
      </c>
      <c r="B274" t="s">
        <v>2515</v>
      </c>
      <c r="C274">
        <v>985914499902</v>
      </c>
      <c r="D274" t="s">
        <v>2515</v>
      </c>
      <c r="E274" t="s">
        <v>2351</v>
      </c>
      <c r="F274" t="s">
        <v>37</v>
      </c>
      <c r="G274" t="s">
        <v>2337</v>
      </c>
      <c r="H274" t="s">
        <v>2332</v>
      </c>
      <c r="I274" t="s">
        <v>2338</v>
      </c>
      <c r="J274" t="s">
        <v>2338</v>
      </c>
      <c r="K274" t="s">
        <v>2334</v>
      </c>
      <c r="L274" t="s">
        <v>2335</v>
      </c>
      <c r="M274" s="43">
        <v>46020.894459456016</v>
      </c>
      <c r="N274" t="s">
        <v>2338</v>
      </c>
      <c r="O274">
        <v>1</v>
      </c>
      <c r="P274">
        <v>0</v>
      </c>
      <c r="Q274" s="43">
        <v>46030.631660208332</v>
      </c>
      <c r="R274" s="43">
        <v>46044.729537013889</v>
      </c>
    </row>
    <row r="275" spans="1:18" hidden="1">
      <c r="A275">
        <v>230755558102</v>
      </c>
      <c r="B275" t="s">
        <v>2297</v>
      </c>
      <c r="C275">
        <v>26789844502</v>
      </c>
      <c r="D275" t="s">
        <v>2517</v>
      </c>
      <c r="E275" t="s">
        <v>2355</v>
      </c>
      <c r="F275" t="s">
        <v>36</v>
      </c>
      <c r="G275" t="s">
        <v>2337</v>
      </c>
      <c r="H275" t="s">
        <v>2332</v>
      </c>
      <c r="I275" t="s">
        <v>2338</v>
      </c>
      <c r="J275" t="s">
        <v>2338</v>
      </c>
      <c r="K275" t="s">
        <v>2334</v>
      </c>
      <c r="L275" t="s">
        <v>2335</v>
      </c>
      <c r="M275" s="43">
        <v>45684.683279606485</v>
      </c>
      <c r="N275" t="s">
        <v>2338</v>
      </c>
      <c r="O275">
        <v>1</v>
      </c>
      <c r="P275">
        <v>1</v>
      </c>
      <c r="Q275" s="43">
        <v>45943.591707824075</v>
      </c>
      <c r="R275" s="43">
        <v>46030.545039652781</v>
      </c>
    </row>
    <row r="276" spans="1:18" hidden="1">
      <c r="A276">
        <v>230755558102</v>
      </c>
      <c r="B276" t="s">
        <v>2297</v>
      </c>
      <c r="C276">
        <v>230755558102</v>
      </c>
      <c r="D276" t="s">
        <v>2297</v>
      </c>
      <c r="E276" t="s">
        <v>2355</v>
      </c>
      <c r="F276" t="s">
        <v>36</v>
      </c>
      <c r="G276" t="s">
        <v>2337</v>
      </c>
      <c r="H276" t="s">
        <v>2332</v>
      </c>
      <c r="I276" t="s">
        <v>2338</v>
      </c>
      <c r="J276" t="s">
        <v>2338</v>
      </c>
      <c r="K276" t="s">
        <v>2334</v>
      </c>
      <c r="L276" t="s">
        <v>2335</v>
      </c>
      <c r="M276" s="43">
        <v>45684.683279606485</v>
      </c>
      <c r="N276" t="s">
        <v>2338</v>
      </c>
      <c r="O276">
        <v>0</v>
      </c>
      <c r="P276">
        <v>0</v>
      </c>
      <c r="Q276" s="43">
        <v>45943.59171212963</v>
      </c>
      <c r="R276" s="43">
        <v>46030.545039652781</v>
      </c>
    </row>
    <row r="277" spans="1:18" hidden="1">
      <c r="A277">
        <v>247227556102</v>
      </c>
      <c r="B277" t="s">
        <v>270</v>
      </c>
      <c r="C277">
        <v>247227556102</v>
      </c>
      <c r="D277" t="s">
        <v>270</v>
      </c>
      <c r="E277" t="s">
        <v>2353</v>
      </c>
      <c r="F277" t="s">
        <v>36</v>
      </c>
      <c r="G277" t="s">
        <v>2337</v>
      </c>
      <c r="H277" t="s">
        <v>2332</v>
      </c>
      <c r="I277" t="s">
        <v>2338</v>
      </c>
      <c r="J277" t="s">
        <v>2338</v>
      </c>
      <c r="K277" t="s">
        <v>2334</v>
      </c>
      <c r="L277" t="s">
        <v>2335</v>
      </c>
      <c r="M277" s="43">
        <v>45148.858155069443</v>
      </c>
      <c r="N277" t="s">
        <v>2338</v>
      </c>
      <c r="O277">
        <v>1</v>
      </c>
      <c r="P277">
        <v>1</v>
      </c>
      <c r="Q277" s="43">
        <v>45845.72412564815</v>
      </c>
      <c r="R277" s="43">
        <v>46030.549643483799</v>
      </c>
    </row>
    <row r="278" spans="1:18" hidden="1">
      <c r="A278">
        <v>247227556102</v>
      </c>
      <c r="B278" t="s">
        <v>270</v>
      </c>
      <c r="C278">
        <v>564320905202</v>
      </c>
      <c r="D278" t="s">
        <v>2518</v>
      </c>
      <c r="E278" t="s">
        <v>2353</v>
      </c>
      <c r="F278" t="s">
        <v>36</v>
      </c>
      <c r="G278" t="s">
        <v>2337</v>
      </c>
      <c r="H278" t="s">
        <v>2332</v>
      </c>
      <c r="I278" t="s">
        <v>2338</v>
      </c>
      <c r="J278" t="s">
        <v>2338</v>
      </c>
      <c r="K278" t="s">
        <v>2334</v>
      </c>
      <c r="L278" t="s">
        <v>2335</v>
      </c>
      <c r="M278" s="43">
        <v>45148.858155069443</v>
      </c>
      <c r="N278" t="s">
        <v>2338</v>
      </c>
      <c r="O278">
        <v>0</v>
      </c>
      <c r="P278">
        <v>0</v>
      </c>
      <c r="Q278" s="43">
        <v>45894.779135891207</v>
      </c>
      <c r="R278" s="43">
        <v>46030.549643483799</v>
      </c>
    </row>
    <row r="279" spans="1:18" hidden="1">
      <c r="A279">
        <v>358205651902</v>
      </c>
      <c r="B279" t="s">
        <v>1408</v>
      </c>
      <c r="C279">
        <v>358205651902</v>
      </c>
      <c r="D279" t="s">
        <v>1408</v>
      </c>
      <c r="E279" t="s">
        <v>2421</v>
      </c>
      <c r="F279" t="s">
        <v>36</v>
      </c>
      <c r="G279" t="s">
        <v>2337</v>
      </c>
      <c r="H279" t="s">
        <v>2332</v>
      </c>
      <c r="I279" t="s">
        <v>2338</v>
      </c>
      <c r="J279" t="s">
        <v>2338</v>
      </c>
      <c r="K279" t="s">
        <v>2334</v>
      </c>
      <c r="L279" t="s">
        <v>2335</v>
      </c>
      <c r="M279" s="43">
        <v>45384.62327394676</v>
      </c>
      <c r="N279" t="s">
        <v>2338</v>
      </c>
      <c r="O279">
        <v>1</v>
      </c>
      <c r="P279">
        <v>1</v>
      </c>
      <c r="Q279" s="43">
        <v>45845.724126030094</v>
      </c>
      <c r="R279" s="43">
        <v>46045.54067652778</v>
      </c>
    </row>
    <row r="280" spans="1:18" hidden="1">
      <c r="A280">
        <v>358205651902</v>
      </c>
      <c r="B280" t="s">
        <v>1408</v>
      </c>
      <c r="C280">
        <v>587254988202</v>
      </c>
      <c r="D280" t="s">
        <v>1411</v>
      </c>
      <c r="E280" t="s">
        <v>2421</v>
      </c>
      <c r="F280" t="s">
        <v>36</v>
      </c>
      <c r="G280" t="s">
        <v>2337</v>
      </c>
      <c r="H280" t="s">
        <v>2332</v>
      </c>
      <c r="I280" t="s">
        <v>2338</v>
      </c>
      <c r="J280" t="s">
        <v>2338</v>
      </c>
      <c r="K280" t="s">
        <v>2334</v>
      </c>
      <c r="L280" t="s">
        <v>2335</v>
      </c>
      <c r="M280" s="43">
        <v>45384.62327394676</v>
      </c>
      <c r="N280" t="s">
        <v>2338</v>
      </c>
      <c r="O280">
        <v>0</v>
      </c>
      <c r="P280">
        <v>0</v>
      </c>
      <c r="Q280" s="43">
        <v>45845.724126134257</v>
      </c>
      <c r="R280" s="43">
        <v>46045.54067652778</v>
      </c>
    </row>
    <row r="281" spans="1:18" hidden="1">
      <c r="A281">
        <v>136831572602</v>
      </c>
      <c r="B281" t="s">
        <v>756</v>
      </c>
      <c r="C281">
        <v>136831572602</v>
      </c>
      <c r="D281" t="s">
        <v>756</v>
      </c>
      <c r="E281" t="s">
        <v>2330</v>
      </c>
      <c r="G281" t="s">
        <v>2331</v>
      </c>
      <c r="H281" t="s">
        <v>2332</v>
      </c>
      <c r="I281" t="s">
        <v>2333</v>
      </c>
      <c r="J281" t="s">
        <v>2333</v>
      </c>
      <c r="K281" t="s">
        <v>2334</v>
      </c>
      <c r="L281" t="s">
        <v>2335</v>
      </c>
      <c r="M281" s="43">
        <v>45643.698007013889</v>
      </c>
      <c r="N281" t="s">
        <v>2333</v>
      </c>
      <c r="O281">
        <v>0</v>
      </c>
      <c r="P281">
        <v>1</v>
      </c>
      <c r="Q281" s="43"/>
      <c r="R281" s="43"/>
    </row>
    <row r="282" spans="1:18">
      <c r="A282">
        <v>124638672202</v>
      </c>
      <c r="B282" t="s">
        <v>1891</v>
      </c>
      <c r="C282">
        <v>124638672202</v>
      </c>
      <c r="D282" t="s">
        <v>1891</v>
      </c>
      <c r="E282" t="s">
        <v>2393</v>
      </c>
      <c r="F282" t="s">
        <v>40</v>
      </c>
      <c r="G282" t="s">
        <v>2337</v>
      </c>
      <c r="H282" t="s">
        <v>2332</v>
      </c>
      <c r="I282" t="s">
        <v>2333</v>
      </c>
      <c r="J282" t="s">
        <v>2338</v>
      </c>
      <c r="K282" t="s">
        <v>2334</v>
      </c>
      <c r="L282" t="s">
        <v>2335</v>
      </c>
      <c r="M282" s="43">
        <v>45691.747110810182</v>
      </c>
      <c r="N282" t="s">
        <v>2338</v>
      </c>
      <c r="O282">
        <v>1</v>
      </c>
      <c r="P282">
        <v>1</v>
      </c>
      <c r="Q282" s="43">
        <v>45943.591716759256</v>
      </c>
      <c r="R282" s="43">
        <v>46051.873662384256</v>
      </c>
    </row>
    <row r="283" spans="1:18" hidden="1">
      <c r="A283">
        <v>307039143202</v>
      </c>
      <c r="B283" t="s">
        <v>1225</v>
      </c>
      <c r="C283">
        <v>307039143202</v>
      </c>
      <c r="D283" t="s">
        <v>1225</v>
      </c>
      <c r="E283" t="s">
        <v>2423</v>
      </c>
      <c r="G283" t="s">
        <v>2331</v>
      </c>
      <c r="H283" t="s">
        <v>2332</v>
      </c>
      <c r="I283" t="s">
        <v>2333</v>
      </c>
      <c r="J283" t="s">
        <v>2333</v>
      </c>
      <c r="K283" t="s">
        <v>2334</v>
      </c>
      <c r="L283" t="s">
        <v>2335</v>
      </c>
      <c r="M283" s="43">
        <v>45320.54686858796</v>
      </c>
      <c r="N283" t="s">
        <v>2333</v>
      </c>
      <c r="O283">
        <v>0</v>
      </c>
      <c r="P283">
        <v>1</v>
      </c>
      <c r="Q283" s="43"/>
      <c r="R283" s="43"/>
    </row>
    <row r="284" spans="1:18">
      <c r="A284">
        <v>307039143202</v>
      </c>
      <c r="B284" t="s">
        <v>1225</v>
      </c>
      <c r="C284">
        <v>836164805402</v>
      </c>
      <c r="D284" t="s">
        <v>2519</v>
      </c>
      <c r="E284" t="s">
        <v>2423</v>
      </c>
      <c r="G284" t="s">
        <v>2331</v>
      </c>
      <c r="H284" t="s">
        <v>2332</v>
      </c>
      <c r="I284" t="s">
        <v>2333</v>
      </c>
      <c r="J284" t="s">
        <v>2333</v>
      </c>
      <c r="K284" t="s">
        <v>2334</v>
      </c>
      <c r="L284" t="s">
        <v>2335</v>
      </c>
      <c r="M284" s="43">
        <v>45320.54686858796</v>
      </c>
      <c r="N284" t="s">
        <v>2333</v>
      </c>
      <c r="O284">
        <v>0</v>
      </c>
      <c r="P284">
        <v>0</v>
      </c>
      <c r="Q284" s="43"/>
      <c r="R284" s="43"/>
    </row>
    <row r="285" spans="1:18" hidden="1">
      <c r="A285">
        <v>16137818802</v>
      </c>
      <c r="B285" t="s">
        <v>1088</v>
      </c>
      <c r="C285">
        <v>16137818802</v>
      </c>
      <c r="D285" t="s">
        <v>1088</v>
      </c>
      <c r="E285" t="s">
        <v>2361</v>
      </c>
      <c r="F285" t="s">
        <v>39</v>
      </c>
      <c r="G285" t="s">
        <v>2337</v>
      </c>
      <c r="H285" t="s">
        <v>2332</v>
      </c>
      <c r="I285" t="s">
        <v>2338</v>
      </c>
      <c r="J285" t="s">
        <v>2338</v>
      </c>
      <c r="K285" t="s">
        <v>2334</v>
      </c>
      <c r="L285" t="s">
        <v>2335</v>
      </c>
      <c r="M285" s="43">
        <v>45287.004077662037</v>
      </c>
      <c r="N285" t="s">
        <v>2338</v>
      </c>
      <c r="O285">
        <v>1</v>
      </c>
      <c r="P285">
        <v>1</v>
      </c>
      <c r="Q285" s="43">
        <v>45845.724122881948</v>
      </c>
      <c r="R285" s="43">
        <v>46051.690346527779</v>
      </c>
    </row>
    <row r="286" spans="1:18" hidden="1">
      <c r="A286">
        <v>124090551902</v>
      </c>
      <c r="B286" t="s">
        <v>1956</v>
      </c>
      <c r="C286">
        <v>124090551902</v>
      </c>
      <c r="D286" t="s">
        <v>1956</v>
      </c>
      <c r="E286" t="s">
        <v>2421</v>
      </c>
      <c r="F286" t="s">
        <v>36</v>
      </c>
      <c r="G286" t="s">
        <v>2337</v>
      </c>
      <c r="H286" t="s">
        <v>2332</v>
      </c>
      <c r="I286" t="s">
        <v>2338</v>
      </c>
      <c r="J286" t="s">
        <v>2338</v>
      </c>
      <c r="K286" t="s">
        <v>2334</v>
      </c>
      <c r="L286" t="s">
        <v>2335</v>
      </c>
      <c r="M286" s="43">
        <v>45777.865779479165</v>
      </c>
      <c r="N286" t="s">
        <v>2338</v>
      </c>
      <c r="O286">
        <v>1</v>
      </c>
      <c r="P286">
        <v>1</v>
      </c>
      <c r="Q286" s="43">
        <v>45894.779135949073</v>
      </c>
      <c r="R286" s="43">
        <v>46028.523270543985</v>
      </c>
    </row>
    <row r="287" spans="1:18" hidden="1">
      <c r="A287">
        <v>124090551902</v>
      </c>
      <c r="B287" t="s">
        <v>1956</v>
      </c>
      <c r="C287">
        <v>1044965067502</v>
      </c>
      <c r="D287" t="s">
        <v>1959</v>
      </c>
      <c r="E287" t="s">
        <v>2421</v>
      </c>
      <c r="F287" t="s">
        <v>36</v>
      </c>
      <c r="G287" t="s">
        <v>2337</v>
      </c>
      <c r="H287" t="s">
        <v>2332</v>
      </c>
      <c r="I287" t="s">
        <v>2338</v>
      </c>
      <c r="J287" t="s">
        <v>2338</v>
      </c>
      <c r="K287" t="s">
        <v>2334</v>
      </c>
      <c r="L287" t="s">
        <v>2335</v>
      </c>
      <c r="M287" s="43">
        <v>45777.865779479165</v>
      </c>
      <c r="N287" t="s">
        <v>2338</v>
      </c>
      <c r="O287">
        <v>0</v>
      </c>
      <c r="P287">
        <v>0</v>
      </c>
      <c r="Q287" s="43">
        <v>45894.779136354169</v>
      </c>
      <c r="R287" s="43">
        <v>46028.523270543985</v>
      </c>
    </row>
    <row r="288" spans="1:18" hidden="1">
      <c r="A288">
        <v>124090551902</v>
      </c>
      <c r="B288" t="s">
        <v>1956</v>
      </c>
      <c r="C288">
        <v>1146317442802</v>
      </c>
      <c r="D288" t="s">
        <v>2520</v>
      </c>
      <c r="E288" t="s">
        <v>2421</v>
      </c>
      <c r="F288" t="s">
        <v>36</v>
      </c>
      <c r="G288" t="s">
        <v>2337</v>
      </c>
      <c r="H288" t="s">
        <v>2332</v>
      </c>
      <c r="I288" t="s">
        <v>2338</v>
      </c>
      <c r="J288" t="s">
        <v>2338</v>
      </c>
      <c r="K288" t="s">
        <v>2334</v>
      </c>
      <c r="L288" t="s">
        <v>2335</v>
      </c>
      <c r="M288" s="43">
        <v>45777.865779479165</v>
      </c>
      <c r="N288" t="s">
        <v>2338</v>
      </c>
      <c r="O288">
        <v>0</v>
      </c>
      <c r="P288">
        <v>0</v>
      </c>
      <c r="Q288" s="43">
        <v>46057.736323229168</v>
      </c>
      <c r="R288" s="43">
        <v>46028.523270543985</v>
      </c>
    </row>
    <row r="289" spans="1:18" hidden="1">
      <c r="A289">
        <v>128174680202</v>
      </c>
      <c r="B289" t="s">
        <v>978</v>
      </c>
      <c r="C289">
        <v>128174680202</v>
      </c>
      <c r="D289" t="s">
        <v>978</v>
      </c>
      <c r="E289" t="s">
        <v>2393</v>
      </c>
      <c r="F289" t="s">
        <v>40</v>
      </c>
      <c r="G289" t="s">
        <v>2337</v>
      </c>
      <c r="H289" t="s">
        <v>2332</v>
      </c>
      <c r="I289" t="s">
        <v>2338</v>
      </c>
      <c r="J289" t="s">
        <v>2338</v>
      </c>
      <c r="K289" t="s">
        <v>2334</v>
      </c>
      <c r="L289" t="s">
        <v>2335</v>
      </c>
      <c r="M289" s="43">
        <v>45223.106359143516</v>
      </c>
      <c r="N289" t="s">
        <v>2338</v>
      </c>
      <c r="O289">
        <v>1</v>
      </c>
      <c r="P289">
        <v>1</v>
      </c>
      <c r="Q289" s="43">
        <v>45943.591702418984</v>
      </c>
      <c r="R289" s="43">
        <v>46042.679114652776</v>
      </c>
    </row>
    <row r="290" spans="1:18" hidden="1">
      <c r="A290">
        <v>128174680202</v>
      </c>
      <c r="B290" t="s">
        <v>978</v>
      </c>
      <c r="C290">
        <v>619541081802</v>
      </c>
      <c r="D290" t="s">
        <v>2521</v>
      </c>
      <c r="E290" t="s">
        <v>2393</v>
      </c>
      <c r="F290" t="s">
        <v>40</v>
      </c>
      <c r="G290" t="s">
        <v>2337</v>
      </c>
      <c r="H290" t="s">
        <v>2332</v>
      </c>
      <c r="I290" t="s">
        <v>2338</v>
      </c>
      <c r="J290" t="s">
        <v>2338</v>
      </c>
      <c r="K290" t="s">
        <v>2334</v>
      </c>
      <c r="L290" t="s">
        <v>2335</v>
      </c>
      <c r="M290" s="43">
        <v>45223.106359143516</v>
      </c>
      <c r="N290" t="s">
        <v>2338</v>
      </c>
      <c r="O290">
        <v>0</v>
      </c>
      <c r="P290">
        <v>0</v>
      </c>
      <c r="Q290" s="43">
        <v>45943.591718807867</v>
      </c>
      <c r="R290" s="43">
        <v>46042.679114652776</v>
      </c>
    </row>
    <row r="291" spans="1:18" hidden="1">
      <c r="A291">
        <v>128174680202</v>
      </c>
      <c r="B291" t="s">
        <v>978</v>
      </c>
      <c r="C291">
        <v>927560299202</v>
      </c>
      <c r="D291" t="s">
        <v>2522</v>
      </c>
      <c r="E291" t="s">
        <v>2393</v>
      </c>
      <c r="F291" t="s">
        <v>40</v>
      </c>
      <c r="G291" t="s">
        <v>2337</v>
      </c>
      <c r="H291" t="s">
        <v>2332</v>
      </c>
      <c r="I291" t="s">
        <v>2338</v>
      </c>
      <c r="J291" t="s">
        <v>2338</v>
      </c>
      <c r="K291" t="s">
        <v>2334</v>
      </c>
      <c r="L291" t="s">
        <v>2335</v>
      </c>
      <c r="M291" s="43">
        <v>45223.106359143516</v>
      </c>
      <c r="N291" t="s">
        <v>2338</v>
      </c>
      <c r="O291">
        <v>0</v>
      </c>
      <c r="P291">
        <v>0</v>
      </c>
      <c r="Q291" s="43">
        <v>45943.591712453701</v>
      </c>
      <c r="R291" s="43">
        <v>46042.679114652776</v>
      </c>
    </row>
    <row r="292" spans="1:18" hidden="1">
      <c r="A292">
        <v>704737347202</v>
      </c>
      <c r="B292" t="s">
        <v>2280</v>
      </c>
      <c r="C292">
        <v>542692133702</v>
      </c>
      <c r="D292" t="s">
        <v>2523</v>
      </c>
      <c r="E292" t="s">
        <v>2353</v>
      </c>
      <c r="F292" t="s">
        <v>39</v>
      </c>
      <c r="G292" t="s">
        <v>2337</v>
      </c>
      <c r="H292" t="s">
        <v>2332</v>
      </c>
      <c r="I292" t="s">
        <v>2333</v>
      </c>
      <c r="J292" t="s">
        <v>2333</v>
      </c>
      <c r="K292" t="s">
        <v>2334</v>
      </c>
      <c r="L292" t="s">
        <v>2524</v>
      </c>
      <c r="M292" s="43">
        <v>46059.540393194446</v>
      </c>
      <c r="N292" t="s">
        <v>2333</v>
      </c>
      <c r="O292">
        <v>0</v>
      </c>
      <c r="P292">
        <v>1</v>
      </c>
      <c r="Q292" s="43">
        <v>45943.591727511572</v>
      </c>
      <c r="R292" s="43"/>
    </row>
    <row r="293" spans="1:18" hidden="1">
      <c r="A293">
        <v>704737347202</v>
      </c>
      <c r="B293" t="s">
        <v>2280</v>
      </c>
      <c r="C293">
        <v>704737347202</v>
      </c>
      <c r="D293" t="s">
        <v>2280</v>
      </c>
      <c r="E293" t="s">
        <v>2353</v>
      </c>
      <c r="F293" t="s">
        <v>39</v>
      </c>
      <c r="G293" t="s">
        <v>2337</v>
      </c>
      <c r="H293" t="s">
        <v>2332</v>
      </c>
      <c r="I293" t="s">
        <v>2333</v>
      </c>
      <c r="J293" t="s">
        <v>2333</v>
      </c>
      <c r="K293" t="s">
        <v>2334</v>
      </c>
      <c r="L293" t="s">
        <v>2524</v>
      </c>
      <c r="M293" s="43">
        <v>46059.540393194446</v>
      </c>
      <c r="N293" t="s">
        <v>2333</v>
      </c>
      <c r="O293">
        <v>1</v>
      </c>
      <c r="P293">
        <v>0</v>
      </c>
      <c r="Q293" s="43">
        <v>45862.505291307869</v>
      </c>
      <c r="R293" s="43"/>
    </row>
    <row r="294" spans="1:18" hidden="1">
      <c r="A294">
        <v>119969424302</v>
      </c>
      <c r="B294" t="s">
        <v>2525</v>
      </c>
      <c r="C294">
        <v>119969424302</v>
      </c>
      <c r="D294" t="s">
        <v>2525</v>
      </c>
      <c r="E294" t="s">
        <v>2421</v>
      </c>
      <c r="F294" t="s">
        <v>36</v>
      </c>
      <c r="G294" t="s">
        <v>2337</v>
      </c>
      <c r="H294" t="s">
        <v>2332</v>
      </c>
      <c r="I294" t="s">
        <v>2338</v>
      </c>
      <c r="J294" t="s">
        <v>2338</v>
      </c>
      <c r="K294" t="s">
        <v>2334</v>
      </c>
      <c r="L294" t="s">
        <v>2335</v>
      </c>
      <c r="M294" s="43">
        <v>46017.746207129632</v>
      </c>
      <c r="N294" t="s">
        <v>2338</v>
      </c>
      <c r="O294">
        <v>1</v>
      </c>
      <c r="P294">
        <v>1</v>
      </c>
      <c r="Q294" s="43">
        <v>46031.763598506943</v>
      </c>
      <c r="R294" s="43">
        <v>46036.924482233793</v>
      </c>
    </row>
    <row r="295" spans="1:18">
      <c r="A295">
        <v>475112640202</v>
      </c>
      <c r="B295" t="s">
        <v>884</v>
      </c>
      <c r="C295">
        <v>475112640202</v>
      </c>
      <c r="D295" t="s">
        <v>884</v>
      </c>
      <c r="E295" t="s">
        <v>2393</v>
      </c>
      <c r="F295" t="s">
        <v>40</v>
      </c>
      <c r="G295" t="s">
        <v>2337</v>
      </c>
      <c r="H295" t="s">
        <v>2332</v>
      </c>
      <c r="I295" t="s">
        <v>2338</v>
      </c>
      <c r="J295" t="s">
        <v>2338</v>
      </c>
      <c r="K295" t="s">
        <v>2334</v>
      </c>
      <c r="L295" t="s">
        <v>2335</v>
      </c>
      <c r="M295" s="43">
        <v>45519.844381226852</v>
      </c>
      <c r="N295" t="s">
        <v>2338</v>
      </c>
      <c r="O295">
        <v>1</v>
      </c>
      <c r="P295">
        <v>1</v>
      </c>
      <c r="Q295" s="43">
        <v>45845.724123564818</v>
      </c>
      <c r="R295" s="43">
        <v>46062.599336307867</v>
      </c>
    </row>
    <row r="296" spans="1:18" hidden="1">
      <c r="A296">
        <v>475112640202</v>
      </c>
      <c r="B296" t="s">
        <v>884</v>
      </c>
      <c r="C296">
        <v>1148060426102</v>
      </c>
      <c r="D296" t="s">
        <v>2526</v>
      </c>
      <c r="E296" t="s">
        <v>2393</v>
      </c>
      <c r="F296" t="s">
        <v>40</v>
      </c>
      <c r="G296" t="s">
        <v>2337</v>
      </c>
      <c r="H296" t="s">
        <v>2332</v>
      </c>
      <c r="I296" t="s">
        <v>2333</v>
      </c>
      <c r="J296" t="s">
        <v>2338</v>
      </c>
      <c r="K296" t="s">
        <v>2334</v>
      </c>
      <c r="L296" t="s">
        <v>2335</v>
      </c>
      <c r="M296" s="43">
        <v>45519.844381226852</v>
      </c>
      <c r="N296" t="s">
        <v>2338</v>
      </c>
      <c r="O296">
        <v>0</v>
      </c>
      <c r="P296">
        <v>0</v>
      </c>
      <c r="Q296" s="43">
        <v>46050.81604568287</v>
      </c>
      <c r="R296" s="43">
        <v>46062.599336307867</v>
      </c>
    </row>
    <row r="297" spans="1:18" hidden="1">
      <c r="A297">
        <v>377459760802</v>
      </c>
      <c r="B297" t="s">
        <v>2027</v>
      </c>
      <c r="C297">
        <v>377459760802</v>
      </c>
      <c r="D297" t="s">
        <v>2027</v>
      </c>
      <c r="E297" t="s">
        <v>2369</v>
      </c>
      <c r="G297" t="s">
        <v>2331</v>
      </c>
      <c r="H297" t="s">
        <v>2332</v>
      </c>
      <c r="I297" t="s">
        <v>2333</v>
      </c>
      <c r="J297" t="s">
        <v>2333</v>
      </c>
      <c r="K297" t="s">
        <v>2334</v>
      </c>
      <c r="L297" t="s">
        <v>2335</v>
      </c>
      <c r="M297" s="43">
        <v>45176.939470694444</v>
      </c>
      <c r="N297" t="s">
        <v>2333</v>
      </c>
      <c r="O297">
        <v>0</v>
      </c>
      <c r="P297">
        <v>1</v>
      </c>
      <c r="Q297" s="43"/>
      <c r="R297" s="43"/>
    </row>
    <row r="298" spans="1:18" hidden="1">
      <c r="A298">
        <v>24383333802</v>
      </c>
      <c r="B298" t="s">
        <v>1342</v>
      </c>
      <c r="C298">
        <v>24383333802</v>
      </c>
      <c r="D298" t="s">
        <v>1342</v>
      </c>
      <c r="E298" t="s">
        <v>2408</v>
      </c>
      <c r="F298" t="s">
        <v>39</v>
      </c>
      <c r="G298" t="s">
        <v>2337</v>
      </c>
      <c r="H298" t="s">
        <v>2332</v>
      </c>
      <c r="I298" t="s">
        <v>2338</v>
      </c>
      <c r="J298" t="s">
        <v>2338</v>
      </c>
      <c r="K298" t="s">
        <v>2334</v>
      </c>
      <c r="L298" t="s">
        <v>2335</v>
      </c>
      <c r="M298" s="43">
        <v>45657.903730636572</v>
      </c>
      <c r="N298" t="s">
        <v>2338</v>
      </c>
      <c r="O298">
        <v>1</v>
      </c>
      <c r="P298">
        <v>1</v>
      </c>
      <c r="Q298" s="43">
        <v>45845.724123425927</v>
      </c>
      <c r="R298" s="43"/>
    </row>
    <row r="299" spans="1:18">
      <c r="A299">
        <v>60238888002</v>
      </c>
      <c r="B299" t="s">
        <v>1024</v>
      </c>
      <c r="C299">
        <v>60238888002</v>
      </c>
      <c r="D299" t="s">
        <v>1024</v>
      </c>
      <c r="E299" t="s">
        <v>2355</v>
      </c>
      <c r="F299" t="s">
        <v>36</v>
      </c>
      <c r="G299" t="s">
        <v>2337</v>
      </c>
      <c r="H299" t="s">
        <v>2332</v>
      </c>
      <c r="I299" t="s">
        <v>2338</v>
      </c>
      <c r="J299" t="s">
        <v>2338</v>
      </c>
      <c r="K299" t="s">
        <v>2334</v>
      </c>
      <c r="L299" t="s">
        <v>2335</v>
      </c>
      <c r="M299" s="43">
        <v>45328.735305868053</v>
      </c>
      <c r="N299" t="s">
        <v>2338</v>
      </c>
      <c r="O299">
        <v>1</v>
      </c>
      <c r="P299">
        <v>1</v>
      </c>
      <c r="Q299" s="43">
        <v>45882.831885694446</v>
      </c>
      <c r="R299" s="43">
        <v>46030.611188090275</v>
      </c>
    </row>
    <row r="300" spans="1:18">
      <c r="A300">
        <v>60238888002</v>
      </c>
      <c r="B300" t="s">
        <v>1024</v>
      </c>
      <c r="C300">
        <v>711020215702</v>
      </c>
      <c r="D300" t="s">
        <v>2527</v>
      </c>
      <c r="E300" t="s">
        <v>2355</v>
      </c>
      <c r="F300" t="s">
        <v>36</v>
      </c>
      <c r="G300" t="s">
        <v>2337</v>
      </c>
      <c r="H300" t="s">
        <v>2332</v>
      </c>
      <c r="I300" t="s">
        <v>2338</v>
      </c>
      <c r="J300" t="s">
        <v>2338</v>
      </c>
      <c r="K300" t="s">
        <v>2334</v>
      </c>
      <c r="L300" t="s">
        <v>2335</v>
      </c>
      <c r="M300" s="43">
        <v>45328.735305868053</v>
      </c>
      <c r="N300" t="s">
        <v>2338</v>
      </c>
      <c r="O300">
        <v>0</v>
      </c>
      <c r="P300">
        <v>0</v>
      </c>
      <c r="Q300" s="43">
        <v>45894.779135543984</v>
      </c>
      <c r="R300" s="43">
        <v>46030.611188090275</v>
      </c>
    </row>
    <row r="301" spans="1:18">
      <c r="A301">
        <v>92771955402</v>
      </c>
      <c r="B301" t="s">
        <v>645</v>
      </c>
      <c r="C301">
        <v>92771955402</v>
      </c>
      <c r="D301" t="s">
        <v>645</v>
      </c>
      <c r="E301" t="s">
        <v>2336</v>
      </c>
      <c r="F301" t="s">
        <v>39</v>
      </c>
      <c r="G301" t="s">
        <v>2337</v>
      </c>
      <c r="H301" t="s">
        <v>2332</v>
      </c>
      <c r="I301" t="s">
        <v>2338</v>
      </c>
      <c r="J301" t="s">
        <v>2338</v>
      </c>
      <c r="K301" t="s">
        <v>2334</v>
      </c>
      <c r="L301" t="s">
        <v>2335</v>
      </c>
      <c r="M301" s="43">
        <v>45686.153487222226</v>
      </c>
      <c r="N301" t="s">
        <v>2338</v>
      </c>
      <c r="O301">
        <v>1</v>
      </c>
      <c r="P301">
        <v>1</v>
      </c>
      <c r="Q301" s="43">
        <v>45845.724123171298</v>
      </c>
      <c r="R301" s="43"/>
    </row>
    <row r="302" spans="1:18" hidden="1">
      <c r="A302">
        <v>92771955402</v>
      </c>
      <c r="B302" t="s">
        <v>645</v>
      </c>
      <c r="C302">
        <v>902277407302</v>
      </c>
      <c r="D302" t="s">
        <v>648</v>
      </c>
      <c r="E302" t="s">
        <v>2336</v>
      </c>
      <c r="F302" t="s">
        <v>39</v>
      </c>
      <c r="G302" t="s">
        <v>2337</v>
      </c>
      <c r="H302" t="s">
        <v>2332</v>
      </c>
      <c r="I302" t="s">
        <v>2338</v>
      </c>
      <c r="J302" t="s">
        <v>2338</v>
      </c>
      <c r="K302" t="s">
        <v>2334</v>
      </c>
      <c r="L302" t="s">
        <v>2335</v>
      </c>
      <c r="M302" s="43">
        <v>45686.153487222226</v>
      </c>
      <c r="N302" t="s">
        <v>2338</v>
      </c>
      <c r="O302">
        <v>0</v>
      </c>
      <c r="P302">
        <v>0</v>
      </c>
      <c r="Q302" s="43">
        <v>45845.724123472224</v>
      </c>
      <c r="R302" s="43"/>
    </row>
    <row r="303" spans="1:18" hidden="1">
      <c r="A303">
        <v>508996769902</v>
      </c>
      <c r="B303" t="s">
        <v>2193</v>
      </c>
      <c r="C303">
        <v>508996769902</v>
      </c>
      <c r="D303" t="s">
        <v>2193</v>
      </c>
      <c r="E303" t="s">
        <v>2408</v>
      </c>
      <c r="F303" t="s">
        <v>39</v>
      </c>
      <c r="G303" t="s">
        <v>2337</v>
      </c>
      <c r="H303" t="s">
        <v>2332</v>
      </c>
      <c r="I303" t="s">
        <v>2338</v>
      </c>
      <c r="J303" t="s">
        <v>2338</v>
      </c>
      <c r="K303" t="s">
        <v>2334</v>
      </c>
      <c r="L303" t="s">
        <v>2335</v>
      </c>
      <c r="M303" s="43">
        <v>45686.150567349534</v>
      </c>
      <c r="N303" t="s">
        <v>2338</v>
      </c>
      <c r="O303">
        <v>0</v>
      </c>
      <c r="P303">
        <v>1</v>
      </c>
      <c r="Q303" s="43">
        <v>45889.742898344906</v>
      </c>
      <c r="R303" s="43"/>
    </row>
    <row r="304" spans="1:18" hidden="1">
      <c r="A304">
        <v>508996769902</v>
      </c>
      <c r="B304" t="s">
        <v>2193</v>
      </c>
      <c r="C304">
        <v>700698899902</v>
      </c>
      <c r="D304" t="s">
        <v>2528</v>
      </c>
      <c r="E304" t="s">
        <v>2408</v>
      </c>
      <c r="F304" t="s">
        <v>39</v>
      </c>
      <c r="G304" t="s">
        <v>2337</v>
      </c>
      <c r="H304" t="s">
        <v>2332</v>
      </c>
      <c r="I304" t="s">
        <v>2338</v>
      </c>
      <c r="J304" t="s">
        <v>2338</v>
      </c>
      <c r="K304" t="s">
        <v>2334</v>
      </c>
      <c r="L304" t="s">
        <v>2335</v>
      </c>
      <c r="M304" s="43">
        <v>45686.150567349534</v>
      </c>
      <c r="N304" t="s">
        <v>2338</v>
      </c>
      <c r="O304">
        <v>0</v>
      </c>
      <c r="P304">
        <v>0</v>
      </c>
      <c r="Q304" s="43">
        <v>45889.742898090277</v>
      </c>
      <c r="R304" s="43"/>
    </row>
    <row r="305" spans="1:18" hidden="1">
      <c r="A305">
        <v>508996769902</v>
      </c>
      <c r="B305" t="s">
        <v>2193</v>
      </c>
      <c r="C305">
        <v>861076042402</v>
      </c>
      <c r="D305" t="s">
        <v>2196</v>
      </c>
      <c r="E305" t="s">
        <v>2408</v>
      </c>
      <c r="F305" t="s">
        <v>39</v>
      </c>
      <c r="G305" t="s">
        <v>2337</v>
      </c>
      <c r="H305" t="s">
        <v>2332</v>
      </c>
      <c r="I305" t="s">
        <v>2338</v>
      </c>
      <c r="J305" t="s">
        <v>2338</v>
      </c>
      <c r="K305" t="s">
        <v>2334</v>
      </c>
      <c r="L305" t="s">
        <v>2335</v>
      </c>
      <c r="M305" s="43">
        <v>45686.150567349534</v>
      </c>
      <c r="N305" t="s">
        <v>2338</v>
      </c>
      <c r="O305">
        <v>1</v>
      </c>
      <c r="P305">
        <v>0</v>
      </c>
      <c r="Q305" s="43">
        <v>45845.724123460648</v>
      </c>
      <c r="R305" s="43"/>
    </row>
    <row r="306" spans="1:18" hidden="1">
      <c r="A306">
        <v>108483856702</v>
      </c>
      <c r="B306" t="s">
        <v>1316</v>
      </c>
      <c r="C306">
        <v>108483856702</v>
      </c>
      <c r="D306" t="s">
        <v>1316</v>
      </c>
      <c r="E306" t="s">
        <v>2351</v>
      </c>
      <c r="F306" t="s">
        <v>37</v>
      </c>
      <c r="G306" t="s">
        <v>2337</v>
      </c>
      <c r="H306" t="s">
        <v>2332</v>
      </c>
      <c r="I306" t="s">
        <v>2338</v>
      </c>
      <c r="J306" t="s">
        <v>2338</v>
      </c>
      <c r="K306" t="s">
        <v>2334</v>
      </c>
      <c r="L306" t="s">
        <v>2335</v>
      </c>
      <c r="M306" s="43">
        <v>45684.627558472224</v>
      </c>
      <c r="N306" t="s">
        <v>2338</v>
      </c>
      <c r="O306">
        <v>0</v>
      </c>
      <c r="P306">
        <v>1</v>
      </c>
      <c r="Q306" s="43">
        <v>45845.724125335648</v>
      </c>
      <c r="R306" s="43">
        <v>46029.850982291668</v>
      </c>
    </row>
    <row r="307" spans="1:18" hidden="1">
      <c r="A307">
        <v>108483856702</v>
      </c>
      <c r="B307" t="s">
        <v>1316</v>
      </c>
      <c r="C307">
        <v>327981185502</v>
      </c>
      <c r="D307" t="s">
        <v>1319</v>
      </c>
      <c r="E307" t="s">
        <v>2351</v>
      </c>
      <c r="F307" t="s">
        <v>37</v>
      </c>
      <c r="G307" t="s">
        <v>2337</v>
      </c>
      <c r="H307" t="s">
        <v>2332</v>
      </c>
      <c r="I307" t="s">
        <v>2338</v>
      </c>
      <c r="J307" t="s">
        <v>2338</v>
      </c>
      <c r="K307" t="s">
        <v>2334</v>
      </c>
      <c r="L307" t="s">
        <v>2335</v>
      </c>
      <c r="M307" s="43">
        <v>45684.627558472224</v>
      </c>
      <c r="N307" t="s">
        <v>2338</v>
      </c>
      <c r="O307">
        <v>1</v>
      </c>
      <c r="P307">
        <v>0</v>
      </c>
      <c r="Q307" s="43">
        <v>45845.724123032407</v>
      </c>
      <c r="R307" s="43">
        <v>46029.850982291668</v>
      </c>
    </row>
    <row r="308" spans="1:18" hidden="1">
      <c r="A308">
        <v>108483856702</v>
      </c>
      <c r="B308" t="s">
        <v>1316</v>
      </c>
      <c r="C308">
        <v>368602630102</v>
      </c>
      <c r="D308" t="s">
        <v>2529</v>
      </c>
      <c r="E308" t="s">
        <v>2351</v>
      </c>
      <c r="F308" t="s">
        <v>37</v>
      </c>
      <c r="G308" t="s">
        <v>2337</v>
      </c>
      <c r="H308" t="s">
        <v>2332</v>
      </c>
      <c r="I308" t="s">
        <v>2338</v>
      </c>
      <c r="J308" t="s">
        <v>2338</v>
      </c>
      <c r="K308" t="s">
        <v>2334</v>
      </c>
      <c r="L308" t="s">
        <v>2335</v>
      </c>
      <c r="M308" s="43">
        <v>45684.627558472224</v>
      </c>
      <c r="N308" t="s">
        <v>2338</v>
      </c>
      <c r="O308">
        <v>0</v>
      </c>
      <c r="P308">
        <v>0</v>
      </c>
      <c r="Q308" s="43">
        <v>45894.779135752317</v>
      </c>
      <c r="R308" s="43">
        <v>46029.850982291668</v>
      </c>
    </row>
    <row r="309" spans="1:18" hidden="1">
      <c r="A309">
        <v>108483856702</v>
      </c>
      <c r="B309" t="s">
        <v>1316</v>
      </c>
      <c r="C309">
        <v>592383571202</v>
      </c>
      <c r="D309" t="s">
        <v>2530</v>
      </c>
      <c r="E309" t="s">
        <v>2351</v>
      </c>
      <c r="F309" t="s">
        <v>37</v>
      </c>
      <c r="G309" t="s">
        <v>2337</v>
      </c>
      <c r="H309" t="s">
        <v>2332</v>
      </c>
      <c r="I309" t="s">
        <v>2338</v>
      </c>
      <c r="J309" t="s">
        <v>2338</v>
      </c>
      <c r="K309" t="s">
        <v>2334</v>
      </c>
      <c r="L309" t="s">
        <v>2335</v>
      </c>
      <c r="M309" s="43">
        <v>45684.627558472224</v>
      </c>
      <c r="N309" t="s">
        <v>2338</v>
      </c>
      <c r="O309">
        <v>0</v>
      </c>
      <c r="P309">
        <v>0</v>
      </c>
      <c r="Q309" s="43">
        <v>45845.724125995373</v>
      </c>
      <c r="R309" s="43">
        <v>46029.850982291668</v>
      </c>
    </row>
    <row r="310" spans="1:18" hidden="1">
      <c r="A310">
        <v>108483856702</v>
      </c>
      <c r="B310" t="s">
        <v>1316</v>
      </c>
      <c r="C310">
        <v>836748983002</v>
      </c>
      <c r="D310" t="s">
        <v>2531</v>
      </c>
      <c r="E310" t="s">
        <v>2351</v>
      </c>
      <c r="F310" t="s">
        <v>37</v>
      </c>
      <c r="G310" t="s">
        <v>2337</v>
      </c>
      <c r="H310" t="s">
        <v>2332</v>
      </c>
      <c r="I310" t="s">
        <v>2338</v>
      </c>
      <c r="J310" t="s">
        <v>2338</v>
      </c>
      <c r="K310" t="s">
        <v>2334</v>
      </c>
      <c r="L310" t="s">
        <v>2335</v>
      </c>
      <c r="M310" s="43">
        <v>45684.627558472224</v>
      </c>
      <c r="N310" t="s">
        <v>2338</v>
      </c>
      <c r="O310">
        <v>0</v>
      </c>
      <c r="P310">
        <v>0</v>
      </c>
      <c r="Q310" s="43">
        <v>45894.779136331017</v>
      </c>
      <c r="R310" s="43">
        <v>46029.850982291668</v>
      </c>
    </row>
    <row r="311" spans="1:18" hidden="1">
      <c r="A311">
        <v>108483856702</v>
      </c>
      <c r="B311" t="s">
        <v>1316</v>
      </c>
      <c r="C311">
        <v>950152561102</v>
      </c>
      <c r="D311" t="s">
        <v>2532</v>
      </c>
      <c r="E311" t="s">
        <v>2351</v>
      </c>
      <c r="F311" t="s">
        <v>37</v>
      </c>
      <c r="G311" t="s">
        <v>2337</v>
      </c>
      <c r="H311" t="s">
        <v>2332</v>
      </c>
      <c r="I311" t="s">
        <v>2338</v>
      </c>
      <c r="J311" t="s">
        <v>2338</v>
      </c>
      <c r="K311" t="s">
        <v>2334</v>
      </c>
      <c r="L311" t="s">
        <v>2335</v>
      </c>
      <c r="M311" s="43">
        <v>45684.627558472224</v>
      </c>
      <c r="N311" t="s">
        <v>2338</v>
      </c>
      <c r="O311">
        <v>0</v>
      </c>
      <c r="P311">
        <v>0</v>
      </c>
      <c r="Q311" s="43">
        <v>45894.779135543984</v>
      </c>
      <c r="R311" s="43">
        <v>46029.850982291668</v>
      </c>
    </row>
    <row r="312" spans="1:18" hidden="1">
      <c r="A312">
        <v>449549597602</v>
      </c>
      <c r="B312" t="s">
        <v>1726</v>
      </c>
      <c r="C312">
        <v>449549597602</v>
      </c>
      <c r="D312" t="s">
        <v>1726</v>
      </c>
      <c r="E312" t="s">
        <v>2336</v>
      </c>
      <c r="F312" t="s">
        <v>39</v>
      </c>
      <c r="G312" t="s">
        <v>2337</v>
      </c>
      <c r="H312" t="s">
        <v>2332</v>
      </c>
      <c r="I312" t="s">
        <v>2338</v>
      </c>
      <c r="J312" t="s">
        <v>2338</v>
      </c>
      <c r="K312" t="s">
        <v>2334</v>
      </c>
      <c r="L312" t="s">
        <v>2335</v>
      </c>
      <c r="M312" s="43">
        <v>45369.950786053239</v>
      </c>
      <c r="N312" t="s">
        <v>2338</v>
      </c>
      <c r="O312">
        <v>1</v>
      </c>
      <c r="P312">
        <v>1</v>
      </c>
      <c r="Q312" s="43">
        <v>45845.724123310189</v>
      </c>
      <c r="R312" s="43"/>
    </row>
    <row r="313" spans="1:18" hidden="1">
      <c r="A313">
        <v>449549597602</v>
      </c>
      <c r="B313" t="s">
        <v>1726</v>
      </c>
      <c r="C313">
        <v>995775060202</v>
      </c>
      <c r="D313" t="s">
        <v>2533</v>
      </c>
      <c r="E313" t="s">
        <v>2336</v>
      </c>
      <c r="F313" t="s">
        <v>39</v>
      </c>
      <c r="G313" t="s">
        <v>2337</v>
      </c>
      <c r="H313" t="s">
        <v>2332</v>
      </c>
      <c r="I313" t="s">
        <v>2338</v>
      </c>
      <c r="J313" t="s">
        <v>2338</v>
      </c>
      <c r="K313" t="s">
        <v>2334</v>
      </c>
      <c r="L313" t="s">
        <v>2335</v>
      </c>
      <c r="M313" s="43">
        <v>45369.950786053239</v>
      </c>
      <c r="N313" t="s">
        <v>2338</v>
      </c>
      <c r="O313">
        <v>0</v>
      </c>
      <c r="P313">
        <v>0</v>
      </c>
      <c r="Q313" s="43">
        <v>45957.822067118053</v>
      </c>
      <c r="R313" s="43"/>
    </row>
    <row r="314" spans="1:18" hidden="1">
      <c r="A314">
        <v>25248213105</v>
      </c>
      <c r="B314" t="s">
        <v>1611</v>
      </c>
      <c r="C314">
        <v>25248213105</v>
      </c>
      <c r="D314" t="s">
        <v>1611</v>
      </c>
      <c r="E314" t="s">
        <v>2362</v>
      </c>
      <c r="F314" t="s">
        <v>39</v>
      </c>
      <c r="G314" t="s">
        <v>2337</v>
      </c>
      <c r="H314" t="s">
        <v>2332</v>
      </c>
      <c r="I314" t="s">
        <v>2338</v>
      </c>
      <c r="J314" t="s">
        <v>2338</v>
      </c>
      <c r="K314" t="s">
        <v>2334</v>
      </c>
      <c r="L314" t="s">
        <v>2335</v>
      </c>
      <c r="M314" s="43">
        <v>45321.248872939817</v>
      </c>
      <c r="N314" t="s">
        <v>2338</v>
      </c>
      <c r="O314">
        <v>1</v>
      </c>
      <c r="P314">
        <v>1</v>
      </c>
      <c r="Q314" s="43">
        <v>45845.724123391206</v>
      </c>
      <c r="R314" s="43"/>
    </row>
    <row r="315" spans="1:18" hidden="1">
      <c r="A315">
        <v>44765160202</v>
      </c>
      <c r="B315" t="s">
        <v>2304</v>
      </c>
      <c r="C315">
        <v>44765160202</v>
      </c>
      <c r="D315" t="s">
        <v>2304</v>
      </c>
      <c r="E315" t="s">
        <v>2330</v>
      </c>
      <c r="G315" t="s">
        <v>2331</v>
      </c>
      <c r="H315" t="s">
        <v>2332</v>
      </c>
      <c r="I315" t="s">
        <v>2333</v>
      </c>
      <c r="J315" t="s">
        <v>2333</v>
      </c>
      <c r="K315" t="s">
        <v>2334</v>
      </c>
      <c r="L315" t="s">
        <v>2335</v>
      </c>
      <c r="M315" s="43">
        <v>45589.903501921297</v>
      </c>
      <c r="N315" t="s">
        <v>2333</v>
      </c>
      <c r="O315">
        <v>0</v>
      </c>
      <c r="P315">
        <v>1</v>
      </c>
      <c r="Q315" s="43"/>
      <c r="R315" s="43"/>
    </row>
    <row r="316" spans="1:18" hidden="1">
      <c r="A316">
        <v>106288180002</v>
      </c>
      <c r="B316" t="s">
        <v>2232</v>
      </c>
      <c r="C316">
        <v>106288180002</v>
      </c>
      <c r="D316" t="s">
        <v>2232</v>
      </c>
      <c r="E316" t="s">
        <v>2366</v>
      </c>
      <c r="G316" t="s">
        <v>2331</v>
      </c>
      <c r="H316" t="s">
        <v>2332</v>
      </c>
      <c r="I316" t="s">
        <v>2333</v>
      </c>
      <c r="J316" t="s">
        <v>2333</v>
      </c>
      <c r="K316" t="s">
        <v>2334</v>
      </c>
      <c r="L316" t="s">
        <v>2335</v>
      </c>
      <c r="M316" s="43">
        <v>45309.533136030092</v>
      </c>
      <c r="N316" t="s">
        <v>2333</v>
      </c>
      <c r="O316">
        <v>0</v>
      </c>
      <c r="P316">
        <v>1</v>
      </c>
      <c r="Q316" s="43"/>
      <c r="R316" s="43"/>
    </row>
    <row r="317" spans="1:18" hidden="1">
      <c r="A317">
        <v>1005231704002</v>
      </c>
      <c r="B317" t="s">
        <v>2534</v>
      </c>
      <c r="C317">
        <v>404306596602</v>
      </c>
      <c r="D317" t="s">
        <v>2535</v>
      </c>
      <c r="E317" t="s">
        <v>2378</v>
      </c>
      <c r="F317" t="s">
        <v>36</v>
      </c>
      <c r="G317" t="s">
        <v>2337</v>
      </c>
      <c r="H317" t="s">
        <v>2332</v>
      </c>
      <c r="I317" t="s">
        <v>2338</v>
      </c>
      <c r="J317" t="s">
        <v>2338</v>
      </c>
      <c r="K317" t="s">
        <v>2334</v>
      </c>
      <c r="L317" t="s">
        <v>2335</v>
      </c>
      <c r="M317" s="43">
        <v>46050.803236273146</v>
      </c>
      <c r="N317" t="s">
        <v>2338</v>
      </c>
      <c r="O317">
        <v>0</v>
      </c>
      <c r="P317">
        <v>1</v>
      </c>
      <c r="Q317" s="43">
        <v>46080.785224155094</v>
      </c>
      <c r="R317" s="43">
        <v>46056.593805092591</v>
      </c>
    </row>
    <row r="318" spans="1:18">
      <c r="A318">
        <v>1005231704002</v>
      </c>
      <c r="B318" t="s">
        <v>2534</v>
      </c>
      <c r="C318">
        <v>739547895002</v>
      </c>
      <c r="D318" t="s">
        <v>2536</v>
      </c>
      <c r="E318" t="s">
        <v>2378</v>
      </c>
      <c r="G318" t="s">
        <v>2331</v>
      </c>
      <c r="H318" t="s">
        <v>2332</v>
      </c>
      <c r="I318" t="s">
        <v>2338</v>
      </c>
      <c r="J318" t="s">
        <v>2338</v>
      </c>
      <c r="K318" t="s">
        <v>2334</v>
      </c>
      <c r="L318" t="s">
        <v>2401</v>
      </c>
      <c r="M318" s="43">
        <v>46050.803236273146</v>
      </c>
      <c r="N318" t="s">
        <v>2338</v>
      </c>
      <c r="O318">
        <v>0</v>
      </c>
      <c r="P318">
        <v>0</v>
      </c>
      <c r="Q318" s="43"/>
      <c r="R318" s="43">
        <v>46056.593805092591</v>
      </c>
    </row>
    <row r="319" spans="1:18">
      <c r="A319">
        <v>1005231704002</v>
      </c>
      <c r="B319" t="s">
        <v>2534</v>
      </c>
      <c r="C319">
        <v>1005231704002</v>
      </c>
      <c r="D319" t="s">
        <v>2534</v>
      </c>
      <c r="E319" t="s">
        <v>2378</v>
      </c>
      <c r="F319" t="s">
        <v>39</v>
      </c>
      <c r="G319" t="s">
        <v>2337</v>
      </c>
      <c r="H319" t="s">
        <v>2332</v>
      </c>
      <c r="I319" t="s">
        <v>2338</v>
      </c>
      <c r="J319" t="s">
        <v>2338</v>
      </c>
      <c r="K319" t="s">
        <v>2334</v>
      </c>
      <c r="L319" t="s">
        <v>2335</v>
      </c>
      <c r="M319" s="43">
        <v>46050.803236273146</v>
      </c>
      <c r="N319" t="s">
        <v>2338</v>
      </c>
      <c r="O319">
        <v>1</v>
      </c>
      <c r="P319">
        <v>0</v>
      </c>
      <c r="Q319" s="43">
        <v>46052.772279756944</v>
      </c>
      <c r="R319" s="43">
        <v>46056.593805092591</v>
      </c>
    </row>
    <row r="320" spans="1:18" hidden="1">
      <c r="A320">
        <v>155525090602</v>
      </c>
      <c r="B320" t="s">
        <v>2212</v>
      </c>
      <c r="C320">
        <v>155525090602</v>
      </c>
      <c r="D320" t="s">
        <v>2212</v>
      </c>
      <c r="E320" t="s">
        <v>2353</v>
      </c>
      <c r="F320" t="s">
        <v>36</v>
      </c>
      <c r="G320" t="s">
        <v>2337</v>
      </c>
      <c r="H320" t="s">
        <v>2332</v>
      </c>
      <c r="I320" t="s">
        <v>2338</v>
      </c>
      <c r="J320" t="s">
        <v>2338</v>
      </c>
      <c r="K320" t="s">
        <v>2334</v>
      </c>
      <c r="L320" t="s">
        <v>2335</v>
      </c>
      <c r="M320" s="43">
        <v>45680.538225706019</v>
      </c>
      <c r="N320" t="s">
        <v>2338</v>
      </c>
      <c r="O320">
        <v>1</v>
      </c>
      <c r="P320">
        <v>1</v>
      </c>
      <c r="Q320" s="43">
        <v>45845.724123460648</v>
      </c>
      <c r="R320" s="43">
        <v>46064.668154930558</v>
      </c>
    </row>
    <row r="321" spans="1:18" hidden="1">
      <c r="A321">
        <v>155525090602</v>
      </c>
      <c r="B321" t="s">
        <v>2212</v>
      </c>
      <c r="C321">
        <v>392901953102</v>
      </c>
      <c r="D321" t="s">
        <v>2537</v>
      </c>
      <c r="E321" t="s">
        <v>2353</v>
      </c>
      <c r="F321" t="s">
        <v>36</v>
      </c>
      <c r="G321" t="s">
        <v>2337</v>
      </c>
      <c r="H321" t="s">
        <v>2332</v>
      </c>
      <c r="I321" t="s">
        <v>2338</v>
      </c>
      <c r="J321" t="s">
        <v>2338</v>
      </c>
      <c r="K321" t="s">
        <v>2334</v>
      </c>
      <c r="L321" t="s">
        <v>2335</v>
      </c>
      <c r="M321" s="43">
        <v>45680.538225706019</v>
      </c>
      <c r="N321" t="s">
        <v>2338</v>
      </c>
      <c r="O321">
        <v>0</v>
      </c>
      <c r="P321">
        <v>0</v>
      </c>
      <c r="Q321" s="43">
        <v>45943.591724872684</v>
      </c>
      <c r="R321" s="43">
        <v>46064.668154930558</v>
      </c>
    </row>
    <row r="322" spans="1:18" hidden="1">
      <c r="A322">
        <v>155525090602</v>
      </c>
      <c r="B322" t="s">
        <v>2212</v>
      </c>
      <c r="C322">
        <v>597278873202</v>
      </c>
      <c r="D322" t="s">
        <v>2538</v>
      </c>
      <c r="E322" t="s">
        <v>2353</v>
      </c>
      <c r="F322" t="s">
        <v>36</v>
      </c>
      <c r="G322" t="s">
        <v>2337</v>
      </c>
      <c r="H322" t="s">
        <v>2332</v>
      </c>
      <c r="I322" t="s">
        <v>2338</v>
      </c>
      <c r="J322" t="s">
        <v>2338</v>
      </c>
      <c r="K322" t="s">
        <v>2334</v>
      </c>
      <c r="L322" t="s">
        <v>2335</v>
      </c>
      <c r="M322" s="43">
        <v>45680.538225706019</v>
      </c>
      <c r="N322" t="s">
        <v>2338</v>
      </c>
      <c r="O322">
        <v>0</v>
      </c>
      <c r="P322">
        <v>0</v>
      </c>
      <c r="Q322" s="43">
        <v>45943.591725752318</v>
      </c>
      <c r="R322" s="43">
        <v>46064.668154930558</v>
      </c>
    </row>
    <row r="323" spans="1:18" hidden="1">
      <c r="A323">
        <v>302404890002</v>
      </c>
      <c r="B323" t="s">
        <v>1802</v>
      </c>
      <c r="C323">
        <v>302404890002</v>
      </c>
      <c r="D323" t="s">
        <v>1802</v>
      </c>
      <c r="E323" t="s">
        <v>2363</v>
      </c>
      <c r="F323" t="s">
        <v>40</v>
      </c>
      <c r="G323" t="s">
        <v>2337</v>
      </c>
      <c r="H323" t="s">
        <v>2332</v>
      </c>
      <c r="I323" t="s">
        <v>2338</v>
      </c>
      <c r="J323" t="s">
        <v>2338</v>
      </c>
      <c r="K323" t="s">
        <v>2334</v>
      </c>
      <c r="L323" t="s">
        <v>2335</v>
      </c>
      <c r="M323" s="43">
        <v>46079.834825752318</v>
      </c>
      <c r="N323" t="s">
        <v>2338</v>
      </c>
      <c r="O323">
        <v>1</v>
      </c>
      <c r="P323">
        <v>1</v>
      </c>
      <c r="Q323" s="43">
        <v>46086.559630949072</v>
      </c>
    </row>
    <row r="324" spans="1:18" hidden="1">
      <c r="A324">
        <v>302404890002</v>
      </c>
      <c r="B324" t="s">
        <v>1802</v>
      </c>
      <c r="C324">
        <v>717880984102</v>
      </c>
      <c r="D324" t="s">
        <v>2539</v>
      </c>
      <c r="E324" t="s">
        <v>2363</v>
      </c>
      <c r="F324" t="s">
        <v>40</v>
      </c>
      <c r="G324" t="s">
        <v>2337</v>
      </c>
      <c r="H324" t="s">
        <v>2332</v>
      </c>
      <c r="I324" t="s">
        <v>2338</v>
      </c>
      <c r="J324" t="s">
        <v>2338</v>
      </c>
      <c r="K324" t="s">
        <v>2334</v>
      </c>
      <c r="L324" t="s">
        <v>2335</v>
      </c>
      <c r="M324" s="43">
        <v>46079.834825752318</v>
      </c>
      <c r="N324" t="s">
        <v>2338</v>
      </c>
      <c r="O324">
        <v>0</v>
      </c>
      <c r="P324">
        <v>0</v>
      </c>
      <c r="Q324" s="43">
        <v>46086.559631145836</v>
      </c>
      <c r="R324" s="43"/>
    </row>
    <row r="325" spans="1:18" hidden="1">
      <c r="A325">
        <v>405123129902</v>
      </c>
      <c r="B325" t="s">
        <v>2540</v>
      </c>
      <c r="C325">
        <v>405123129902</v>
      </c>
      <c r="D325" t="s">
        <v>2540</v>
      </c>
      <c r="E325" t="s">
        <v>2393</v>
      </c>
      <c r="F325" t="s">
        <v>40</v>
      </c>
      <c r="G325" t="s">
        <v>2337</v>
      </c>
      <c r="H325" t="s">
        <v>2332</v>
      </c>
      <c r="I325" t="s">
        <v>2338</v>
      </c>
      <c r="J325" t="s">
        <v>2338</v>
      </c>
      <c r="K325" t="s">
        <v>2334</v>
      </c>
      <c r="L325" t="s">
        <v>2335</v>
      </c>
      <c r="M325" s="43">
        <v>46078.71889394676</v>
      </c>
      <c r="N325" t="s">
        <v>2338</v>
      </c>
      <c r="O325">
        <v>1</v>
      </c>
      <c r="P325">
        <v>1</v>
      </c>
      <c r="Q325" s="43">
        <v>46093.692645185183</v>
      </c>
      <c r="R325" s="43"/>
    </row>
    <row r="326" spans="1:18" hidden="1">
      <c r="A326">
        <v>28882816002</v>
      </c>
      <c r="B326" t="s">
        <v>1740</v>
      </c>
      <c r="C326">
        <v>28882816002</v>
      </c>
      <c r="D326" t="s">
        <v>1740</v>
      </c>
      <c r="E326" t="s">
        <v>2378</v>
      </c>
      <c r="G326" t="s">
        <v>2331</v>
      </c>
      <c r="H326" t="s">
        <v>2332</v>
      </c>
      <c r="I326" t="s">
        <v>2333</v>
      </c>
      <c r="J326" t="s">
        <v>2333</v>
      </c>
      <c r="K326" t="s">
        <v>2334</v>
      </c>
      <c r="L326" t="s">
        <v>2335</v>
      </c>
      <c r="M326" s="43">
        <v>45663.729616168981</v>
      </c>
      <c r="N326" t="s">
        <v>2333</v>
      </c>
      <c r="O326">
        <v>0</v>
      </c>
      <c r="P326">
        <v>1</v>
      </c>
      <c r="Q326" s="43"/>
      <c r="R326" s="43"/>
    </row>
    <row r="327" spans="1:18" hidden="1">
      <c r="A327">
        <v>384216553002</v>
      </c>
      <c r="B327" t="s">
        <v>1901</v>
      </c>
      <c r="C327">
        <v>384216553002</v>
      </c>
      <c r="D327" t="s">
        <v>1901</v>
      </c>
      <c r="E327" t="s">
        <v>2363</v>
      </c>
      <c r="F327" t="s">
        <v>40</v>
      </c>
      <c r="G327" t="s">
        <v>2337</v>
      </c>
      <c r="H327" t="s">
        <v>2332</v>
      </c>
      <c r="I327" t="s">
        <v>2338</v>
      </c>
      <c r="J327" t="s">
        <v>2338</v>
      </c>
      <c r="K327" t="s">
        <v>2334</v>
      </c>
      <c r="L327" t="s">
        <v>2335</v>
      </c>
      <c r="M327" s="43">
        <v>46078.923707511574</v>
      </c>
      <c r="N327" t="s">
        <v>2338</v>
      </c>
      <c r="O327">
        <v>1</v>
      </c>
      <c r="P327">
        <v>1</v>
      </c>
      <c r="Q327" s="43">
        <v>46086.559631053242</v>
      </c>
      <c r="R327" s="43"/>
    </row>
    <row r="328" spans="1:18" hidden="1">
      <c r="A328">
        <v>28945506502</v>
      </c>
      <c r="B328" t="s">
        <v>820</v>
      </c>
      <c r="C328">
        <v>28945506502</v>
      </c>
      <c r="D328" t="s">
        <v>820</v>
      </c>
      <c r="E328" t="s">
        <v>2342</v>
      </c>
      <c r="F328" t="s">
        <v>38</v>
      </c>
      <c r="G328" t="s">
        <v>2337</v>
      </c>
      <c r="H328" t="s">
        <v>2332</v>
      </c>
      <c r="I328" t="s">
        <v>2338</v>
      </c>
      <c r="J328" t="s">
        <v>2338</v>
      </c>
      <c r="K328" t="s">
        <v>2334</v>
      </c>
      <c r="L328" t="s">
        <v>2335</v>
      </c>
      <c r="M328" s="43">
        <v>45344.564468576391</v>
      </c>
      <c r="N328" t="s">
        <v>2338</v>
      </c>
      <c r="O328">
        <v>1</v>
      </c>
      <c r="P328">
        <v>1</v>
      </c>
      <c r="Q328" s="43">
        <v>45943.591711284724</v>
      </c>
      <c r="R328" s="43">
        <v>46086.724719108795</v>
      </c>
    </row>
    <row r="329" spans="1:18" hidden="1">
      <c r="A329">
        <v>366327938802</v>
      </c>
      <c r="B329" t="s">
        <v>1985</v>
      </c>
      <c r="C329">
        <v>6127997902</v>
      </c>
      <c r="D329" t="s">
        <v>2541</v>
      </c>
      <c r="E329" t="s">
        <v>2355</v>
      </c>
      <c r="F329" t="s">
        <v>36</v>
      </c>
      <c r="G329" t="s">
        <v>2337</v>
      </c>
      <c r="H329" t="s">
        <v>2332</v>
      </c>
      <c r="I329" t="s">
        <v>2338</v>
      </c>
      <c r="J329" t="s">
        <v>2338</v>
      </c>
      <c r="K329" t="s">
        <v>2334</v>
      </c>
      <c r="L329" t="s">
        <v>2335</v>
      </c>
      <c r="M329" s="43">
        <v>45148.859371643521</v>
      </c>
      <c r="N329" t="s">
        <v>2338</v>
      </c>
      <c r="O329">
        <v>0</v>
      </c>
      <c r="P329">
        <v>1</v>
      </c>
      <c r="Q329" s="43">
        <v>45862.505290925925</v>
      </c>
      <c r="R329" s="43">
        <v>46090.597369074072</v>
      </c>
    </row>
    <row r="330" spans="1:18" hidden="1">
      <c r="A330">
        <v>366327938802</v>
      </c>
      <c r="B330" t="s">
        <v>1985</v>
      </c>
      <c r="C330">
        <v>50247636002</v>
      </c>
      <c r="D330" t="s">
        <v>2542</v>
      </c>
      <c r="E330" t="s">
        <v>2355</v>
      </c>
      <c r="F330" t="s">
        <v>36</v>
      </c>
      <c r="G330" t="s">
        <v>2337</v>
      </c>
      <c r="H330" t="s">
        <v>2332</v>
      </c>
      <c r="I330" t="s">
        <v>2333</v>
      </c>
      <c r="J330" t="s">
        <v>2338</v>
      </c>
      <c r="K330" t="s">
        <v>2334</v>
      </c>
      <c r="L330" t="s">
        <v>2335</v>
      </c>
      <c r="M330" s="43">
        <v>45148.859371643521</v>
      </c>
      <c r="N330" t="s">
        <v>2338</v>
      </c>
      <c r="O330">
        <v>0</v>
      </c>
      <c r="P330">
        <v>0</v>
      </c>
      <c r="Q330" s="43">
        <v>45894.779135949073</v>
      </c>
      <c r="R330" s="43">
        <v>46090.597369074072</v>
      </c>
    </row>
    <row r="331" spans="1:18" hidden="1">
      <c r="A331">
        <v>366327938802</v>
      </c>
      <c r="B331" t="s">
        <v>1985</v>
      </c>
      <c r="C331">
        <v>366327938802</v>
      </c>
      <c r="D331" t="s">
        <v>1985</v>
      </c>
      <c r="E331" t="s">
        <v>2355</v>
      </c>
      <c r="F331" t="s">
        <v>36</v>
      </c>
      <c r="G331" t="s">
        <v>2337</v>
      </c>
      <c r="H331" t="s">
        <v>2332</v>
      </c>
      <c r="I331" t="s">
        <v>2338</v>
      </c>
      <c r="J331" t="s">
        <v>2338</v>
      </c>
      <c r="K331" t="s">
        <v>2334</v>
      </c>
      <c r="L331" t="s">
        <v>2335</v>
      </c>
      <c r="M331" s="43">
        <v>45148.859371643521</v>
      </c>
      <c r="N331" t="s">
        <v>2338</v>
      </c>
      <c r="O331">
        <v>1</v>
      </c>
      <c r="P331">
        <v>0</v>
      </c>
      <c r="Q331" s="43">
        <v>45845.724125439818</v>
      </c>
      <c r="R331" s="43">
        <v>46090.597369074072</v>
      </c>
    </row>
    <row r="332" spans="1:18" hidden="1">
      <c r="A332">
        <v>366327938802</v>
      </c>
      <c r="B332" t="s">
        <v>1985</v>
      </c>
      <c r="C332">
        <v>950421003802</v>
      </c>
      <c r="D332" t="s">
        <v>2543</v>
      </c>
      <c r="E332" t="s">
        <v>2355</v>
      </c>
      <c r="F332" t="s">
        <v>36</v>
      </c>
      <c r="G332" t="s">
        <v>2337</v>
      </c>
      <c r="H332" t="s">
        <v>2332</v>
      </c>
      <c r="I332" t="s">
        <v>2338</v>
      </c>
      <c r="J332" t="s">
        <v>2338</v>
      </c>
      <c r="K332" t="s">
        <v>2334</v>
      </c>
      <c r="L332" t="s">
        <v>2335</v>
      </c>
      <c r="M332" s="43">
        <v>45148.859371643521</v>
      </c>
      <c r="N332" t="s">
        <v>2338</v>
      </c>
      <c r="O332">
        <v>0</v>
      </c>
      <c r="P332">
        <v>0</v>
      </c>
      <c r="Q332" s="43">
        <v>45894.779136168981</v>
      </c>
      <c r="R332" s="43">
        <v>46090.597369074072</v>
      </c>
    </row>
    <row r="333" spans="1:18" hidden="1">
      <c r="A333">
        <v>127737463602</v>
      </c>
      <c r="B333" t="s">
        <v>1066</v>
      </c>
      <c r="C333">
        <v>127737463602</v>
      </c>
      <c r="D333" t="s">
        <v>1066</v>
      </c>
      <c r="E333" t="s">
        <v>2336</v>
      </c>
      <c r="F333" t="s">
        <v>39</v>
      </c>
      <c r="G333" t="s">
        <v>2337</v>
      </c>
      <c r="H333" t="s">
        <v>2332</v>
      </c>
      <c r="I333" t="s">
        <v>2338</v>
      </c>
      <c r="J333" t="s">
        <v>2338</v>
      </c>
      <c r="K333" t="s">
        <v>2334</v>
      </c>
      <c r="L333" t="s">
        <v>2335</v>
      </c>
      <c r="M333" s="43">
        <v>45663.728313391206</v>
      </c>
      <c r="N333" t="s">
        <v>2338</v>
      </c>
      <c r="O333">
        <v>1</v>
      </c>
      <c r="P333">
        <v>1</v>
      </c>
      <c r="Q333" s="43">
        <v>45845.724125312503</v>
      </c>
      <c r="R333" s="43"/>
    </row>
    <row r="334" spans="1:18" hidden="1">
      <c r="A334">
        <v>127737463602</v>
      </c>
      <c r="B334" t="s">
        <v>1066</v>
      </c>
      <c r="C334">
        <v>377220202602</v>
      </c>
      <c r="D334" t="s">
        <v>2544</v>
      </c>
      <c r="E334" t="s">
        <v>2336</v>
      </c>
      <c r="F334" t="s">
        <v>39</v>
      </c>
      <c r="G334" t="s">
        <v>2337</v>
      </c>
      <c r="H334" t="s">
        <v>2332</v>
      </c>
      <c r="I334" t="s">
        <v>2338</v>
      </c>
      <c r="J334" t="s">
        <v>2338</v>
      </c>
      <c r="K334" t="s">
        <v>2334</v>
      </c>
      <c r="L334" t="s">
        <v>2335</v>
      </c>
      <c r="M334" s="43">
        <v>45663.728313391206</v>
      </c>
      <c r="N334" t="s">
        <v>2338</v>
      </c>
      <c r="O334">
        <v>0</v>
      </c>
      <c r="P334">
        <v>0</v>
      </c>
      <c r="Q334" s="43">
        <v>45845.724126203706</v>
      </c>
      <c r="R334" s="43"/>
    </row>
    <row r="335" spans="1:18" hidden="1">
      <c r="A335">
        <v>16898656902</v>
      </c>
      <c r="B335" t="s">
        <v>1078</v>
      </c>
      <c r="C335">
        <v>16898656902</v>
      </c>
      <c r="D335" t="s">
        <v>1078</v>
      </c>
      <c r="E335" t="s">
        <v>2336</v>
      </c>
      <c r="F335" t="s">
        <v>39</v>
      </c>
      <c r="G335" t="s">
        <v>2337</v>
      </c>
      <c r="H335" t="s">
        <v>2332</v>
      </c>
      <c r="I335" t="s">
        <v>2338</v>
      </c>
      <c r="J335" t="s">
        <v>2338</v>
      </c>
      <c r="K335" t="s">
        <v>2334</v>
      </c>
      <c r="L335" t="s">
        <v>2335</v>
      </c>
      <c r="M335" s="43">
        <v>45673.724797048613</v>
      </c>
      <c r="N335" t="s">
        <v>2338</v>
      </c>
      <c r="O335">
        <v>1</v>
      </c>
      <c r="P335">
        <v>1</v>
      </c>
      <c r="Q335" s="43">
        <v>45845.724125879628</v>
      </c>
      <c r="R335" s="43"/>
    </row>
    <row r="336" spans="1:18" hidden="1">
      <c r="A336">
        <v>16898656902</v>
      </c>
      <c r="B336" t="s">
        <v>1078</v>
      </c>
      <c r="C336">
        <v>818862028802</v>
      </c>
      <c r="D336" t="s">
        <v>2545</v>
      </c>
      <c r="E336" t="s">
        <v>2336</v>
      </c>
      <c r="F336" t="s">
        <v>39</v>
      </c>
      <c r="G336" t="s">
        <v>2337</v>
      </c>
      <c r="H336" t="s">
        <v>2332</v>
      </c>
      <c r="I336" t="s">
        <v>2338</v>
      </c>
      <c r="J336" t="s">
        <v>2338</v>
      </c>
      <c r="K336" t="s">
        <v>2334</v>
      </c>
      <c r="L336" t="s">
        <v>2335</v>
      </c>
      <c r="M336" s="43">
        <v>45673.724797048613</v>
      </c>
      <c r="N336" t="s">
        <v>2338</v>
      </c>
      <c r="O336">
        <v>0</v>
      </c>
      <c r="P336">
        <v>0</v>
      </c>
      <c r="Q336" s="43">
        <v>45889.742897928241</v>
      </c>
      <c r="R336" s="43"/>
    </row>
    <row r="337" spans="1:18" hidden="1">
      <c r="A337">
        <v>429663859202</v>
      </c>
      <c r="B337" t="s">
        <v>2289</v>
      </c>
      <c r="C337">
        <v>223179051502</v>
      </c>
      <c r="D337" t="s">
        <v>2546</v>
      </c>
      <c r="E337" t="s">
        <v>2378</v>
      </c>
      <c r="G337" t="s">
        <v>2331</v>
      </c>
      <c r="H337" t="s">
        <v>2332</v>
      </c>
      <c r="I337" t="s">
        <v>2333</v>
      </c>
      <c r="J337" t="s">
        <v>2333</v>
      </c>
      <c r="K337" t="s">
        <v>2334</v>
      </c>
      <c r="L337" t="s">
        <v>2335</v>
      </c>
      <c r="M337" s="43">
        <v>46017.801385231483</v>
      </c>
      <c r="N337" t="s">
        <v>2333</v>
      </c>
      <c r="O337">
        <v>0</v>
      </c>
      <c r="P337">
        <v>1</v>
      </c>
      <c r="Q337" s="43"/>
      <c r="R337" s="43"/>
    </row>
    <row r="338" spans="1:18" hidden="1">
      <c r="A338">
        <v>429663859202</v>
      </c>
      <c r="B338" t="s">
        <v>2289</v>
      </c>
      <c r="C338">
        <v>378434911402</v>
      </c>
      <c r="D338" t="s">
        <v>2547</v>
      </c>
      <c r="E338" t="s">
        <v>2378</v>
      </c>
      <c r="G338" t="s">
        <v>2331</v>
      </c>
      <c r="H338" t="s">
        <v>2332</v>
      </c>
      <c r="I338" t="s">
        <v>2333</v>
      </c>
      <c r="J338" t="s">
        <v>2333</v>
      </c>
      <c r="K338" t="s">
        <v>2334</v>
      </c>
      <c r="L338" t="s">
        <v>2335</v>
      </c>
      <c r="M338" s="43">
        <v>46017.801385231483</v>
      </c>
      <c r="N338" t="s">
        <v>2333</v>
      </c>
      <c r="O338">
        <v>0</v>
      </c>
      <c r="P338">
        <v>0</v>
      </c>
      <c r="Q338" s="43"/>
      <c r="R338" s="43"/>
    </row>
    <row r="339" spans="1:18" hidden="1">
      <c r="A339">
        <v>429663859202</v>
      </c>
      <c r="B339" t="s">
        <v>2289</v>
      </c>
      <c r="C339">
        <v>429663859202</v>
      </c>
      <c r="D339" t="s">
        <v>2289</v>
      </c>
      <c r="E339" t="s">
        <v>2378</v>
      </c>
      <c r="G339" t="s">
        <v>2331</v>
      </c>
      <c r="H339" t="s">
        <v>2332</v>
      </c>
      <c r="I339" t="s">
        <v>2333</v>
      </c>
      <c r="J339" t="s">
        <v>2333</v>
      </c>
      <c r="K339" t="s">
        <v>2334</v>
      </c>
      <c r="L339" t="s">
        <v>2335</v>
      </c>
      <c r="M339" s="43">
        <v>46017.801385231483</v>
      </c>
      <c r="N339" t="s">
        <v>2333</v>
      </c>
      <c r="O339">
        <v>0</v>
      </c>
      <c r="P339">
        <v>0</v>
      </c>
      <c r="Q339" s="43"/>
      <c r="R339" s="43"/>
    </row>
    <row r="340" spans="1:18" hidden="1">
      <c r="A340">
        <v>429663859202</v>
      </c>
      <c r="B340" t="s">
        <v>2289</v>
      </c>
      <c r="C340">
        <v>695818328202</v>
      </c>
      <c r="D340" t="s">
        <v>2548</v>
      </c>
      <c r="E340" t="s">
        <v>2378</v>
      </c>
      <c r="G340" t="s">
        <v>2331</v>
      </c>
      <c r="H340" t="s">
        <v>2332</v>
      </c>
      <c r="I340" t="s">
        <v>2333</v>
      </c>
      <c r="J340" t="s">
        <v>2333</v>
      </c>
      <c r="K340" t="s">
        <v>2334</v>
      </c>
      <c r="L340" t="s">
        <v>2335</v>
      </c>
      <c r="M340" s="43">
        <v>46017.801385231483</v>
      </c>
      <c r="N340" t="s">
        <v>2333</v>
      </c>
      <c r="O340">
        <v>0</v>
      </c>
      <c r="P340">
        <v>0</v>
      </c>
      <c r="Q340" s="43"/>
      <c r="R340" s="43"/>
    </row>
    <row r="341" spans="1:18" hidden="1">
      <c r="A341">
        <v>475342556402</v>
      </c>
      <c r="B341" t="s">
        <v>1415</v>
      </c>
      <c r="C341">
        <v>409594534402</v>
      </c>
      <c r="D341" t="s">
        <v>2549</v>
      </c>
      <c r="E341" t="s">
        <v>2379</v>
      </c>
      <c r="F341" t="s">
        <v>38</v>
      </c>
      <c r="G341" t="s">
        <v>2337</v>
      </c>
      <c r="H341" t="s">
        <v>2332</v>
      </c>
      <c r="I341" t="s">
        <v>2338</v>
      </c>
      <c r="J341" t="s">
        <v>2338</v>
      </c>
      <c r="K341" t="s">
        <v>2400</v>
      </c>
      <c r="L341" t="s">
        <v>2335</v>
      </c>
      <c r="M341" s="43">
        <v>45308.865860787038</v>
      </c>
      <c r="N341" t="s">
        <v>2338</v>
      </c>
      <c r="O341">
        <v>0</v>
      </c>
      <c r="P341">
        <v>1</v>
      </c>
      <c r="Q341" s="43">
        <v>45943.591708958331</v>
      </c>
      <c r="R341" s="43">
        <v>46049.700222928244</v>
      </c>
    </row>
    <row r="342" spans="1:18" hidden="1">
      <c r="A342">
        <v>475342556402</v>
      </c>
      <c r="B342" t="s">
        <v>1415</v>
      </c>
      <c r="C342">
        <v>475342556402</v>
      </c>
      <c r="D342" t="s">
        <v>1415</v>
      </c>
      <c r="E342" t="s">
        <v>2379</v>
      </c>
      <c r="F342" t="s">
        <v>38</v>
      </c>
      <c r="G342" t="s">
        <v>2337</v>
      </c>
      <c r="H342" t="s">
        <v>2332</v>
      </c>
      <c r="I342" t="s">
        <v>2338</v>
      </c>
      <c r="J342" t="s">
        <v>2338</v>
      </c>
      <c r="K342" t="s">
        <v>2400</v>
      </c>
      <c r="L342" t="s">
        <v>2335</v>
      </c>
      <c r="M342" s="43">
        <v>45308.865860787038</v>
      </c>
      <c r="N342" t="s">
        <v>2338</v>
      </c>
      <c r="O342">
        <v>0</v>
      </c>
      <c r="P342">
        <v>0</v>
      </c>
      <c r="Q342" s="43">
        <v>45943.591709837965</v>
      </c>
      <c r="R342" s="43">
        <v>46049.700222928244</v>
      </c>
    </row>
    <row r="343" spans="1:18" hidden="1">
      <c r="A343">
        <v>475342556402</v>
      </c>
      <c r="B343" t="s">
        <v>1415</v>
      </c>
      <c r="C343">
        <v>587631208102</v>
      </c>
      <c r="D343" t="s">
        <v>2550</v>
      </c>
      <c r="E343" t="s">
        <v>2379</v>
      </c>
      <c r="F343" t="s">
        <v>38</v>
      </c>
      <c r="G343" t="s">
        <v>2337</v>
      </c>
      <c r="H343" t="s">
        <v>2332</v>
      </c>
      <c r="I343" t="s">
        <v>2338</v>
      </c>
      <c r="J343" t="s">
        <v>2338</v>
      </c>
      <c r="K343" t="s">
        <v>2400</v>
      </c>
      <c r="L343" t="s">
        <v>2335</v>
      </c>
      <c r="M343" s="43">
        <v>45308.865860787038</v>
      </c>
      <c r="N343" t="s">
        <v>2338</v>
      </c>
      <c r="O343">
        <v>1</v>
      </c>
      <c r="P343">
        <v>0</v>
      </c>
      <c r="Q343" s="43">
        <v>45943.591699155091</v>
      </c>
      <c r="R343" s="43">
        <v>46049.700222928244</v>
      </c>
    </row>
    <row r="344" spans="1:18" hidden="1">
      <c r="A344">
        <v>62421319902</v>
      </c>
      <c r="B344" t="s">
        <v>1944</v>
      </c>
      <c r="C344">
        <v>62421319902</v>
      </c>
      <c r="D344" t="s">
        <v>1944</v>
      </c>
      <c r="E344" t="s">
        <v>2366</v>
      </c>
      <c r="G344" t="s">
        <v>2331</v>
      </c>
      <c r="H344" t="s">
        <v>2332</v>
      </c>
      <c r="I344" t="s">
        <v>2333</v>
      </c>
      <c r="J344" t="s">
        <v>2333</v>
      </c>
      <c r="K344" t="s">
        <v>2334</v>
      </c>
      <c r="L344" t="s">
        <v>2335</v>
      </c>
      <c r="M344" s="43">
        <v>45686.14851885417</v>
      </c>
      <c r="N344" t="s">
        <v>2333</v>
      </c>
      <c r="O344">
        <v>0</v>
      </c>
      <c r="P344">
        <v>1</v>
      </c>
      <c r="Q344" s="43"/>
      <c r="R344" s="43"/>
    </row>
    <row r="345" spans="1:18" hidden="1">
      <c r="A345">
        <v>62421319902</v>
      </c>
      <c r="B345" t="s">
        <v>1944</v>
      </c>
      <c r="C345">
        <v>505407014302</v>
      </c>
      <c r="D345" t="s">
        <v>2551</v>
      </c>
      <c r="E345" t="s">
        <v>2366</v>
      </c>
      <c r="G345" t="s">
        <v>2331</v>
      </c>
      <c r="H345" t="s">
        <v>2332</v>
      </c>
      <c r="I345" t="s">
        <v>2333</v>
      </c>
      <c r="J345" t="s">
        <v>2333</v>
      </c>
      <c r="K345" t="s">
        <v>2334</v>
      </c>
      <c r="L345" t="s">
        <v>2335</v>
      </c>
      <c r="M345" s="43">
        <v>45686.14851885417</v>
      </c>
      <c r="N345" t="s">
        <v>2333</v>
      </c>
      <c r="O345">
        <v>0</v>
      </c>
      <c r="P345">
        <v>0</v>
      </c>
      <c r="Q345" s="43"/>
      <c r="R345" s="43"/>
    </row>
    <row r="346" spans="1:18" hidden="1">
      <c r="A346">
        <v>142720086902</v>
      </c>
      <c r="B346" t="s">
        <v>2301</v>
      </c>
      <c r="C346">
        <v>142720086902</v>
      </c>
      <c r="D346" t="s">
        <v>2301</v>
      </c>
      <c r="E346" t="s">
        <v>2423</v>
      </c>
      <c r="G346" t="s">
        <v>2331</v>
      </c>
      <c r="H346" t="s">
        <v>2332</v>
      </c>
      <c r="I346" t="s">
        <v>2333</v>
      </c>
      <c r="J346" t="s">
        <v>2333</v>
      </c>
      <c r="K346" t="s">
        <v>2334</v>
      </c>
      <c r="L346" t="s">
        <v>2335</v>
      </c>
      <c r="M346" s="43">
        <v>45680.763016111108</v>
      </c>
      <c r="N346" t="s">
        <v>2333</v>
      </c>
      <c r="O346">
        <v>0</v>
      </c>
      <c r="P346">
        <v>1</v>
      </c>
      <c r="Q346" s="43"/>
      <c r="R346" s="43"/>
    </row>
    <row r="347" spans="1:18">
      <c r="A347">
        <v>142720086902</v>
      </c>
      <c r="B347" t="s">
        <v>2301</v>
      </c>
      <c r="C347">
        <v>634887301802</v>
      </c>
      <c r="D347" t="s">
        <v>2552</v>
      </c>
      <c r="E347" t="s">
        <v>2423</v>
      </c>
      <c r="G347" t="s">
        <v>2331</v>
      </c>
      <c r="H347" t="s">
        <v>2332</v>
      </c>
      <c r="I347" t="s">
        <v>2333</v>
      </c>
      <c r="J347" t="s">
        <v>2333</v>
      </c>
      <c r="K347" t="s">
        <v>2334</v>
      </c>
      <c r="L347" t="s">
        <v>2335</v>
      </c>
      <c r="M347" s="43">
        <v>45680.763016111108</v>
      </c>
      <c r="N347" t="s">
        <v>2333</v>
      </c>
      <c r="O347">
        <v>0</v>
      </c>
      <c r="P347">
        <v>0</v>
      </c>
      <c r="Q347" s="43"/>
      <c r="R347" s="43"/>
    </row>
    <row r="348" spans="1:18" hidden="1">
      <c r="A348">
        <v>13639293002</v>
      </c>
      <c r="B348" t="s">
        <v>2553</v>
      </c>
      <c r="C348">
        <v>13639293002</v>
      </c>
      <c r="D348" t="s">
        <v>2553</v>
      </c>
      <c r="E348" t="s">
        <v>2361</v>
      </c>
      <c r="F348" t="s">
        <v>40</v>
      </c>
      <c r="G348" t="s">
        <v>2337</v>
      </c>
      <c r="H348" t="s">
        <v>2332</v>
      </c>
      <c r="I348" t="s">
        <v>2338</v>
      </c>
      <c r="J348" t="s">
        <v>2338</v>
      </c>
      <c r="K348" t="s">
        <v>2334</v>
      </c>
      <c r="L348" t="s">
        <v>2335</v>
      </c>
      <c r="M348" s="43">
        <v>46017.755798564816</v>
      </c>
      <c r="N348" t="s">
        <v>2338</v>
      </c>
      <c r="O348">
        <v>1</v>
      </c>
      <c r="P348">
        <v>1</v>
      </c>
      <c r="Q348" s="43">
        <v>46036.579116932873</v>
      </c>
      <c r="R348" s="43">
        <v>46055.758871446757</v>
      </c>
    </row>
    <row r="349" spans="1:18" hidden="1">
      <c r="A349">
        <v>20068852602</v>
      </c>
      <c r="B349" t="s">
        <v>427</v>
      </c>
      <c r="C349">
        <v>20068852602</v>
      </c>
      <c r="D349" t="s">
        <v>427</v>
      </c>
      <c r="E349" t="s">
        <v>2355</v>
      </c>
      <c r="F349" t="s">
        <v>36</v>
      </c>
      <c r="G349" t="s">
        <v>2337</v>
      </c>
      <c r="H349" t="s">
        <v>2332</v>
      </c>
      <c r="I349" t="s">
        <v>2338</v>
      </c>
      <c r="J349" t="s">
        <v>2338</v>
      </c>
      <c r="K349" t="s">
        <v>2334</v>
      </c>
      <c r="L349" t="s">
        <v>2335</v>
      </c>
      <c r="M349" s="43">
        <v>45664.709138958337</v>
      </c>
      <c r="N349" t="s">
        <v>2338</v>
      </c>
      <c r="O349">
        <v>1</v>
      </c>
      <c r="P349">
        <v>1</v>
      </c>
      <c r="Q349" s="43">
        <v>45943.591701921294</v>
      </c>
      <c r="R349" s="43">
        <v>46031.824907361108</v>
      </c>
    </row>
    <row r="350" spans="1:18" hidden="1">
      <c r="A350">
        <v>30887912302</v>
      </c>
      <c r="B350" t="s">
        <v>366</v>
      </c>
      <c r="C350">
        <v>30887912302</v>
      </c>
      <c r="D350" t="s">
        <v>366</v>
      </c>
      <c r="E350" t="s">
        <v>2363</v>
      </c>
      <c r="F350" t="s">
        <v>40</v>
      </c>
      <c r="G350" t="s">
        <v>2337</v>
      </c>
      <c r="H350" t="s">
        <v>2332</v>
      </c>
      <c r="I350" t="s">
        <v>2338</v>
      </c>
      <c r="J350" t="s">
        <v>2338</v>
      </c>
      <c r="K350" t="s">
        <v>2334</v>
      </c>
      <c r="L350" t="s">
        <v>2335</v>
      </c>
      <c r="M350" s="43">
        <v>45148.865556458331</v>
      </c>
      <c r="N350" t="s">
        <v>2338</v>
      </c>
      <c r="O350">
        <v>1</v>
      </c>
      <c r="P350">
        <v>1</v>
      </c>
      <c r="Q350" s="43">
        <v>45943.591706921296</v>
      </c>
      <c r="R350" s="43">
        <v>46042.613602384263</v>
      </c>
    </row>
    <row r="351" spans="1:18" hidden="1">
      <c r="A351">
        <v>30887912302</v>
      </c>
      <c r="B351" t="s">
        <v>366</v>
      </c>
      <c r="C351">
        <v>629311561502</v>
      </c>
      <c r="D351" t="s">
        <v>2554</v>
      </c>
      <c r="E351" t="s">
        <v>2363</v>
      </c>
      <c r="F351" t="s">
        <v>40</v>
      </c>
      <c r="G351" t="s">
        <v>2337</v>
      </c>
      <c r="H351" t="s">
        <v>2332</v>
      </c>
      <c r="I351" t="s">
        <v>2338</v>
      </c>
      <c r="J351" t="s">
        <v>2338</v>
      </c>
      <c r="K351" t="s">
        <v>2334</v>
      </c>
      <c r="L351" t="s">
        <v>2335</v>
      </c>
      <c r="M351" s="43">
        <v>45148.865556458331</v>
      </c>
      <c r="N351" t="s">
        <v>2338</v>
      </c>
      <c r="O351">
        <v>0</v>
      </c>
      <c r="P351">
        <v>0</v>
      </c>
      <c r="Q351" s="43">
        <v>45943.591708668981</v>
      </c>
      <c r="R351" s="43">
        <v>46042.613602384263</v>
      </c>
    </row>
    <row r="352" spans="1:18" hidden="1">
      <c r="A352">
        <v>30887912302</v>
      </c>
      <c r="B352" t="s">
        <v>366</v>
      </c>
      <c r="C352">
        <v>652627678202</v>
      </c>
      <c r="D352" t="s">
        <v>2555</v>
      </c>
      <c r="E352" t="s">
        <v>2363</v>
      </c>
      <c r="F352" t="s">
        <v>40</v>
      </c>
      <c r="G352" t="s">
        <v>2337</v>
      </c>
      <c r="H352" t="s">
        <v>2332</v>
      </c>
      <c r="I352" t="s">
        <v>2338</v>
      </c>
      <c r="J352" t="s">
        <v>2338</v>
      </c>
      <c r="K352" t="s">
        <v>2334</v>
      </c>
      <c r="L352" t="s">
        <v>2335</v>
      </c>
      <c r="M352" s="43">
        <v>45148.865556458331</v>
      </c>
      <c r="N352" t="s">
        <v>2338</v>
      </c>
      <c r="O352">
        <v>0</v>
      </c>
      <c r="P352">
        <v>0</v>
      </c>
      <c r="Q352" s="43">
        <v>45943.591715023147</v>
      </c>
      <c r="R352" s="43">
        <v>46042.613602384263</v>
      </c>
    </row>
    <row r="353" spans="1:18" hidden="1">
      <c r="A353">
        <v>509224899302</v>
      </c>
      <c r="B353" t="s">
        <v>1857</v>
      </c>
      <c r="C353">
        <v>509224899302</v>
      </c>
      <c r="D353" t="s">
        <v>1857</v>
      </c>
      <c r="E353" t="s">
        <v>2472</v>
      </c>
      <c r="F353" t="s">
        <v>38</v>
      </c>
      <c r="G353" t="s">
        <v>2337</v>
      </c>
      <c r="H353" t="s">
        <v>2332</v>
      </c>
      <c r="I353" t="s">
        <v>2333</v>
      </c>
      <c r="J353" t="s">
        <v>2338</v>
      </c>
      <c r="K353" t="s">
        <v>2334</v>
      </c>
      <c r="L353" t="s">
        <v>2335</v>
      </c>
      <c r="M353" s="43">
        <v>45530.690257766204</v>
      </c>
      <c r="N353" t="s">
        <v>2338</v>
      </c>
      <c r="O353">
        <v>0</v>
      </c>
      <c r="P353">
        <v>1</v>
      </c>
      <c r="Q353" s="43">
        <v>45894.77913574074</v>
      </c>
      <c r="R353" s="43">
        <v>46077.813952199074</v>
      </c>
    </row>
    <row r="354" spans="1:18">
      <c r="A354">
        <v>509224899302</v>
      </c>
      <c r="B354" t="s">
        <v>1857</v>
      </c>
      <c r="C354">
        <v>596977542502</v>
      </c>
      <c r="D354" t="s">
        <v>2292</v>
      </c>
      <c r="E354" t="s">
        <v>2472</v>
      </c>
      <c r="F354" t="s">
        <v>38</v>
      </c>
      <c r="G354" t="s">
        <v>2337</v>
      </c>
      <c r="H354" t="s">
        <v>2332</v>
      </c>
      <c r="I354" t="s">
        <v>2338</v>
      </c>
      <c r="J354" t="s">
        <v>2338</v>
      </c>
      <c r="K354" t="s">
        <v>2334</v>
      </c>
      <c r="L354" t="s">
        <v>2335</v>
      </c>
      <c r="M354" s="43">
        <v>45530.690257766204</v>
      </c>
      <c r="N354" t="s">
        <v>2338</v>
      </c>
      <c r="O354">
        <v>1</v>
      </c>
      <c r="P354">
        <v>0</v>
      </c>
      <c r="Q354" s="43">
        <v>45845.724126006942</v>
      </c>
      <c r="R354" s="43">
        <v>46077.813952199074</v>
      </c>
    </row>
    <row r="355" spans="1:18">
      <c r="A355">
        <v>1026263719202</v>
      </c>
      <c r="B355" t="s">
        <v>616</v>
      </c>
      <c r="C355">
        <v>1026263719202</v>
      </c>
      <c r="D355" t="s">
        <v>616</v>
      </c>
      <c r="E355" t="s">
        <v>2355</v>
      </c>
      <c r="F355" t="s">
        <v>36</v>
      </c>
      <c r="G355" t="s">
        <v>2337</v>
      </c>
      <c r="H355" t="s">
        <v>2332</v>
      </c>
      <c r="I355" t="s">
        <v>2338</v>
      </c>
      <c r="J355" t="s">
        <v>2338</v>
      </c>
      <c r="K355" t="s">
        <v>2334</v>
      </c>
      <c r="L355" t="s">
        <v>2335</v>
      </c>
      <c r="M355" s="43">
        <v>45726.538311909724</v>
      </c>
      <c r="N355" t="s">
        <v>2338</v>
      </c>
      <c r="O355">
        <v>1</v>
      </c>
      <c r="P355">
        <v>1</v>
      </c>
      <c r="Q355" s="43">
        <v>45943.591711574074</v>
      </c>
      <c r="R355" s="43">
        <v>46035.77212559028</v>
      </c>
    </row>
    <row r="356" spans="1:18">
      <c r="A356">
        <v>100982699102</v>
      </c>
      <c r="B356" t="s">
        <v>1779</v>
      </c>
      <c r="C356">
        <v>100982699102</v>
      </c>
      <c r="D356" t="s">
        <v>1779</v>
      </c>
      <c r="E356" t="s">
        <v>2366</v>
      </c>
      <c r="G356" t="s">
        <v>2331</v>
      </c>
      <c r="H356" t="s">
        <v>2332</v>
      </c>
      <c r="I356" t="s">
        <v>2333</v>
      </c>
      <c r="J356" t="s">
        <v>2333</v>
      </c>
      <c r="K356" t="s">
        <v>2334</v>
      </c>
      <c r="L356" t="s">
        <v>2335</v>
      </c>
      <c r="M356" s="43">
        <v>45680.530913298608</v>
      </c>
      <c r="N356" t="s">
        <v>2333</v>
      </c>
      <c r="O356">
        <v>0</v>
      </c>
      <c r="P356">
        <v>1</v>
      </c>
      <c r="Q356" s="43"/>
      <c r="R356" s="43"/>
    </row>
    <row r="357" spans="1:18" hidden="1">
      <c r="A357">
        <v>100982699102</v>
      </c>
      <c r="B357" t="s">
        <v>1779</v>
      </c>
      <c r="C357">
        <v>386791868802</v>
      </c>
      <c r="D357" t="s">
        <v>2556</v>
      </c>
      <c r="E357" t="s">
        <v>2366</v>
      </c>
      <c r="G357" t="s">
        <v>2331</v>
      </c>
      <c r="H357" t="s">
        <v>2332</v>
      </c>
      <c r="I357" t="s">
        <v>2333</v>
      </c>
      <c r="J357" t="s">
        <v>2333</v>
      </c>
      <c r="K357" t="s">
        <v>2334</v>
      </c>
      <c r="L357" t="s">
        <v>2335</v>
      </c>
      <c r="M357" s="43">
        <v>45680.530913298608</v>
      </c>
      <c r="N357" t="s">
        <v>2333</v>
      </c>
      <c r="O357">
        <v>0</v>
      </c>
      <c r="P357">
        <v>0</v>
      </c>
      <c r="Q357" s="43"/>
      <c r="R357" s="43"/>
    </row>
    <row r="358" spans="1:18" hidden="1">
      <c r="A358">
        <v>100982699102</v>
      </c>
      <c r="B358" t="s">
        <v>1779</v>
      </c>
      <c r="C358">
        <v>1010526507002</v>
      </c>
      <c r="D358" t="s">
        <v>2557</v>
      </c>
      <c r="E358" t="s">
        <v>2366</v>
      </c>
      <c r="G358" t="s">
        <v>2331</v>
      </c>
      <c r="H358" t="s">
        <v>2332</v>
      </c>
      <c r="I358" t="s">
        <v>2333</v>
      </c>
      <c r="J358" t="s">
        <v>2333</v>
      </c>
      <c r="K358" t="s">
        <v>2334</v>
      </c>
      <c r="L358" t="s">
        <v>2335</v>
      </c>
      <c r="M358" s="43">
        <v>45680.530913298608</v>
      </c>
      <c r="N358" t="s">
        <v>2333</v>
      </c>
      <c r="O358">
        <v>0</v>
      </c>
      <c r="P358">
        <v>0</v>
      </c>
      <c r="Q358" s="43"/>
      <c r="R358" s="43"/>
    </row>
    <row r="359" spans="1:18" hidden="1">
      <c r="A359">
        <v>276705576602</v>
      </c>
      <c r="B359" t="s">
        <v>1694</v>
      </c>
      <c r="C359">
        <v>276705576602</v>
      </c>
      <c r="D359" t="s">
        <v>1694</v>
      </c>
      <c r="E359" t="s">
        <v>2342</v>
      </c>
      <c r="F359" t="s">
        <v>38</v>
      </c>
      <c r="G359" t="s">
        <v>2337</v>
      </c>
      <c r="H359" t="s">
        <v>2332</v>
      </c>
      <c r="I359" t="s">
        <v>2338</v>
      </c>
      <c r="J359" t="s">
        <v>2338</v>
      </c>
      <c r="K359" t="s">
        <v>2334</v>
      </c>
      <c r="L359" t="s">
        <v>2335</v>
      </c>
      <c r="M359" s="43">
        <v>45684.671303773146</v>
      </c>
      <c r="N359" t="s">
        <v>2338</v>
      </c>
      <c r="O359">
        <v>1</v>
      </c>
      <c r="P359">
        <v>1</v>
      </c>
      <c r="Q359" s="43">
        <v>45943.591701990743</v>
      </c>
      <c r="R359" s="43">
        <v>46043.891697812498</v>
      </c>
    </row>
    <row r="360" spans="1:18" hidden="1">
      <c r="A360">
        <v>359478351902</v>
      </c>
      <c r="B360" t="s">
        <v>2558</v>
      </c>
      <c r="C360">
        <v>359478351902</v>
      </c>
      <c r="D360" t="s">
        <v>2558</v>
      </c>
      <c r="E360" t="s">
        <v>2408</v>
      </c>
      <c r="F360" t="s">
        <v>39</v>
      </c>
      <c r="G360" t="s">
        <v>2337</v>
      </c>
      <c r="H360" t="s">
        <v>2332</v>
      </c>
      <c r="I360" t="s">
        <v>2338</v>
      </c>
      <c r="J360" t="s">
        <v>2338</v>
      </c>
      <c r="K360" t="s">
        <v>2334</v>
      </c>
      <c r="L360" t="s">
        <v>2335</v>
      </c>
      <c r="M360" s="43">
        <v>46037.860223541669</v>
      </c>
      <c r="N360" t="s">
        <v>2338</v>
      </c>
      <c r="O360">
        <v>1</v>
      </c>
      <c r="P360">
        <v>1</v>
      </c>
      <c r="Q360" s="43">
        <v>46050.816045740743</v>
      </c>
      <c r="R360" s="43"/>
    </row>
    <row r="361" spans="1:18" hidden="1">
      <c r="A361">
        <v>183456830502</v>
      </c>
      <c r="B361" t="s">
        <v>1466</v>
      </c>
      <c r="C361">
        <v>183456830502</v>
      </c>
      <c r="D361" t="s">
        <v>1466</v>
      </c>
      <c r="E361" t="s">
        <v>2381</v>
      </c>
      <c r="F361" t="s">
        <v>38</v>
      </c>
      <c r="G361" t="s">
        <v>2337</v>
      </c>
      <c r="H361" t="s">
        <v>2332</v>
      </c>
      <c r="I361" t="s">
        <v>2338</v>
      </c>
      <c r="J361" t="s">
        <v>2338</v>
      </c>
      <c r="K361" t="s">
        <v>2334</v>
      </c>
      <c r="L361" t="s">
        <v>2335</v>
      </c>
      <c r="M361" s="43">
        <v>45663.733389062501</v>
      </c>
      <c r="N361" t="s">
        <v>2338</v>
      </c>
      <c r="O361">
        <v>1</v>
      </c>
      <c r="P361">
        <v>1</v>
      </c>
      <c r="Q361" s="43">
        <v>45845.724126064815</v>
      </c>
      <c r="R361" s="43">
        <v>46062.779834664354</v>
      </c>
    </row>
    <row r="362" spans="1:18" hidden="1">
      <c r="A362">
        <v>542325043802</v>
      </c>
      <c r="B362" t="s">
        <v>448</v>
      </c>
      <c r="C362">
        <v>542325043802</v>
      </c>
      <c r="D362" t="s">
        <v>448</v>
      </c>
      <c r="E362" t="s">
        <v>2355</v>
      </c>
      <c r="F362" t="s">
        <v>36</v>
      </c>
      <c r="G362" t="s">
        <v>2337</v>
      </c>
      <c r="H362" t="s">
        <v>2332</v>
      </c>
      <c r="I362" t="s">
        <v>2338</v>
      </c>
      <c r="J362" t="s">
        <v>2338</v>
      </c>
      <c r="K362" t="s">
        <v>2334</v>
      </c>
      <c r="L362" t="s">
        <v>2335</v>
      </c>
      <c r="M362" s="43">
        <v>45663.735033333331</v>
      </c>
      <c r="N362" t="s">
        <v>2338</v>
      </c>
      <c r="O362">
        <v>1</v>
      </c>
      <c r="P362">
        <v>1</v>
      </c>
      <c r="Q362" s="43">
        <v>45943.591717939817</v>
      </c>
      <c r="R362" s="43">
        <v>46028.715974375002</v>
      </c>
    </row>
    <row r="363" spans="1:18" hidden="1">
      <c r="A363">
        <v>542325043802</v>
      </c>
      <c r="B363" t="s">
        <v>448</v>
      </c>
      <c r="C363">
        <v>818940433202</v>
      </c>
      <c r="D363" t="s">
        <v>451</v>
      </c>
      <c r="E363" t="s">
        <v>2355</v>
      </c>
      <c r="F363" t="s">
        <v>36</v>
      </c>
      <c r="G363" t="s">
        <v>2337</v>
      </c>
      <c r="H363" t="s">
        <v>2332</v>
      </c>
      <c r="I363" t="s">
        <v>2338</v>
      </c>
      <c r="J363" t="s">
        <v>2338</v>
      </c>
      <c r="K363" t="s">
        <v>2334</v>
      </c>
      <c r="L363" t="s">
        <v>2335</v>
      </c>
      <c r="M363" s="43">
        <v>45663.735033333331</v>
      </c>
      <c r="N363" t="s">
        <v>2338</v>
      </c>
      <c r="O363">
        <v>0</v>
      </c>
      <c r="P363">
        <v>0</v>
      </c>
      <c r="Q363" s="43">
        <v>45943.591718518517</v>
      </c>
      <c r="R363" s="43">
        <v>46028.715974375002</v>
      </c>
    </row>
    <row r="364" spans="1:18" hidden="1">
      <c r="A364">
        <v>117086860802</v>
      </c>
      <c r="B364" t="s">
        <v>876</v>
      </c>
      <c r="C364">
        <v>117086860802</v>
      </c>
      <c r="D364" t="s">
        <v>876</v>
      </c>
      <c r="E364" t="s">
        <v>2352</v>
      </c>
      <c r="F364" t="s">
        <v>40</v>
      </c>
      <c r="G364" t="s">
        <v>2337</v>
      </c>
      <c r="H364" t="s">
        <v>2332</v>
      </c>
      <c r="I364" t="s">
        <v>2338</v>
      </c>
      <c r="J364" t="s">
        <v>2338</v>
      </c>
      <c r="K364" t="s">
        <v>2334</v>
      </c>
      <c r="L364" t="s">
        <v>2335</v>
      </c>
      <c r="M364" s="43">
        <v>45320.543565069442</v>
      </c>
      <c r="N364" t="s">
        <v>2338</v>
      </c>
      <c r="O364">
        <v>1</v>
      </c>
      <c r="P364">
        <v>1</v>
      </c>
      <c r="Q364" s="43">
        <v>45845.724125497683</v>
      </c>
      <c r="R364" s="43">
        <v>46034.850566215275</v>
      </c>
    </row>
    <row r="365" spans="1:18">
      <c r="A365">
        <v>453606604502</v>
      </c>
      <c r="B365" t="s">
        <v>658</v>
      </c>
      <c r="C365">
        <v>453606604502</v>
      </c>
      <c r="D365" t="s">
        <v>658</v>
      </c>
      <c r="E365" t="s">
        <v>2393</v>
      </c>
      <c r="F365" t="s">
        <v>40</v>
      </c>
      <c r="G365" t="s">
        <v>2337</v>
      </c>
      <c r="H365" t="s">
        <v>2332</v>
      </c>
      <c r="I365" t="s">
        <v>2333</v>
      </c>
      <c r="J365" t="s">
        <v>2338</v>
      </c>
      <c r="K365" t="s">
        <v>2334</v>
      </c>
      <c r="L365" t="s">
        <v>2335</v>
      </c>
      <c r="M365" s="43">
        <v>45156.720512349537</v>
      </c>
      <c r="N365" t="s">
        <v>2338</v>
      </c>
      <c r="O365">
        <v>1</v>
      </c>
      <c r="P365">
        <v>1</v>
      </c>
      <c r="Q365" s="43">
        <v>45943.591724571757</v>
      </c>
      <c r="R365" s="43">
        <v>46038.682067118054</v>
      </c>
    </row>
    <row r="366" spans="1:18">
      <c r="A366">
        <v>500513845602</v>
      </c>
      <c r="B366" t="s">
        <v>2559</v>
      </c>
      <c r="C366">
        <v>500513845602</v>
      </c>
      <c r="D366" t="s">
        <v>2559</v>
      </c>
      <c r="E366" t="s">
        <v>2472</v>
      </c>
      <c r="F366" t="s">
        <v>36</v>
      </c>
      <c r="G366" t="s">
        <v>2337</v>
      </c>
      <c r="H366" t="s">
        <v>2332</v>
      </c>
      <c r="I366" t="s">
        <v>2338</v>
      </c>
      <c r="J366" t="s">
        <v>2338</v>
      </c>
      <c r="K366" t="s">
        <v>2334</v>
      </c>
      <c r="L366" t="s">
        <v>2335</v>
      </c>
      <c r="M366" s="43">
        <v>46017.754313680554</v>
      </c>
      <c r="N366" t="s">
        <v>2338</v>
      </c>
      <c r="O366">
        <v>1</v>
      </c>
      <c r="P366">
        <v>1</v>
      </c>
      <c r="Q366" s="43">
        <v>46036.579116666668</v>
      </c>
      <c r="R366" s="43">
        <v>46037.700271979164</v>
      </c>
    </row>
    <row r="367" spans="1:18" hidden="1">
      <c r="A367">
        <v>287368760702</v>
      </c>
      <c r="B367" t="s">
        <v>2290</v>
      </c>
      <c r="C367">
        <v>287368760702</v>
      </c>
      <c r="D367" t="s">
        <v>2290</v>
      </c>
      <c r="E367" t="s">
        <v>2366</v>
      </c>
      <c r="G367" t="s">
        <v>2331</v>
      </c>
      <c r="H367" t="s">
        <v>2332</v>
      </c>
      <c r="I367" t="s">
        <v>2333</v>
      </c>
      <c r="J367" t="s">
        <v>2333</v>
      </c>
      <c r="K367" t="s">
        <v>2334</v>
      </c>
      <c r="L367" t="s">
        <v>2335</v>
      </c>
      <c r="M367" s="43">
        <v>45282.853155775461</v>
      </c>
      <c r="N367" t="s">
        <v>2333</v>
      </c>
      <c r="O367">
        <v>0</v>
      </c>
      <c r="P367">
        <v>1</v>
      </c>
      <c r="Q367" s="43"/>
      <c r="R367" s="43"/>
    </row>
    <row r="368" spans="1:18" hidden="1">
      <c r="A368">
        <v>827522215402</v>
      </c>
      <c r="B368" t="s">
        <v>2560</v>
      </c>
      <c r="C368">
        <v>827522215402</v>
      </c>
      <c r="D368" t="s">
        <v>2560</v>
      </c>
      <c r="E368" t="s">
        <v>2349</v>
      </c>
      <c r="G368" t="s">
        <v>2331</v>
      </c>
      <c r="H368" t="s">
        <v>2332</v>
      </c>
      <c r="I368" t="s">
        <v>2333</v>
      </c>
      <c r="J368" t="s">
        <v>2333</v>
      </c>
      <c r="K368" t="s">
        <v>2334</v>
      </c>
      <c r="L368" t="s">
        <v>2335</v>
      </c>
      <c r="M368" s="43">
        <v>46049.579195625003</v>
      </c>
      <c r="N368" t="s">
        <v>2333</v>
      </c>
      <c r="O368">
        <v>0</v>
      </c>
      <c r="P368">
        <v>1</v>
      </c>
      <c r="Q368" s="43"/>
      <c r="R368" s="43"/>
    </row>
    <row r="369" spans="1:18" hidden="1">
      <c r="A369">
        <v>19297108502</v>
      </c>
      <c r="B369" t="s">
        <v>2561</v>
      </c>
      <c r="C369">
        <v>19297108502</v>
      </c>
      <c r="D369" t="s">
        <v>2561</v>
      </c>
      <c r="E369" t="s">
        <v>2363</v>
      </c>
      <c r="F369" t="s">
        <v>40</v>
      </c>
      <c r="G369" t="s">
        <v>2337</v>
      </c>
      <c r="H369" t="s">
        <v>2332</v>
      </c>
      <c r="I369" t="s">
        <v>2338</v>
      </c>
      <c r="J369" t="s">
        <v>2338</v>
      </c>
      <c r="K369" t="s">
        <v>2334</v>
      </c>
      <c r="L369" t="s">
        <v>2335</v>
      </c>
      <c r="M369" s="43">
        <v>45987.530780300927</v>
      </c>
      <c r="N369" t="s">
        <v>2338</v>
      </c>
      <c r="O369">
        <v>1</v>
      </c>
      <c r="P369">
        <v>1</v>
      </c>
      <c r="Q369" s="43">
        <v>46001.874994594909</v>
      </c>
      <c r="R369" s="43">
        <v>46049.684165856481</v>
      </c>
    </row>
    <row r="370" spans="1:18" hidden="1">
      <c r="A370">
        <v>188325185102</v>
      </c>
      <c r="B370" t="s">
        <v>499</v>
      </c>
      <c r="C370">
        <v>188325185102</v>
      </c>
      <c r="D370" t="s">
        <v>499</v>
      </c>
      <c r="E370" t="s">
        <v>2347</v>
      </c>
      <c r="G370" t="s">
        <v>2331</v>
      </c>
      <c r="H370" t="s">
        <v>2332</v>
      </c>
      <c r="I370" t="s">
        <v>2333</v>
      </c>
      <c r="J370" t="s">
        <v>2333</v>
      </c>
      <c r="K370" t="s">
        <v>2334</v>
      </c>
      <c r="L370" t="s">
        <v>2335</v>
      </c>
      <c r="M370" s="43">
        <v>45680.520312256944</v>
      </c>
      <c r="N370" t="s">
        <v>2333</v>
      </c>
      <c r="O370">
        <v>0</v>
      </c>
      <c r="P370">
        <v>1</v>
      </c>
      <c r="Q370" s="43"/>
      <c r="R370" s="43"/>
    </row>
    <row r="371" spans="1:18" hidden="1">
      <c r="A371">
        <v>309059081002</v>
      </c>
      <c r="B371" t="s">
        <v>1998</v>
      </c>
      <c r="C371">
        <v>309059081002</v>
      </c>
      <c r="D371" t="s">
        <v>1998</v>
      </c>
      <c r="E371" t="s">
        <v>2423</v>
      </c>
      <c r="G371" t="s">
        <v>2331</v>
      </c>
      <c r="H371" t="s">
        <v>2332</v>
      </c>
      <c r="I371" t="s">
        <v>2333</v>
      </c>
      <c r="J371" t="s">
        <v>2333</v>
      </c>
      <c r="K371" t="s">
        <v>2334</v>
      </c>
      <c r="L371" t="s">
        <v>2335</v>
      </c>
      <c r="M371" s="43">
        <v>45657.896520694441</v>
      </c>
      <c r="N371" t="s">
        <v>2333</v>
      </c>
      <c r="O371">
        <v>0</v>
      </c>
      <c r="P371">
        <v>1</v>
      </c>
      <c r="Q371" s="43"/>
      <c r="R371" s="43"/>
    </row>
    <row r="372" spans="1:18" hidden="1">
      <c r="A372">
        <v>365155485602</v>
      </c>
      <c r="B372" t="s">
        <v>1931</v>
      </c>
      <c r="C372">
        <v>365155485602</v>
      </c>
      <c r="D372" t="s">
        <v>1931</v>
      </c>
      <c r="E372" t="s">
        <v>2347</v>
      </c>
      <c r="F372" t="s">
        <v>38</v>
      </c>
      <c r="G372" t="s">
        <v>2337</v>
      </c>
      <c r="H372" t="s">
        <v>2332</v>
      </c>
      <c r="I372" t="s">
        <v>2338</v>
      </c>
      <c r="J372" t="s">
        <v>2338</v>
      </c>
      <c r="K372" t="s">
        <v>2334</v>
      </c>
      <c r="L372" t="s">
        <v>2335</v>
      </c>
      <c r="M372" s="43">
        <v>45664.801814675928</v>
      </c>
      <c r="N372" t="s">
        <v>2338</v>
      </c>
      <c r="O372">
        <v>1</v>
      </c>
      <c r="P372">
        <v>1</v>
      </c>
      <c r="Q372" s="43">
        <v>45943.591701655096</v>
      </c>
      <c r="R372" s="43">
        <v>46083.69423494213</v>
      </c>
    </row>
    <row r="373" spans="1:18" hidden="1">
      <c r="A373">
        <v>365155485602</v>
      </c>
      <c r="B373" t="s">
        <v>1931</v>
      </c>
      <c r="C373">
        <v>912150585302</v>
      </c>
      <c r="D373" t="s">
        <v>2562</v>
      </c>
      <c r="E373" t="s">
        <v>2347</v>
      </c>
      <c r="F373" t="s">
        <v>38</v>
      </c>
      <c r="G373" t="s">
        <v>2337</v>
      </c>
      <c r="H373" t="s">
        <v>2332</v>
      </c>
      <c r="I373" t="s">
        <v>2338</v>
      </c>
      <c r="J373" t="s">
        <v>2338</v>
      </c>
      <c r="K373" t="s">
        <v>2334</v>
      </c>
      <c r="L373" t="s">
        <v>2335</v>
      </c>
      <c r="M373" s="43">
        <v>45664.801814675928</v>
      </c>
      <c r="N373" t="s">
        <v>2338</v>
      </c>
      <c r="O373">
        <v>0</v>
      </c>
      <c r="P373">
        <v>0</v>
      </c>
      <c r="Q373" s="43">
        <v>45943.591703796294</v>
      </c>
      <c r="R373" s="43">
        <v>46083.69423494213</v>
      </c>
    </row>
    <row r="374" spans="1:18" hidden="1">
      <c r="A374">
        <v>301429377802</v>
      </c>
      <c r="B374" t="s">
        <v>1868</v>
      </c>
      <c r="C374">
        <v>301429377802</v>
      </c>
      <c r="D374" t="s">
        <v>1868</v>
      </c>
      <c r="E374" t="s">
        <v>2362</v>
      </c>
      <c r="F374" t="s">
        <v>39</v>
      </c>
      <c r="G374" t="s">
        <v>2337</v>
      </c>
      <c r="H374" t="s">
        <v>2332</v>
      </c>
      <c r="I374" t="s">
        <v>2338</v>
      </c>
      <c r="J374" t="s">
        <v>2338</v>
      </c>
      <c r="K374" t="s">
        <v>2334</v>
      </c>
      <c r="L374" t="s">
        <v>2335</v>
      </c>
      <c r="M374" s="43">
        <v>45664.746611238428</v>
      </c>
      <c r="N374" t="s">
        <v>2338</v>
      </c>
      <c r="O374">
        <v>1</v>
      </c>
      <c r="P374">
        <v>1</v>
      </c>
      <c r="Q374" s="43">
        <v>45943.59172517361</v>
      </c>
      <c r="R374" s="43"/>
    </row>
    <row r="375" spans="1:18" hidden="1">
      <c r="A375">
        <v>1162249489302</v>
      </c>
      <c r="B375" t="s">
        <v>1133</v>
      </c>
      <c r="C375">
        <v>1162249489302</v>
      </c>
      <c r="D375" t="s">
        <v>1133</v>
      </c>
      <c r="E375" t="s">
        <v>2330</v>
      </c>
      <c r="G375" t="s">
        <v>2331</v>
      </c>
      <c r="H375" t="s">
        <v>2332</v>
      </c>
      <c r="I375" t="s">
        <v>2333</v>
      </c>
      <c r="J375" t="s">
        <v>2333</v>
      </c>
      <c r="K375" t="s">
        <v>2334</v>
      </c>
      <c r="L375" t="s">
        <v>2335</v>
      </c>
      <c r="M375" s="43">
        <v>46017.794535833331</v>
      </c>
      <c r="N375" t="s">
        <v>2333</v>
      </c>
      <c r="O375">
        <v>0</v>
      </c>
      <c r="P375">
        <v>1</v>
      </c>
      <c r="Q375" s="43"/>
      <c r="R375" s="43"/>
    </row>
    <row r="376" spans="1:18" hidden="1">
      <c r="A376">
        <v>193343155102</v>
      </c>
      <c r="B376" t="s">
        <v>781</v>
      </c>
      <c r="C376">
        <v>193343155102</v>
      </c>
      <c r="D376" t="s">
        <v>781</v>
      </c>
      <c r="E376" t="s">
        <v>2347</v>
      </c>
      <c r="F376" t="s">
        <v>38</v>
      </c>
      <c r="G376" t="s">
        <v>2337</v>
      </c>
      <c r="H376" t="s">
        <v>2332</v>
      </c>
      <c r="I376" t="s">
        <v>2338</v>
      </c>
      <c r="J376" t="s">
        <v>2338</v>
      </c>
      <c r="K376" t="s">
        <v>2334</v>
      </c>
      <c r="L376" t="s">
        <v>2335</v>
      </c>
      <c r="M376" s="43">
        <v>45680.519839652778</v>
      </c>
      <c r="N376" t="s">
        <v>2338</v>
      </c>
      <c r="O376">
        <v>1</v>
      </c>
      <c r="P376">
        <v>1</v>
      </c>
      <c r="Q376" s="43">
        <v>45943.591721701392</v>
      </c>
      <c r="R376" s="43">
        <v>46055.771661157407</v>
      </c>
    </row>
    <row r="377" spans="1:18">
      <c r="A377">
        <v>193343155102</v>
      </c>
      <c r="B377" t="s">
        <v>781</v>
      </c>
      <c r="C377">
        <v>1072070668802</v>
      </c>
      <c r="D377" t="s">
        <v>2563</v>
      </c>
      <c r="E377" t="s">
        <v>2347</v>
      </c>
      <c r="F377" t="s">
        <v>38</v>
      </c>
      <c r="G377" t="s">
        <v>2337</v>
      </c>
      <c r="H377" t="s">
        <v>2332</v>
      </c>
      <c r="I377" t="s">
        <v>2338</v>
      </c>
      <c r="J377" t="s">
        <v>2338</v>
      </c>
      <c r="K377" t="s">
        <v>2334</v>
      </c>
      <c r="L377" t="s">
        <v>2335</v>
      </c>
      <c r="M377" s="43">
        <v>45680.519839652778</v>
      </c>
      <c r="N377" t="s">
        <v>2338</v>
      </c>
      <c r="O377">
        <v>0</v>
      </c>
      <c r="P377">
        <v>0</v>
      </c>
      <c r="Q377" s="43">
        <v>45957.822066319444</v>
      </c>
      <c r="R377" s="43">
        <v>46055.771661157407</v>
      </c>
    </row>
    <row r="378" spans="1:18">
      <c r="A378">
        <v>685488901302</v>
      </c>
      <c r="B378" t="s">
        <v>414</v>
      </c>
      <c r="C378">
        <v>15763939302</v>
      </c>
      <c r="D378" t="s">
        <v>2564</v>
      </c>
      <c r="E378" t="s">
        <v>2421</v>
      </c>
      <c r="F378" t="s">
        <v>36</v>
      </c>
      <c r="G378" t="s">
        <v>2337</v>
      </c>
      <c r="H378" t="s">
        <v>2332</v>
      </c>
      <c r="I378" t="s">
        <v>2338</v>
      </c>
      <c r="J378" t="s">
        <v>2338</v>
      </c>
      <c r="K378" t="s">
        <v>2334</v>
      </c>
      <c r="L378" t="s">
        <v>2335</v>
      </c>
      <c r="M378" s="43">
        <v>45673.689803298614</v>
      </c>
      <c r="N378" t="s">
        <v>2338</v>
      </c>
      <c r="O378">
        <v>0</v>
      </c>
      <c r="P378">
        <v>1</v>
      </c>
      <c r="Q378" s="43">
        <v>45943.591706064813</v>
      </c>
      <c r="R378" s="43">
        <v>46045.643505277774</v>
      </c>
    </row>
    <row r="379" spans="1:18" hidden="1">
      <c r="A379">
        <v>685488901302</v>
      </c>
      <c r="B379" t="s">
        <v>414</v>
      </c>
      <c r="C379">
        <v>308287047902</v>
      </c>
      <c r="D379" t="s">
        <v>417</v>
      </c>
      <c r="E379" t="s">
        <v>2421</v>
      </c>
      <c r="F379" t="s">
        <v>36</v>
      </c>
      <c r="G379" t="s">
        <v>2337</v>
      </c>
      <c r="H379" t="s">
        <v>2332</v>
      </c>
      <c r="I379" t="s">
        <v>2338</v>
      </c>
      <c r="J379" t="s">
        <v>2338</v>
      </c>
      <c r="K379" t="s">
        <v>2334</v>
      </c>
      <c r="L379" t="s">
        <v>2335</v>
      </c>
      <c r="M379" s="43">
        <v>45673.689803298614</v>
      </c>
      <c r="N379" t="s">
        <v>2338</v>
      </c>
      <c r="O379">
        <v>0</v>
      </c>
      <c r="P379">
        <v>0</v>
      </c>
      <c r="Q379" s="43">
        <v>45943.591702094905</v>
      </c>
      <c r="R379" s="43">
        <v>46045.643505277774</v>
      </c>
    </row>
    <row r="380" spans="1:18" hidden="1">
      <c r="A380">
        <v>685488901302</v>
      </c>
      <c r="B380" t="s">
        <v>414</v>
      </c>
      <c r="C380">
        <v>685488901302</v>
      </c>
      <c r="D380" t="s">
        <v>414</v>
      </c>
      <c r="E380" t="s">
        <v>2421</v>
      </c>
      <c r="F380" t="s">
        <v>36</v>
      </c>
      <c r="G380" t="s">
        <v>2337</v>
      </c>
      <c r="H380" t="s">
        <v>2332</v>
      </c>
      <c r="I380" t="s">
        <v>2338</v>
      </c>
      <c r="J380" t="s">
        <v>2338</v>
      </c>
      <c r="K380" t="s">
        <v>2334</v>
      </c>
      <c r="L380" t="s">
        <v>2335</v>
      </c>
      <c r="M380" s="43">
        <v>45673.689803298614</v>
      </c>
      <c r="N380" t="s">
        <v>2338</v>
      </c>
      <c r="O380">
        <v>1</v>
      </c>
      <c r="P380">
        <v>0</v>
      </c>
      <c r="Q380" s="43">
        <v>45943.591699386576</v>
      </c>
      <c r="R380" s="43">
        <v>46045.643505277774</v>
      </c>
    </row>
    <row r="381" spans="1:18" hidden="1">
      <c r="A381">
        <v>1087931314602</v>
      </c>
      <c r="B381" t="s">
        <v>2565</v>
      </c>
      <c r="C381">
        <v>1087931314602</v>
      </c>
      <c r="D381" t="s">
        <v>2565</v>
      </c>
      <c r="E381" t="s">
        <v>2472</v>
      </c>
      <c r="F381" t="s">
        <v>36</v>
      </c>
      <c r="G381" t="s">
        <v>2337</v>
      </c>
      <c r="H381" t="s">
        <v>2332</v>
      </c>
      <c r="I381" t="s">
        <v>2338</v>
      </c>
      <c r="J381" t="s">
        <v>2338</v>
      </c>
      <c r="K381" t="s">
        <v>2334</v>
      </c>
      <c r="L381" t="s">
        <v>2335</v>
      </c>
      <c r="M381" s="43">
        <v>46017.756278298613</v>
      </c>
      <c r="N381" t="s">
        <v>2338</v>
      </c>
      <c r="O381">
        <v>1</v>
      </c>
      <c r="P381">
        <v>1</v>
      </c>
      <c r="Q381" s="43">
        <v>46030.631660613428</v>
      </c>
      <c r="R381" s="43">
        <v>46037.805679236109</v>
      </c>
    </row>
    <row r="382" spans="1:18" hidden="1">
      <c r="A382">
        <v>653060435802</v>
      </c>
      <c r="B382" t="s">
        <v>851</v>
      </c>
      <c r="C382">
        <v>653060435802</v>
      </c>
      <c r="D382" t="s">
        <v>851</v>
      </c>
      <c r="E382" t="s">
        <v>2379</v>
      </c>
      <c r="F382" t="s">
        <v>38</v>
      </c>
      <c r="G382" t="s">
        <v>2337</v>
      </c>
      <c r="H382" t="s">
        <v>2332</v>
      </c>
      <c r="I382" t="s">
        <v>2338</v>
      </c>
      <c r="J382" t="s">
        <v>2338</v>
      </c>
      <c r="K382" t="s">
        <v>2334</v>
      </c>
      <c r="L382" t="s">
        <v>2335</v>
      </c>
      <c r="M382" s="43">
        <v>45286.85812986111</v>
      </c>
      <c r="N382" t="s">
        <v>2338</v>
      </c>
      <c r="O382">
        <v>1</v>
      </c>
      <c r="P382">
        <v>1</v>
      </c>
      <c r="Q382" s="43">
        <v>45845.724123206019</v>
      </c>
      <c r="R382" s="43">
        <v>46043.62789520833</v>
      </c>
    </row>
    <row r="383" spans="1:18" hidden="1">
      <c r="A383">
        <v>653060435802</v>
      </c>
      <c r="B383" t="s">
        <v>851</v>
      </c>
      <c r="C383">
        <v>713551948202</v>
      </c>
      <c r="D383" t="s">
        <v>2566</v>
      </c>
      <c r="E383" t="s">
        <v>2379</v>
      </c>
      <c r="F383" t="s">
        <v>38</v>
      </c>
      <c r="G383" t="s">
        <v>2337</v>
      </c>
      <c r="H383" t="s">
        <v>2332</v>
      </c>
      <c r="I383" t="s">
        <v>2338</v>
      </c>
      <c r="J383" t="s">
        <v>2338</v>
      </c>
      <c r="K383" t="s">
        <v>2334</v>
      </c>
      <c r="L383" t="s">
        <v>2335</v>
      </c>
      <c r="M383" s="43">
        <v>45286.85812986111</v>
      </c>
      <c r="N383" t="s">
        <v>2338</v>
      </c>
      <c r="O383">
        <v>0</v>
      </c>
      <c r="P383">
        <v>0</v>
      </c>
      <c r="Q383" s="43">
        <v>45894.779135613426</v>
      </c>
      <c r="R383" s="43">
        <v>46043.62789520833</v>
      </c>
    </row>
    <row r="384" spans="1:18" hidden="1">
      <c r="A384">
        <v>736516152502</v>
      </c>
      <c r="B384" t="s">
        <v>2567</v>
      </c>
      <c r="C384">
        <v>736516152502</v>
      </c>
      <c r="D384" t="s">
        <v>2567</v>
      </c>
      <c r="E384" t="s">
        <v>2378</v>
      </c>
      <c r="F384" t="s">
        <v>36</v>
      </c>
      <c r="G384" t="s">
        <v>2337</v>
      </c>
      <c r="H384" t="s">
        <v>2332</v>
      </c>
      <c r="I384" t="s">
        <v>2338</v>
      </c>
      <c r="J384" t="s">
        <v>2338</v>
      </c>
      <c r="K384" t="s">
        <v>2334</v>
      </c>
      <c r="L384" t="s">
        <v>2335</v>
      </c>
      <c r="M384" s="43">
        <v>46079.784452824075</v>
      </c>
      <c r="N384" t="s">
        <v>2338</v>
      </c>
      <c r="O384">
        <v>1</v>
      </c>
      <c r="P384">
        <v>1</v>
      </c>
      <c r="Q384" s="43">
        <v>46052.772279120371</v>
      </c>
      <c r="R384" s="43"/>
    </row>
    <row r="385" spans="1:18" hidden="1">
      <c r="A385">
        <v>736516152502</v>
      </c>
      <c r="B385" t="s">
        <v>2567</v>
      </c>
      <c r="C385">
        <v>736516152502</v>
      </c>
      <c r="D385" t="s">
        <v>2567</v>
      </c>
      <c r="E385" t="s">
        <v>2378</v>
      </c>
      <c r="F385" t="s">
        <v>36</v>
      </c>
      <c r="G385" t="s">
        <v>2337</v>
      </c>
      <c r="H385" t="s">
        <v>2332</v>
      </c>
      <c r="I385" t="s">
        <v>2338</v>
      </c>
      <c r="J385" t="s">
        <v>2338</v>
      </c>
      <c r="K385" t="s">
        <v>2334</v>
      </c>
      <c r="L385" t="s">
        <v>2335</v>
      </c>
      <c r="M385" s="43">
        <v>46079.784452824075</v>
      </c>
      <c r="N385" t="s">
        <v>2338</v>
      </c>
      <c r="O385">
        <v>0</v>
      </c>
      <c r="P385">
        <v>0</v>
      </c>
      <c r="Q385" s="43">
        <v>46052.772279756944</v>
      </c>
      <c r="R385" s="43"/>
    </row>
    <row r="386" spans="1:18" hidden="1">
      <c r="A386">
        <v>736516152502</v>
      </c>
      <c r="B386" t="s">
        <v>2567</v>
      </c>
      <c r="C386">
        <v>1110411809702</v>
      </c>
      <c r="D386" t="s">
        <v>2568</v>
      </c>
      <c r="E386" t="s">
        <v>2378</v>
      </c>
      <c r="F386" t="s">
        <v>39</v>
      </c>
      <c r="G386" t="s">
        <v>2337</v>
      </c>
      <c r="H386" t="s">
        <v>2332</v>
      </c>
      <c r="I386" t="s">
        <v>2338</v>
      </c>
      <c r="J386" t="s">
        <v>2338</v>
      </c>
      <c r="K386" t="s">
        <v>2334</v>
      </c>
      <c r="L386" t="s">
        <v>2335</v>
      </c>
      <c r="M386" s="43">
        <v>46079.784452824075</v>
      </c>
      <c r="N386" t="s">
        <v>2338</v>
      </c>
      <c r="O386">
        <v>0</v>
      </c>
      <c r="P386">
        <v>0</v>
      </c>
      <c r="Q386" s="43">
        <v>46063.683067372687</v>
      </c>
      <c r="R386" s="43"/>
    </row>
    <row r="387" spans="1:18" hidden="1">
      <c r="A387">
        <v>631818497202</v>
      </c>
      <c r="B387" t="s">
        <v>2569</v>
      </c>
      <c r="C387">
        <v>319056891402</v>
      </c>
      <c r="D387" t="s">
        <v>2570</v>
      </c>
      <c r="E387" t="s">
        <v>2351</v>
      </c>
      <c r="F387" t="s">
        <v>37</v>
      </c>
      <c r="G387" t="s">
        <v>2337</v>
      </c>
      <c r="H387" t="s">
        <v>2332</v>
      </c>
      <c r="I387" t="s">
        <v>2338</v>
      </c>
      <c r="J387" t="s">
        <v>2338</v>
      </c>
      <c r="K387" t="s">
        <v>2334</v>
      </c>
      <c r="L387" t="s">
        <v>2335</v>
      </c>
      <c r="M387" s="43">
        <v>46042.867136203706</v>
      </c>
      <c r="N387" t="s">
        <v>2338</v>
      </c>
      <c r="O387">
        <v>0</v>
      </c>
      <c r="P387">
        <v>1</v>
      </c>
      <c r="Q387" s="43">
        <v>46066.160094432867</v>
      </c>
      <c r="R387" s="43">
        <v>46083.797570162038</v>
      </c>
    </row>
    <row r="388" spans="1:18" hidden="1">
      <c r="A388">
        <v>631818497202</v>
      </c>
      <c r="B388" t="s">
        <v>2569</v>
      </c>
      <c r="C388">
        <v>631818497202</v>
      </c>
      <c r="D388" t="s">
        <v>2569</v>
      </c>
      <c r="E388" t="s">
        <v>2351</v>
      </c>
      <c r="F388" t="s">
        <v>37</v>
      </c>
      <c r="G388" t="s">
        <v>2337</v>
      </c>
      <c r="H388" t="s">
        <v>2332</v>
      </c>
      <c r="I388" t="s">
        <v>2338</v>
      </c>
      <c r="J388" t="s">
        <v>2338</v>
      </c>
      <c r="K388" t="s">
        <v>2334</v>
      </c>
      <c r="L388" t="s">
        <v>2335</v>
      </c>
      <c r="M388" s="43">
        <v>46042.867136203706</v>
      </c>
      <c r="N388" t="s">
        <v>2338</v>
      </c>
      <c r="O388">
        <v>1</v>
      </c>
      <c r="P388">
        <v>0</v>
      </c>
      <c r="Q388" s="43">
        <v>46052.772280011573</v>
      </c>
      <c r="R388" s="43">
        <v>46083.797570162038</v>
      </c>
    </row>
    <row r="389" spans="1:18" hidden="1">
      <c r="A389">
        <v>631818497202</v>
      </c>
      <c r="B389" t="s">
        <v>2569</v>
      </c>
      <c r="C389">
        <v>631818497202</v>
      </c>
      <c r="D389" t="s">
        <v>2569</v>
      </c>
      <c r="E389" t="s">
        <v>2351</v>
      </c>
      <c r="F389" t="s">
        <v>37</v>
      </c>
      <c r="G389" t="s">
        <v>2337</v>
      </c>
      <c r="H389" t="s">
        <v>2332</v>
      </c>
      <c r="I389" t="s">
        <v>2338</v>
      </c>
      <c r="J389" t="s">
        <v>2338</v>
      </c>
      <c r="K389" t="s">
        <v>2334</v>
      </c>
      <c r="L389" t="s">
        <v>2335</v>
      </c>
      <c r="M389" s="43">
        <v>46042.867136203706</v>
      </c>
      <c r="N389" t="s">
        <v>2338</v>
      </c>
      <c r="O389">
        <v>0</v>
      </c>
      <c r="P389">
        <v>0</v>
      </c>
      <c r="Q389" s="43">
        <v>46052.772280011573</v>
      </c>
      <c r="R389" s="43">
        <v>46083.797570162038</v>
      </c>
    </row>
    <row r="390" spans="1:18" hidden="1">
      <c r="A390">
        <v>89297765302</v>
      </c>
      <c r="B390" t="s">
        <v>600</v>
      </c>
      <c r="C390">
        <v>89297765302</v>
      </c>
      <c r="D390" t="s">
        <v>600</v>
      </c>
      <c r="E390" t="s">
        <v>2369</v>
      </c>
      <c r="G390" t="s">
        <v>2331</v>
      </c>
      <c r="H390" t="s">
        <v>2332</v>
      </c>
      <c r="I390" t="s">
        <v>2333</v>
      </c>
      <c r="J390" t="s">
        <v>2333</v>
      </c>
      <c r="K390" t="s">
        <v>2334</v>
      </c>
      <c r="L390" t="s">
        <v>2335</v>
      </c>
      <c r="M390" s="43">
        <v>45176.94085053241</v>
      </c>
      <c r="N390" t="s">
        <v>2333</v>
      </c>
      <c r="O390">
        <v>0</v>
      </c>
      <c r="P390">
        <v>1</v>
      </c>
      <c r="Q390" s="43"/>
      <c r="R390" s="43"/>
    </row>
    <row r="391" spans="1:18" hidden="1">
      <c r="A391">
        <v>374065566102</v>
      </c>
      <c r="B391" t="s">
        <v>2296</v>
      </c>
      <c r="C391">
        <v>374065566102</v>
      </c>
      <c r="D391" t="s">
        <v>2296</v>
      </c>
      <c r="E391" t="s">
        <v>2366</v>
      </c>
      <c r="G391" t="s">
        <v>2331</v>
      </c>
      <c r="H391" t="s">
        <v>2332</v>
      </c>
      <c r="I391" t="s">
        <v>2333</v>
      </c>
      <c r="J391" t="s">
        <v>2333</v>
      </c>
      <c r="K391" t="s">
        <v>2334</v>
      </c>
      <c r="L391" t="s">
        <v>2335</v>
      </c>
      <c r="M391" s="43">
        <v>45590.898611087963</v>
      </c>
      <c r="N391" t="s">
        <v>2333</v>
      </c>
      <c r="O391">
        <v>0</v>
      </c>
      <c r="P391">
        <v>1</v>
      </c>
      <c r="Q391" s="43"/>
      <c r="R391" s="43"/>
    </row>
    <row r="392" spans="1:18" hidden="1">
      <c r="A392">
        <v>374065566102</v>
      </c>
      <c r="B392" t="s">
        <v>2296</v>
      </c>
      <c r="C392">
        <v>439015490302</v>
      </c>
      <c r="D392" t="s">
        <v>2571</v>
      </c>
      <c r="E392" t="s">
        <v>2366</v>
      </c>
      <c r="G392" t="s">
        <v>2331</v>
      </c>
      <c r="H392" t="s">
        <v>2332</v>
      </c>
      <c r="I392" t="s">
        <v>2333</v>
      </c>
      <c r="J392" t="s">
        <v>2333</v>
      </c>
      <c r="K392" t="s">
        <v>2334</v>
      </c>
      <c r="L392" t="s">
        <v>2335</v>
      </c>
      <c r="M392" s="43">
        <v>45590.898611087963</v>
      </c>
      <c r="N392" t="s">
        <v>2333</v>
      </c>
      <c r="O392">
        <v>0</v>
      </c>
      <c r="P392">
        <v>0</v>
      </c>
      <c r="Q392" s="43"/>
      <c r="R392" s="43"/>
    </row>
    <row r="393" spans="1:18" hidden="1">
      <c r="A393">
        <v>374065566102</v>
      </c>
      <c r="B393" t="s">
        <v>2296</v>
      </c>
      <c r="C393">
        <v>818231725302</v>
      </c>
      <c r="D393" t="s">
        <v>2572</v>
      </c>
      <c r="E393" t="s">
        <v>2366</v>
      </c>
      <c r="G393" t="s">
        <v>2331</v>
      </c>
      <c r="H393" t="s">
        <v>2332</v>
      </c>
      <c r="I393" t="s">
        <v>2333</v>
      </c>
      <c r="J393" t="s">
        <v>2333</v>
      </c>
      <c r="K393" t="s">
        <v>2334</v>
      </c>
      <c r="L393" t="s">
        <v>2335</v>
      </c>
      <c r="M393" s="43">
        <v>45590.898611087963</v>
      </c>
      <c r="N393" t="s">
        <v>2333</v>
      </c>
      <c r="O393">
        <v>0</v>
      </c>
      <c r="P393">
        <v>0</v>
      </c>
      <c r="Q393" s="43"/>
      <c r="R393" s="43"/>
    </row>
    <row r="394" spans="1:18" hidden="1">
      <c r="A394">
        <v>595977892002</v>
      </c>
      <c r="B394" t="s">
        <v>2573</v>
      </c>
      <c r="C394">
        <v>595982983102</v>
      </c>
      <c r="D394" t="s">
        <v>2573</v>
      </c>
      <c r="E394" t="s">
        <v>2362</v>
      </c>
      <c r="F394" t="s">
        <v>39</v>
      </c>
      <c r="G394" t="s">
        <v>2337</v>
      </c>
      <c r="H394" t="s">
        <v>2332</v>
      </c>
      <c r="I394" t="s">
        <v>2338</v>
      </c>
      <c r="J394" t="s">
        <v>2338</v>
      </c>
      <c r="K394" t="s">
        <v>2334</v>
      </c>
      <c r="L394" t="s">
        <v>2335</v>
      </c>
      <c r="M394" s="43">
        <v>46050.802772013885</v>
      </c>
      <c r="N394" t="s">
        <v>2338</v>
      </c>
      <c r="O394">
        <v>1</v>
      </c>
      <c r="P394">
        <v>1</v>
      </c>
      <c r="Q394" s="43">
        <v>46052.772279074074</v>
      </c>
      <c r="R394" s="43"/>
    </row>
    <row r="395" spans="1:18" hidden="1">
      <c r="A395">
        <v>758979444002</v>
      </c>
      <c r="B395" t="s">
        <v>2574</v>
      </c>
      <c r="C395">
        <v>538060269402</v>
      </c>
      <c r="D395" t="s">
        <v>2575</v>
      </c>
      <c r="E395" t="s">
        <v>2472</v>
      </c>
      <c r="F395" t="s">
        <v>36</v>
      </c>
      <c r="G395" t="s">
        <v>2337</v>
      </c>
      <c r="H395" t="s">
        <v>2332</v>
      </c>
      <c r="I395" t="s">
        <v>2338</v>
      </c>
      <c r="J395" t="s">
        <v>2338</v>
      </c>
      <c r="K395" t="s">
        <v>2334</v>
      </c>
      <c r="L395" t="s">
        <v>2335</v>
      </c>
      <c r="M395" s="43">
        <v>46079.859487442132</v>
      </c>
      <c r="N395" t="s">
        <v>2338</v>
      </c>
      <c r="O395">
        <v>0</v>
      </c>
      <c r="P395">
        <v>1</v>
      </c>
      <c r="Q395" s="43">
        <v>46057.736322893521</v>
      </c>
      <c r="R395" s="43">
        <v>46072.605383738424</v>
      </c>
    </row>
    <row r="396" spans="1:18" hidden="1">
      <c r="A396">
        <v>758979444002</v>
      </c>
      <c r="B396" t="s">
        <v>2574</v>
      </c>
      <c r="C396">
        <v>758979444002</v>
      </c>
      <c r="D396" t="s">
        <v>2574</v>
      </c>
      <c r="E396" t="s">
        <v>2472</v>
      </c>
      <c r="F396" t="s">
        <v>36</v>
      </c>
      <c r="G396" t="s">
        <v>2337</v>
      </c>
      <c r="H396" t="s">
        <v>2332</v>
      </c>
      <c r="I396" t="s">
        <v>2338</v>
      </c>
      <c r="J396" t="s">
        <v>2338</v>
      </c>
      <c r="K396" t="s">
        <v>2334</v>
      </c>
      <c r="L396" t="s">
        <v>2335</v>
      </c>
      <c r="M396" s="43">
        <v>46079.859487442132</v>
      </c>
      <c r="N396" t="s">
        <v>2338</v>
      </c>
      <c r="O396">
        <v>1</v>
      </c>
      <c r="P396">
        <v>0</v>
      </c>
      <c r="Q396" s="43">
        <v>46031.763598506943</v>
      </c>
      <c r="R396" s="43">
        <v>46072.605383738424</v>
      </c>
    </row>
    <row r="397" spans="1:18" hidden="1">
      <c r="A397">
        <v>758979444002</v>
      </c>
      <c r="B397" t="s">
        <v>2574</v>
      </c>
      <c r="C397">
        <v>1139977403002</v>
      </c>
      <c r="D397" t="s">
        <v>2576</v>
      </c>
      <c r="E397" t="s">
        <v>2472</v>
      </c>
      <c r="F397" t="s">
        <v>36</v>
      </c>
      <c r="G397" t="s">
        <v>2337</v>
      </c>
      <c r="H397" t="s">
        <v>2332</v>
      </c>
      <c r="I397" t="s">
        <v>2338</v>
      </c>
      <c r="J397" t="s">
        <v>2338</v>
      </c>
      <c r="K397" t="s">
        <v>2334</v>
      </c>
      <c r="L397" t="s">
        <v>2335</v>
      </c>
      <c r="M397" s="43">
        <v>46079.859487442132</v>
      </c>
      <c r="N397" t="s">
        <v>2338</v>
      </c>
      <c r="O397">
        <v>0</v>
      </c>
      <c r="P397">
        <v>0</v>
      </c>
      <c r="Q397" s="43">
        <v>46057.736322662036</v>
      </c>
      <c r="R397" s="43">
        <v>46072.605383738424</v>
      </c>
    </row>
    <row r="398" spans="1:18" hidden="1">
      <c r="A398">
        <v>492005792302</v>
      </c>
      <c r="B398" t="s">
        <v>2577</v>
      </c>
      <c r="C398">
        <v>492005792302</v>
      </c>
      <c r="D398" t="s">
        <v>2577</v>
      </c>
      <c r="E398" t="s">
        <v>2378</v>
      </c>
      <c r="F398" t="s">
        <v>39</v>
      </c>
      <c r="G398" t="s">
        <v>2337</v>
      </c>
      <c r="H398" t="s">
        <v>2332</v>
      </c>
      <c r="I398" t="s">
        <v>2338</v>
      </c>
      <c r="J398" t="s">
        <v>2338</v>
      </c>
      <c r="K398" t="s">
        <v>2334</v>
      </c>
      <c r="L398" t="s">
        <v>2335</v>
      </c>
      <c r="M398" s="43">
        <v>46079.780334490744</v>
      </c>
      <c r="N398" t="s">
        <v>2338</v>
      </c>
      <c r="O398">
        <v>1</v>
      </c>
      <c r="P398">
        <v>1</v>
      </c>
      <c r="Q398" s="43">
        <v>46093.692645277777</v>
      </c>
      <c r="R398" s="43"/>
    </row>
    <row r="399" spans="1:18" hidden="1">
      <c r="A399">
        <v>1147177827502</v>
      </c>
      <c r="B399" t="s">
        <v>2578</v>
      </c>
      <c r="C399">
        <v>56433406702</v>
      </c>
      <c r="D399" t="s">
        <v>2264</v>
      </c>
      <c r="E399" t="s">
        <v>2379</v>
      </c>
      <c r="F399" t="s">
        <v>38</v>
      </c>
      <c r="G399" t="s">
        <v>2337</v>
      </c>
      <c r="H399" t="s">
        <v>2332</v>
      </c>
      <c r="I399" t="s">
        <v>2338</v>
      </c>
      <c r="J399" t="s">
        <v>2338</v>
      </c>
      <c r="K399" t="s">
        <v>2334</v>
      </c>
      <c r="L399" t="s">
        <v>2335</v>
      </c>
      <c r="M399" s="43">
        <v>45960.90333105324</v>
      </c>
      <c r="N399" t="s">
        <v>2338</v>
      </c>
      <c r="O399">
        <v>0</v>
      </c>
      <c r="P399">
        <v>1</v>
      </c>
      <c r="Q399" s="43">
        <v>45943.591715613424</v>
      </c>
      <c r="R399" s="43">
        <v>46078.774953993059</v>
      </c>
    </row>
    <row r="400" spans="1:18" hidden="1">
      <c r="A400">
        <v>1147177827502</v>
      </c>
      <c r="B400" t="s">
        <v>2578</v>
      </c>
      <c r="C400">
        <v>922736911702</v>
      </c>
      <c r="D400" t="s">
        <v>2579</v>
      </c>
      <c r="E400" t="s">
        <v>2379</v>
      </c>
      <c r="F400" t="s">
        <v>38</v>
      </c>
      <c r="G400" t="s">
        <v>2337</v>
      </c>
      <c r="H400" t="s">
        <v>2332</v>
      </c>
      <c r="I400" t="s">
        <v>2338</v>
      </c>
      <c r="J400" t="s">
        <v>2338</v>
      </c>
      <c r="K400" t="s">
        <v>2334</v>
      </c>
      <c r="L400" t="s">
        <v>2335</v>
      </c>
      <c r="M400" s="43">
        <v>45960.90333105324</v>
      </c>
      <c r="N400" t="s">
        <v>2338</v>
      </c>
      <c r="O400">
        <v>1</v>
      </c>
      <c r="P400">
        <v>0</v>
      </c>
      <c r="Q400" s="43">
        <v>45943.591704027778</v>
      </c>
      <c r="R400" s="43">
        <v>46078.774953993059</v>
      </c>
    </row>
    <row r="401" spans="1:18" hidden="1">
      <c r="A401">
        <v>1147177827502</v>
      </c>
      <c r="B401" t="s">
        <v>2578</v>
      </c>
      <c r="C401">
        <v>1147177827502</v>
      </c>
      <c r="D401" t="s">
        <v>2578</v>
      </c>
      <c r="E401" t="s">
        <v>2379</v>
      </c>
      <c r="F401" t="s">
        <v>38</v>
      </c>
      <c r="G401" t="s">
        <v>2337</v>
      </c>
      <c r="H401" t="s">
        <v>2332</v>
      </c>
      <c r="I401" t="s">
        <v>2338</v>
      </c>
      <c r="J401" t="s">
        <v>2338</v>
      </c>
      <c r="K401" t="s">
        <v>2334</v>
      </c>
      <c r="L401" t="s">
        <v>2335</v>
      </c>
      <c r="M401" s="43">
        <v>45960.90333105324</v>
      </c>
      <c r="N401" t="s">
        <v>2338</v>
      </c>
      <c r="O401">
        <v>0</v>
      </c>
      <c r="P401">
        <v>0</v>
      </c>
      <c r="Q401" s="43">
        <v>45986.895791342591</v>
      </c>
      <c r="R401" s="43">
        <v>46078.774953993059</v>
      </c>
    </row>
    <row r="402" spans="1:18" hidden="1">
      <c r="A402">
        <v>1093680390002</v>
      </c>
      <c r="B402" t="s">
        <v>2580</v>
      </c>
      <c r="C402">
        <v>1092941019602</v>
      </c>
      <c r="D402" t="s">
        <v>2580</v>
      </c>
      <c r="E402" t="s">
        <v>2378</v>
      </c>
      <c r="G402" t="s">
        <v>2331</v>
      </c>
      <c r="H402" t="s">
        <v>2332</v>
      </c>
      <c r="I402" t="s">
        <v>2338</v>
      </c>
      <c r="J402" t="s">
        <v>2338</v>
      </c>
      <c r="K402" t="s">
        <v>2400</v>
      </c>
      <c r="L402" t="s">
        <v>2401</v>
      </c>
      <c r="M402" s="43">
        <v>46093.846969178237</v>
      </c>
      <c r="N402" t="s">
        <v>2338</v>
      </c>
      <c r="O402">
        <v>0</v>
      </c>
      <c r="P402">
        <v>1</v>
      </c>
      <c r="Q402" s="43"/>
      <c r="R402" s="43"/>
    </row>
    <row r="403" spans="1:18" hidden="1">
      <c r="A403">
        <v>296844067602</v>
      </c>
      <c r="B403" t="s">
        <v>2581</v>
      </c>
      <c r="C403">
        <v>296844067602</v>
      </c>
      <c r="D403" t="s">
        <v>2581</v>
      </c>
      <c r="E403" t="s">
        <v>2472</v>
      </c>
      <c r="F403" t="s">
        <v>36</v>
      </c>
      <c r="G403" t="s">
        <v>2337</v>
      </c>
      <c r="H403" t="s">
        <v>2332</v>
      </c>
      <c r="I403" t="s">
        <v>2338</v>
      </c>
      <c r="J403" t="s">
        <v>2338</v>
      </c>
      <c r="K403" t="s">
        <v>2334</v>
      </c>
      <c r="L403" t="s">
        <v>2335</v>
      </c>
      <c r="M403" s="43">
        <v>46049.129778159724</v>
      </c>
      <c r="N403" t="s">
        <v>2338</v>
      </c>
      <c r="O403">
        <v>1</v>
      </c>
      <c r="P403">
        <v>1</v>
      </c>
      <c r="Q403" s="43">
        <v>46052.77227908565</v>
      </c>
      <c r="R403" s="43">
        <v>46087.759894305556</v>
      </c>
    </row>
    <row r="404" spans="1:18" hidden="1">
      <c r="A404">
        <v>433969027802</v>
      </c>
      <c r="B404" t="s">
        <v>1110</v>
      </c>
      <c r="C404">
        <v>297608441302</v>
      </c>
      <c r="D404" t="s">
        <v>2582</v>
      </c>
      <c r="E404" t="s">
        <v>2369</v>
      </c>
      <c r="G404" t="s">
        <v>2331</v>
      </c>
      <c r="H404" t="s">
        <v>2332</v>
      </c>
      <c r="I404" t="s">
        <v>2333</v>
      </c>
      <c r="J404" t="s">
        <v>2333</v>
      </c>
      <c r="K404" t="s">
        <v>2334</v>
      </c>
      <c r="L404" t="s">
        <v>2335</v>
      </c>
      <c r="M404" s="43">
        <v>46037.898620266205</v>
      </c>
      <c r="N404" t="s">
        <v>2333</v>
      </c>
      <c r="O404">
        <v>0</v>
      </c>
      <c r="P404">
        <v>1</v>
      </c>
      <c r="Q404" s="43"/>
    </row>
    <row r="405" spans="1:18">
      <c r="A405">
        <v>433969027802</v>
      </c>
      <c r="B405" t="s">
        <v>1110</v>
      </c>
      <c r="C405">
        <v>433969027802</v>
      </c>
      <c r="D405" t="s">
        <v>1110</v>
      </c>
      <c r="E405" t="s">
        <v>2369</v>
      </c>
      <c r="G405" t="s">
        <v>2331</v>
      </c>
      <c r="H405" t="s">
        <v>2332</v>
      </c>
      <c r="I405" t="s">
        <v>2333</v>
      </c>
      <c r="J405" t="s">
        <v>2333</v>
      </c>
      <c r="K405" t="s">
        <v>2334</v>
      </c>
      <c r="L405" t="s">
        <v>2335</v>
      </c>
      <c r="M405" s="43">
        <v>46037.898620266205</v>
      </c>
      <c r="N405" t="s">
        <v>2333</v>
      </c>
      <c r="O405">
        <v>0</v>
      </c>
      <c r="P405">
        <v>0</v>
      </c>
      <c r="Q405" s="43"/>
      <c r="R405" s="43"/>
    </row>
    <row r="406" spans="1:18" hidden="1">
      <c r="A406">
        <v>433969027802</v>
      </c>
      <c r="B406" t="s">
        <v>1110</v>
      </c>
      <c r="C406">
        <v>660326163702</v>
      </c>
      <c r="D406" t="s">
        <v>2583</v>
      </c>
      <c r="E406" t="s">
        <v>2369</v>
      </c>
      <c r="G406" t="s">
        <v>2331</v>
      </c>
      <c r="H406" t="s">
        <v>2332</v>
      </c>
      <c r="I406" t="s">
        <v>2333</v>
      </c>
      <c r="J406" t="s">
        <v>2333</v>
      </c>
      <c r="K406" t="s">
        <v>2334</v>
      </c>
      <c r="L406" t="s">
        <v>2335</v>
      </c>
      <c r="M406" s="43">
        <v>46037.898620266205</v>
      </c>
      <c r="N406" t="s">
        <v>2333</v>
      </c>
      <c r="O406">
        <v>0</v>
      </c>
      <c r="P406">
        <v>0</v>
      </c>
      <c r="Q406" s="43"/>
      <c r="R406" s="43"/>
    </row>
    <row r="407" spans="1:18" hidden="1">
      <c r="A407">
        <v>499251379602</v>
      </c>
      <c r="B407" t="s">
        <v>2584</v>
      </c>
      <c r="C407">
        <v>499251379602</v>
      </c>
      <c r="D407" t="s">
        <v>2584</v>
      </c>
      <c r="E407" t="s">
        <v>2378</v>
      </c>
      <c r="G407" t="s">
        <v>2331</v>
      </c>
      <c r="H407" t="s">
        <v>2332</v>
      </c>
      <c r="I407" t="s">
        <v>2333</v>
      </c>
      <c r="J407" t="s">
        <v>2333</v>
      </c>
      <c r="K407" t="s">
        <v>2334</v>
      </c>
      <c r="L407" t="s">
        <v>2335</v>
      </c>
      <c r="M407" s="43">
        <v>45987.547247870367</v>
      </c>
      <c r="N407" t="s">
        <v>2333</v>
      </c>
      <c r="O407">
        <v>0</v>
      </c>
      <c r="P407">
        <v>1</v>
      </c>
      <c r="Q407" s="43"/>
      <c r="R407" s="43"/>
    </row>
    <row r="408" spans="1:18" hidden="1">
      <c r="A408">
        <v>24371682602</v>
      </c>
      <c r="B408" t="s">
        <v>1509</v>
      </c>
      <c r="C408">
        <v>24371682602</v>
      </c>
      <c r="D408" t="s">
        <v>1509</v>
      </c>
      <c r="E408" t="s">
        <v>2363</v>
      </c>
      <c r="F408" t="s">
        <v>40</v>
      </c>
      <c r="G408" t="s">
        <v>2337</v>
      </c>
      <c r="H408" t="s">
        <v>2332</v>
      </c>
      <c r="I408" t="s">
        <v>2338</v>
      </c>
      <c r="J408" t="s">
        <v>2338</v>
      </c>
      <c r="K408" t="s">
        <v>2334</v>
      </c>
      <c r="L408" t="s">
        <v>2335</v>
      </c>
      <c r="M408" s="43">
        <v>45958.839944074076</v>
      </c>
      <c r="N408" t="s">
        <v>2338</v>
      </c>
      <c r="O408">
        <v>1</v>
      </c>
      <c r="P408">
        <v>1</v>
      </c>
      <c r="Q408" s="43">
        <v>45971.731938287034</v>
      </c>
      <c r="R408" s="43">
        <v>46034.744766053242</v>
      </c>
    </row>
    <row r="409" spans="1:18" hidden="1">
      <c r="A409">
        <v>24371682602</v>
      </c>
      <c r="B409" t="s">
        <v>1509</v>
      </c>
      <c r="C409">
        <v>1143706769002</v>
      </c>
      <c r="D409" t="s">
        <v>2585</v>
      </c>
      <c r="E409" t="s">
        <v>2363</v>
      </c>
      <c r="F409" t="s">
        <v>40</v>
      </c>
      <c r="G409" t="s">
        <v>2337</v>
      </c>
      <c r="H409" t="s">
        <v>2332</v>
      </c>
      <c r="I409" t="s">
        <v>2338</v>
      </c>
      <c r="J409" t="s">
        <v>2338</v>
      </c>
      <c r="K409" t="s">
        <v>2334</v>
      </c>
      <c r="L409" t="s">
        <v>2335</v>
      </c>
      <c r="M409" s="43">
        <v>45958.839944074076</v>
      </c>
      <c r="N409" t="s">
        <v>2338</v>
      </c>
      <c r="O409">
        <v>0</v>
      </c>
      <c r="P409">
        <v>0</v>
      </c>
      <c r="Q409" s="43">
        <v>45975.876703668982</v>
      </c>
      <c r="R409" s="43">
        <v>46034.744766053242</v>
      </c>
    </row>
    <row r="410" spans="1:18" hidden="1">
      <c r="A410" s="1">
        <v>187533500102</v>
      </c>
      <c r="B410" t="s">
        <v>1717</v>
      </c>
      <c r="C410">
        <v>187533500102</v>
      </c>
      <c r="D410" t="s">
        <v>1717</v>
      </c>
      <c r="E410" t="s">
        <v>2421</v>
      </c>
      <c r="F410" t="s">
        <v>36</v>
      </c>
      <c r="G410" t="s">
        <v>2337</v>
      </c>
      <c r="H410" t="s">
        <v>2332</v>
      </c>
      <c r="I410" s="1" t="s">
        <v>2338</v>
      </c>
      <c r="J410" t="s">
        <v>2338</v>
      </c>
      <c r="K410" t="s">
        <v>2334</v>
      </c>
      <c r="L410" t="s">
        <v>2335</v>
      </c>
      <c r="M410" s="43">
        <v>45149.699784270837</v>
      </c>
      <c r="N410" t="s">
        <v>2338</v>
      </c>
      <c r="O410">
        <v>1</v>
      </c>
      <c r="P410">
        <v>1</v>
      </c>
      <c r="Q410" s="43">
        <v>45943.591700196761</v>
      </c>
      <c r="R410" s="43">
        <v>46055.754921446758</v>
      </c>
    </row>
    <row r="411" spans="1:18" hidden="1">
      <c r="A411" s="1">
        <v>187533500102</v>
      </c>
      <c r="B411" t="s">
        <v>1717</v>
      </c>
      <c r="C411">
        <v>911633271302</v>
      </c>
      <c r="D411" t="s">
        <v>2586</v>
      </c>
      <c r="E411" t="s">
        <v>2421</v>
      </c>
      <c r="F411" t="s">
        <v>36</v>
      </c>
      <c r="G411" t="s">
        <v>2337</v>
      </c>
      <c r="H411" t="s">
        <v>2332</v>
      </c>
      <c r="I411" s="1" t="s">
        <v>2338</v>
      </c>
      <c r="J411" t="s">
        <v>2338</v>
      </c>
      <c r="K411" t="s">
        <v>2334</v>
      </c>
      <c r="L411" t="s">
        <v>2335</v>
      </c>
      <c r="M411" s="43">
        <v>45149.699784270837</v>
      </c>
      <c r="N411" t="s">
        <v>2338</v>
      </c>
      <c r="O411">
        <v>0</v>
      </c>
      <c r="P411">
        <v>0</v>
      </c>
      <c r="Q411" s="43">
        <v>45943.591701886573</v>
      </c>
      <c r="R411" s="43">
        <v>46055.754921446758</v>
      </c>
    </row>
    <row r="412" spans="1:18" hidden="1">
      <c r="A412" s="1">
        <v>702794226702</v>
      </c>
      <c r="B412" t="s">
        <v>2587</v>
      </c>
      <c r="C412">
        <v>702794226702</v>
      </c>
      <c r="D412" t="s">
        <v>2587</v>
      </c>
      <c r="E412" t="s">
        <v>2364</v>
      </c>
      <c r="F412" t="s">
        <v>37</v>
      </c>
      <c r="G412" t="s">
        <v>2337</v>
      </c>
      <c r="H412" t="s">
        <v>2332</v>
      </c>
      <c r="I412" s="1" t="s">
        <v>2338</v>
      </c>
      <c r="J412" t="s">
        <v>2338</v>
      </c>
      <c r="K412" t="s">
        <v>2334</v>
      </c>
      <c r="L412" t="s">
        <v>2335</v>
      </c>
      <c r="M412" s="43">
        <v>46020.895175266203</v>
      </c>
      <c r="N412" t="s">
        <v>2338</v>
      </c>
      <c r="O412">
        <v>1</v>
      </c>
      <c r="P412">
        <v>1</v>
      </c>
      <c r="Q412" s="43">
        <v>46031.763598865742</v>
      </c>
      <c r="R412" s="43">
        <v>46064.533435057871</v>
      </c>
    </row>
    <row r="413" spans="1:18">
      <c r="A413" s="1">
        <v>22861251602</v>
      </c>
      <c r="B413" t="s">
        <v>2281</v>
      </c>
      <c r="C413">
        <v>22861251602</v>
      </c>
      <c r="D413" t="s">
        <v>2281</v>
      </c>
      <c r="E413" t="s">
        <v>2472</v>
      </c>
      <c r="F413" t="s">
        <v>36</v>
      </c>
      <c r="G413" t="s">
        <v>2337</v>
      </c>
      <c r="H413" t="s">
        <v>2332</v>
      </c>
      <c r="I413" s="1" t="s">
        <v>2338</v>
      </c>
      <c r="J413" s="43" t="s">
        <v>2338</v>
      </c>
      <c r="K413" t="s">
        <v>2334</v>
      </c>
      <c r="L413" t="s">
        <v>2335</v>
      </c>
      <c r="M413" s="43">
        <v>45687.698590347223</v>
      </c>
      <c r="N413" t="s">
        <v>2338</v>
      </c>
      <c r="O413">
        <v>1</v>
      </c>
      <c r="P413">
        <v>1</v>
      </c>
      <c r="Q413" s="43">
        <v>45943.591698495373</v>
      </c>
      <c r="R413" s="43"/>
    </row>
    <row r="414" spans="1:18">
      <c r="A414" s="1">
        <v>15954434402</v>
      </c>
      <c r="B414" t="s">
        <v>1525</v>
      </c>
      <c r="C414">
        <v>15954434402</v>
      </c>
      <c r="D414" t="s">
        <v>1525</v>
      </c>
      <c r="E414" t="s">
        <v>2369</v>
      </c>
      <c r="G414" t="s">
        <v>2331</v>
      </c>
      <c r="H414" t="s">
        <v>2332</v>
      </c>
      <c r="I414" s="1" t="s">
        <v>2333</v>
      </c>
      <c r="J414" s="43" t="s">
        <v>2333</v>
      </c>
      <c r="K414" t="s">
        <v>2334</v>
      </c>
      <c r="L414" t="s">
        <v>2335</v>
      </c>
      <c r="M414" s="43">
        <v>45176.941549027775</v>
      </c>
      <c r="N414" t="s">
        <v>2333</v>
      </c>
      <c r="O414">
        <v>0</v>
      </c>
      <c r="P414">
        <v>1</v>
      </c>
      <c r="Q414" s="43"/>
      <c r="R414" s="43"/>
    </row>
    <row r="415" spans="1:18">
      <c r="A415" s="1">
        <v>318109251502</v>
      </c>
      <c r="B415" t="s">
        <v>2305</v>
      </c>
      <c r="C415">
        <v>318109251502</v>
      </c>
      <c r="D415" t="s">
        <v>2305</v>
      </c>
      <c r="E415" t="s">
        <v>2423</v>
      </c>
      <c r="G415" t="s">
        <v>2331</v>
      </c>
      <c r="H415" t="s">
        <v>2332</v>
      </c>
      <c r="I415" s="1" t="s">
        <v>2333</v>
      </c>
      <c r="J415" s="43" t="s">
        <v>2333</v>
      </c>
      <c r="K415" t="s">
        <v>2334</v>
      </c>
      <c r="L415" t="s">
        <v>2335</v>
      </c>
      <c r="M415" s="43">
        <v>45657.896888935182</v>
      </c>
      <c r="N415" t="s">
        <v>2333</v>
      </c>
      <c r="O415">
        <v>0</v>
      </c>
      <c r="P415">
        <v>1</v>
      </c>
      <c r="Q415" s="43"/>
      <c r="R415" s="43"/>
    </row>
    <row r="416" spans="1:18">
      <c r="A416" s="1">
        <v>734743947702</v>
      </c>
      <c r="B416" t="s">
        <v>2588</v>
      </c>
      <c r="C416">
        <v>500553466002</v>
      </c>
      <c r="D416" t="s">
        <v>2589</v>
      </c>
      <c r="E416" t="s">
        <v>2351</v>
      </c>
      <c r="F416" t="s">
        <v>37</v>
      </c>
      <c r="G416" t="s">
        <v>2337</v>
      </c>
      <c r="H416" t="s">
        <v>2332</v>
      </c>
      <c r="I416" s="1" t="s">
        <v>2338</v>
      </c>
      <c r="J416" s="43" t="s">
        <v>2338</v>
      </c>
      <c r="K416" t="s">
        <v>2334</v>
      </c>
      <c r="L416" t="s">
        <v>2335</v>
      </c>
      <c r="M416" s="43">
        <v>45873.720730127316</v>
      </c>
      <c r="N416" t="s">
        <v>2338</v>
      </c>
      <c r="O416">
        <v>0</v>
      </c>
      <c r="P416">
        <v>1</v>
      </c>
      <c r="Q416" s="43">
        <v>45943.591700381941</v>
      </c>
      <c r="R416" s="43">
        <v>46055.790973541669</v>
      </c>
    </row>
    <row r="417" spans="1:18">
      <c r="A417" s="1">
        <v>734743947702</v>
      </c>
      <c r="B417" t="s">
        <v>2588</v>
      </c>
      <c r="C417">
        <v>608754220802</v>
      </c>
      <c r="D417" t="s">
        <v>2590</v>
      </c>
      <c r="E417" t="s">
        <v>2351</v>
      </c>
      <c r="F417" t="s">
        <v>37</v>
      </c>
      <c r="G417" t="s">
        <v>2337</v>
      </c>
      <c r="H417" t="s">
        <v>2332</v>
      </c>
      <c r="I417" s="1" t="s">
        <v>2338</v>
      </c>
      <c r="J417" s="43" t="s">
        <v>2338</v>
      </c>
      <c r="K417" t="s">
        <v>2334</v>
      </c>
      <c r="L417" t="s">
        <v>2335</v>
      </c>
      <c r="M417" s="43">
        <v>45873.720730127316</v>
      </c>
      <c r="N417" t="s">
        <v>2338</v>
      </c>
      <c r="O417">
        <v>1</v>
      </c>
      <c r="P417">
        <v>0</v>
      </c>
      <c r="Q417" s="43">
        <v>45937.733951192131</v>
      </c>
      <c r="R417" s="43">
        <v>46055.790973541669</v>
      </c>
    </row>
    <row r="418" spans="1:18">
      <c r="A418" s="1">
        <v>734743947702</v>
      </c>
      <c r="B418" t="s">
        <v>2588</v>
      </c>
      <c r="C418">
        <v>734743947702</v>
      </c>
      <c r="D418" t="s">
        <v>2588</v>
      </c>
      <c r="E418" t="s">
        <v>2351</v>
      </c>
      <c r="F418" t="s">
        <v>37</v>
      </c>
      <c r="G418" t="s">
        <v>2337</v>
      </c>
      <c r="H418" t="s">
        <v>2332</v>
      </c>
      <c r="I418" s="1" t="s">
        <v>2338</v>
      </c>
      <c r="J418" s="43" t="s">
        <v>2338</v>
      </c>
      <c r="K418" t="s">
        <v>2334</v>
      </c>
      <c r="L418" t="s">
        <v>2335</v>
      </c>
      <c r="M418" s="43">
        <v>45873.720730127316</v>
      </c>
      <c r="N418" t="s">
        <v>2338</v>
      </c>
      <c r="O418">
        <v>0</v>
      </c>
      <c r="P418">
        <v>0</v>
      </c>
      <c r="Q418" s="43">
        <v>45957.833414594905</v>
      </c>
      <c r="R418" s="43">
        <v>46055.790973541669</v>
      </c>
    </row>
    <row r="419" spans="1:18">
      <c r="A419" s="1">
        <v>734743947702</v>
      </c>
      <c r="B419" t="s">
        <v>2588</v>
      </c>
      <c r="C419">
        <v>838524899602</v>
      </c>
      <c r="D419" t="s">
        <v>2310</v>
      </c>
      <c r="E419" t="s">
        <v>2351</v>
      </c>
      <c r="F419" t="s">
        <v>37</v>
      </c>
      <c r="G419" t="s">
        <v>2337</v>
      </c>
      <c r="H419" t="s">
        <v>2332</v>
      </c>
      <c r="I419" s="1" t="s">
        <v>2338</v>
      </c>
      <c r="J419" t="s">
        <v>2338</v>
      </c>
      <c r="K419" t="s">
        <v>2334</v>
      </c>
      <c r="L419" t="s">
        <v>2335</v>
      </c>
      <c r="M419" s="43">
        <v>45873.720730127316</v>
      </c>
      <c r="N419" t="s">
        <v>2338</v>
      </c>
      <c r="O419">
        <v>0</v>
      </c>
      <c r="P419">
        <v>0</v>
      </c>
      <c r="Q419" s="43">
        <v>45943.591702430553</v>
      </c>
      <c r="R419" s="43">
        <v>46055.790973541669</v>
      </c>
    </row>
    <row r="420" spans="1:18">
      <c r="A420" s="1">
        <v>693491100202</v>
      </c>
      <c r="B420" t="s">
        <v>1187</v>
      </c>
      <c r="C420">
        <v>693491100202</v>
      </c>
      <c r="D420" t="s">
        <v>1187</v>
      </c>
      <c r="E420" t="s">
        <v>2378</v>
      </c>
      <c r="G420" t="s">
        <v>2331</v>
      </c>
      <c r="H420" t="s">
        <v>2332</v>
      </c>
      <c r="I420" s="1" t="s">
        <v>2333</v>
      </c>
      <c r="J420" t="s">
        <v>2333</v>
      </c>
      <c r="K420" t="s">
        <v>2334</v>
      </c>
      <c r="L420" t="s">
        <v>2335</v>
      </c>
      <c r="M420" s="43">
        <v>45968.746986944447</v>
      </c>
      <c r="N420" t="s">
        <v>2333</v>
      </c>
      <c r="O420">
        <v>0</v>
      </c>
      <c r="P420">
        <v>1</v>
      </c>
      <c r="Q420" s="43"/>
    </row>
    <row r="421" spans="1:18" hidden="1">
      <c r="A421" s="1">
        <v>693491100202</v>
      </c>
      <c r="B421" t="s">
        <v>1187</v>
      </c>
      <c r="C421">
        <v>1020047152502</v>
      </c>
      <c r="D421" t="s">
        <v>2591</v>
      </c>
      <c r="E421" t="s">
        <v>2378</v>
      </c>
      <c r="G421" t="s">
        <v>2331</v>
      </c>
      <c r="H421" t="s">
        <v>2332</v>
      </c>
      <c r="I421" s="1" t="s">
        <v>2333</v>
      </c>
      <c r="J421" s="43" t="s">
        <v>2333</v>
      </c>
      <c r="K421" t="s">
        <v>2334</v>
      </c>
      <c r="L421" t="s">
        <v>2335</v>
      </c>
      <c r="M421" s="43">
        <v>45968.746986944447</v>
      </c>
      <c r="N421" t="s">
        <v>2333</v>
      </c>
      <c r="O421">
        <v>0</v>
      </c>
      <c r="P421">
        <v>0</v>
      </c>
      <c r="Q421" s="43"/>
      <c r="R421" s="43"/>
    </row>
    <row r="422" spans="1:18" hidden="1">
      <c r="A422" s="1">
        <v>7763660815</v>
      </c>
      <c r="B422" t="s">
        <v>895</v>
      </c>
      <c r="C422">
        <v>7763660815</v>
      </c>
      <c r="D422" t="s">
        <v>895</v>
      </c>
      <c r="E422" t="s">
        <v>2364</v>
      </c>
      <c r="F422" t="s">
        <v>37</v>
      </c>
      <c r="G422" t="s">
        <v>2337</v>
      </c>
      <c r="H422" t="s">
        <v>2332</v>
      </c>
      <c r="I422" s="1" t="s">
        <v>2338</v>
      </c>
      <c r="J422" s="43" t="s">
        <v>2338</v>
      </c>
      <c r="K422" t="s">
        <v>2334</v>
      </c>
      <c r="L422" t="s">
        <v>2335</v>
      </c>
      <c r="M422" s="43">
        <v>45657.898903900466</v>
      </c>
      <c r="N422" t="s">
        <v>2338</v>
      </c>
      <c r="O422">
        <v>1</v>
      </c>
      <c r="P422">
        <v>1</v>
      </c>
      <c r="Q422" s="43">
        <v>45882.831885856482</v>
      </c>
      <c r="R422" s="43">
        <v>46030.865237835649</v>
      </c>
    </row>
    <row r="423" spans="1:18" hidden="1">
      <c r="A423" s="1">
        <v>241002216802</v>
      </c>
      <c r="B423" t="s">
        <v>1704</v>
      </c>
      <c r="C423">
        <v>24416796702</v>
      </c>
      <c r="D423" t="s">
        <v>2592</v>
      </c>
      <c r="E423" t="s">
        <v>2393</v>
      </c>
      <c r="F423" t="s">
        <v>40</v>
      </c>
      <c r="G423" t="s">
        <v>2337</v>
      </c>
      <c r="H423" t="s">
        <v>2332</v>
      </c>
      <c r="I423" s="1" t="s">
        <v>2333</v>
      </c>
      <c r="J423" t="s">
        <v>2338</v>
      </c>
      <c r="K423" t="s">
        <v>2334</v>
      </c>
      <c r="L423" t="s">
        <v>2335</v>
      </c>
      <c r="M423" s="43">
        <v>45894.801624236112</v>
      </c>
      <c r="N423" t="s">
        <v>2338</v>
      </c>
      <c r="O423">
        <v>0</v>
      </c>
      <c r="P423">
        <v>1</v>
      </c>
      <c r="Q423" s="43">
        <v>45943.59171591435</v>
      </c>
      <c r="R423" s="43">
        <v>46034.661154814814</v>
      </c>
    </row>
    <row r="424" spans="1:18" hidden="1">
      <c r="A424" s="1">
        <v>241002216802</v>
      </c>
      <c r="B424" t="s">
        <v>1704</v>
      </c>
      <c r="C424">
        <v>241002216802</v>
      </c>
      <c r="D424" t="s">
        <v>1704</v>
      </c>
      <c r="E424" t="s">
        <v>2393</v>
      </c>
      <c r="F424" t="s">
        <v>40</v>
      </c>
      <c r="G424" t="s">
        <v>2337</v>
      </c>
      <c r="H424" t="s">
        <v>2332</v>
      </c>
      <c r="I424" s="1" t="s">
        <v>2338</v>
      </c>
      <c r="J424" t="s">
        <v>2338</v>
      </c>
      <c r="K424" t="s">
        <v>2334</v>
      </c>
      <c r="L424" t="s">
        <v>2335</v>
      </c>
      <c r="M424" s="43">
        <v>45894.801624236112</v>
      </c>
      <c r="N424" t="s">
        <v>2338</v>
      </c>
      <c r="O424">
        <v>1</v>
      </c>
      <c r="P424">
        <v>0</v>
      </c>
      <c r="Q424" s="43">
        <v>45943.591700046294</v>
      </c>
      <c r="R424" s="43">
        <v>46034.661154814814</v>
      </c>
    </row>
    <row r="425" spans="1:18" hidden="1">
      <c r="A425" s="1">
        <v>636641014902</v>
      </c>
      <c r="B425" t="s">
        <v>2593</v>
      </c>
      <c r="C425">
        <v>445812746902</v>
      </c>
      <c r="D425" t="s">
        <v>2594</v>
      </c>
      <c r="E425" t="s">
        <v>2344</v>
      </c>
      <c r="F425" t="s">
        <v>37</v>
      </c>
      <c r="G425" t="s">
        <v>2337</v>
      </c>
      <c r="H425" t="s">
        <v>2332</v>
      </c>
      <c r="I425" s="1" t="s">
        <v>2338</v>
      </c>
      <c r="J425" s="43" t="s">
        <v>2338</v>
      </c>
      <c r="K425" t="s">
        <v>2334</v>
      </c>
      <c r="L425" t="s">
        <v>2335</v>
      </c>
      <c r="M425" s="43">
        <v>46042.867415694447</v>
      </c>
      <c r="N425" t="s">
        <v>2338</v>
      </c>
      <c r="O425">
        <v>0</v>
      </c>
      <c r="P425">
        <v>1</v>
      </c>
      <c r="Q425" s="43">
        <v>46086.559630497686</v>
      </c>
      <c r="R425" s="43"/>
    </row>
    <row r="426" spans="1:18" hidden="1">
      <c r="A426" s="1">
        <v>636641014902</v>
      </c>
      <c r="B426" t="s">
        <v>2593</v>
      </c>
      <c r="C426">
        <v>636641014902</v>
      </c>
      <c r="D426" t="s">
        <v>2593</v>
      </c>
      <c r="E426" t="s">
        <v>2344</v>
      </c>
      <c r="F426" t="s">
        <v>37</v>
      </c>
      <c r="G426" t="s">
        <v>2337</v>
      </c>
      <c r="H426" t="s">
        <v>2332</v>
      </c>
      <c r="I426" s="1" t="s">
        <v>2338</v>
      </c>
      <c r="J426" s="43" t="s">
        <v>2338</v>
      </c>
      <c r="K426" t="s">
        <v>2334</v>
      </c>
      <c r="L426" t="s">
        <v>2335</v>
      </c>
      <c r="M426" s="43">
        <v>46042.867415694447</v>
      </c>
      <c r="N426" t="s">
        <v>2338</v>
      </c>
      <c r="O426">
        <v>1</v>
      </c>
      <c r="P426">
        <v>0</v>
      </c>
      <c r="Q426" s="43">
        <v>46052.772279027777</v>
      </c>
      <c r="R426" s="43"/>
    </row>
    <row r="427" spans="1:18" hidden="1">
      <c r="A427" s="1">
        <v>636641014902</v>
      </c>
      <c r="B427" t="s">
        <v>2593</v>
      </c>
      <c r="C427">
        <v>636641014902</v>
      </c>
      <c r="D427" t="s">
        <v>2593</v>
      </c>
      <c r="E427" t="s">
        <v>2344</v>
      </c>
      <c r="F427" t="s">
        <v>37</v>
      </c>
      <c r="G427" t="s">
        <v>2337</v>
      </c>
      <c r="H427" t="s">
        <v>2332</v>
      </c>
      <c r="I427" s="1" t="s">
        <v>2338</v>
      </c>
      <c r="J427" s="43" t="s">
        <v>2338</v>
      </c>
      <c r="K427" t="s">
        <v>2334</v>
      </c>
      <c r="L427" t="s">
        <v>2335</v>
      </c>
      <c r="M427" s="43">
        <v>46042.867415694447</v>
      </c>
      <c r="N427" t="s">
        <v>2338</v>
      </c>
      <c r="O427">
        <v>0</v>
      </c>
      <c r="P427">
        <v>0</v>
      </c>
      <c r="Q427" s="43">
        <v>46052.772279363424</v>
      </c>
      <c r="R427" s="43"/>
    </row>
    <row r="428" spans="1:18" hidden="1">
      <c r="A428" s="1">
        <v>610886576</v>
      </c>
      <c r="B428" t="s">
        <v>2595</v>
      </c>
      <c r="C428">
        <v>610886576</v>
      </c>
      <c r="D428" t="s">
        <v>2595</v>
      </c>
      <c r="E428" t="s">
        <v>2364</v>
      </c>
      <c r="F428" t="s">
        <v>37</v>
      </c>
      <c r="G428" t="s">
        <v>2337</v>
      </c>
      <c r="H428" t="s">
        <v>2332</v>
      </c>
      <c r="I428" s="1" t="s">
        <v>2338</v>
      </c>
      <c r="J428" s="43" t="s">
        <v>2338</v>
      </c>
      <c r="K428" t="s">
        <v>2334</v>
      </c>
      <c r="L428" t="s">
        <v>2335</v>
      </c>
      <c r="M428" s="43">
        <v>45987.560417222223</v>
      </c>
      <c r="N428" t="s">
        <v>2338</v>
      </c>
      <c r="O428">
        <v>1</v>
      </c>
      <c r="P428">
        <v>1</v>
      </c>
      <c r="Q428" s="43">
        <v>46001.874994942133</v>
      </c>
      <c r="R428" s="43">
        <v>46029.864871527781</v>
      </c>
    </row>
    <row r="429" spans="1:18" hidden="1">
      <c r="A429" s="1">
        <v>736960318302</v>
      </c>
      <c r="B429" t="s">
        <v>2596</v>
      </c>
      <c r="C429">
        <v>141987353202</v>
      </c>
      <c r="D429" t="s">
        <v>2597</v>
      </c>
      <c r="E429" t="s">
        <v>2351</v>
      </c>
      <c r="F429" t="s">
        <v>37</v>
      </c>
      <c r="G429" t="s">
        <v>2337</v>
      </c>
      <c r="H429" t="s">
        <v>2332</v>
      </c>
      <c r="I429" s="1" t="s">
        <v>2338</v>
      </c>
      <c r="J429" s="43" t="s">
        <v>2338</v>
      </c>
      <c r="K429" t="s">
        <v>2334</v>
      </c>
      <c r="L429" t="s">
        <v>2335</v>
      </c>
      <c r="M429" s="43">
        <v>45873.717527418979</v>
      </c>
      <c r="N429" t="s">
        <v>2338</v>
      </c>
      <c r="O429">
        <v>0</v>
      </c>
      <c r="P429">
        <v>1</v>
      </c>
      <c r="Q429" s="43">
        <v>45943.5916999537</v>
      </c>
      <c r="R429" s="43"/>
    </row>
    <row r="430" spans="1:18" hidden="1">
      <c r="A430" s="1">
        <v>736960318302</v>
      </c>
      <c r="B430" t="s">
        <v>2596</v>
      </c>
      <c r="C430">
        <v>281658231902</v>
      </c>
      <c r="D430" t="s">
        <v>2309</v>
      </c>
      <c r="E430" t="s">
        <v>2351</v>
      </c>
      <c r="F430" t="s">
        <v>37</v>
      </c>
      <c r="G430" t="s">
        <v>2337</v>
      </c>
      <c r="H430" t="s">
        <v>2332</v>
      </c>
      <c r="I430" s="1" t="s">
        <v>2338</v>
      </c>
      <c r="J430" s="43" t="s">
        <v>2338</v>
      </c>
      <c r="K430" t="s">
        <v>2334</v>
      </c>
      <c r="L430" t="s">
        <v>2335</v>
      </c>
      <c r="M430" s="43">
        <v>45873.717527418979</v>
      </c>
      <c r="N430" t="s">
        <v>2338</v>
      </c>
      <c r="O430">
        <v>0</v>
      </c>
      <c r="P430">
        <v>0</v>
      </c>
      <c r="Q430" s="43">
        <v>45943.591698576391</v>
      </c>
      <c r="R430" s="43"/>
    </row>
    <row r="431" spans="1:18" hidden="1">
      <c r="A431" s="1">
        <v>736960318302</v>
      </c>
      <c r="B431" t="s">
        <v>2596</v>
      </c>
      <c r="C431">
        <v>736960318302</v>
      </c>
      <c r="D431" t="s">
        <v>2596</v>
      </c>
      <c r="E431" t="s">
        <v>2351</v>
      </c>
      <c r="F431" t="s">
        <v>37</v>
      </c>
      <c r="G431" t="s">
        <v>2337</v>
      </c>
      <c r="H431" t="s">
        <v>2332</v>
      </c>
      <c r="I431" s="1" t="s">
        <v>2338</v>
      </c>
      <c r="J431" s="43" t="s">
        <v>2338</v>
      </c>
      <c r="K431" t="s">
        <v>2334</v>
      </c>
      <c r="L431" t="s">
        <v>2335</v>
      </c>
      <c r="M431" s="43">
        <v>45873.717527418979</v>
      </c>
      <c r="N431" t="s">
        <v>2338</v>
      </c>
      <c r="O431">
        <v>1</v>
      </c>
      <c r="P431">
        <v>0</v>
      </c>
      <c r="Q431" s="43">
        <v>45908.494721400464</v>
      </c>
    </row>
    <row r="432" spans="1:18" hidden="1">
      <c r="A432" s="1">
        <v>736960318302</v>
      </c>
      <c r="B432" t="s">
        <v>2596</v>
      </c>
      <c r="C432">
        <v>1098572809802</v>
      </c>
      <c r="D432" t="s">
        <v>2598</v>
      </c>
      <c r="E432" t="s">
        <v>2351</v>
      </c>
      <c r="F432" t="s">
        <v>37</v>
      </c>
      <c r="G432" t="s">
        <v>2337</v>
      </c>
      <c r="H432" t="s">
        <v>2332</v>
      </c>
      <c r="I432" s="1" t="s">
        <v>2338</v>
      </c>
      <c r="J432" s="43" t="s">
        <v>2338</v>
      </c>
      <c r="K432" t="s">
        <v>2334</v>
      </c>
      <c r="L432" t="s">
        <v>2335</v>
      </c>
      <c r="M432" s="43">
        <v>45873.717527418979</v>
      </c>
      <c r="N432" t="s">
        <v>2338</v>
      </c>
      <c r="O432">
        <v>0</v>
      </c>
      <c r="P432">
        <v>0</v>
      </c>
      <c r="Q432" s="43">
        <v>46063.785613101849</v>
      </c>
      <c r="R432" s="43"/>
    </row>
    <row r="433" spans="1:18" hidden="1">
      <c r="A433">
        <v>801134136002</v>
      </c>
      <c r="B433" t="s">
        <v>2599</v>
      </c>
      <c r="C433">
        <v>801134136002</v>
      </c>
      <c r="D433" t="s">
        <v>2599</v>
      </c>
      <c r="E433" t="s">
        <v>2362</v>
      </c>
      <c r="F433" t="s">
        <v>39</v>
      </c>
      <c r="G433" t="s">
        <v>2337</v>
      </c>
      <c r="H433" t="s">
        <v>2332</v>
      </c>
      <c r="I433" t="s">
        <v>2338</v>
      </c>
      <c r="J433" s="3" t="s">
        <v>2338</v>
      </c>
      <c r="K433" t="s">
        <v>2334</v>
      </c>
      <c r="L433" t="s">
        <v>2335</v>
      </c>
      <c r="M433" s="43">
        <v>45980.834757928242</v>
      </c>
      <c r="N433" t="s">
        <v>2338</v>
      </c>
      <c r="O433">
        <v>1</v>
      </c>
      <c r="P433">
        <v>1</v>
      </c>
      <c r="Q433" s="43">
        <v>46002.824534490741</v>
      </c>
      <c r="R433" s="43"/>
    </row>
    <row r="434" spans="1:18" hidden="1">
      <c r="A434">
        <v>408932491102</v>
      </c>
      <c r="B434" t="s">
        <v>2600</v>
      </c>
      <c r="C434">
        <v>408932491102</v>
      </c>
      <c r="D434" t="s">
        <v>2600</v>
      </c>
      <c r="E434" t="s">
        <v>2351</v>
      </c>
      <c r="F434" t="s">
        <v>37</v>
      </c>
      <c r="G434" t="s">
        <v>2337</v>
      </c>
      <c r="H434" t="s">
        <v>2332</v>
      </c>
      <c r="I434" t="s">
        <v>2338</v>
      </c>
      <c r="J434" s="3" t="s">
        <v>2338</v>
      </c>
      <c r="K434" t="s">
        <v>2334</v>
      </c>
      <c r="L434" t="s">
        <v>2335</v>
      </c>
      <c r="M434" s="43">
        <v>46020.895553287039</v>
      </c>
      <c r="N434" t="s">
        <v>2338</v>
      </c>
      <c r="O434">
        <v>1</v>
      </c>
      <c r="P434">
        <v>1</v>
      </c>
      <c r="Q434" s="43">
        <v>46031.763598275465</v>
      </c>
      <c r="R434" s="43">
        <v>46055.845458657408</v>
      </c>
    </row>
    <row r="435" spans="1:18" hidden="1">
      <c r="A435">
        <v>662733088802</v>
      </c>
      <c r="B435" t="s">
        <v>2601</v>
      </c>
      <c r="C435">
        <v>662733088802</v>
      </c>
      <c r="D435" t="s">
        <v>2601</v>
      </c>
      <c r="E435" t="s">
        <v>2344</v>
      </c>
      <c r="F435" t="s">
        <v>37</v>
      </c>
      <c r="G435" t="s">
        <v>2337</v>
      </c>
      <c r="H435" t="s">
        <v>2332</v>
      </c>
      <c r="I435" t="s">
        <v>2338</v>
      </c>
      <c r="J435" s="3" t="s">
        <v>2338</v>
      </c>
      <c r="K435" t="s">
        <v>2334</v>
      </c>
      <c r="L435" t="s">
        <v>2335</v>
      </c>
      <c r="M435" s="43">
        <v>46042.866312569444</v>
      </c>
      <c r="N435" t="s">
        <v>2338</v>
      </c>
      <c r="O435">
        <v>1</v>
      </c>
      <c r="P435">
        <v>1</v>
      </c>
      <c r="Q435" s="43">
        <v>46052.772279363424</v>
      </c>
      <c r="R435" s="43">
        <v>46057.639400185188</v>
      </c>
    </row>
    <row r="436" spans="1:18">
      <c r="A436">
        <v>662733088802</v>
      </c>
      <c r="B436" t="s">
        <v>2601</v>
      </c>
      <c r="C436">
        <v>662733088802</v>
      </c>
      <c r="D436" t="s">
        <v>2601</v>
      </c>
      <c r="E436" t="s">
        <v>2344</v>
      </c>
      <c r="F436" t="s">
        <v>37</v>
      </c>
      <c r="G436" t="s">
        <v>2337</v>
      </c>
      <c r="H436" t="s">
        <v>2332</v>
      </c>
      <c r="I436" t="s">
        <v>2338</v>
      </c>
      <c r="J436" s="3" t="s">
        <v>2338</v>
      </c>
      <c r="K436" t="s">
        <v>2334</v>
      </c>
      <c r="L436" t="s">
        <v>2335</v>
      </c>
      <c r="M436" s="43">
        <v>46042.866312569444</v>
      </c>
      <c r="N436" t="s">
        <v>2338</v>
      </c>
      <c r="O436">
        <v>0</v>
      </c>
      <c r="P436">
        <v>0</v>
      </c>
      <c r="Q436" s="43">
        <v>46052.772280486111</v>
      </c>
      <c r="R436" s="43">
        <v>46057.639400185188</v>
      </c>
    </row>
    <row r="437" spans="1:18">
      <c r="A437">
        <v>639051510002</v>
      </c>
      <c r="B437" t="s">
        <v>2602</v>
      </c>
      <c r="C437">
        <v>639051510002</v>
      </c>
      <c r="D437" t="s">
        <v>2602</v>
      </c>
      <c r="E437" t="s">
        <v>2423</v>
      </c>
      <c r="G437" t="s">
        <v>2331</v>
      </c>
      <c r="H437" t="s">
        <v>2332</v>
      </c>
      <c r="I437" t="s">
        <v>2333</v>
      </c>
      <c r="J437" s="3" t="s">
        <v>2333</v>
      </c>
      <c r="K437" t="s">
        <v>2334</v>
      </c>
      <c r="L437" t="s">
        <v>2335</v>
      </c>
      <c r="M437" s="43">
        <v>46042.862614363425</v>
      </c>
      <c r="N437" t="s">
        <v>2333</v>
      </c>
      <c r="O437">
        <v>0</v>
      </c>
      <c r="P437">
        <v>1</v>
      </c>
      <c r="Q437" s="43"/>
      <c r="R437" s="43"/>
    </row>
    <row r="438" spans="1:18" hidden="1">
      <c r="A438">
        <v>182760498402</v>
      </c>
      <c r="B438" t="s">
        <v>1754</v>
      </c>
      <c r="C438">
        <v>182760498402</v>
      </c>
      <c r="D438" t="s">
        <v>1754</v>
      </c>
      <c r="E438" t="s">
        <v>2366</v>
      </c>
      <c r="G438" t="s">
        <v>2331</v>
      </c>
      <c r="H438" t="s">
        <v>2332</v>
      </c>
      <c r="I438" t="s">
        <v>2333</v>
      </c>
      <c r="J438" s="3" t="s">
        <v>2333</v>
      </c>
      <c r="K438" t="s">
        <v>2334</v>
      </c>
      <c r="L438" t="s">
        <v>2335</v>
      </c>
      <c r="M438" s="43">
        <v>45308.884125474535</v>
      </c>
      <c r="N438" t="s">
        <v>2333</v>
      </c>
      <c r="O438">
        <v>0</v>
      </c>
      <c r="P438">
        <v>1</v>
      </c>
      <c r="Q438" s="43"/>
      <c r="R438" s="43"/>
    </row>
    <row r="439" spans="1:18" hidden="1">
      <c r="A439">
        <v>646758699302</v>
      </c>
      <c r="B439" t="s">
        <v>2603</v>
      </c>
      <c r="C439">
        <v>646760381702</v>
      </c>
      <c r="D439" t="s">
        <v>2603</v>
      </c>
      <c r="E439" t="s">
        <v>2423</v>
      </c>
      <c r="G439" t="s">
        <v>2331</v>
      </c>
      <c r="H439" t="s">
        <v>2332</v>
      </c>
      <c r="I439" t="s">
        <v>2333</v>
      </c>
      <c r="J439" s="3" t="s">
        <v>2333</v>
      </c>
      <c r="K439" t="s">
        <v>2334</v>
      </c>
      <c r="L439" t="s">
        <v>2335</v>
      </c>
      <c r="M439" s="43">
        <v>46037.861786145833</v>
      </c>
      <c r="N439" t="s">
        <v>2333</v>
      </c>
      <c r="O439">
        <v>0</v>
      </c>
      <c r="P439">
        <v>1</v>
      </c>
      <c r="Q439" s="43"/>
      <c r="R439" s="43"/>
    </row>
    <row r="440" spans="1:18" hidden="1">
      <c r="A440">
        <v>58401384302</v>
      </c>
      <c r="B440" t="s">
        <v>1152</v>
      </c>
      <c r="C440">
        <v>58401384302</v>
      </c>
      <c r="D440" t="s">
        <v>1152</v>
      </c>
      <c r="E440" t="s">
        <v>2362</v>
      </c>
      <c r="F440" t="s">
        <v>39</v>
      </c>
      <c r="G440" t="s">
        <v>2337</v>
      </c>
      <c r="H440" t="s">
        <v>2332</v>
      </c>
      <c r="I440" t="s">
        <v>2338</v>
      </c>
      <c r="J440" s="3" t="s">
        <v>2338</v>
      </c>
      <c r="K440" t="s">
        <v>2334</v>
      </c>
      <c r="L440" t="s">
        <v>2335</v>
      </c>
      <c r="M440" s="43">
        <v>45681.563893668979</v>
      </c>
      <c r="N440" t="s">
        <v>2338</v>
      </c>
      <c r="O440">
        <v>1</v>
      </c>
      <c r="P440">
        <v>1</v>
      </c>
      <c r="Q440" s="43">
        <v>45943.591726030092</v>
      </c>
    </row>
    <row r="441" spans="1:18" hidden="1">
      <c r="A441">
        <v>277711423902</v>
      </c>
      <c r="B441" t="s">
        <v>737</v>
      </c>
      <c r="C441">
        <v>277711423902</v>
      </c>
      <c r="D441" t="s">
        <v>737</v>
      </c>
      <c r="E441" t="s">
        <v>2344</v>
      </c>
      <c r="F441" t="s">
        <v>37</v>
      </c>
      <c r="G441" t="s">
        <v>2337</v>
      </c>
      <c r="H441" t="s">
        <v>2332</v>
      </c>
      <c r="I441" t="s">
        <v>2338</v>
      </c>
      <c r="J441" s="3" t="s">
        <v>2338</v>
      </c>
      <c r="K441" t="s">
        <v>2334</v>
      </c>
      <c r="L441" t="s">
        <v>2335</v>
      </c>
      <c r="M441" s="43">
        <v>45901.813121493054</v>
      </c>
      <c r="N441" t="s">
        <v>2338</v>
      </c>
      <c r="O441">
        <v>1</v>
      </c>
      <c r="P441">
        <v>1</v>
      </c>
      <c r="Q441" s="43">
        <v>45943.591699918979</v>
      </c>
      <c r="R441" s="43">
        <v>46029.865672037035</v>
      </c>
    </row>
    <row r="442" spans="1:18" hidden="1">
      <c r="A442">
        <v>277711423902</v>
      </c>
      <c r="B442" t="s">
        <v>737</v>
      </c>
      <c r="C442">
        <v>374008562902</v>
      </c>
      <c r="D442" t="s">
        <v>2604</v>
      </c>
      <c r="E442" t="s">
        <v>2344</v>
      </c>
      <c r="F442" t="s">
        <v>37</v>
      </c>
      <c r="G442" t="s">
        <v>2337</v>
      </c>
      <c r="H442" t="s">
        <v>2332</v>
      </c>
      <c r="I442" t="s">
        <v>2338</v>
      </c>
      <c r="J442" s="3" t="s">
        <v>2338</v>
      </c>
      <c r="K442" t="s">
        <v>2334</v>
      </c>
      <c r="L442" t="s">
        <v>2335</v>
      </c>
      <c r="M442" s="43">
        <v>45901.813121493054</v>
      </c>
      <c r="N442" t="s">
        <v>2338</v>
      </c>
      <c r="O442">
        <v>0</v>
      </c>
      <c r="P442">
        <v>0</v>
      </c>
      <c r="Q442" s="43">
        <v>45943.591701493053</v>
      </c>
      <c r="R442" s="43">
        <v>46029.865672037035</v>
      </c>
    </row>
    <row r="443" spans="1:18" hidden="1">
      <c r="A443">
        <v>314278248802</v>
      </c>
      <c r="B443" t="s">
        <v>194</v>
      </c>
      <c r="C443">
        <v>124490635002</v>
      </c>
      <c r="D443" t="s">
        <v>2605</v>
      </c>
      <c r="E443" t="s">
        <v>2379</v>
      </c>
      <c r="F443" t="s">
        <v>38</v>
      </c>
      <c r="G443" t="s">
        <v>2337</v>
      </c>
      <c r="H443" t="s">
        <v>2332</v>
      </c>
      <c r="I443" t="s">
        <v>2338</v>
      </c>
      <c r="J443" s="3" t="s">
        <v>2338</v>
      </c>
      <c r="K443" t="s">
        <v>2334</v>
      </c>
      <c r="L443" t="s">
        <v>2335</v>
      </c>
      <c r="M443" s="43">
        <v>45286.858747488426</v>
      </c>
      <c r="N443" t="s">
        <v>2338</v>
      </c>
      <c r="O443">
        <v>0</v>
      </c>
      <c r="P443">
        <v>1</v>
      </c>
      <c r="Q443" s="43">
        <v>45943.591728923609</v>
      </c>
      <c r="R443" s="43">
        <v>46064.901952268519</v>
      </c>
    </row>
    <row r="444" spans="1:18" hidden="1">
      <c r="A444">
        <v>314278248802</v>
      </c>
      <c r="B444" t="s">
        <v>194</v>
      </c>
      <c r="C444">
        <v>314278248802</v>
      </c>
      <c r="D444" t="s">
        <v>194</v>
      </c>
      <c r="E444" t="s">
        <v>2379</v>
      </c>
      <c r="F444" t="s">
        <v>38</v>
      </c>
      <c r="G444" t="s">
        <v>2337</v>
      </c>
      <c r="H444" t="s">
        <v>2332</v>
      </c>
      <c r="I444" t="s">
        <v>2338</v>
      </c>
      <c r="J444" s="3" t="s">
        <v>2338</v>
      </c>
      <c r="K444" t="s">
        <v>2334</v>
      </c>
      <c r="L444" t="s">
        <v>2335</v>
      </c>
      <c r="M444" s="43">
        <v>45286.858747488426</v>
      </c>
      <c r="N444" t="s">
        <v>2338</v>
      </c>
      <c r="O444">
        <v>1</v>
      </c>
      <c r="P444">
        <v>0</v>
      </c>
      <c r="Q444" s="43">
        <v>45943.591728055559</v>
      </c>
      <c r="R444" s="43">
        <v>46064.901952268519</v>
      </c>
    </row>
    <row r="445" spans="1:18" hidden="1">
      <c r="A445">
        <v>1030040901202</v>
      </c>
      <c r="B445" t="s">
        <v>810</v>
      </c>
      <c r="C445">
        <v>1010033571702</v>
      </c>
      <c r="D445" t="s">
        <v>2606</v>
      </c>
      <c r="E445" t="s">
        <v>2351</v>
      </c>
      <c r="F445" t="s">
        <v>37</v>
      </c>
      <c r="G445" t="s">
        <v>2337</v>
      </c>
      <c r="H445" t="s">
        <v>2332</v>
      </c>
      <c r="I445" t="s">
        <v>2338</v>
      </c>
      <c r="J445" s="3" t="s">
        <v>2338</v>
      </c>
      <c r="K445" t="s">
        <v>2334</v>
      </c>
      <c r="L445" t="s">
        <v>2335</v>
      </c>
      <c r="M445" s="43">
        <v>45746.834782951388</v>
      </c>
      <c r="N445" t="s">
        <v>2338</v>
      </c>
      <c r="O445">
        <v>0</v>
      </c>
      <c r="P445">
        <v>1</v>
      </c>
      <c r="Q445" s="43">
        <v>45889.742897442127</v>
      </c>
      <c r="R445" s="43">
        <v>46041.825869803244</v>
      </c>
    </row>
    <row r="446" spans="1:18" hidden="1">
      <c r="A446">
        <v>1030040901202</v>
      </c>
      <c r="B446" t="s">
        <v>810</v>
      </c>
      <c r="C446">
        <v>1030040901202</v>
      </c>
      <c r="D446" t="s">
        <v>810</v>
      </c>
      <c r="E446" t="s">
        <v>2351</v>
      </c>
      <c r="F446" t="s">
        <v>37</v>
      </c>
      <c r="G446" t="s">
        <v>2337</v>
      </c>
      <c r="H446" t="s">
        <v>2332</v>
      </c>
      <c r="I446" t="s">
        <v>2338</v>
      </c>
      <c r="J446" s="3" t="s">
        <v>2338</v>
      </c>
      <c r="K446" t="s">
        <v>2334</v>
      </c>
      <c r="L446" t="s">
        <v>2335</v>
      </c>
      <c r="M446" s="43">
        <v>45746.834782951388</v>
      </c>
      <c r="N446" t="s">
        <v>2338</v>
      </c>
      <c r="O446">
        <v>1</v>
      </c>
      <c r="P446">
        <v>0</v>
      </c>
      <c r="Q446" s="43">
        <v>45845.724126226851</v>
      </c>
      <c r="R446" s="43">
        <v>46041.825869803244</v>
      </c>
    </row>
    <row r="447" spans="1:18">
      <c r="A447">
        <v>316851710302</v>
      </c>
      <c r="B447" t="s">
        <v>1494</v>
      </c>
      <c r="C447">
        <v>316851710302</v>
      </c>
      <c r="D447" t="s">
        <v>1494</v>
      </c>
      <c r="E447" t="s">
        <v>2353</v>
      </c>
      <c r="F447" t="s">
        <v>36</v>
      </c>
      <c r="G447" t="s">
        <v>2337</v>
      </c>
      <c r="H447" t="s">
        <v>2332</v>
      </c>
      <c r="I447" t="s">
        <v>2338</v>
      </c>
      <c r="J447" s="3" t="s">
        <v>2338</v>
      </c>
      <c r="K447" t="s">
        <v>2334</v>
      </c>
      <c r="L447" t="s">
        <v>2335</v>
      </c>
      <c r="M447" s="43">
        <v>46063.527874988424</v>
      </c>
      <c r="N447" t="s">
        <v>2338</v>
      </c>
      <c r="O447">
        <v>1</v>
      </c>
      <c r="P447">
        <v>1</v>
      </c>
      <c r="Q447" s="43">
        <v>46066.160094537037</v>
      </c>
      <c r="R447" s="43">
        <v>46078.577206967595</v>
      </c>
    </row>
    <row r="448" spans="1:18">
      <c r="A448">
        <v>364311616102</v>
      </c>
      <c r="B448" t="s">
        <v>2607</v>
      </c>
      <c r="C448">
        <v>364311616102</v>
      </c>
      <c r="D448" t="s">
        <v>2607</v>
      </c>
      <c r="E448" t="s">
        <v>2364</v>
      </c>
      <c r="F448" t="s">
        <v>37</v>
      </c>
      <c r="G448" t="s">
        <v>2337</v>
      </c>
      <c r="H448" t="s">
        <v>2332</v>
      </c>
      <c r="I448" t="s">
        <v>2338</v>
      </c>
      <c r="J448" s="3" t="s">
        <v>2338</v>
      </c>
      <c r="K448" t="s">
        <v>2334</v>
      </c>
      <c r="L448" t="s">
        <v>2335</v>
      </c>
      <c r="M448" s="43">
        <v>46020.893226527776</v>
      </c>
      <c r="N448" t="s">
        <v>2338</v>
      </c>
      <c r="O448">
        <v>1</v>
      </c>
      <c r="P448">
        <v>1</v>
      </c>
      <c r="Q448" s="43">
        <v>46031.763598206016</v>
      </c>
      <c r="R448" s="43">
        <v>46042.86896709491</v>
      </c>
    </row>
    <row r="449" spans="1:18">
      <c r="A449">
        <v>364311616102</v>
      </c>
      <c r="B449" t="s">
        <v>2607</v>
      </c>
      <c r="C449">
        <v>1194380409302</v>
      </c>
      <c r="D449" t="s">
        <v>2608</v>
      </c>
      <c r="E449" t="s">
        <v>2364</v>
      </c>
      <c r="F449" t="s">
        <v>37</v>
      </c>
      <c r="G449" t="s">
        <v>2337</v>
      </c>
      <c r="H449" t="s">
        <v>2332</v>
      </c>
      <c r="I449" t="s">
        <v>2338</v>
      </c>
      <c r="J449" s="3" t="s">
        <v>2338</v>
      </c>
      <c r="K449" t="s">
        <v>2334</v>
      </c>
      <c r="L449" t="s">
        <v>2335</v>
      </c>
      <c r="M449" s="43">
        <v>46020.893226527776</v>
      </c>
      <c r="N449" t="s">
        <v>2338</v>
      </c>
      <c r="O449">
        <v>0</v>
      </c>
      <c r="P449">
        <v>0</v>
      </c>
      <c r="Q449" s="43">
        <v>46050.816045173611</v>
      </c>
      <c r="R449" s="43">
        <v>46042.86896709491</v>
      </c>
    </row>
    <row r="450" spans="1:18" hidden="1">
      <c r="A450">
        <v>370384621102</v>
      </c>
      <c r="B450" t="s">
        <v>2609</v>
      </c>
      <c r="C450">
        <v>370384621102</v>
      </c>
      <c r="D450" t="s">
        <v>2609</v>
      </c>
      <c r="E450" t="s">
        <v>2423</v>
      </c>
      <c r="G450" t="s">
        <v>2331</v>
      </c>
      <c r="H450" t="s">
        <v>2332</v>
      </c>
      <c r="I450" t="s">
        <v>2333</v>
      </c>
      <c r="J450" s="3" t="s">
        <v>2333</v>
      </c>
      <c r="K450" t="s">
        <v>2334</v>
      </c>
      <c r="L450" t="s">
        <v>2335</v>
      </c>
      <c r="M450" s="43">
        <v>46042.862286944444</v>
      </c>
      <c r="N450" t="s">
        <v>2333</v>
      </c>
      <c r="O450">
        <v>0</v>
      </c>
      <c r="P450">
        <v>1</v>
      </c>
      <c r="Q450" s="43"/>
      <c r="R450" s="43"/>
    </row>
    <row r="451" spans="1:18" hidden="1">
      <c r="A451">
        <v>20025747402</v>
      </c>
      <c r="B451" t="s">
        <v>524</v>
      </c>
      <c r="C451">
        <v>20025747402</v>
      </c>
      <c r="D451" t="s">
        <v>524</v>
      </c>
      <c r="E451" t="s">
        <v>2363</v>
      </c>
      <c r="F451" t="s">
        <v>40</v>
      </c>
      <c r="G451" t="s">
        <v>2337</v>
      </c>
      <c r="H451" t="s">
        <v>2332</v>
      </c>
      <c r="I451" t="s">
        <v>2338</v>
      </c>
      <c r="J451" s="3" t="s">
        <v>2338</v>
      </c>
      <c r="K451" t="s">
        <v>2334</v>
      </c>
      <c r="L451" t="s">
        <v>2335</v>
      </c>
      <c r="M451" s="43">
        <v>45282.852280057872</v>
      </c>
      <c r="N451" t="s">
        <v>2338</v>
      </c>
      <c r="O451">
        <v>1</v>
      </c>
      <c r="P451">
        <v>1</v>
      </c>
      <c r="Q451" s="43">
        <v>45943.591726608793</v>
      </c>
      <c r="R451" s="43">
        <v>46058.789128842589</v>
      </c>
    </row>
    <row r="452" spans="1:18">
      <c r="A452">
        <v>320035971002</v>
      </c>
      <c r="B452" t="s">
        <v>208</v>
      </c>
      <c r="C452">
        <v>320035971002</v>
      </c>
      <c r="D452" t="s">
        <v>208</v>
      </c>
      <c r="E452" t="s">
        <v>2353</v>
      </c>
      <c r="F452" t="s">
        <v>36</v>
      </c>
      <c r="G452" t="s">
        <v>2337</v>
      </c>
      <c r="H452" t="s">
        <v>2332</v>
      </c>
      <c r="I452" t="s">
        <v>2338</v>
      </c>
      <c r="J452" s="3" t="s">
        <v>2338</v>
      </c>
      <c r="K452" t="s">
        <v>2334</v>
      </c>
      <c r="L452" t="s">
        <v>2335</v>
      </c>
      <c r="M452" s="43">
        <v>45674.725714780092</v>
      </c>
      <c r="N452" t="s">
        <v>2338</v>
      </c>
      <c r="O452">
        <v>1</v>
      </c>
      <c r="P452">
        <v>1</v>
      </c>
      <c r="Q452" s="43">
        <v>45943.591728645835</v>
      </c>
      <c r="R452" s="43"/>
    </row>
    <row r="453" spans="1:18">
      <c r="A453">
        <v>191336978502</v>
      </c>
      <c r="B453" t="s">
        <v>768</v>
      </c>
      <c r="C453">
        <v>191336978502</v>
      </c>
      <c r="D453" t="s">
        <v>768</v>
      </c>
      <c r="E453" t="s">
        <v>2344</v>
      </c>
      <c r="F453" t="s">
        <v>37</v>
      </c>
      <c r="G453" t="s">
        <v>2337</v>
      </c>
      <c r="H453" t="s">
        <v>2332</v>
      </c>
      <c r="I453" t="s">
        <v>2338</v>
      </c>
      <c r="J453" s="3" t="s">
        <v>2338</v>
      </c>
      <c r="K453" t="s">
        <v>2334</v>
      </c>
      <c r="L453" t="s">
        <v>2335</v>
      </c>
      <c r="M453" s="43">
        <v>45896.701828124998</v>
      </c>
      <c r="N453" t="s">
        <v>2338</v>
      </c>
      <c r="O453">
        <v>1</v>
      </c>
      <c r="P453">
        <v>1</v>
      </c>
      <c r="Q453" s="43">
        <v>45943.591699965276</v>
      </c>
      <c r="R453" s="43">
        <v>46037.833945868057</v>
      </c>
    </row>
    <row r="454" spans="1:18" hidden="1">
      <c r="A454">
        <v>549848560202</v>
      </c>
      <c r="B454" t="s">
        <v>437</v>
      </c>
      <c r="C454">
        <v>549848560202</v>
      </c>
      <c r="D454" t="s">
        <v>437</v>
      </c>
      <c r="E454" t="s">
        <v>2381</v>
      </c>
      <c r="F454" t="s">
        <v>38</v>
      </c>
      <c r="G454" t="s">
        <v>2337</v>
      </c>
      <c r="H454" t="s">
        <v>2332</v>
      </c>
      <c r="I454" t="s">
        <v>2338</v>
      </c>
      <c r="J454" s="3" t="s">
        <v>2338</v>
      </c>
      <c r="K454" t="s">
        <v>2334</v>
      </c>
      <c r="L454" t="s">
        <v>2335</v>
      </c>
      <c r="M454" s="43">
        <v>45665.824644826389</v>
      </c>
      <c r="N454" t="s">
        <v>2338</v>
      </c>
      <c r="O454">
        <v>1</v>
      </c>
      <c r="P454">
        <v>1</v>
      </c>
      <c r="Q454" s="43">
        <v>45882.831885937499</v>
      </c>
      <c r="R454" s="43">
        <v>46029.628298298609</v>
      </c>
    </row>
    <row r="455" spans="1:18" hidden="1">
      <c r="A455">
        <v>130065728702</v>
      </c>
      <c r="B455" t="s">
        <v>1303</v>
      </c>
      <c r="C455">
        <v>130065728702</v>
      </c>
      <c r="D455" t="s">
        <v>1303</v>
      </c>
      <c r="E455" t="s">
        <v>2379</v>
      </c>
      <c r="F455" t="s">
        <v>38</v>
      </c>
      <c r="G455" t="s">
        <v>2337</v>
      </c>
      <c r="H455" t="s">
        <v>2332</v>
      </c>
      <c r="I455" t="s">
        <v>2338</v>
      </c>
      <c r="J455" s="3" t="s">
        <v>2338</v>
      </c>
      <c r="K455" t="s">
        <v>2334</v>
      </c>
      <c r="L455" t="s">
        <v>2335</v>
      </c>
      <c r="M455" s="43">
        <v>45657.894505497687</v>
      </c>
      <c r="N455" t="s">
        <v>2338</v>
      </c>
      <c r="O455">
        <v>1</v>
      </c>
      <c r="P455">
        <v>1</v>
      </c>
      <c r="Q455" s="43">
        <v>45943.591703472222</v>
      </c>
      <c r="R455" s="43">
        <v>46038.671211238427</v>
      </c>
    </row>
    <row r="456" spans="1:18">
      <c r="A456">
        <v>130065728702</v>
      </c>
      <c r="B456" t="s">
        <v>1303</v>
      </c>
      <c r="C456">
        <v>130183560902</v>
      </c>
      <c r="D456" t="s">
        <v>2610</v>
      </c>
      <c r="E456" t="s">
        <v>2379</v>
      </c>
      <c r="F456" t="s">
        <v>38</v>
      </c>
      <c r="G456" t="s">
        <v>2337</v>
      </c>
      <c r="H456" t="s">
        <v>2332</v>
      </c>
      <c r="I456" t="s">
        <v>2338</v>
      </c>
      <c r="J456" t="s">
        <v>2338</v>
      </c>
      <c r="K456" t="s">
        <v>2334</v>
      </c>
      <c r="L456" t="s">
        <v>2335</v>
      </c>
      <c r="M456" s="43">
        <v>45657.894505497687</v>
      </c>
      <c r="N456" t="s">
        <v>2338</v>
      </c>
      <c r="O456">
        <v>0</v>
      </c>
      <c r="P456">
        <v>0</v>
      </c>
      <c r="Q456" s="43">
        <v>45943.591714745373</v>
      </c>
      <c r="R456" s="43">
        <v>46038.671211238427</v>
      </c>
    </row>
    <row r="457" spans="1:18">
      <c r="A457">
        <v>130065728702</v>
      </c>
      <c r="B457" t="s">
        <v>1303</v>
      </c>
      <c r="C457">
        <v>365217284302</v>
      </c>
      <c r="D457" t="s">
        <v>2611</v>
      </c>
      <c r="E457" t="s">
        <v>2379</v>
      </c>
      <c r="F457" t="s">
        <v>38</v>
      </c>
      <c r="G457" t="s">
        <v>2337</v>
      </c>
      <c r="H457" t="s">
        <v>2332</v>
      </c>
      <c r="I457" t="s">
        <v>2338</v>
      </c>
      <c r="J457" t="s">
        <v>2338</v>
      </c>
      <c r="K457" t="s">
        <v>2334</v>
      </c>
      <c r="L457" t="s">
        <v>2335</v>
      </c>
      <c r="M457" s="43">
        <v>45657.894505497687</v>
      </c>
      <c r="N457" t="s">
        <v>2338</v>
      </c>
      <c r="O457">
        <v>0</v>
      </c>
      <c r="P457">
        <v>0</v>
      </c>
      <c r="Q457" s="43">
        <v>45943.591707523148</v>
      </c>
      <c r="R457" s="43">
        <v>46038.671211238427</v>
      </c>
    </row>
    <row r="458" spans="1:18" hidden="1">
      <c r="A458">
        <v>20208037402</v>
      </c>
      <c r="B458" t="s">
        <v>1678</v>
      </c>
      <c r="C458">
        <v>20208037402</v>
      </c>
      <c r="D458" t="s">
        <v>1678</v>
      </c>
      <c r="E458" t="s">
        <v>2342</v>
      </c>
      <c r="F458" t="s">
        <v>38</v>
      </c>
      <c r="G458" t="s">
        <v>2337</v>
      </c>
      <c r="H458" t="s">
        <v>2332</v>
      </c>
      <c r="I458" t="s">
        <v>2338</v>
      </c>
      <c r="J458" t="s">
        <v>2338</v>
      </c>
      <c r="K458" t="s">
        <v>2334</v>
      </c>
      <c r="L458" t="s">
        <v>2335</v>
      </c>
      <c r="M458" s="43">
        <v>45684.703106516201</v>
      </c>
      <c r="N458" t="s">
        <v>2338</v>
      </c>
      <c r="O458">
        <v>1</v>
      </c>
      <c r="P458">
        <v>1</v>
      </c>
      <c r="Q458" s="43">
        <v>45882.831885902779</v>
      </c>
      <c r="R458" s="43">
        <v>46028.805043912034</v>
      </c>
    </row>
    <row r="459" spans="1:18" hidden="1">
      <c r="A459">
        <v>26322058702</v>
      </c>
      <c r="B459" t="s">
        <v>1559</v>
      </c>
      <c r="C459">
        <v>26322058702</v>
      </c>
      <c r="D459" t="s">
        <v>1559</v>
      </c>
      <c r="E459" t="s">
        <v>2361</v>
      </c>
      <c r="F459" t="s">
        <v>40</v>
      </c>
      <c r="G459" t="s">
        <v>2337</v>
      </c>
      <c r="H459" t="s">
        <v>2332</v>
      </c>
      <c r="I459" t="s">
        <v>2338</v>
      </c>
      <c r="J459" t="s">
        <v>2338</v>
      </c>
      <c r="K459" t="s">
        <v>2334</v>
      </c>
      <c r="L459" t="s">
        <v>2335</v>
      </c>
      <c r="M459" s="43">
        <v>45686.148037060186</v>
      </c>
      <c r="N459" t="s">
        <v>2338</v>
      </c>
      <c r="O459">
        <v>1</v>
      </c>
      <c r="P459">
        <v>1</v>
      </c>
      <c r="Q459" s="43">
        <v>45943.591727187501</v>
      </c>
    </row>
    <row r="460" spans="1:18" hidden="1">
      <c r="A460">
        <v>769057452302</v>
      </c>
      <c r="B460" t="s">
        <v>2612</v>
      </c>
      <c r="C460">
        <v>769057452302</v>
      </c>
      <c r="D460" t="s">
        <v>2612</v>
      </c>
      <c r="E460" t="s">
        <v>2472</v>
      </c>
      <c r="F460" t="s">
        <v>36</v>
      </c>
      <c r="G460" t="s">
        <v>2337</v>
      </c>
      <c r="H460" t="s">
        <v>2332</v>
      </c>
      <c r="I460" t="s">
        <v>2338</v>
      </c>
      <c r="J460" t="s">
        <v>2338</v>
      </c>
      <c r="K460" t="s">
        <v>2334</v>
      </c>
      <c r="L460" t="s">
        <v>2335</v>
      </c>
      <c r="M460" s="43">
        <v>46017.755213368058</v>
      </c>
      <c r="N460" t="s">
        <v>2338</v>
      </c>
      <c r="O460">
        <v>1</v>
      </c>
      <c r="P460">
        <v>1</v>
      </c>
      <c r="Q460" s="43">
        <v>46031.763597870369</v>
      </c>
    </row>
    <row r="461" spans="1:18" hidden="1">
      <c r="A461">
        <v>27309334902</v>
      </c>
      <c r="B461" t="s">
        <v>1788</v>
      </c>
      <c r="C461">
        <v>27309334902</v>
      </c>
      <c r="D461" t="s">
        <v>1788</v>
      </c>
      <c r="E461" t="s">
        <v>2366</v>
      </c>
      <c r="G461" t="s">
        <v>2331</v>
      </c>
      <c r="H461" t="s">
        <v>2332</v>
      </c>
      <c r="I461" t="s">
        <v>2333</v>
      </c>
      <c r="J461" t="s">
        <v>2333</v>
      </c>
      <c r="K461" t="s">
        <v>2334</v>
      </c>
      <c r="L461" t="s">
        <v>2335</v>
      </c>
      <c r="M461" s="43">
        <v>45680.528875763892</v>
      </c>
      <c r="N461" t="s">
        <v>2333</v>
      </c>
      <c r="O461">
        <v>0</v>
      </c>
      <c r="P461">
        <v>1</v>
      </c>
    </row>
    <row r="462" spans="1:18" hidden="1">
      <c r="A462">
        <v>27309334902</v>
      </c>
      <c r="B462" t="s">
        <v>1788</v>
      </c>
      <c r="C462">
        <v>156545305602</v>
      </c>
      <c r="D462" t="s">
        <v>2613</v>
      </c>
      <c r="E462" t="s">
        <v>2366</v>
      </c>
      <c r="G462" t="s">
        <v>2331</v>
      </c>
      <c r="H462" t="s">
        <v>2332</v>
      </c>
      <c r="I462" t="s">
        <v>2333</v>
      </c>
      <c r="J462" t="s">
        <v>2333</v>
      </c>
      <c r="K462" t="s">
        <v>2334</v>
      </c>
      <c r="L462" t="s">
        <v>2335</v>
      </c>
      <c r="M462" s="43">
        <v>45680.528875763892</v>
      </c>
      <c r="N462" t="s">
        <v>2333</v>
      </c>
      <c r="O462">
        <v>0</v>
      </c>
      <c r="P462">
        <v>0</v>
      </c>
    </row>
    <row r="463" spans="1:18" hidden="1">
      <c r="A463">
        <v>27309334902</v>
      </c>
      <c r="B463" t="s">
        <v>1788</v>
      </c>
      <c r="C463">
        <v>737494673302</v>
      </c>
      <c r="D463" t="s">
        <v>2614</v>
      </c>
      <c r="E463" t="s">
        <v>2366</v>
      </c>
      <c r="G463" t="s">
        <v>2331</v>
      </c>
      <c r="H463" t="s">
        <v>2332</v>
      </c>
      <c r="I463" t="s">
        <v>2333</v>
      </c>
      <c r="J463" t="s">
        <v>2333</v>
      </c>
      <c r="K463" t="s">
        <v>2334</v>
      </c>
      <c r="L463" t="s">
        <v>2335</v>
      </c>
      <c r="M463" s="43">
        <v>45680.528875763892</v>
      </c>
      <c r="N463" t="s">
        <v>2333</v>
      </c>
      <c r="O463">
        <v>0</v>
      </c>
      <c r="P463">
        <v>0</v>
      </c>
      <c r="Q463" s="43"/>
      <c r="R463" s="43"/>
    </row>
    <row r="464" spans="1:18" hidden="1">
      <c r="A464">
        <v>93900917902</v>
      </c>
      <c r="B464" t="s">
        <v>2018</v>
      </c>
      <c r="C464">
        <v>93900917902</v>
      </c>
      <c r="D464" t="s">
        <v>2018</v>
      </c>
      <c r="E464" t="s">
        <v>2352</v>
      </c>
      <c r="F464" t="s">
        <v>38</v>
      </c>
      <c r="G464" t="s">
        <v>2337</v>
      </c>
      <c r="H464" t="s">
        <v>2332</v>
      </c>
      <c r="I464" t="s">
        <v>2333</v>
      </c>
      <c r="J464" t="s">
        <v>2338</v>
      </c>
      <c r="K464" t="s">
        <v>2334</v>
      </c>
      <c r="L464" t="s">
        <v>2335</v>
      </c>
      <c r="M464" s="43">
        <v>45664.526469328703</v>
      </c>
      <c r="N464" t="s">
        <v>2338</v>
      </c>
      <c r="O464">
        <v>0</v>
      </c>
      <c r="P464">
        <v>1</v>
      </c>
      <c r="Q464" s="43">
        <v>45889.742897766206</v>
      </c>
      <c r="R464" s="43">
        <v>46028.636480925925</v>
      </c>
    </row>
    <row r="465" spans="1:18" hidden="1">
      <c r="A465">
        <v>93900917902</v>
      </c>
      <c r="B465" t="s">
        <v>2018</v>
      </c>
      <c r="C465">
        <v>642633814402</v>
      </c>
      <c r="D465" t="s">
        <v>2021</v>
      </c>
      <c r="E465" t="s">
        <v>2352</v>
      </c>
      <c r="F465" t="s">
        <v>40</v>
      </c>
      <c r="G465" t="s">
        <v>2337</v>
      </c>
      <c r="H465" t="s">
        <v>2332</v>
      </c>
      <c r="I465" t="s">
        <v>2338</v>
      </c>
      <c r="J465" t="s">
        <v>2338</v>
      </c>
      <c r="K465" t="s">
        <v>2334</v>
      </c>
      <c r="L465" t="s">
        <v>2335</v>
      </c>
      <c r="M465" s="43">
        <v>45664.526469328703</v>
      </c>
      <c r="N465" t="s">
        <v>2338</v>
      </c>
      <c r="O465">
        <v>1</v>
      </c>
      <c r="P465">
        <v>0</v>
      </c>
      <c r="Q465" s="43">
        <v>45845.724122060186</v>
      </c>
      <c r="R465" s="43">
        <v>46028.636480925925</v>
      </c>
    </row>
    <row r="466" spans="1:18" hidden="1">
      <c r="A466">
        <v>669516273102</v>
      </c>
      <c r="B466" t="s">
        <v>2615</v>
      </c>
      <c r="C466">
        <v>669516273102</v>
      </c>
      <c r="D466" t="s">
        <v>2615</v>
      </c>
      <c r="E466" t="s">
        <v>2336</v>
      </c>
      <c r="F466" t="s">
        <v>39</v>
      </c>
      <c r="G466" t="s">
        <v>2337</v>
      </c>
      <c r="H466" t="s">
        <v>2332</v>
      </c>
      <c r="I466" t="s">
        <v>2338</v>
      </c>
      <c r="J466" t="s">
        <v>2338</v>
      </c>
      <c r="K466" t="s">
        <v>2334</v>
      </c>
      <c r="L466" t="s">
        <v>2335</v>
      </c>
      <c r="M466" s="43">
        <v>45987.547668460647</v>
      </c>
      <c r="N466" t="s">
        <v>2338</v>
      </c>
      <c r="O466">
        <v>1</v>
      </c>
      <c r="P466">
        <v>1</v>
      </c>
      <c r="Q466" s="43">
        <v>46002.824534317129</v>
      </c>
    </row>
    <row r="467" spans="1:18" hidden="1">
      <c r="A467">
        <v>244366726002</v>
      </c>
      <c r="B467" t="s">
        <v>398</v>
      </c>
      <c r="C467">
        <v>244366726002</v>
      </c>
      <c r="D467" t="s">
        <v>398</v>
      </c>
      <c r="E467" t="s">
        <v>2379</v>
      </c>
      <c r="F467" t="s">
        <v>38</v>
      </c>
      <c r="G467" t="s">
        <v>2337</v>
      </c>
      <c r="H467" t="s">
        <v>2332</v>
      </c>
      <c r="I467" t="s">
        <v>2338</v>
      </c>
      <c r="J467" t="s">
        <v>2338</v>
      </c>
      <c r="K467" t="s">
        <v>2334</v>
      </c>
      <c r="L467" t="s">
        <v>2335</v>
      </c>
      <c r="M467" s="43">
        <v>45446.597014490741</v>
      </c>
      <c r="N467" t="s">
        <v>2338</v>
      </c>
      <c r="O467">
        <v>1</v>
      </c>
      <c r="P467">
        <v>1</v>
      </c>
      <c r="Q467" s="43">
        <v>45845.724126446759</v>
      </c>
      <c r="R467" s="43">
        <v>46065.873568240742</v>
      </c>
    </row>
    <row r="468" spans="1:18" hidden="1">
      <c r="A468">
        <v>244366726002</v>
      </c>
      <c r="B468" t="s">
        <v>398</v>
      </c>
      <c r="C468">
        <v>704260037202</v>
      </c>
      <c r="D468" t="s">
        <v>2616</v>
      </c>
      <c r="E468" t="s">
        <v>2379</v>
      </c>
      <c r="F468" t="s">
        <v>38</v>
      </c>
      <c r="G468" t="s">
        <v>2337</v>
      </c>
      <c r="H468" t="s">
        <v>2332</v>
      </c>
      <c r="I468" t="s">
        <v>2338</v>
      </c>
      <c r="J468" t="s">
        <v>2338</v>
      </c>
      <c r="K468" t="s">
        <v>2334</v>
      </c>
      <c r="L468" t="s">
        <v>2335</v>
      </c>
      <c r="M468" s="43">
        <v>45446.597014490741</v>
      </c>
      <c r="N468" t="s">
        <v>2338</v>
      </c>
      <c r="O468">
        <v>0</v>
      </c>
      <c r="P468">
        <v>0</v>
      </c>
      <c r="Q468" s="43">
        <v>45894.779134814817</v>
      </c>
      <c r="R468" s="43">
        <v>46065.873568240742</v>
      </c>
    </row>
    <row r="469" spans="1:18" hidden="1">
      <c r="A469">
        <v>244366726002</v>
      </c>
      <c r="B469" t="s">
        <v>398</v>
      </c>
      <c r="C469">
        <v>822521527602</v>
      </c>
      <c r="D469" t="s">
        <v>2617</v>
      </c>
      <c r="E469" t="s">
        <v>2379</v>
      </c>
      <c r="F469" t="s">
        <v>38</v>
      </c>
      <c r="G469" t="s">
        <v>2337</v>
      </c>
      <c r="H469" t="s">
        <v>2332</v>
      </c>
      <c r="I469" t="s">
        <v>2338</v>
      </c>
      <c r="J469" t="s">
        <v>2338</v>
      </c>
      <c r="K469" t="s">
        <v>2334</v>
      </c>
      <c r="L469" t="s">
        <v>2335</v>
      </c>
      <c r="M469" s="43">
        <v>45446.597014490741</v>
      </c>
      <c r="N469" t="s">
        <v>2338</v>
      </c>
      <c r="O469">
        <v>0</v>
      </c>
      <c r="P469">
        <v>0</v>
      </c>
      <c r="Q469" s="43">
        <v>45894.779135694444</v>
      </c>
      <c r="R469" s="43">
        <v>46065.873568240742</v>
      </c>
    </row>
    <row r="470" spans="1:18">
      <c r="A470">
        <v>10369153302</v>
      </c>
      <c r="B470" t="s">
        <v>329</v>
      </c>
      <c r="C470">
        <v>10369153302</v>
      </c>
      <c r="D470" t="s">
        <v>329</v>
      </c>
      <c r="E470" t="s">
        <v>2408</v>
      </c>
      <c r="F470" t="s">
        <v>39</v>
      </c>
      <c r="G470" t="s">
        <v>2337</v>
      </c>
      <c r="H470" t="s">
        <v>2332</v>
      </c>
      <c r="I470" t="s">
        <v>2338</v>
      </c>
      <c r="J470" t="s">
        <v>2338</v>
      </c>
      <c r="K470" t="s">
        <v>2334</v>
      </c>
      <c r="L470" t="s">
        <v>2335</v>
      </c>
      <c r="M470" s="43">
        <v>45747.944504537038</v>
      </c>
      <c r="N470" t="s">
        <v>2338</v>
      </c>
      <c r="O470">
        <v>1</v>
      </c>
      <c r="P470">
        <v>1</v>
      </c>
      <c r="Q470" s="43">
        <v>45845.724123067128</v>
      </c>
    </row>
    <row r="471" spans="1:18">
      <c r="A471">
        <v>10369153302</v>
      </c>
      <c r="B471" t="s">
        <v>329</v>
      </c>
      <c r="C471">
        <v>639050652002</v>
      </c>
      <c r="D471" t="s">
        <v>2618</v>
      </c>
      <c r="E471" t="s">
        <v>2408</v>
      </c>
      <c r="F471" t="s">
        <v>39</v>
      </c>
      <c r="G471" t="s">
        <v>2337</v>
      </c>
      <c r="H471" t="s">
        <v>2332</v>
      </c>
      <c r="I471" t="s">
        <v>2338</v>
      </c>
      <c r="J471" t="s">
        <v>2338</v>
      </c>
      <c r="K471" t="s">
        <v>2334</v>
      </c>
      <c r="L471" t="s">
        <v>2335</v>
      </c>
      <c r="M471" s="43">
        <v>45747.944504537038</v>
      </c>
      <c r="N471" t="s">
        <v>2338</v>
      </c>
      <c r="O471">
        <v>0</v>
      </c>
      <c r="P471">
        <v>0</v>
      </c>
      <c r="Q471" s="43">
        <v>45894.779136249999</v>
      </c>
    </row>
    <row r="472" spans="1:18">
      <c r="A472">
        <v>607776398302</v>
      </c>
      <c r="B472" t="s">
        <v>223</v>
      </c>
      <c r="C472">
        <v>607776398302</v>
      </c>
      <c r="D472" t="s">
        <v>223</v>
      </c>
      <c r="E472" t="s">
        <v>2393</v>
      </c>
      <c r="F472" t="s">
        <v>40</v>
      </c>
      <c r="G472" t="s">
        <v>2337</v>
      </c>
      <c r="H472" t="s">
        <v>2332</v>
      </c>
      <c r="I472" t="s">
        <v>2333</v>
      </c>
      <c r="J472" t="s">
        <v>2338</v>
      </c>
      <c r="K472" t="s">
        <v>2334</v>
      </c>
      <c r="L472" t="s">
        <v>2335</v>
      </c>
      <c r="M472" s="43">
        <v>45516.805057141202</v>
      </c>
      <c r="N472" t="s">
        <v>2338</v>
      </c>
      <c r="O472">
        <v>1</v>
      </c>
      <c r="P472">
        <v>1</v>
      </c>
      <c r="Q472" s="43">
        <v>45943.591705775463</v>
      </c>
      <c r="R472" s="43">
        <v>46031.607803842591</v>
      </c>
    </row>
    <row r="473" spans="1:18">
      <c r="A473">
        <v>658814193902</v>
      </c>
      <c r="B473" t="s">
        <v>683</v>
      </c>
      <c r="C473">
        <v>658814193902</v>
      </c>
      <c r="D473" t="s">
        <v>683</v>
      </c>
      <c r="E473" t="s">
        <v>2353</v>
      </c>
      <c r="F473" t="s">
        <v>36</v>
      </c>
      <c r="G473" t="s">
        <v>2337</v>
      </c>
      <c r="H473" t="s">
        <v>2332</v>
      </c>
      <c r="I473" t="s">
        <v>2338</v>
      </c>
      <c r="J473" t="s">
        <v>2338</v>
      </c>
      <c r="K473" t="s">
        <v>2334</v>
      </c>
      <c r="L473" t="s">
        <v>2335</v>
      </c>
      <c r="M473" s="43">
        <v>45680.708943634258</v>
      </c>
      <c r="N473" t="s">
        <v>2338</v>
      </c>
      <c r="O473">
        <v>1</v>
      </c>
      <c r="P473">
        <v>1</v>
      </c>
      <c r="Q473" s="43">
        <v>45943.591728333333</v>
      </c>
      <c r="R473" s="43">
        <v>46030.608039999999</v>
      </c>
    </row>
    <row r="474" spans="1:18">
      <c r="A474">
        <v>148874146702</v>
      </c>
      <c r="B474" t="s">
        <v>2619</v>
      </c>
      <c r="C474">
        <v>148874146702</v>
      </c>
      <c r="D474" t="s">
        <v>2619</v>
      </c>
      <c r="E474" t="s">
        <v>2378</v>
      </c>
      <c r="F474" t="s">
        <v>39</v>
      </c>
      <c r="G474" t="s">
        <v>2337</v>
      </c>
      <c r="H474" t="s">
        <v>2332</v>
      </c>
      <c r="I474" t="s">
        <v>2338</v>
      </c>
      <c r="J474" t="s">
        <v>2338</v>
      </c>
      <c r="K474" t="s">
        <v>2334</v>
      </c>
      <c r="L474" t="s">
        <v>2335</v>
      </c>
      <c r="M474" s="43">
        <v>46050.803692002315</v>
      </c>
      <c r="N474" t="s">
        <v>2338</v>
      </c>
      <c r="O474">
        <v>1</v>
      </c>
      <c r="P474">
        <v>1</v>
      </c>
      <c r="Q474" s="43">
        <v>46066.160094525461</v>
      </c>
    </row>
    <row r="475" spans="1:18">
      <c r="A475">
        <v>93957442302</v>
      </c>
      <c r="B475" t="s">
        <v>2620</v>
      </c>
      <c r="C475">
        <v>93957442302</v>
      </c>
      <c r="D475" t="s">
        <v>2620</v>
      </c>
      <c r="E475" t="s">
        <v>2349</v>
      </c>
      <c r="G475" t="s">
        <v>2331</v>
      </c>
      <c r="H475" t="s">
        <v>2332</v>
      </c>
      <c r="I475" t="s">
        <v>2333</v>
      </c>
      <c r="J475" t="s">
        <v>2333</v>
      </c>
      <c r="K475" t="s">
        <v>2334</v>
      </c>
      <c r="L475" t="s">
        <v>2335</v>
      </c>
      <c r="M475" s="43">
        <v>46049.578606701391</v>
      </c>
      <c r="N475" t="s">
        <v>2333</v>
      </c>
      <c r="O475">
        <v>0</v>
      </c>
      <c r="P475">
        <v>1</v>
      </c>
    </row>
    <row r="476" spans="1:18">
      <c r="A476">
        <v>40274588502</v>
      </c>
      <c r="B476" t="s">
        <v>866</v>
      </c>
      <c r="C476">
        <v>40274588502</v>
      </c>
      <c r="D476" t="s">
        <v>866</v>
      </c>
      <c r="E476" t="s">
        <v>2336</v>
      </c>
      <c r="F476" t="s">
        <v>39</v>
      </c>
      <c r="G476" t="s">
        <v>2337</v>
      </c>
      <c r="H476" t="s">
        <v>2332</v>
      </c>
      <c r="I476" t="s">
        <v>2338</v>
      </c>
      <c r="J476" t="s">
        <v>2338</v>
      </c>
      <c r="K476" t="s">
        <v>2400</v>
      </c>
      <c r="L476" t="s">
        <v>2335</v>
      </c>
      <c r="M476" s="43">
        <v>45927.02601671296</v>
      </c>
      <c r="N476" t="s">
        <v>2338</v>
      </c>
      <c r="O476">
        <v>1</v>
      </c>
      <c r="P476">
        <v>1</v>
      </c>
      <c r="Q476" s="43">
        <v>45943.591700474535</v>
      </c>
    </row>
    <row r="477" spans="1:18">
      <c r="A477">
        <v>1128226343902</v>
      </c>
      <c r="B477" t="s">
        <v>2621</v>
      </c>
      <c r="C477">
        <v>1128226343902</v>
      </c>
      <c r="D477" t="s">
        <v>2621</v>
      </c>
      <c r="E477" t="s">
        <v>2361</v>
      </c>
      <c r="F477" t="s">
        <v>40</v>
      </c>
      <c r="G477" t="s">
        <v>2337</v>
      </c>
      <c r="H477" t="s">
        <v>2332</v>
      </c>
      <c r="I477" t="s">
        <v>2338</v>
      </c>
      <c r="J477" t="s">
        <v>2338</v>
      </c>
      <c r="K477" t="s">
        <v>2334</v>
      </c>
      <c r="L477" t="s">
        <v>2335</v>
      </c>
      <c r="M477" s="43">
        <v>45972.707499432872</v>
      </c>
      <c r="N477" t="s">
        <v>2338</v>
      </c>
      <c r="O477">
        <v>1</v>
      </c>
      <c r="P477">
        <v>1</v>
      </c>
      <c r="Q477" s="43">
        <v>46052.772280300924</v>
      </c>
    </row>
    <row r="478" spans="1:18">
      <c r="A478">
        <v>29271934502</v>
      </c>
      <c r="B478" t="s">
        <v>965</v>
      </c>
      <c r="C478">
        <v>29271934502</v>
      </c>
      <c r="D478" t="s">
        <v>965</v>
      </c>
      <c r="E478" t="s">
        <v>2363</v>
      </c>
      <c r="F478" t="s">
        <v>40</v>
      </c>
      <c r="G478" t="s">
        <v>2337</v>
      </c>
      <c r="H478" t="s">
        <v>2332</v>
      </c>
      <c r="I478" t="s">
        <v>2338</v>
      </c>
      <c r="J478" t="s">
        <v>2338</v>
      </c>
      <c r="K478" t="s">
        <v>2334</v>
      </c>
      <c r="L478" t="s">
        <v>2335</v>
      </c>
      <c r="M478" s="43">
        <v>45957.859744583337</v>
      </c>
      <c r="N478" t="s">
        <v>2338</v>
      </c>
      <c r="O478">
        <v>0</v>
      </c>
      <c r="P478">
        <v>1</v>
      </c>
      <c r="Q478" s="43">
        <v>45971.742968460647</v>
      </c>
      <c r="R478" s="43">
        <v>46029.618744097221</v>
      </c>
    </row>
    <row r="479" spans="1:18">
      <c r="A479">
        <v>29271934502</v>
      </c>
      <c r="B479" t="s">
        <v>965</v>
      </c>
      <c r="C479">
        <v>1138178402502</v>
      </c>
      <c r="D479" t="s">
        <v>2622</v>
      </c>
      <c r="E479" t="s">
        <v>2363</v>
      </c>
      <c r="F479" t="s">
        <v>40</v>
      </c>
      <c r="G479" t="s">
        <v>2337</v>
      </c>
      <c r="H479" t="s">
        <v>2332</v>
      </c>
      <c r="I479" t="s">
        <v>2338</v>
      </c>
      <c r="J479" t="s">
        <v>2338</v>
      </c>
      <c r="K479" t="s">
        <v>2334</v>
      </c>
      <c r="L479" t="s">
        <v>2335</v>
      </c>
      <c r="M479" s="43">
        <v>45957.859744583337</v>
      </c>
      <c r="N479" t="s">
        <v>2338</v>
      </c>
      <c r="O479">
        <v>1</v>
      </c>
      <c r="P479">
        <v>0</v>
      </c>
      <c r="Q479" s="43">
        <v>45967.784050509261</v>
      </c>
      <c r="R479" s="43">
        <v>46029.618744097221</v>
      </c>
    </row>
    <row r="480" spans="1:18">
      <c r="A480">
        <v>816067318102</v>
      </c>
      <c r="B480" t="s">
        <v>1643</v>
      </c>
      <c r="C480">
        <v>816067318102</v>
      </c>
      <c r="D480" t="s">
        <v>1643</v>
      </c>
      <c r="E480" t="s">
        <v>2421</v>
      </c>
      <c r="F480" t="s">
        <v>36</v>
      </c>
      <c r="G480" t="s">
        <v>2337</v>
      </c>
      <c r="H480" t="s">
        <v>2332</v>
      </c>
      <c r="I480" t="s">
        <v>2338</v>
      </c>
      <c r="J480" t="s">
        <v>2338</v>
      </c>
      <c r="K480" t="s">
        <v>2334</v>
      </c>
      <c r="L480" t="s">
        <v>2335</v>
      </c>
      <c r="M480" s="43">
        <v>45645.67337207176</v>
      </c>
      <c r="N480" t="s">
        <v>2338</v>
      </c>
      <c r="O480">
        <v>1</v>
      </c>
      <c r="P480">
        <v>1</v>
      </c>
      <c r="Q480" s="43">
        <v>45845.724125833331</v>
      </c>
      <c r="R480" s="43">
        <v>46035.780956006944</v>
      </c>
    </row>
    <row r="481" spans="1:18">
      <c r="A481">
        <v>24558652202</v>
      </c>
      <c r="B481" t="s">
        <v>102</v>
      </c>
      <c r="C481">
        <v>24558652202</v>
      </c>
      <c r="D481" t="s">
        <v>102</v>
      </c>
      <c r="E481" t="s">
        <v>2381</v>
      </c>
      <c r="F481" t="s">
        <v>38</v>
      </c>
      <c r="G481" t="s">
        <v>2337</v>
      </c>
      <c r="H481" t="s">
        <v>2332</v>
      </c>
      <c r="I481" t="s">
        <v>2338</v>
      </c>
      <c r="J481" t="s">
        <v>2338</v>
      </c>
      <c r="K481" t="s">
        <v>2334</v>
      </c>
      <c r="L481" t="s">
        <v>2335</v>
      </c>
      <c r="M481" s="43">
        <v>45684.693291597221</v>
      </c>
      <c r="N481" t="s">
        <v>2338</v>
      </c>
      <c r="O481">
        <v>1</v>
      </c>
      <c r="P481">
        <v>1</v>
      </c>
      <c r="Q481" s="43">
        <v>45882.831886111111</v>
      </c>
      <c r="R481" s="43">
        <v>46027.575076250003</v>
      </c>
    </row>
    <row r="482" spans="1:18">
      <c r="A482">
        <v>24558652202</v>
      </c>
      <c r="B482" t="s">
        <v>102</v>
      </c>
      <c r="C482">
        <v>727234475902</v>
      </c>
      <c r="D482" t="s">
        <v>2623</v>
      </c>
      <c r="E482" t="s">
        <v>2381</v>
      </c>
      <c r="F482" t="s">
        <v>38</v>
      </c>
      <c r="G482" t="s">
        <v>2337</v>
      </c>
      <c r="H482" t="s">
        <v>2332</v>
      </c>
      <c r="I482" t="s">
        <v>2338</v>
      </c>
      <c r="J482" t="s">
        <v>2338</v>
      </c>
      <c r="K482" t="s">
        <v>2334</v>
      </c>
      <c r="L482" t="s">
        <v>2335</v>
      </c>
      <c r="M482" s="43">
        <v>45684.693291597221</v>
      </c>
      <c r="N482" t="s">
        <v>2338</v>
      </c>
      <c r="O482">
        <v>0</v>
      </c>
      <c r="P482">
        <v>0</v>
      </c>
      <c r="Q482" s="43">
        <v>45889.742897187498</v>
      </c>
      <c r="R482" s="43">
        <v>46027.575076250003</v>
      </c>
    </row>
    <row r="483" spans="1:18">
      <c r="A483">
        <v>24558652202</v>
      </c>
      <c r="B483" t="s">
        <v>102</v>
      </c>
      <c r="C483">
        <v>809933053402</v>
      </c>
      <c r="D483" t="s">
        <v>2624</v>
      </c>
      <c r="E483" t="s">
        <v>2381</v>
      </c>
      <c r="F483" t="s">
        <v>38</v>
      </c>
      <c r="G483" t="s">
        <v>2337</v>
      </c>
      <c r="H483" t="s">
        <v>2332</v>
      </c>
      <c r="I483" t="s">
        <v>2338</v>
      </c>
      <c r="J483" t="s">
        <v>2338</v>
      </c>
      <c r="K483" t="s">
        <v>2334</v>
      </c>
      <c r="L483" t="s">
        <v>2335</v>
      </c>
      <c r="M483" s="43">
        <v>45684.693291597221</v>
      </c>
      <c r="N483" t="s">
        <v>2338</v>
      </c>
      <c r="O483">
        <v>0</v>
      </c>
      <c r="P483">
        <v>0</v>
      </c>
      <c r="Q483" s="43">
        <v>45889.742897534721</v>
      </c>
      <c r="R483" s="43">
        <v>46027.575076250003</v>
      </c>
    </row>
    <row r="484" spans="1:18">
      <c r="A484">
        <v>24558652202</v>
      </c>
      <c r="B484" t="s">
        <v>102</v>
      </c>
      <c r="C484">
        <v>858804576502</v>
      </c>
      <c r="D484" t="s">
        <v>2625</v>
      </c>
      <c r="E484" t="s">
        <v>2381</v>
      </c>
      <c r="F484" t="s">
        <v>38</v>
      </c>
      <c r="G484" t="s">
        <v>2337</v>
      </c>
      <c r="H484" t="s">
        <v>2332</v>
      </c>
      <c r="I484" t="s">
        <v>2338</v>
      </c>
      <c r="J484" t="s">
        <v>2338</v>
      </c>
      <c r="K484" t="s">
        <v>2334</v>
      </c>
      <c r="L484" t="s">
        <v>2335</v>
      </c>
      <c r="M484" s="43">
        <v>45684.693291597221</v>
      </c>
      <c r="N484" t="s">
        <v>2338</v>
      </c>
      <c r="O484">
        <v>0</v>
      </c>
      <c r="P484">
        <v>0</v>
      </c>
      <c r="Q484" s="43">
        <v>45889.742897430559</v>
      </c>
      <c r="R484" s="43">
        <v>46027.575076250003</v>
      </c>
    </row>
    <row r="485" spans="1:18">
      <c r="A485">
        <v>24558652202</v>
      </c>
      <c r="B485" t="s">
        <v>102</v>
      </c>
      <c r="C485">
        <v>939067158802</v>
      </c>
      <c r="D485" t="s">
        <v>2626</v>
      </c>
      <c r="E485" t="s">
        <v>2381</v>
      </c>
      <c r="F485" t="s">
        <v>38</v>
      </c>
      <c r="G485" t="s">
        <v>2337</v>
      </c>
      <c r="H485" t="s">
        <v>2332</v>
      </c>
      <c r="I485" t="s">
        <v>2338</v>
      </c>
      <c r="J485" t="s">
        <v>2338</v>
      </c>
      <c r="K485" t="s">
        <v>2334</v>
      </c>
      <c r="L485" t="s">
        <v>2335</v>
      </c>
      <c r="M485" s="43">
        <v>45684.693291597221</v>
      </c>
      <c r="N485" t="s">
        <v>2338</v>
      </c>
      <c r="O485">
        <v>0</v>
      </c>
      <c r="P485">
        <v>0</v>
      </c>
      <c r="Q485" s="43">
        <v>45889.742898530094</v>
      </c>
      <c r="R485" s="43">
        <v>46027.575076250003</v>
      </c>
    </row>
    <row r="486" spans="1:18">
      <c r="A486">
        <v>46733383915</v>
      </c>
      <c r="B486" t="s">
        <v>839</v>
      </c>
      <c r="C486">
        <v>46733383915</v>
      </c>
      <c r="D486" t="s">
        <v>839</v>
      </c>
      <c r="E486" t="s">
        <v>2362</v>
      </c>
      <c r="F486" t="s">
        <v>39</v>
      </c>
      <c r="G486" t="s">
        <v>2337</v>
      </c>
      <c r="H486" t="s">
        <v>2332</v>
      </c>
      <c r="I486" t="s">
        <v>2338</v>
      </c>
      <c r="J486" t="s">
        <v>2338</v>
      </c>
      <c r="K486" t="s">
        <v>2334</v>
      </c>
      <c r="L486" t="s">
        <v>2335</v>
      </c>
      <c r="M486" s="43">
        <v>45173.752861539353</v>
      </c>
      <c r="N486" t="s">
        <v>2338</v>
      </c>
      <c r="O486">
        <v>1</v>
      </c>
      <c r="P486">
        <v>1</v>
      </c>
      <c r="Q486" s="43">
        <v>45845.72412324074</v>
      </c>
    </row>
    <row r="487" spans="1:18">
      <c r="A487">
        <v>755841394202</v>
      </c>
      <c r="B487" t="s">
        <v>376</v>
      </c>
      <c r="C487">
        <v>755841394202</v>
      </c>
      <c r="D487" t="s">
        <v>376</v>
      </c>
      <c r="E487" t="s">
        <v>2342</v>
      </c>
      <c r="F487" t="s">
        <v>38</v>
      </c>
      <c r="G487" t="s">
        <v>2337</v>
      </c>
      <c r="H487" t="s">
        <v>2332</v>
      </c>
      <c r="I487" t="s">
        <v>2338</v>
      </c>
      <c r="J487" t="s">
        <v>2338</v>
      </c>
      <c r="K487" t="s">
        <v>2334</v>
      </c>
      <c r="L487" t="s">
        <v>2335</v>
      </c>
      <c r="M487" s="43">
        <v>45405.769992083333</v>
      </c>
      <c r="N487" t="s">
        <v>2338</v>
      </c>
      <c r="O487">
        <v>1</v>
      </c>
      <c r="P487">
        <v>1</v>
      </c>
      <c r="Q487" s="43">
        <v>45845.724126701389</v>
      </c>
      <c r="R487" s="43">
        <v>46036.893379583336</v>
      </c>
    </row>
    <row r="488" spans="1:18">
      <c r="A488">
        <v>474741185002</v>
      </c>
      <c r="B488" t="s">
        <v>1812</v>
      </c>
      <c r="C488">
        <v>474741185002</v>
      </c>
      <c r="D488" t="s">
        <v>1812</v>
      </c>
      <c r="E488" t="s">
        <v>2378</v>
      </c>
      <c r="F488" t="s">
        <v>39</v>
      </c>
      <c r="G488" t="s">
        <v>2337</v>
      </c>
      <c r="H488" t="s">
        <v>2332</v>
      </c>
      <c r="I488" t="s">
        <v>2338</v>
      </c>
      <c r="J488" t="s">
        <v>2338</v>
      </c>
      <c r="K488" t="s">
        <v>2334</v>
      </c>
      <c r="L488" t="s">
        <v>2335</v>
      </c>
      <c r="M488" s="43">
        <v>45663.728118541665</v>
      </c>
      <c r="N488" t="s">
        <v>2338</v>
      </c>
      <c r="O488">
        <v>1</v>
      </c>
      <c r="P488">
        <v>1</v>
      </c>
      <c r="Q488" s="43">
        <v>45943.591721122684</v>
      </c>
    </row>
    <row r="489" spans="1:18">
      <c r="A489">
        <v>837253102702</v>
      </c>
      <c r="B489" t="s">
        <v>1197</v>
      </c>
      <c r="C489">
        <v>837253102702</v>
      </c>
      <c r="D489" t="s">
        <v>1197</v>
      </c>
      <c r="E489" t="s">
        <v>2423</v>
      </c>
      <c r="G489" t="s">
        <v>2331</v>
      </c>
      <c r="H489" t="s">
        <v>2332</v>
      </c>
      <c r="I489" t="s">
        <v>2333</v>
      </c>
      <c r="J489" t="s">
        <v>2333</v>
      </c>
      <c r="K489" t="s">
        <v>2334</v>
      </c>
      <c r="L489" t="s">
        <v>2335</v>
      </c>
      <c r="M489" s="43">
        <v>45663.903159548609</v>
      </c>
      <c r="N489" t="s">
        <v>2333</v>
      </c>
      <c r="O489">
        <v>0</v>
      </c>
      <c r="P489">
        <v>1</v>
      </c>
    </row>
  </sheetData>
  <autoFilter ref="A1:R469">
    <filterColumn colId="5">
      <filters>
        <filter val="joaoclan"/>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64"/>
  <sheetViews>
    <sheetView workbookViewId="0">
      <selection sqref="A1:AI2265"/>
    </sheetView>
  </sheetViews>
  <sheetFormatPr defaultRowHeight="14.45"/>
  <cols>
    <col min="2" max="2" width="13.125" bestFit="1" customWidth="1"/>
    <col min="5" max="5" width="15.125" bestFit="1" customWidth="1"/>
    <col min="6" max="6" width="14.125" bestFit="1" customWidth="1"/>
    <col min="7" max="7" width="10.125" style="3" bestFit="1" customWidth="1"/>
    <col min="13" max="13" width="9.375" bestFit="1" customWidth="1"/>
    <col min="15" max="15" width="14.125" bestFit="1" customWidth="1"/>
    <col min="27" max="27" width="9.375" bestFit="1" customWidth="1"/>
    <col min="31" max="31" width="9.375" bestFit="1" customWidth="1"/>
  </cols>
  <sheetData>
    <row r="1" spans="1:35">
      <c r="A1" t="s">
        <v>2627</v>
      </c>
      <c r="B1" t="s">
        <v>2628</v>
      </c>
      <c r="C1" t="s">
        <v>2629</v>
      </c>
      <c r="D1" t="s">
        <v>2630</v>
      </c>
      <c r="E1" t="s">
        <v>2328</v>
      </c>
      <c r="F1" t="s">
        <v>2631</v>
      </c>
      <c r="G1" t="s">
        <v>2632</v>
      </c>
      <c r="H1" t="s">
        <v>2633</v>
      </c>
      <c r="I1" t="s">
        <v>2634</v>
      </c>
      <c r="J1" t="s">
        <v>2316</v>
      </c>
      <c r="K1" t="s">
        <v>2635</v>
      </c>
      <c r="L1" t="s">
        <v>2636</v>
      </c>
      <c r="M1" t="s">
        <v>2314</v>
      </c>
      <c r="N1" t="s">
        <v>2637</v>
      </c>
      <c r="O1" t="s">
        <v>2638</v>
      </c>
      <c r="P1" t="s">
        <v>2639</v>
      </c>
      <c r="Q1" t="s">
        <v>2640</v>
      </c>
      <c r="R1" t="s">
        <v>2641</v>
      </c>
      <c r="S1" t="s">
        <v>2642</v>
      </c>
      <c r="T1" t="s">
        <v>2643</v>
      </c>
      <c r="U1" t="s">
        <v>2644</v>
      </c>
      <c r="V1" t="s">
        <v>2645</v>
      </c>
      <c r="W1" t="s">
        <v>2646</v>
      </c>
      <c r="X1" t="s">
        <v>2647</v>
      </c>
      <c r="Y1" t="s">
        <v>2648</v>
      </c>
      <c r="Z1" t="s">
        <v>2649</v>
      </c>
      <c r="AA1" t="s">
        <v>2312</v>
      </c>
      <c r="AB1" t="s">
        <v>2313</v>
      </c>
      <c r="AC1" t="s">
        <v>2650</v>
      </c>
      <c r="AD1" t="s">
        <v>2651</v>
      </c>
      <c r="AE1" t="s">
        <v>2652</v>
      </c>
      <c r="AF1" t="s">
        <v>2653</v>
      </c>
      <c r="AG1" t="s">
        <v>2654</v>
      </c>
      <c r="AH1" t="s">
        <v>2655</v>
      </c>
      <c r="AI1" t="s">
        <v>2656</v>
      </c>
    </row>
    <row r="2" spans="1:35">
      <c r="A2">
        <v>2025</v>
      </c>
      <c r="B2" s="1">
        <v>45931</v>
      </c>
      <c r="C2" t="s">
        <v>2657</v>
      </c>
      <c r="D2" t="s">
        <v>2658</v>
      </c>
      <c r="E2" s="43">
        <v>45958.64793550926</v>
      </c>
      <c r="F2" s="1">
        <v>45958</v>
      </c>
      <c r="G2" s="43">
        <v>45966.554279131946</v>
      </c>
      <c r="H2" t="s">
        <v>2659</v>
      </c>
      <c r="I2" t="s">
        <v>2660</v>
      </c>
      <c r="J2" t="s">
        <v>37</v>
      </c>
      <c r="L2" t="s">
        <v>2344</v>
      </c>
      <c r="M2">
        <v>125288528002</v>
      </c>
      <c r="N2" t="s">
        <v>2661</v>
      </c>
      <c r="O2" s="1">
        <v>45884</v>
      </c>
      <c r="T2" t="s">
        <v>2662</v>
      </c>
      <c r="U2" t="s">
        <v>2663</v>
      </c>
      <c r="V2">
        <v>6</v>
      </c>
      <c r="W2" t="s">
        <v>2664</v>
      </c>
      <c r="X2">
        <v>1</v>
      </c>
      <c r="Y2" t="s">
        <v>2665</v>
      </c>
      <c r="AA2">
        <v>125288528002</v>
      </c>
      <c r="AB2" t="s">
        <v>668</v>
      </c>
      <c r="AC2">
        <v>0</v>
      </c>
      <c r="AD2">
        <v>44</v>
      </c>
      <c r="AE2">
        <v>12528852800244</v>
      </c>
      <c r="AF2" t="s">
        <v>2666</v>
      </c>
      <c r="AG2">
        <v>1</v>
      </c>
      <c r="AH2">
        <v>1</v>
      </c>
    </row>
    <row r="3" spans="1:35">
      <c r="A3">
        <v>2026</v>
      </c>
      <c r="B3" s="1">
        <v>46082</v>
      </c>
      <c r="C3" t="s">
        <v>2657</v>
      </c>
      <c r="D3" t="s">
        <v>2667</v>
      </c>
      <c r="E3" s="43">
        <v>46083.814651030094</v>
      </c>
      <c r="F3" s="1">
        <v>46083</v>
      </c>
      <c r="G3" s="43">
        <v>46084.910687129632</v>
      </c>
      <c r="H3" t="s">
        <v>2668</v>
      </c>
      <c r="I3" t="s">
        <v>2669</v>
      </c>
      <c r="J3" t="s">
        <v>37</v>
      </c>
      <c r="L3" t="s">
        <v>2344</v>
      </c>
      <c r="M3">
        <v>191336978502</v>
      </c>
      <c r="N3" t="s">
        <v>2661</v>
      </c>
      <c r="O3" s="1">
        <v>45349</v>
      </c>
      <c r="T3" t="s">
        <v>2662</v>
      </c>
      <c r="U3" t="s">
        <v>2670</v>
      </c>
      <c r="V3">
        <v>1</v>
      </c>
      <c r="W3" t="s">
        <v>2671</v>
      </c>
      <c r="X3">
        <v>1</v>
      </c>
      <c r="Y3" t="s">
        <v>2672</v>
      </c>
      <c r="AA3">
        <v>191336978502</v>
      </c>
      <c r="AB3" t="s">
        <v>768</v>
      </c>
      <c r="AC3">
        <v>1</v>
      </c>
      <c r="AD3">
        <v>10</v>
      </c>
      <c r="AE3">
        <v>19133697850210</v>
      </c>
      <c r="AF3" t="s">
        <v>2673</v>
      </c>
      <c r="AG3">
        <v>1</v>
      </c>
      <c r="AH3">
        <v>1</v>
      </c>
    </row>
    <row r="4" spans="1:35">
      <c r="A4">
        <v>2025</v>
      </c>
      <c r="B4" s="1">
        <v>45931</v>
      </c>
      <c r="C4" t="s">
        <v>2657</v>
      </c>
      <c r="D4" t="s">
        <v>2674</v>
      </c>
      <c r="E4" s="43">
        <v>45937.833108541665</v>
      </c>
      <c r="F4" s="1">
        <v>45937</v>
      </c>
      <c r="G4" s="43">
        <v>45944.695446712962</v>
      </c>
      <c r="H4" t="s">
        <v>2659</v>
      </c>
      <c r="I4" t="s">
        <v>2669</v>
      </c>
      <c r="J4" t="s">
        <v>38</v>
      </c>
      <c r="L4" t="s">
        <v>2347</v>
      </c>
      <c r="M4">
        <v>601998582602</v>
      </c>
      <c r="N4" t="s">
        <v>2675</v>
      </c>
      <c r="O4" s="1">
        <v>45661</v>
      </c>
      <c r="T4" t="s">
        <v>2662</v>
      </c>
      <c r="U4" t="s">
        <v>2676</v>
      </c>
      <c r="V4">
        <v>5</v>
      </c>
      <c r="W4" t="s">
        <v>2677</v>
      </c>
      <c r="X4">
        <v>1</v>
      </c>
      <c r="Y4" t="s">
        <v>2678</v>
      </c>
      <c r="AA4">
        <v>601998582602</v>
      </c>
      <c r="AB4" t="s">
        <v>234</v>
      </c>
      <c r="AC4">
        <v>0</v>
      </c>
      <c r="AD4">
        <v>41</v>
      </c>
      <c r="AE4">
        <v>60199858260241</v>
      </c>
      <c r="AF4" t="s">
        <v>2679</v>
      </c>
      <c r="AG4">
        <v>1</v>
      </c>
      <c r="AH4">
        <v>1</v>
      </c>
    </row>
    <row r="5" spans="1:35">
      <c r="A5">
        <v>2025</v>
      </c>
      <c r="B5" s="1">
        <v>45931</v>
      </c>
      <c r="C5" t="s">
        <v>2657</v>
      </c>
      <c r="D5" t="s">
        <v>2680</v>
      </c>
      <c r="E5" s="43">
        <v>45939.610097314813</v>
      </c>
      <c r="F5" s="1">
        <v>45939</v>
      </c>
      <c r="G5" s="43">
        <v>45951.76973266204</v>
      </c>
      <c r="H5" t="s">
        <v>2659</v>
      </c>
      <c r="I5" t="s">
        <v>2681</v>
      </c>
      <c r="J5" t="s">
        <v>38</v>
      </c>
      <c r="L5" t="s">
        <v>2347</v>
      </c>
      <c r="M5">
        <v>601998582602</v>
      </c>
      <c r="N5" t="s">
        <v>2675</v>
      </c>
      <c r="O5" s="1">
        <v>45661</v>
      </c>
      <c r="T5" t="s">
        <v>2662</v>
      </c>
      <c r="U5" t="s">
        <v>2682</v>
      </c>
      <c r="V5">
        <v>8</v>
      </c>
      <c r="W5" t="s">
        <v>2671</v>
      </c>
      <c r="X5">
        <v>1</v>
      </c>
      <c r="Y5" t="s">
        <v>2683</v>
      </c>
      <c r="Z5" t="s">
        <v>2684</v>
      </c>
      <c r="AA5">
        <v>601998582602</v>
      </c>
      <c r="AB5" t="s">
        <v>234</v>
      </c>
      <c r="AC5">
        <v>0</v>
      </c>
      <c r="AD5">
        <v>41</v>
      </c>
      <c r="AE5">
        <v>60199858260241</v>
      </c>
      <c r="AF5" t="s">
        <v>2679</v>
      </c>
      <c r="AG5">
        <v>0</v>
      </c>
      <c r="AH5">
        <v>0</v>
      </c>
    </row>
    <row r="6" spans="1:35">
      <c r="A6">
        <v>2025</v>
      </c>
      <c r="B6" s="1">
        <v>45992</v>
      </c>
      <c r="C6" t="s">
        <v>2657</v>
      </c>
      <c r="D6" t="s">
        <v>2685</v>
      </c>
      <c r="E6" s="43">
        <v>45993.515424143516</v>
      </c>
      <c r="F6" s="1">
        <v>45993</v>
      </c>
      <c r="G6" s="43">
        <v>45993.515424143516</v>
      </c>
      <c r="H6" t="s">
        <v>2686</v>
      </c>
      <c r="I6" t="s">
        <v>2669</v>
      </c>
      <c r="J6" t="s">
        <v>37</v>
      </c>
      <c r="L6" t="s">
        <v>2344</v>
      </c>
      <c r="M6">
        <v>125288528002</v>
      </c>
      <c r="N6" t="s">
        <v>2661</v>
      </c>
      <c r="O6" s="1">
        <v>45884</v>
      </c>
      <c r="T6" t="s">
        <v>2662</v>
      </c>
      <c r="U6" t="s">
        <v>2687</v>
      </c>
      <c r="V6">
        <v>0</v>
      </c>
      <c r="W6" t="s">
        <v>2671</v>
      </c>
      <c r="X6">
        <v>1</v>
      </c>
      <c r="Y6" t="s">
        <v>2688</v>
      </c>
      <c r="AA6">
        <v>125288528002</v>
      </c>
      <c r="AB6" t="s">
        <v>668</v>
      </c>
      <c r="AC6">
        <v>0</v>
      </c>
      <c r="AD6">
        <v>49</v>
      </c>
      <c r="AE6">
        <v>12528852800249</v>
      </c>
      <c r="AF6" t="s">
        <v>2689</v>
      </c>
      <c r="AG6">
        <v>1</v>
      </c>
      <c r="AH6">
        <v>1</v>
      </c>
    </row>
    <row r="7" spans="1:35">
      <c r="A7">
        <v>2025</v>
      </c>
      <c r="B7" s="1">
        <v>45992</v>
      </c>
      <c r="C7" t="s">
        <v>2657</v>
      </c>
      <c r="D7" t="s">
        <v>2690</v>
      </c>
      <c r="E7" s="43">
        <v>45994.630483680558</v>
      </c>
      <c r="F7" s="1">
        <v>45994</v>
      </c>
      <c r="G7" s="43">
        <v>46008.804050300925</v>
      </c>
      <c r="H7" t="s">
        <v>2686</v>
      </c>
      <c r="I7" t="s">
        <v>2669</v>
      </c>
      <c r="J7" t="s">
        <v>37</v>
      </c>
      <c r="L7" t="s">
        <v>2344</v>
      </c>
      <c r="M7">
        <v>125288528002</v>
      </c>
      <c r="N7" t="s">
        <v>2661</v>
      </c>
      <c r="O7" s="1">
        <v>45884</v>
      </c>
      <c r="T7" t="s">
        <v>2662</v>
      </c>
      <c r="U7" t="s">
        <v>2691</v>
      </c>
      <c r="V7">
        <v>10</v>
      </c>
      <c r="W7" t="s">
        <v>2671</v>
      </c>
      <c r="X7">
        <v>1</v>
      </c>
      <c r="Y7" t="s">
        <v>2692</v>
      </c>
      <c r="AA7">
        <v>125288528002</v>
      </c>
      <c r="AB7" t="s">
        <v>668</v>
      </c>
      <c r="AC7">
        <v>0</v>
      </c>
      <c r="AD7">
        <v>49</v>
      </c>
      <c r="AE7">
        <v>12528852800249</v>
      </c>
      <c r="AF7" t="s">
        <v>2689</v>
      </c>
      <c r="AG7">
        <v>0</v>
      </c>
      <c r="AH7">
        <v>0</v>
      </c>
    </row>
    <row r="8" spans="1:35">
      <c r="A8">
        <v>2025</v>
      </c>
      <c r="B8" s="1">
        <v>45992</v>
      </c>
      <c r="C8" t="s">
        <v>2657</v>
      </c>
      <c r="D8" t="s">
        <v>2693</v>
      </c>
      <c r="E8" s="43">
        <v>45999.831911388887</v>
      </c>
      <c r="F8" s="1">
        <v>45999</v>
      </c>
      <c r="G8" s="43">
        <v>45999.831911388887</v>
      </c>
      <c r="H8" t="s">
        <v>2686</v>
      </c>
      <c r="I8" t="s">
        <v>2681</v>
      </c>
      <c r="J8" t="s">
        <v>37</v>
      </c>
      <c r="L8" t="s">
        <v>2344</v>
      </c>
      <c r="M8">
        <v>125288528002</v>
      </c>
      <c r="N8" t="s">
        <v>2661</v>
      </c>
      <c r="O8" s="1">
        <v>45884</v>
      </c>
      <c r="T8" t="s">
        <v>2662</v>
      </c>
      <c r="U8" t="s">
        <v>2694</v>
      </c>
      <c r="V8">
        <v>0</v>
      </c>
      <c r="W8" t="s">
        <v>2677</v>
      </c>
      <c r="X8">
        <v>1</v>
      </c>
      <c r="Y8" t="s">
        <v>2695</v>
      </c>
      <c r="AA8">
        <v>125288528002</v>
      </c>
      <c r="AB8" t="s">
        <v>668</v>
      </c>
      <c r="AC8">
        <v>0</v>
      </c>
      <c r="AD8">
        <v>50</v>
      </c>
      <c r="AE8">
        <v>12528852800250</v>
      </c>
      <c r="AF8" t="s">
        <v>2689</v>
      </c>
      <c r="AG8">
        <v>1</v>
      </c>
      <c r="AH8">
        <v>0</v>
      </c>
    </row>
    <row r="9" spans="1:35">
      <c r="A9">
        <v>2025</v>
      </c>
      <c r="B9" s="1">
        <v>45992</v>
      </c>
      <c r="C9" t="s">
        <v>2657</v>
      </c>
      <c r="D9" t="s">
        <v>2696</v>
      </c>
      <c r="E9" s="43">
        <v>46020.774316423609</v>
      </c>
      <c r="F9" s="1">
        <v>46020</v>
      </c>
      <c r="G9" s="43">
        <v>46027.834082326386</v>
      </c>
      <c r="H9" t="s">
        <v>2686</v>
      </c>
      <c r="I9" t="s">
        <v>2697</v>
      </c>
      <c r="J9" t="s">
        <v>37</v>
      </c>
      <c r="L9" t="s">
        <v>2344</v>
      </c>
      <c r="M9">
        <v>125288528002</v>
      </c>
      <c r="N9" t="s">
        <v>2661</v>
      </c>
      <c r="O9" s="1">
        <v>45884</v>
      </c>
      <c r="T9" t="s">
        <v>2662</v>
      </c>
      <c r="U9" t="s">
        <v>2698</v>
      </c>
      <c r="V9">
        <v>5</v>
      </c>
      <c r="X9">
        <v>1</v>
      </c>
      <c r="Y9" t="s">
        <v>2699</v>
      </c>
      <c r="AA9">
        <v>125288528002</v>
      </c>
      <c r="AB9" t="s">
        <v>668</v>
      </c>
      <c r="AC9">
        <v>0</v>
      </c>
      <c r="AD9">
        <v>1</v>
      </c>
      <c r="AE9">
        <v>1252885280021</v>
      </c>
      <c r="AF9" t="s">
        <v>2689</v>
      </c>
      <c r="AG9">
        <v>1</v>
      </c>
      <c r="AH9">
        <v>0</v>
      </c>
    </row>
    <row r="10" spans="1:35">
      <c r="A10">
        <v>2026</v>
      </c>
      <c r="B10" s="1">
        <v>46023</v>
      </c>
      <c r="C10" t="s">
        <v>2657</v>
      </c>
      <c r="D10" t="s">
        <v>2700</v>
      </c>
      <c r="E10" s="43">
        <v>46028.675556493057</v>
      </c>
      <c r="F10" s="1">
        <v>46028</v>
      </c>
      <c r="G10" s="43">
        <v>46029.545667708335</v>
      </c>
      <c r="H10" t="s">
        <v>2701</v>
      </c>
      <c r="I10" t="s">
        <v>2669</v>
      </c>
      <c r="J10" t="s">
        <v>100</v>
      </c>
      <c r="L10" t="s">
        <v>2381</v>
      </c>
      <c r="M10">
        <v>24558652202</v>
      </c>
      <c r="N10" t="s">
        <v>2702</v>
      </c>
      <c r="O10" s="1">
        <v>45669</v>
      </c>
      <c r="T10" t="s">
        <v>2662</v>
      </c>
      <c r="U10" t="s">
        <v>2703</v>
      </c>
      <c r="V10">
        <v>1</v>
      </c>
      <c r="W10" t="s">
        <v>2704</v>
      </c>
      <c r="X10">
        <v>1</v>
      </c>
      <c r="Y10" t="s">
        <v>2699</v>
      </c>
      <c r="AA10">
        <v>24558652202</v>
      </c>
      <c r="AB10" t="s">
        <v>102</v>
      </c>
      <c r="AC10">
        <v>0</v>
      </c>
      <c r="AD10">
        <v>2</v>
      </c>
      <c r="AE10">
        <v>245586522022</v>
      </c>
      <c r="AF10" t="s">
        <v>2705</v>
      </c>
      <c r="AG10">
        <v>0</v>
      </c>
      <c r="AH10">
        <v>0</v>
      </c>
    </row>
    <row r="11" spans="1:35">
      <c r="A11">
        <v>2026</v>
      </c>
      <c r="B11" s="1">
        <v>46023</v>
      </c>
      <c r="C11" t="s">
        <v>2657</v>
      </c>
      <c r="D11" t="s">
        <v>2706</v>
      </c>
      <c r="E11" s="43">
        <v>46027.575076250003</v>
      </c>
      <c r="F11" s="1">
        <v>46027</v>
      </c>
      <c r="G11" s="43">
        <v>46028.673812037036</v>
      </c>
      <c r="H11" t="s">
        <v>2701</v>
      </c>
      <c r="I11" t="s">
        <v>2669</v>
      </c>
      <c r="J11" t="s">
        <v>100</v>
      </c>
      <c r="L11" t="s">
        <v>2381</v>
      </c>
      <c r="M11">
        <v>24558652202</v>
      </c>
      <c r="N11" t="s">
        <v>2702</v>
      </c>
      <c r="O11" s="1">
        <v>45669</v>
      </c>
      <c r="T11" t="s">
        <v>2662</v>
      </c>
      <c r="U11" t="s">
        <v>2707</v>
      </c>
      <c r="V11">
        <v>1</v>
      </c>
      <c r="W11" t="s">
        <v>2704</v>
      </c>
      <c r="X11">
        <v>1</v>
      </c>
      <c r="Y11" t="s">
        <v>2699</v>
      </c>
      <c r="AA11">
        <v>24558652202</v>
      </c>
      <c r="AB11" t="s">
        <v>102</v>
      </c>
      <c r="AC11">
        <v>0</v>
      </c>
      <c r="AD11">
        <v>2</v>
      </c>
      <c r="AE11">
        <v>245586522022</v>
      </c>
      <c r="AF11" t="s">
        <v>2705</v>
      </c>
      <c r="AG11">
        <v>1</v>
      </c>
      <c r="AH11">
        <v>1</v>
      </c>
    </row>
    <row r="12" spans="1:35">
      <c r="A12">
        <v>2026</v>
      </c>
      <c r="B12" s="1">
        <v>46023</v>
      </c>
      <c r="C12" t="s">
        <v>2657</v>
      </c>
      <c r="D12" t="s">
        <v>2708</v>
      </c>
      <c r="E12" s="43">
        <v>46027.803535451392</v>
      </c>
      <c r="F12" s="1">
        <v>46027</v>
      </c>
      <c r="G12" s="43">
        <v>46029.556613738423</v>
      </c>
      <c r="H12" t="s">
        <v>2701</v>
      </c>
      <c r="I12" t="s">
        <v>2669</v>
      </c>
      <c r="J12" t="s">
        <v>100</v>
      </c>
      <c r="L12" t="s">
        <v>2381</v>
      </c>
      <c r="M12">
        <v>24558652202</v>
      </c>
      <c r="N12" t="s">
        <v>2702</v>
      </c>
      <c r="O12" s="1">
        <v>45669</v>
      </c>
      <c r="T12" t="s">
        <v>2662</v>
      </c>
      <c r="U12" t="s">
        <v>2709</v>
      </c>
      <c r="V12">
        <v>2</v>
      </c>
      <c r="W12" t="s">
        <v>2704</v>
      </c>
      <c r="X12">
        <v>1</v>
      </c>
      <c r="Y12" t="s">
        <v>2710</v>
      </c>
      <c r="AA12">
        <v>24558652202</v>
      </c>
      <c r="AB12" t="s">
        <v>102</v>
      </c>
      <c r="AC12">
        <v>0</v>
      </c>
      <c r="AD12">
        <v>2</v>
      </c>
      <c r="AE12">
        <v>245586522022</v>
      </c>
      <c r="AF12" t="s">
        <v>2705</v>
      </c>
      <c r="AG12">
        <v>0</v>
      </c>
      <c r="AH12">
        <v>0</v>
      </c>
    </row>
    <row r="13" spans="1:35">
      <c r="A13">
        <v>2026</v>
      </c>
      <c r="B13" s="1">
        <v>46023</v>
      </c>
      <c r="C13" t="s">
        <v>2657</v>
      </c>
      <c r="D13" t="s">
        <v>2711</v>
      </c>
      <c r="E13" s="43">
        <v>46035.86639638889</v>
      </c>
      <c r="F13" s="1">
        <v>46035</v>
      </c>
      <c r="G13" s="43">
        <v>46043.896310127318</v>
      </c>
      <c r="H13" t="s">
        <v>2701</v>
      </c>
      <c r="I13" t="s">
        <v>2681</v>
      </c>
      <c r="J13" t="s">
        <v>100</v>
      </c>
      <c r="L13" t="s">
        <v>2381</v>
      </c>
      <c r="M13">
        <v>24558652202</v>
      </c>
      <c r="N13" t="s">
        <v>2702</v>
      </c>
      <c r="O13" s="1">
        <v>45669</v>
      </c>
      <c r="T13" t="s">
        <v>2662</v>
      </c>
      <c r="U13" t="s">
        <v>2712</v>
      </c>
      <c r="V13">
        <v>6</v>
      </c>
      <c r="W13" t="s">
        <v>2704</v>
      </c>
      <c r="X13">
        <v>1</v>
      </c>
      <c r="Y13" t="s">
        <v>2710</v>
      </c>
      <c r="AA13">
        <v>24558652202</v>
      </c>
      <c r="AB13" t="s">
        <v>102</v>
      </c>
      <c r="AC13">
        <v>0</v>
      </c>
      <c r="AD13">
        <v>3</v>
      </c>
      <c r="AE13">
        <v>245586522023</v>
      </c>
      <c r="AF13" t="s">
        <v>2705</v>
      </c>
      <c r="AG13">
        <v>1</v>
      </c>
      <c r="AH13">
        <v>0</v>
      </c>
    </row>
    <row r="14" spans="1:35">
      <c r="A14">
        <v>2026</v>
      </c>
      <c r="B14" s="1">
        <v>46023</v>
      </c>
      <c r="C14" t="s">
        <v>2657</v>
      </c>
      <c r="D14" t="s">
        <v>2713</v>
      </c>
      <c r="E14" s="43">
        <v>46035.877903553243</v>
      </c>
      <c r="F14" s="1">
        <v>46035</v>
      </c>
      <c r="G14" s="43">
        <v>46035.877903553243</v>
      </c>
      <c r="H14" t="s">
        <v>2701</v>
      </c>
      <c r="I14" t="s">
        <v>2681</v>
      </c>
      <c r="J14" t="s">
        <v>100</v>
      </c>
      <c r="L14" t="s">
        <v>2381</v>
      </c>
      <c r="M14">
        <v>24558652202</v>
      </c>
      <c r="N14" t="s">
        <v>2702</v>
      </c>
      <c r="O14" s="1">
        <v>45669</v>
      </c>
      <c r="T14" t="s">
        <v>2662</v>
      </c>
      <c r="U14" t="s">
        <v>2714</v>
      </c>
      <c r="V14">
        <v>0</v>
      </c>
      <c r="W14" t="s">
        <v>2704</v>
      </c>
      <c r="X14">
        <v>1</v>
      </c>
      <c r="Y14" t="s">
        <v>2695</v>
      </c>
      <c r="AA14">
        <v>24558652202</v>
      </c>
      <c r="AB14" t="s">
        <v>102</v>
      </c>
      <c r="AC14">
        <v>0</v>
      </c>
      <c r="AD14">
        <v>3</v>
      </c>
      <c r="AE14">
        <v>245586522023</v>
      </c>
      <c r="AF14" t="s">
        <v>2705</v>
      </c>
      <c r="AG14">
        <v>0</v>
      </c>
      <c r="AH14">
        <v>0</v>
      </c>
    </row>
    <row r="15" spans="1:35">
      <c r="A15">
        <v>2026</v>
      </c>
      <c r="B15" s="1">
        <v>46023</v>
      </c>
      <c r="C15" t="s">
        <v>2657</v>
      </c>
      <c r="D15" t="s">
        <v>2715</v>
      </c>
      <c r="E15" s="43">
        <v>46036.828945578702</v>
      </c>
      <c r="F15" s="1">
        <v>46036</v>
      </c>
      <c r="G15" s="43">
        <v>46037.878038333336</v>
      </c>
      <c r="H15" t="s">
        <v>2701</v>
      </c>
      <c r="I15" t="s">
        <v>2681</v>
      </c>
      <c r="J15" t="s">
        <v>100</v>
      </c>
      <c r="L15" t="s">
        <v>2381</v>
      </c>
      <c r="M15">
        <v>24558652202</v>
      </c>
      <c r="N15" t="s">
        <v>2702</v>
      </c>
      <c r="O15" s="1">
        <v>45669</v>
      </c>
      <c r="T15" t="s">
        <v>2662</v>
      </c>
      <c r="U15" t="s">
        <v>2716</v>
      </c>
      <c r="V15">
        <v>1</v>
      </c>
      <c r="W15" t="s">
        <v>2704</v>
      </c>
      <c r="X15">
        <v>1</v>
      </c>
      <c r="Y15" t="s">
        <v>2717</v>
      </c>
      <c r="AA15">
        <v>24558652202</v>
      </c>
      <c r="AB15" t="s">
        <v>102</v>
      </c>
      <c r="AC15">
        <v>0</v>
      </c>
      <c r="AD15">
        <v>3</v>
      </c>
      <c r="AE15">
        <v>245586522023</v>
      </c>
      <c r="AF15" t="s">
        <v>2705</v>
      </c>
      <c r="AG15">
        <v>0</v>
      </c>
      <c r="AH15">
        <v>0</v>
      </c>
    </row>
    <row r="16" spans="1:35">
      <c r="A16">
        <v>2026</v>
      </c>
      <c r="B16" s="1">
        <v>46023</v>
      </c>
      <c r="C16" t="s">
        <v>2657</v>
      </c>
      <c r="D16" t="s">
        <v>2718</v>
      </c>
      <c r="E16" s="43">
        <v>46043.65989141204</v>
      </c>
      <c r="F16" s="1">
        <v>46043</v>
      </c>
      <c r="G16" s="43">
        <v>46079.661632418982</v>
      </c>
      <c r="H16" t="s">
        <v>2701</v>
      </c>
      <c r="I16" t="s">
        <v>2719</v>
      </c>
      <c r="J16" t="s">
        <v>100</v>
      </c>
      <c r="L16" t="s">
        <v>2381</v>
      </c>
      <c r="M16">
        <v>24558652202</v>
      </c>
      <c r="N16" t="s">
        <v>2702</v>
      </c>
      <c r="O16" s="1">
        <v>45669</v>
      </c>
      <c r="T16" t="s">
        <v>2662</v>
      </c>
      <c r="U16" t="s">
        <v>2720</v>
      </c>
      <c r="V16">
        <v>26</v>
      </c>
      <c r="W16" t="s">
        <v>2704</v>
      </c>
      <c r="X16">
        <v>1</v>
      </c>
      <c r="Y16" t="s">
        <v>2721</v>
      </c>
      <c r="AA16">
        <v>24558652202</v>
      </c>
      <c r="AB16" t="s">
        <v>102</v>
      </c>
      <c r="AC16">
        <v>0</v>
      </c>
      <c r="AD16">
        <v>4</v>
      </c>
      <c r="AE16">
        <v>245586522024</v>
      </c>
      <c r="AF16" t="s">
        <v>2705</v>
      </c>
      <c r="AG16">
        <v>1</v>
      </c>
      <c r="AH16">
        <v>0</v>
      </c>
    </row>
    <row r="17" spans="1:34">
      <c r="A17">
        <v>2026</v>
      </c>
      <c r="B17" s="1">
        <v>46023</v>
      </c>
      <c r="C17" t="s">
        <v>2657</v>
      </c>
      <c r="D17" t="s">
        <v>2722</v>
      </c>
      <c r="E17" s="43">
        <v>46050.883323888891</v>
      </c>
      <c r="F17" s="1">
        <v>46050</v>
      </c>
      <c r="G17" s="43">
        <v>46050.883323888891</v>
      </c>
      <c r="H17" t="s">
        <v>2701</v>
      </c>
      <c r="I17" t="s">
        <v>2660</v>
      </c>
      <c r="J17" t="s">
        <v>100</v>
      </c>
      <c r="L17" t="s">
        <v>2381</v>
      </c>
      <c r="M17">
        <v>809933053402</v>
      </c>
      <c r="N17" t="s">
        <v>2702</v>
      </c>
      <c r="O17" s="1">
        <v>45669</v>
      </c>
      <c r="T17" t="s">
        <v>2662</v>
      </c>
      <c r="U17" t="s">
        <v>2723</v>
      </c>
      <c r="V17">
        <v>0</v>
      </c>
      <c r="W17" t="s">
        <v>2664</v>
      </c>
      <c r="X17">
        <v>1</v>
      </c>
      <c r="Y17" t="s">
        <v>2695</v>
      </c>
      <c r="AA17">
        <v>24558652202</v>
      </c>
      <c r="AB17" t="s">
        <v>102</v>
      </c>
      <c r="AC17">
        <v>0</v>
      </c>
      <c r="AD17">
        <v>5</v>
      </c>
      <c r="AE17">
        <v>245586522025</v>
      </c>
      <c r="AF17" t="s">
        <v>2705</v>
      </c>
      <c r="AG17">
        <v>1</v>
      </c>
      <c r="AH17">
        <v>0</v>
      </c>
    </row>
    <row r="18" spans="1:34">
      <c r="A18">
        <v>2026</v>
      </c>
      <c r="B18" s="1">
        <v>46054</v>
      </c>
      <c r="C18" t="s">
        <v>2657</v>
      </c>
      <c r="D18" t="s">
        <v>2724</v>
      </c>
      <c r="E18" s="43">
        <v>46062.621828078707</v>
      </c>
      <c r="F18" s="1">
        <v>46062</v>
      </c>
      <c r="G18" s="43">
        <v>46065.586722916669</v>
      </c>
      <c r="H18" t="s">
        <v>2725</v>
      </c>
      <c r="I18" t="s">
        <v>2681</v>
      </c>
      <c r="J18" t="s">
        <v>37</v>
      </c>
      <c r="L18" t="s">
        <v>2344</v>
      </c>
      <c r="M18">
        <v>963780507202</v>
      </c>
      <c r="N18" t="s">
        <v>2661</v>
      </c>
      <c r="O18" s="1">
        <v>45621</v>
      </c>
      <c r="T18" t="s">
        <v>2662</v>
      </c>
      <c r="U18" t="s">
        <v>2726</v>
      </c>
      <c r="V18">
        <v>3</v>
      </c>
      <c r="W18" t="s">
        <v>2671</v>
      </c>
      <c r="X18">
        <v>1</v>
      </c>
      <c r="Y18" t="s">
        <v>2727</v>
      </c>
      <c r="AA18">
        <v>101837981602</v>
      </c>
      <c r="AB18" t="s">
        <v>746</v>
      </c>
      <c r="AC18">
        <v>0</v>
      </c>
      <c r="AD18">
        <v>7</v>
      </c>
      <c r="AE18">
        <v>1018379816027</v>
      </c>
      <c r="AF18" t="s">
        <v>2728</v>
      </c>
      <c r="AG18">
        <v>1</v>
      </c>
      <c r="AH18">
        <v>1</v>
      </c>
    </row>
    <row r="19" spans="1:34">
      <c r="A19">
        <v>2026</v>
      </c>
      <c r="B19" s="1">
        <v>46054</v>
      </c>
      <c r="C19" t="s">
        <v>2657</v>
      </c>
      <c r="D19" t="s">
        <v>2729</v>
      </c>
      <c r="E19" s="43">
        <v>46079.828553738429</v>
      </c>
      <c r="F19" s="1">
        <v>46079</v>
      </c>
      <c r="G19" s="43">
        <v>46085.549056759257</v>
      </c>
      <c r="H19" t="s">
        <v>2725</v>
      </c>
      <c r="I19" t="s">
        <v>2660</v>
      </c>
      <c r="J19" t="s">
        <v>37</v>
      </c>
      <c r="L19" t="s">
        <v>2344</v>
      </c>
      <c r="M19">
        <v>963780507202</v>
      </c>
      <c r="N19" t="s">
        <v>2661</v>
      </c>
      <c r="O19" s="1">
        <v>45621</v>
      </c>
      <c r="T19" t="s">
        <v>2662</v>
      </c>
      <c r="U19" t="s">
        <v>2730</v>
      </c>
      <c r="V19">
        <v>4</v>
      </c>
      <c r="W19" t="s">
        <v>2671</v>
      </c>
      <c r="X19">
        <v>1</v>
      </c>
      <c r="Y19" t="s">
        <v>2683</v>
      </c>
      <c r="AA19">
        <v>101837981602</v>
      </c>
      <c r="AB19" t="s">
        <v>746</v>
      </c>
      <c r="AC19">
        <v>0</v>
      </c>
      <c r="AD19">
        <v>9</v>
      </c>
      <c r="AE19">
        <v>1018379816029</v>
      </c>
      <c r="AF19" t="s">
        <v>2728</v>
      </c>
      <c r="AG19">
        <v>0</v>
      </c>
      <c r="AH19">
        <v>0</v>
      </c>
    </row>
    <row r="20" spans="1:34">
      <c r="A20">
        <v>2026</v>
      </c>
      <c r="B20" s="1">
        <v>46054</v>
      </c>
      <c r="C20" t="s">
        <v>2657</v>
      </c>
      <c r="D20" t="s">
        <v>2731</v>
      </c>
      <c r="E20" s="43">
        <v>46077.821198020836</v>
      </c>
      <c r="F20" s="1">
        <v>46077</v>
      </c>
      <c r="G20" s="43">
        <v>46084.910544166669</v>
      </c>
      <c r="H20" t="s">
        <v>2725</v>
      </c>
      <c r="I20" t="s">
        <v>2660</v>
      </c>
      <c r="J20" t="s">
        <v>37</v>
      </c>
      <c r="L20" t="s">
        <v>2344</v>
      </c>
      <c r="M20">
        <v>963780507202</v>
      </c>
      <c r="N20" t="s">
        <v>2661</v>
      </c>
      <c r="O20" s="1">
        <v>45621</v>
      </c>
      <c r="T20" t="s">
        <v>2662</v>
      </c>
      <c r="U20" t="s">
        <v>2732</v>
      </c>
      <c r="V20">
        <v>5</v>
      </c>
      <c r="W20" t="s">
        <v>2671</v>
      </c>
      <c r="X20">
        <v>1</v>
      </c>
      <c r="Y20" t="s">
        <v>2683</v>
      </c>
      <c r="AA20">
        <v>101837981602</v>
      </c>
      <c r="AB20" t="s">
        <v>746</v>
      </c>
      <c r="AC20">
        <v>0</v>
      </c>
      <c r="AD20">
        <v>9</v>
      </c>
      <c r="AE20">
        <v>1018379816029</v>
      </c>
      <c r="AF20" t="s">
        <v>2728</v>
      </c>
      <c r="AG20">
        <v>1</v>
      </c>
      <c r="AH20">
        <v>0</v>
      </c>
    </row>
    <row r="21" spans="1:34">
      <c r="A21">
        <v>2025</v>
      </c>
      <c r="B21" s="1">
        <v>45901</v>
      </c>
      <c r="C21" t="s">
        <v>2657</v>
      </c>
      <c r="D21" t="s">
        <v>2733</v>
      </c>
      <c r="E21" s="43">
        <v>45915.546350567129</v>
      </c>
      <c r="F21" s="1">
        <v>45915</v>
      </c>
      <c r="G21" s="43">
        <v>45917.666861516205</v>
      </c>
      <c r="H21" t="s">
        <v>2734</v>
      </c>
      <c r="I21" t="s">
        <v>2719</v>
      </c>
      <c r="J21" t="s">
        <v>2735</v>
      </c>
      <c r="L21" t="s">
        <v>2421</v>
      </c>
      <c r="M21">
        <v>358205651902</v>
      </c>
      <c r="N21" t="s">
        <v>2661</v>
      </c>
      <c r="O21" s="1">
        <v>45294</v>
      </c>
      <c r="T21" t="s">
        <v>2662</v>
      </c>
      <c r="U21" t="s">
        <v>2736</v>
      </c>
      <c r="V21">
        <v>2</v>
      </c>
      <c r="W21" t="s">
        <v>2664</v>
      </c>
      <c r="X21">
        <v>1</v>
      </c>
      <c r="Y21" t="s">
        <v>2695</v>
      </c>
      <c r="AA21">
        <v>358205651902</v>
      </c>
      <c r="AB21" t="s">
        <v>1408</v>
      </c>
      <c r="AC21">
        <v>0</v>
      </c>
      <c r="AD21">
        <v>38</v>
      </c>
      <c r="AE21">
        <v>35820565190238</v>
      </c>
      <c r="AF21" t="s">
        <v>2737</v>
      </c>
      <c r="AG21">
        <v>1</v>
      </c>
      <c r="AH21">
        <v>1</v>
      </c>
    </row>
    <row r="22" spans="1:34">
      <c r="A22">
        <v>2025</v>
      </c>
      <c r="B22" s="1">
        <v>45901</v>
      </c>
      <c r="C22" t="s">
        <v>2657</v>
      </c>
      <c r="D22" t="s">
        <v>2738</v>
      </c>
      <c r="E22" s="43">
        <v>45918.623519548608</v>
      </c>
      <c r="F22" s="1">
        <v>45918</v>
      </c>
      <c r="G22" s="43">
        <v>45919.605485300926</v>
      </c>
      <c r="H22" t="s">
        <v>2734</v>
      </c>
      <c r="I22" t="s">
        <v>2719</v>
      </c>
      <c r="J22" t="s">
        <v>2735</v>
      </c>
      <c r="L22" t="s">
        <v>2421</v>
      </c>
      <c r="M22">
        <v>587254988202</v>
      </c>
      <c r="N22" t="s">
        <v>2661</v>
      </c>
      <c r="O22" s="1">
        <v>45349</v>
      </c>
      <c r="T22" t="s">
        <v>2662</v>
      </c>
      <c r="U22" t="s">
        <v>2739</v>
      </c>
      <c r="V22">
        <v>1</v>
      </c>
      <c r="W22" t="s">
        <v>2677</v>
      </c>
      <c r="X22">
        <v>1</v>
      </c>
      <c r="Y22" t="s">
        <v>2740</v>
      </c>
      <c r="Z22" t="s">
        <v>2684</v>
      </c>
      <c r="AA22">
        <v>358205651902</v>
      </c>
      <c r="AB22" t="s">
        <v>1408</v>
      </c>
      <c r="AC22">
        <v>0</v>
      </c>
      <c r="AD22">
        <v>38</v>
      </c>
      <c r="AE22">
        <v>35820565190238</v>
      </c>
      <c r="AF22" t="s">
        <v>2737</v>
      </c>
      <c r="AG22">
        <v>0</v>
      </c>
      <c r="AH22">
        <v>0</v>
      </c>
    </row>
    <row r="23" spans="1:34">
      <c r="A23">
        <v>2025</v>
      </c>
      <c r="B23" s="1">
        <v>45901</v>
      </c>
      <c r="C23" t="s">
        <v>2657</v>
      </c>
      <c r="D23" t="s">
        <v>2741</v>
      </c>
      <c r="E23" s="43">
        <v>45925.500636296296</v>
      </c>
      <c r="F23" s="1">
        <v>45925</v>
      </c>
      <c r="G23" s="43">
        <v>45927.603577650465</v>
      </c>
      <c r="H23" t="s">
        <v>2734</v>
      </c>
      <c r="I23" t="s">
        <v>2660</v>
      </c>
      <c r="J23" t="s">
        <v>2735</v>
      </c>
      <c r="L23" t="s">
        <v>2421</v>
      </c>
      <c r="M23">
        <v>358205651902</v>
      </c>
      <c r="N23" t="s">
        <v>2661</v>
      </c>
      <c r="O23" s="1">
        <v>45294</v>
      </c>
      <c r="T23" t="s">
        <v>2662</v>
      </c>
      <c r="U23" t="s">
        <v>2742</v>
      </c>
      <c r="V23">
        <v>1</v>
      </c>
      <c r="W23" t="s">
        <v>2743</v>
      </c>
      <c r="X23">
        <v>1</v>
      </c>
      <c r="Y23" t="s">
        <v>2744</v>
      </c>
      <c r="AA23">
        <v>358205651902</v>
      </c>
      <c r="AB23" t="s">
        <v>1408</v>
      </c>
      <c r="AC23">
        <v>0</v>
      </c>
      <c r="AD23">
        <v>39</v>
      </c>
      <c r="AE23">
        <v>35820565190239</v>
      </c>
      <c r="AF23" t="s">
        <v>2737</v>
      </c>
      <c r="AG23">
        <v>1</v>
      </c>
      <c r="AH23">
        <v>0</v>
      </c>
    </row>
    <row r="24" spans="1:34">
      <c r="A24">
        <v>2026</v>
      </c>
      <c r="B24" s="1">
        <v>46054</v>
      </c>
      <c r="C24" t="s">
        <v>2657</v>
      </c>
      <c r="D24" t="s">
        <v>2745</v>
      </c>
      <c r="E24" s="43">
        <v>46058.803311192132</v>
      </c>
      <c r="F24" s="1">
        <v>46058</v>
      </c>
      <c r="G24" s="43">
        <v>46064.513539085645</v>
      </c>
      <c r="H24" t="s">
        <v>2725</v>
      </c>
      <c r="I24" t="s">
        <v>2669</v>
      </c>
      <c r="J24" t="s">
        <v>39</v>
      </c>
      <c r="L24" t="s">
        <v>2408</v>
      </c>
      <c r="M24">
        <v>24383333802</v>
      </c>
      <c r="N24" t="s">
        <v>2746</v>
      </c>
      <c r="O24" s="1">
        <v>45661</v>
      </c>
      <c r="T24" t="s">
        <v>2662</v>
      </c>
      <c r="U24" t="s">
        <v>2747</v>
      </c>
      <c r="V24">
        <v>4</v>
      </c>
      <c r="W24" t="s">
        <v>2671</v>
      </c>
      <c r="X24">
        <v>1</v>
      </c>
      <c r="Y24" t="s">
        <v>2721</v>
      </c>
      <c r="AA24">
        <v>24383333802</v>
      </c>
      <c r="AB24" t="s">
        <v>1342</v>
      </c>
      <c r="AC24">
        <v>0</v>
      </c>
      <c r="AD24">
        <v>6</v>
      </c>
      <c r="AE24">
        <v>243833338026</v>
      </c>
      <c r="AF24" t="s">
        <v>2748</v>
      </c>
      <c r="AG24">
        <v>0</v>
      </c>
      <c r="AH24">
        <v>0</v>
      </c>
    </row>
    <row r="25" spans="1:34">
      <c r="A25">
        <v>2026</v>
      </c>
      <c r="B25" s="1">
        <v>46054</v>
      </c>
      <c r="C25" t="s">
        <v>2657</v>
      </c>
      <c r="D25" t="s">
        <v>2749</v>
      </c>
      <c r="E25" s="43">
        <v>46058.603185763888</v>
      </c>
      <c r="F25" s="1">
        <v>46058</v>
      </c>
      <c r="G25" s="43">
        <v>46062.529102928238</v>
      </c>
      <c r="H25" t="s">
        <v>2725</v>
      </c>
      <c r="I25" t="s">
        <v>2669</v>
      </c>
      <c r="J25" t="s">
        <v>39</v>
      </c>
      <c r="L25" t="s">
        <v>2408</v>
      </c>
      <c r="M25">
        <v>24383333802</v>
      </c>
      <c r="N25" t="s">
        <v>2746</v>
      </c>
      <c r="O25" s="1">
        <v>45661</v>
      </c>
      <c r="T25" t="s">
        <v>2662</v>
      </c>
      <c r="U25" t="s">
        <v>2750</v>
      </c>
      <c r="V25">
        <v>2</v>
      </c>
      <c r="W25" t="s">
        <v>2671</v>
      </c>
      <c r="X25">
        <v>1</v>
      </c>
      <c r="Y25" t="s">
        <v>2683</v>
      </c>
      <c r="AA25">
        <v>24383333802</v>
      </c>
      <c r="AB25" t="s">
        <v>1342</v>
      </c>
      <c r="AC25">
        <v>0</v>
      </c>
      <c r="AD25">
        <v>6</v>
      </c>
      <c r="AE25">
        <v>243833338026</v>
      </c>
      <c r="AF25" t="s">
        <v>2748</v>
      </c>
      <c r="AG25">
        <v>1</v>
      </c>
      <c r="AH25">
        <v>1</v>
      </c>
    </row>
    <row r="26" spans="1:34">
      <c r="A26">
        <v>2026</v>
      </c>
      <c r="B26" s="1">
        <v>46054</v>
      </c>
      <c r="C26" t="s">
        <v>2657</v>
      </c>
      <c r="D26" t="s">
        <v>2751</v>
      </c>
      <c r="E26" s="43">
        <v>46062.541883090278</v>
      </c>
      <c r="F26" s="1">
        <v>46062</v>
      </c>
      <c r="G26" s="43">
        <v>46064.510757685188</v>
      </c>
      <c r="H26" t="s">
        <v>2725</v>
      </c>
      <c r="I26" t="s">
        <v>2681</v>
      </c>
      <c r="J26" t="s">
        <v>39</v>
      </c>
      <c r="L26" t="s">
        <v>2408</v>
      </c>
      <c r="M26">
        <v>24383333802</v>
      </c>
      <c r="N26" t="s">
        <v>2746</v>
      </c>
      <c r="O26" s="1">
        <v>45661</v>
      </c>
      <c r="T26" t="s">
        <v>2662</v>
      </c>
      <c r="U26" t="s">
        <v>2752</v>
      </c>
      <c r="V26">
        <v>2</v>
      </c>
      <c r="W26" t="s">
        <v>2671</v>
      </c>
      <c r="X26">
        <v>1</v>
      </c>
      <c r="Y26" t="s">
        <v>2683</v>
      </c>
      <c r="AA26">
        <v>24383333802</v>
      </c>
      <c r="AB26" t="s">
        <v>1342</v>
      </c>
      <c r="AC26">
        <v>0</v>
      </c>
      <c r="AD26">
        <v>7</v>
      </c>
      <c r="AE26">
        <v>243833338027</v>
      </c>
      <c r="AF26" t="s">
        <v>2748</v>
      </c>
      <c r="AG26">
        <v>1</v>
      </c>
      <c r="AH26">
        <v>0</v>
      </c>
    </row>
    <row r="27" spans="1:34">
      <c r="A27">
        <v>2026</v>
      </c>
      <c r="B27" s="1">
        <v>46054</v>
      </c>
      <c r="C27" t="s">
        <v>2657</v>
      </c>
      <c r="D27" s="44" t="s">
        <v>2753</v>
      </c>
      <c r="E27" s="43">
        <v>46072.511730682869</v>
      </c>
      <c r="F27" s="1">
        <v>46072</v>
      </c>
      <c r="G27" s="43">
        <v>46073.764130925927</v>
      </c>
      <c r="H27" t="s">
        <v>2725</v>
      </c>
      <c r="I27" t="s">
        <v>2719</v>
      </c>
      <c r="J27" t="s">
        <v>39</v>
      </c>
      <c r="L27" t="s">
        <v>2408</v>
      </c>
      <c r="M27">
        <v>24383333802</v>
      </c>
      <c r="N27" t="s">
        <v>2746</v>
      </c>
      <c r="O27" s="1">
        <v>45661</v>
      </c>
      <c r="T27" t="s">
        <v>2662</v>
      </c>
      <c r="U27" t="s">
        <v>2754</v>
      </c>
      <c r="V27">
        <v>1</v>
      </c>
      <c r="W27" t="s">
        <v>2671</v>
      </c>
      <c r="X27">
        <v>1</v>
      </c>
      <c r="Y27" t="s">
        <v>2683</v>
      </c>
      <c r="AA27">
        <v>24383333802</v>
      </c>
      <c r="AB27" t="s">
        <v>1342</v>
      </c>
      <c r="AC27">
        <v>0</v>
      </c>
      <c r="AD27">
        <v>8</v>
      </c>
      <c r="AE27">
        <v>243833338028</v>
      </c>
      <c r="AF27" t="s">
        <v>2748</v>
      </c>
      <c r="AG27">
        <v>1</v>
      </c>
      <c r="AH27">
        <v>0</v>
      </c>
    </row>
    <row r="28" spans="1:34">
      <c r="A28">
        <v>2026</v>
      </c>
      <c r="B28" s="1">
        <v>46054</v>
      </c>
      <c r="C28" t="s">
        <v>2657</v>
      </c>
      <c r="D28" t="s">
        <v>2755</v>
      </c>
      <c r="E28" s="43">
        <v>46077.675779583333</v>
      </c>
      <c r="F28" s="1">
        <v>46077</v>
      </c>
      <c r="G28" s="43">
        <v>46085.632137094908</v>
      </c>
      <c r="H28" t="s">
        <v>2725</v>
      </c>
      <c r="I28" t="s">
        <v>2660</v>
      </c>
      <c r="J28" t="s">
        <v>39</v>
      </c>
      <c r="L28" t="s">
        <v>2408</v>
      </c>
      <c r="M28">
        <v>24383333802</v>
      </c>
      <c r="N28" t="s">
        <v>2746</v>
      </c>
      <c r="O28" s="1">
        <v>45661</v>
      </c>
      <c r="T28" t="s">
        <v>2662</v>
      </c>
      <c r="U28" t="s">
        <v>2756</v>
      </c>
      <c r="V28">
        <v>6</v>
      </c>
      <c r="W28" t="s">
        <v>2664</v>
      </c>
      <c r="X28">
        <v>1</v>
      </c>
      <c r="Y28" t="s">
        <v>2757</v>
      </c>
      <c r="AA28">
        <v>24383333802</v>
      </c>
      <c r="AB28" t="s">
        <v>1342</v>
      </c>
      <c r="AC28">
        <v>0</v>
      </c>
      <c r="AD28">
        <v>9</v>
      </c>
      <c r="AE28">
        <v>243833338029</v>
      </c>
      <c r="AF28" t="s">
        <v>2748</v>
      </c>
      <c r="AG28">
        <v>1</v>
      </c>
      <c r="AH28">
        <v>0</v>
      </c>
    </row>
    <row r="29" spans="1:34">
      <c r="A29">
        <v>2026</v>
      </c>
      <c r="B29" s="1">
        <v>46054</v>
      </c>
      <c r="C29" t="s">
        <v>2657</v>
      </c>
      <c r="D29" t="s">
        <v>2758</v>
      </c>
      <c r="E29" s="43">
        <v>46057.551866481481</v>
      </c>
      <c r="F29" s="1">
        <v>46057</v>
      </c>
      <c r="G29" s="43">
        <v>46076.629655532408</v>
      </c>
      <c r="H29" t="s">
        <v>2725</v>
      </c>
      <c r="I29" t="s">
        <v>2669</v>
      </c>
      <c r="J29" t="s">
        <v>39</v>
      </c>
      <c r="L29" t="s">
        <v>2336</v>
      </c>
      <c r="M29">
        <v>1126409110002</v>
      </c>
      <c r="N29" t="s">
        <v>2746</v>
      </c>
      <c r="O29" s="1">
        <v>45930</v>
      </c>
      <c r="T29" t="s">
        <v>2662</v>
      </c>
      <c r="U29" t="s">
        <v>2759</v>
      </c>
      <c r="V29">
        <v>13</v>
      </c>
      <c r="W29" t="s">
        <v>2677</v>
      </c>
      <c r="X29">
        <v>1</v>
      </c>
      <c r="Y29" t="s">
        <v>2760</v>
      </c>
      <c r="AA29">
        <v>414165418502</v>
      </c>
      <c r="AB29" t="s">
        <v>1569</v>
      </c>
      <c r="AC29">
        <v>0</v>
      </c>
      <c r="AD29">
        <v>6</v>
      </c>
      <c r="AE29">
        <v>4141654185026</v>
      </c>
      <c r="AF29" t="s">
        <v>2761</v>
      </c>
      <c r="AG29">
        <v>0</v>
      </c>
      <c r="AH29">
        <v>0</v>
      </c>
    </row>
    <row r="30" spans="1:34">
      <c r="A30">
        <v>2026</v>
      </c>
      <c r="B30" s="1">
        <v>46054</v>
      </c>
      <c r="C30" t="s">
        <v>2657</v>
      </c>
      <c r="D30" t="s">
        <v>2762</v>
      </c>
      <c r="E30" s="43">
        <v>46057.557403240738</v>
      </c>
      <c r="F30" s="1">
        <v>46057</v>
      </c>
      <c r="G30" s="43">
        <v>46062.580803761572</v>
      </c>
      <c r="H30" t="s">
        <v>2725</v>
      </c>
      <c r="I30" t="s">
        <v>2669</v>
      </c>
      <c r="J30" t="s">
        <v>39</v>
      </c>
      <c r="L30" t="s">
        <v>2336</v>
      </c>
      <c r="M30">
        <v>1126409110002</v>
      </c>
      <c r="N30" t="s">
        <v>2746</v>
      </c>
      <c r="O30" s="1">
        <v>45930</v>
      </c>
      <c r="T30" t="s">
        <v>2662</v>
      </c>
      <c r="U30" t="s">
        <v>2763</v>
      </c>
      <c r="V30">
        <v>3</v>
      </c>
      <c r="W30" t="s">
        <v>2671</v>
      </c>
      <c r="X30">
        <v>1</v>
      </c>
      <c r="Y30" t="s">
        <v>2764</v>
      </c>
      <c r="AA30">
        <v>414165418502</v>
      </c>
      <c r="AB30" t="s">
        <v>1569</v>
      </c>
      <c r="AC30">
        <v>0</v>
      </c>
      <c r="AD30">
        <v>6</v>
      </c>
      <c r="AE30">
        <v>4141654185026</v>
      </c>
      <c r="AF30" t="s">
        <v>2761</v>
      </c>
      <c r="AG30">
        <v>0</v>
      </c>
      <c r="AH30">
        <v>0</v>
      </c>
    </row>
    <row r="31" spans="1:34">
      <c r="A31">
        <v>2026</v>
      </c>
      <c r="B31" s="1">
        <v>46054</v>
      </c>
      <c r="C31" t="s">
        <v>2657</v>
      </c>
      <c r="D31" t="s">
        <v>2765</v>
      </c>
      <c r="E31" s="43">
        <v>46058.608179583331</v>
      </c>
      <c r="F31" s="1">
        <v>46058</v>
      </c>
      <c r="G31" s="43">
        <v>46062.581364398146</v>
      </c>
      <c r="H31" t="s">
        <v>2725</v>
      </c>
      <c r="I31" t="s">
        <v>2669</v>
      </c>
      <c r="J31" t="s">
        <v>39</v>
      </c>
      <c r="L31" t="s">
        <v>2336</v>
      </c>
      <c r="M31">
        <v>1126409110002</v>
      </c>
      <c r="N31" t="s">
        <v>2746</v>
      </c>
      <c r="O31" s="1">
        <v>45930</v>
      </c>
      <c r="T31" t="s">
        <v>2662</v>
      </c>
      <c r="U31" t="s">
        <v>2766</v>
      </c>
      <c r="V31">
        <v>2</v>
      </c>
      <c r="W31" t="s">
        <v>2677</v>
      </c>
      <c r="X31">
        <v>1</v>
      </c>
      <c r="Y31" t="s">
        <v>2767</v>
      </c>
      <c r="AA31">
        <v>414165418502</v>
      </c>
      <c r="AB31" t="s">
        <v>1569</v>
      </c>
      <c r="AC31">
        <v>0</v>
      </c>
      <c r="AD31">
        <v>6</v>
      </c>
      <c r="AE31">
        <v>4141654185026</v>
      </c>
      <c r="AF31" t="s">
        <v>2761</v>
      </c>
      <c r="AG31">
        <v>0</v>
      </c>
      <c r="AH31">
        <v>0</v>
      </c>
    </row>
    <row r="32" spans="1:34">
      <c r="A32">
        <v>2026</v>
      </c>
      <c r="B32" s="1">
        <v>46054</v>
      </c>
      <c r="C32" t="s">
        <v>2657</v>
      </c>
      <c r="D32" t="s">
        <v>2768</v>
      </c>
      <c r="E32" s="43">
        <v>46057.547844756948</v>
      </c>
      <c r="F32" s="1">
        <v>46057</v>
      </c>
      <c r="G32" s="43">
        <v>46059.522764305555</v>
      </c>
      <c r="H32" t="s">
        <v>2725</v>
      </c>
      <c r="I32" t="s">
        <v>2669</v>
      </c>
      <c r="J32" t="s">
        <v>39</v>
      </c>
      <c r="L32" t="s">
        <v>2336</v>
      </c>
      <c r="M32">
        <v>1126409110002</v>
      </c>
      <c r="N32" t="s">
        <v>2746</v>
      </c>
      <c r="O32" s="1">
        <v>45930</v>
      </c>
      <c r="T32" t="s">
        <v>2662</v>
      </c>
      <c r="U32" t="s">
        <v>2769</v>
      </c>
      <c r="V32">
        <v>2</v>
      </c>
      <c r="W32" t="s">
        <v>2671</v>
      </c>
      <c r="X32">
        <v>1</v>
      </c>
      <c r="Y32" t="s">
        <v>2683</v>
      </c>
      <c r="AA32">
        <v>414165418502</v>
      </c>
      <c r="AB32" t="s">
        <v>1569</v>
      </c>
      <c r="AC32">
        <v>0</v>
      </c>
      <c r="AD32">
        <v>6</v>
      </c>
      <c r="AE32">
        <v>4141654185026</v>
      </c>
      <c r="AF32" t="s">
        <v>2761</v>
      </c>
      <c r="AG32">
        <v>0</v>
      </c>
      <c r="AH32">
        <v>0</v>
      </c>
    </row>
    <row r="33" spans="1:34">
      <c r="A33">
        <v>2026</v>
      </c>
      <c r="B33" s="1">
        <v>46054</v>
      </c>
      <c r="C33" t="s">
        <v>2657</v>
      </c>
      <c r="D33" s="44" t="s">
        <v>2770</v>
      </c>
      <c r="E33" s="43">
        <v>46055.518747928239</v>
      </c>
      <c r="F33" s="1">
        <v>46055</v>
      </c>
      <c r="G33" s="43">
        <v>46056.507486041664</v>
      </c>
      <c r="H33" t="s">
        <v>2725</v>
      </c>
      <c r="I33" t="s">
        <v>2669</v>
      </c>
      <c r="J33" t="s">
        <v>39</v>
      </c>
      <c r="L33" t="s">
        <v>2336</v>
      </c>
      <c r="M33">
        <v>1126409110002</v>
      </c>
      <c r="N33" t="s">
        <v>2746</v>
      </c>
      <c r="O33" s="1">
        <v>45930</v>
      </c>
      <c r="T33" t="s">
        <v>2662</v>
      </c>
      <c r="U33" t="s">
        <v>2771</v>
      </c>
      <c r="V33">
        <v>1</v>
      </c>
      <c r="W33" t="s">
        <v>2677</v>
      </c>
      <c r="X33">
        <v>1</v>
      </c>
      <c r="Y33" t="s">
        <v>2772</v>
      </c>
      <c r="AA33">
        <v>414165418502</v>
      </c>
      <c r="AB33" t="s">
        <v>1569</v>
      </c>
      <c r="AC33">
        <v>0</v>
      </c>
      <c r="AD33">
        <v>6</v>
      </c>
      <c r="AE33">
        <v>4141654185026</v>
      </c>
      <c r="AF33" t="s">
        <v>2761</v>
      </c>
      <c r="AG33">
        <v>1</v>
      </c>
      <c r="AH33">
        <v>1</v>
      </c>
    </row>
    <row r="34" spans="1:34">
      <c r="A34">
        <v>2026</v>
      </c>
      <c r="B34" s="1">
        <v>46054</v>
      </c>
      <c r="C34" t="s">
        <v>2657</v>
      </c>
      <c r="D34" t="s">
        <v>2773</v>
      </c>
      <c r="E34" s="43">
        <v>46062.635038472225</v>
      </c>
      <c r="F34" s="1">
        <v>46062</v>
      </c>
      <c r="G34" s="43">
        <v>46064.880797118058</v>
      </c>
      <c r="H34" t="s">
        <v>2725</v>
      </c>
      <c r="I34" t="s">
        <v>2681</v>
      </c>
      <c r="J34" t="s">
        <v>39</v>
      </c>
      <c r="L34" t="s">
        <v>2336</v>
      </c>
      <c r="M34">
        <v>1126409110002</v>
      </c>
      <c r="N34" t="s">
        <v>2746</v>
      </c>
      <c r="O34" s="1">
        <v>45930</v>
      </c>
      <c r="T34" t="s">
        <v>2662</v>
      </c>
      <c r="U34" t="s">
        <v>2774</v>
      </c>
      <c r="V34">
        <v>2</v>
      </c>
      <c r="W34" t="s">
        <v>2671</v>
      </c>
      <c r="X34">
        <v>1</v>
      </c>
      <c r="Y34" t="s">
        <v>2683</v>
      </c>
      <c r="AA34">
        <v>414165418502</v>
      </c>
      <c r="AB34" t="s">
        <v>1569</v>
      </c>
      <c r="AC34">
        <v>0</v>
      </c>
      <c r="AD34">
        <v>7</v>
      </c>
      <c r="AE34">
        <v>4141654185027</v>
      </c>
      <c r="AF34" t="s">
        <v>2761</v>
      </c>
      <c r="AG34">
        <v>0</v>
      </c>
      <c r="AH34">
        <v>0</v>
      </c>
    </row>
    <row r="35" spans="1:34">
      <c r="A35">
        <v>2026</v>
      </c>
      <c r="B35" s="1">
        <v>46054</v>
      </c>
      <c r="C35" t="s">
        <v>2657</v>
      </c>
      <c r="D35" t="s">
        <v>2775</v>
      </c>
      <c r="E35" s="43">
        <v>46063.534886064816</v>
      </c>
      <c r="F35" s="1">
        <v>46063</v>
      </c>
      <c r="G35" s="43">
        <v>46064.882747476855</v>
      </c>
      <c r="H35" t="s">
        <v>2725</v>
      </c>
      <c r="I35" t="s">
        <v>2681</v>
      </c>
      <c r="J35" t="s">
        <v>39</v>
      </c>
      <c r="L35" t="s">
        <v>2336</v>
      </c>
      <c r="M35">
        <v>1126409110002</v>
      </c>
      <c r="N35" t="s">
        <v>2746</v>
      </c>
      <c r="O35" s="1">
        <v>45930</v>
      </c>
      <c r="T35" t="s">
        <v>2662</v>
      </c>
      <c r="U35" t="s">
        <v>2776</v>
      </c>
      <c r="V35">
        <v>1</v>
      </c>
      <c r="W35" t="s">
        <v>2671</v>
      </c>
      <c r="X35">
        <v>1</v>
      </c>
      <c r="Y35" t="s">
        <v>2683</v>
      </c>
      <c r="AA35">
        <v>414165418502</v>
      </c>
      <c r="AB35" t="s">
        <v>1569</v>
      </c>
      <c r="AC35">
        <v>0</v>
      </c>
      <c r="AD35">
        <v>7</v>
      </c>
      <c r="AE35">
        <v>4141654185027</v>
      </c>
      <c r="AF35" t="s">
        <v>2761</v>
      </c>
      <c r="AG35">
        <v>0</v>
      </c>
      <c r="AH35">
        <v>0</v>
      </c>
    </row>
    <row r="36" spans="1:34">
      <c r="A36">
        <v>2026</v>
      </c>
      <c r="B36" s="1">
        <v>46054</v>
      </c>
      <c r="C36" t="s">
        <v>2657</v>
      </c>
      <c r="D36" t="s">
        <v>2777</v>
      </c>
      <c r="E36" s="43">
        <v>46062.629352245371</v>
      </c>
      <c r="F36" s="1">
        <v>46062</v>
      </c>
      <c r="G36" s="43">
        <v>46066.701101574072</v>
      </c>
      <c r="H36" t="s">
        <v>2725</v>
      </c>
      <c r="I36" t="s">
        <v>2681</v>
      </c>
      <c r="J36" t="s">
        <v>39</v>
      </c>
      <c r="L36" t="s">
        <v>2336</v>
      </c>
      <c r="M36">
        <v>1126409110002</v>
      </c>
      <c r="N36" t="s">
        <v>2746</v>
      </c>
      <c r="O36" s="1">
        <v>45930</v>
      </c>
      <c r="T36" t="s">
        <v>2662</v>
      </c>
      <c r="U36" t="s">
        <v>2778</v>
      </c>
      <c r="V36">
        <v>4</v>
      </c>
      <c r="W36" t="s">
        <v>2677</v>
      </c>
      <c r="X36">
        <v>1</v>
      </c>
      <c r="Y36" t="s">
        <v>2779</v>
      </c>
      <c r="AA36">
        <v>414165418502</v>
      </c>
      <c r="AB36" t="s">
        <v>1569</v>
      </c>
      <c r="AC36">
        <v>0</v>
      </c>
      <c r="AD36">
        <v>7</v>
      </c>
      <c r="AE36">
        <v>4141654185027</v>
      </c>
      <c r="AF36" t="s">
        <v>2761</v>
      </c>
      <c r="AG36">
        <v>0</v>
      </c>
      <c r="AH36">
        <v>0</v>
      </c>
    </row>
    <row r="37" spans="1:34">
      <c r="A37">
        <v>2026</v>
      </c>
      <c r="B37" s="1">
        <v>46054</v>
      </c>
      <c r="C37" t="s">
        <v>2657</v>
      </c>
      <c r="D37" t="s">
        <v>2780</v>
      </c>
      <c r="E37" s="43">
        <v>46064.529611712962</v>
      </c>
      <c r="F37" s="1">
        <v>46064</v>
      </c>
      <c r="G37" s="43">
        <v>46066.687826076392</v>
      </c>
      <c r="H37" t="s">
        <v>2725</v>
      </c>
      <c r="I37" t="s">
        <v>2681</v>
      </c>
      <c r="J37" t="s">
        <v>39</v>
      </c>
      <c r="L37" t="s">
        <v>2336</v>
      </c>
      <c r="M37">
        <v>1126409110002</v>
      </c>
      <c r="N37" t="s">
        <v>2746</v>
      </c>
      <c r="O37" s="1">
        <v>45930</v>
      </c>
      <c r="T37" t="s">
        <v>2662</v>
      </c>
      <c r="U37" t="s">
        <v>2781</v>
      </c>
      <c r="V37">
        <v>2</v>
      </c>
      <c r="W37" t="s">
        <v>2677</v>
      </c>
      <c r="X37">
        <v>1</v>
      </c>
      <c r="Y37" t="s">
        <v>2772</v>
      </c>
      <c r="AA37">
        <v>414165418502</v>
      </c>
      <c r="AB37" t="s">
        <v>1569</v>
      </c>
      <c r="AC37">
        <v>0</v>
      </c>
      <c r="AD37">
        <v>7</v>
      </c>
      <c r="AE37">
        <v>4141654185027</v>
      </c>
      <c r="AF37" t="s">
        <v>2761</v>
      </c>
      <c r="AG37">
        <v>0</v>
      </c>
      <c r="AH37">
        <v>0</v>
      </c>
    </row>
    <row r="38" spans="1:34">
      <c r="A38">
        <v>2026</v>
      </c>
      <c r="B38" s="1">
        <v>46054</v>
      </c>
      <c r="C38" t="s">
        <v>2657</v>
      </c>
      <c r="D38" t="s">
        <v>2782</v>
      </c>
      <c r="E38" s="43">
        <v>46062.508153356481</v>
      </c>
      <c r="F38" s="1">
        <v>46062</v>
      </c>
      <c r="G38" s="43">
        <v>46080.658926655095</v>
      </c>
      <c r="H38" t="s">
        <v>2725</v>
      </c>
      <c r="I38" t="s">
        <v>2681</v>
      </c>
      <c r="J38" t="s">
        <v>39</v>
      </c>
      <c r="L38" t="s">
        <v>2336</v>
      </c>
      <c r="M38">
        <v>1126409110002</v>
      </c>
      <c r="N38" t="s">
        <v>2746</v>
      </c>
      <c r="O38" s="1">
        <v>45930</v>
      </c>
      <c r="T38" t="s">
        <v>2662</v>
      </c>
      <c r="U38" t="s">
        <v>2783</v>
      </c>
      <c r="V38">
        <v>14</v>
      </c>
      <c r="W38" t="s">
        <v>2671</v>
      </c>
      <c r="X38">
        <v>1</v>
      </c>
      <c r="Y38" t="s">
        <v>2692</v>
      </c>
      <c r="AA38">
        <v>414165418502</v>
      </c>
      <c r="AB38" t="s">
        <v>1569</v>
      </c>
      <c r="AC38">
        <v>0</v>
      </c>
      <c r="AD38">
        <v>7</v>
      </c>
      <c r="AE38">
        <v>4141654185027</v>
      </c>
      <c r="AF38" t="s">
        <v>2761</v>
      </c>
      <c r="AG38">
        <v>1</v>
      </c>
      <c r="AH38">
        <v>0</v>
      </c>
    </row>
    <row r="39" spans="1:34">
      <c r="A39">
        <v>2026</v>
      </c>
      <c r="B39" s="1">
        <v>46054</v>
      </c>
      <c r="C39" t="s">
        <v>2657</v>
      </c>
      <c r="D39" t="s">
        <v>2784</v>
      </c>
      <c r="E39" s="43">
        <v>46072.601364953705</v>
      </c>
      <c r="F39" s="1">
        <v>46072</v>
      </c>
      <c r="G39" s="43">
        <v>46077.692556273149</v>
      </c>
      <c r="H39" t="s">
        <v>2725</v>
      </c>
      <c r="I39" t="s">
        <v>2719</v>
      </c>
      <c r="J39" t="s">
        <v>39</v>
      </c>
      <c r="L39" t="s">
        <v>2336</v>
      </c>
      <c r="M39">
        <v>414165418502</v>
      </c>
      <c r="N39" t="s">
        <v>2746</v>
      </c>
      <c r="O39" s="1">
        <v>45342</v>
      </c>
      <c r="T39" t="s">
        <v>2662</v>
      </c>
      <c r="U39" t="s">
        <v>2785</v>
      </c>
      <c r="V39">
        <v>3</v>
      </c>
      <c r="W39" t="s">
        <v>2743</v>
      </c>
      <c r="X39">
        <v>1</v>
      </c>
      <c r="Y39" t="s">
        <v>2717</v>
      </c>
      <c r="AA39">
        <v>414165418502</v>
      </c>
      <c r="AB39" t="s">
        <v>1569</v>
      </c>
      <c r="AC39">
        <v>0</v>
      </c>
      <c r="AD39">
        <v>8</v>
      </c>
      <c r="AE39">
        <v>4141654185028</v>
      </c>
      <c r="AF39" t="s">
        <v>2761</v>
      </c>
      <c r="AG39">
        <v>1</v>
      </c>
      <c r="AH39">
        <v>0</v>
      </c>
    </row>
    <row r="40" spans="1:34">
      <c r="A40">
        <v>2026</v>
      </c>
      <c r="B40" s="1">
        <v>46054</v>
      </c>
      <c r="C40" t="s">
        <v>2657</v>
      </c>
      <c r="D40" t="s">
        <v>2786</v>
      </c>
      <c r="E40" s="43">
        <v>46072.652569166668</v>
      </c>
      <c r="F40" s="1">
        <v>46072</v>
      </c>
      <c r="G40" s="43">
        <v>46073.756619675929</v>
      </c>
      <c r="H40" t="s">
        <v>2725</v>
      </c>
      <c r="I40" t="s">
        <v>2719</v>
      </c>
      <c r="J40" t="s">
        <v>39</v>
      </c>
      <c r="L40" t="s">
        <v>2336</v>
      </c>
      <c r="M40">
        <v>1126409110002</v>
      </c>
      <c r="N40" t="s">
        <v>2746</v>
      </c>
      <c r="O40" s="1">
        <v>45930</v>
      </c>
      <c r="T40" t="s">
        <v>2662</v>
      </c>
      <c r="U40" t="s">
        <v>2787</v>
      </c>
      <c r="V40">
        <v>1</v>
      </c>
      <c r="W40" t="s">
        <v>2671</v>
      </c>
      <c r="X40">
        <v>1</v>
      </c>
      <c r="Y40" t="s">
        <v>2683</v>
      </c>
      <c r="AA40">
        <v>414165418502</v>
      </c>
      <c r="AB40" t="s">
        <v>1569</v>
      </c>
      <c r="AC40">
        <v>0</v>
      </c>
      <c r="AD40">
        <v>8</v>
      </c>
      <c r="AE40">
        <v>4141654185028</v>
      </c>
      <c r="AF40" t="s">
        <v>2761</v>
      </c>
      <c r="AG40">
        <v>0</v>
      </c>
      <c r="AH40">
        <v>0</v>
      </c>
    </row>
    <row r="41" spans="1:34">
      <c r="A41">
        <v>2026</v>
      </c>
      <c r="B41" s="1">
        <v>46054</v>
      </c>
      <c r="C41" t="s">
        <v>2657</v>
      </c>
      <c r="D41" t="s">
        <v>2788</v>
      </c>
      <c r="E41" s="43">
        <v>46079.603173206022</v>
      </c>
      <c r="F41" s="1">
        <v>46079</v>
      </c>
      <c r="G41" s="43">
        <v>46090.816371782406</v>
      </c>
      <c r="H41" t="s">
        <v>2725</v>
      </c>
      <c r="I41" t="s">
        <v>2660</v>
      </c>
      <c r="J41" t="s">
        <v>39</v>
      </c>
      <c r="L41" t="s">
        <v>2336</v>
      </c>
      <c r="M41">
        <v>1126409110002</v>
      </c>
      <c r="N41" t="s">
        <v>2746</v>
      </c>
      <c r="O41" s="1">
        <v>45930</v>
      </c>
      <c r="T41" t="s">
        <v>2662</v>
      </c>
      <c r="U41" t="s">
        <v>2789</v>
      </c>
      <c r="V41">
        <v>7</v>
      </c>
      <c r="W41" t="s">
        <v>2671</v>
      </c>
      <c r="X41">
        <v>1</v>
      </c>
      <c r="Y41" t="s">
        <v>2683</v>
      </c>
      <c r="AA41">
        <v>414165418502</v>
      </c>
      <c r="AB41" t="s">
        <v>1569</v>
      </c>
      <c r="AC41">
        <v>0</v>
      </c>
      <c r="AD41">
        <v>9</v>
      </c>
      <c r="AE41">
        <v>4141654185029</v>
      </c>
      <c r="AF41" t="s">
        <v>2761</v>
      </c>
      <c r="AG41">
        <v>1</v>
      </c>
      <c r="AH41">
        <v>0</v>
      </c>
    </row>
    <row r="42" spans="1:34">
      <c r="A42">
        <v>2026</v>
      </c>
      <c r="B42" s="1">
        <v>46054</v>
      </c>
      <c r="C42" t="s">
        <v>2657</v>
      </c>
      <c r="D42" t="s">
        <v>2790</v>
      </c>
      <c r="E42" s="43">
        <v>46066.622541608798</v>
      </c>
      <c r="F42" s="1">
        <v>46066</v>
      </c>
      <c r="G42" s="43">
        <v>46076.692142418979</v>
      </c>
      <c r="H42" t="s">
        <v>2725</v>
      </c>
      <c r="I42" t="s">
        <v>2681</v>
      </c>
      <c r="J42" t="s">
        <v>39</v>
      </c>
      <c r="L42" t="s">
        <v>2362</v>
      </c>
      <c r="M42">
        <v>351067276502</v>
      </c>
      <c r="N42" t="s">
        <v>2702</v>
      </c>
      <c r="O42" s="1">
        <v>45807</v>
      </c>
      <c r="T42" t="s">
        <v>2662</v>
      </c>
      <c r="U42" t="s">
        <v>2791</v>
      </c>
      <c r="V42">
        <v>6</v>
      </c>
      <c r="W42" t="s">
        <v>2704</v>
      </c>
      <c r="X42">
        <v>1</v>
      </c>
      <c r="Y42" t="s">
        <v>2699</v>
      </c>
      <c r="AA42">
        <v>351067276502</v>
      </c>
      <c r="AB42" t="s">
        <v>284</v>
      </c>
      <c r="AC42">
        <v>0</v>
      </c>
      <c r="AD42">
        <v>7</v>
      </c>
      <c r="AE42">
        <v>3510672765027</v>
      </c>
      <c r="AF42" t="s">
        <v>2792</v>
      </c>
      <c r="AG42">
        <v>1</v>
      </c>
      <c r="AH42">
        <v>1</v>
      </c>
    </row>
    <row r="43" spans="1:34">
      <c r="A43">
        <v>2026</v>
      </c>
      <c r="B43" s="1">
        <v>46054</v>
      </c>
      <c r="C43" t="s">
        <v>2657</v>
      </c>
      <c r="D43" t="s">
        <v>2793</v>
      </c>
      <c r="E43" s="43">
        <v>46072.542460081022</v>
      </c>
      <c r="F43" s="1">
        <v>46072</v>
      </c>
      <c r="G43" s="43">
        <v>46073.509690405095</v>
      </c>
      <c r="H43" t="s">
        <v>2725</v>
      </c>
      <c r="I43" t="s">
        <v>2719</v>
      </c>
      <c r="J43" t="s">
        <v>39</v>
      </c>
      <c r="L43" t="s">
        <v>2362</v>
      </c>
      <c r="M43">
        <v>351067276502</v>
      </c>
      <c r="N43" t="s">
        <v>2702</v>
      </c>
      <c r="O43" s="1">
        <v>45807</v>
      </c>
      <c r="T43" t="s">
        <v>2662</v>
      </c>
      <c r="U43" t="s">
        <v>2794</v>
      </c>
      <c r="V43">
        <v>1</v>
      </c>
      <c r="W43" t="s">
        <v>2704</v>
      </c>
      <c r="X43">
        <v>1</v>
      </c>
      <c r="Y43" t="s">
        <v>2710</v>
      </c>
      <c r="AA43">
        <v>351067276502</v>
      </c>
      <c r="AB43" t="s">
        <v>284</v>
      </c>
      <c r="AC43">
        <v>1</v>
      </c>
      <c r="AD43">
        <v>8</v>
      </c>
      <c r="AE43">
        <v>3510672765028</v>
      </c>
      <c r="AF43" t="s">
        <v>2792</v>
      </c>
      <c r="AG43">
        <v>0</v>
      </c>
      <c r="AH43">
        <v>0</v>
      </c>
    </row>
    <row r="44" spans="1:34">
      <c r="A44">
        <v>2026</v>
      </c>
      <c r="B44" s="1">
        <v>46054</v>
      </c>
      <c r="C44" t="s">
        <v>2657</v>
      </c>
      <c r="D44" t="s">
        <v>2795</v>
      </c>
      <c r="E44" s="43">
        <v>46072.521052928241</v>
      </c>
      <c r="F44" s="1">
        <v>46072</v>
      </c>
      <c r="G44" s="43">
        <v>46079.644751655091</v>
      </c>
      <c r="H44" t="s">
        <v>2725</v>
      </c>
      <c r="I44" t="s">
        <v>2719</v>
      </c>
      <c r="J44" t="s">
        <v>39</v>
      </c>
      <c r="L44" t="s">
        <v>2362</v>
      </c>
      <c r="M44">
        <v>351067276502</v>
      </c>
      <c r="N44" t="s">
        <v>2702</v>
      </c>
      <c r="O44" s="1">
        <v>45807</v>
      </c>
      <c r="T44" t="s">
        <v>2662</v>
      </c>
      <c r="U44" t="s">
        <v>2796</v>
      </c>
      <c r="V44">
        <v>5</v>
      </c>
      <c r="W44" t="s">
        <v>2704</v>
      </c>
      <c r="X44">
        <v>1</v>
      </c>
      <c r="Y44" t="s">
        <v>2699</v>
      </c>
      <c r="AA44">
        <v>351067276502</v>
      </c>
      <c r="AB44" t="s">
        <v>284</v>
      </c>
      <c r="AC44">
        <v>0</v>
      </c>
      <c r="AD44">
        <v>8</v>
      </c>
      <c r="AE44">
        <v>3510672765028</v>
      </c>
      <c r="AF44" t="s">
        <v>2792</v>
      </c>
      <c r="AG44">
        <v>1</v>
      </c>
      <c r="AH44">
        <v>0</v>
      </c>
    </row>
    <row r="45" spans="1:34">
      <c r="A45">
        <v>2026</v>
      </c>
      <c r="B45" s="1">
        <v>46082</v>
      </c>
      <c r="C45" t="s">
        <v>2657</v>
      </c>
      <c r="D45" t="s">
        <v>2797</v>
      </c>
      <c r="E45" s="43">
        <v>46084.899792037038</v>
      </c>
      <c r="F45" s="1">
        <v>46084</v>
      </c>
      <c r="G45" s="43">
        <v>46084.899792037038</v>
      </c>
      <c r="H45" t="s">
        <v>2668</v>
      </c>
      <c r="I45" t="s">
        <v>2669</v>
      </c>
      <c r="J45" t="s">
        <v>37</v>
      </c>
      <c r="L45" t="s">
        <v>2351</v>
      </c>
      <c r="M45">
        <v>731694233402</v>
      </c>
      <c r="N45" t="s">
        <v>2661</v>
      </c>
      <c r="O45" s="1">
        <v>46028</v>
      </c>
      <c r="T45" t="s">
        <v>2798</v>
      </c>
      <c r="U45" t="s">
        <v>2799</v>
      </c>
      <c r="V45">
        <v>8</v>
      </c>
      <c r="W45" t="s">
        <v>2677</v>
      </c>
      <c r="X45">
        <v>0</v>
      </c>
      <c r="Y45" t="s">
        <v>2760</v>
      </c>
      <c r="AA45">
        <v>1096087678002</v>
      </c>
      <c r="AB45" t="s">
        <v>2372</v>
      </c>
      <c r="AC45">
        <v>1</v>
      </c>
      <c r="AD45">
        <v>10</v>
      </c>
      <c r="AE45">
        <v>109608767800210</v>
      </c>
      <c r="AF45" t="s">
        <v>2800</v>
      </c>
      <c r="AG45">
        <v>1</v>
      </c>
      <c r="AH45">
        <v>1</v>
      </c>
    </row>
    <row r="46" spans="1:34">
      <c r="A46">
        <v>2025</v>
      </c>
      <c r="B46" s="1">
        <v>45962</v>
      </c>
      <c r="C46" t="s">
        <v>2657</v>
      </c>
      <c r="D46" t="s">
        <v>2801</v>
      </c>
      <c r="E46" s="43">
        <v>45973.769936168981</v>
      </c>
      <c r="F46" s="1">
        <v>45973</v>
      </c>
      <c r="G46" s="43">
        <v>45973.769936168981</v>
      </c>
      <c r="H46" t="s">
        <v>2802</v>
      </c>
      <c r="I46" t="s">
        <v>2681</v>
      </c>
      <c r="J46" t="s">
        <v>2735</v>
      </c>
      <c r="L46" t="s">
        <v>2362</v>
      </c>
      <c r="M46">
        <v>301429377802</v>
      </c>
      <c r="N46" t="s">
        <v>2746</v>
      </c>
      <c r="O46" s="1">
        <v>45669</v>
      </c>
      <c r="T46" t="s">
        <v>2662</v>
      </c>
      <c r="U46" t="s">
        <v>2803</v>
      </c>
      <c r="V46">
        <v>0</v>
      </c>
      <c r="W46" t="s">
        <v>2704</v>
      </c>
      <c r="X46">
        <v>1</v>
      </c>
      <c r="Y46" t="s">
        <v>2721</v>
      </c>
      <c r="AA46">
        <v>301429377802</v>
      </c>
      <c r="AB46" t="s">
        <v>1868</v>
      </c>
      <c r="AC46">
        <v>0</v>
      </c>
      <c r="AD46">
        <v>46</v>
      </c>
      <c r="AE46">
        <v>30142937780246</v>
      </c>
      <c r="AF46" t="s">
        <v>2804</v>
      </c>
      <c r="AG46">
        <v>1</v>
      </c>
      <c r="AH46">
        <v>1</v>
      </c>
    </row>
    <row r="47" spans="1:34">
      <c r="A47">
        <v>2025</v>
      </c>
      <c r="B47" s="1">
        <v>45962</v>
      </c>
      <c r="C47" t="s">
        <v>2657</v>
      </c>
      <c r="D47" t="s">
        <v>2805</v>
      </c>
      <c r="E47" s="43">
        <v>45985.668921192133</v>
      </c>
      <c r="F47" s="1">
        <v>45985</v>
      </c>
      <c r="G47" s="43">
        <v>45986.769682754632</v>
      </c>
      <c r="H47" t="s">
        <v>2802</v>
      </c>
      <c r="I47" t="s">
        <v>2660</v>
      </c>
      <c r="J47" t="s">
        <v>2735</v>
      </c>
      <c r="L47" t="s">
        <v>2362</v>
      </c>
      <c r="M47">
        <v>301429377802</v>
      </c>
      <c r="N47" t="s">
        <v>2746</v>
      </c>
      <c r="O47" s="1">
        <v>45669</v>
      </c>
      <c r="T47" t="s">
        <v>2662</v>
      </c>
      <c r="U47" t="s">
        <v>2806</v>
      </c>
      <c r="V47">
        <v>1</v>
      </c>
      <c r="W47" t="s">
        <v>2677</v>
      </c>
      <c r="X47">
        <v>1</v>
      </c>
      <c r="Y47" t="s">
        <v>2807</v>
      </c>
      <c r="AA47">
        <v>301429377802</v>
      </c>
      <c r="AB47" t="s">
        <v>1868</v>
      </c>
      <c r="AC47">
        <v>0</v>
      </c>
      <c r="AD47">
        <v>48</v>
      </c>
      <c r="AE47">
        <v>30142937780248</v>
      </c>
      <c r="AF47" t="s">
        <v>2804</v>
      </c>
      <c r="AG47">
        <v>1</v>
      </c>
      <c r="AH47">
        <v>0</v>
      </c>
    </row>
    <row r="48" spans="1:34">
      <c r="A48">
        <v>2026</v>
      </c>
      <c r="B48" s="1">
        <v>46054</v>
      </c>
      <c r="C48" t="s">
        <v>2657</v>
      </c>
      <c r="D48" t="s">
        <v>2808</v>
      </c>
      <c r="E48" s="43">
        <v>46057.666791111114</v>
      </c>
      <c r="F48" s="1">
        <v>46057</v>
      </c>
      <c r="G48" s="43">
        <v>46058.711977280094</v>
      </c>
      <c r="H48" t="s">
        <v>2725</v>
      </c>
      <c r="I48" t="s">
        <v>2669</v>
      </c>
      <c r="J48" t="s">
        <v>37</v>
      </c>
      <c r="L48" t="s">
        <v>2364</v>
      </c>
      <c r="M48">
        <v>687037975702</v>
      </c>
      <c r="N48" t="s">
        <v>2661</v>
      </c>
      <c r="O48" s="1">
        <v>45947</v>
      </c>
      <c r="T48" t="s">
        <v>2662</v>
      </c>
      <c r="U48" t="s">
        <v>2809</v>
      </c>
      <c r="V48">
        <v>1</v>
      </c>
      <c r="W48" t="s">
        <v>2677</v>
      </c>
      <c r="X48">
        <v>1</v>
      </c>
      <c r="Y48" t="s">
        <v>2807</v>
      </c>
      <c r="AA48">
        <v>687037975702</v>
      </c>
      <c r="AB48" t="s">
        <v>171</v>
      </c>
      <c r="AC48">
        <v>0</v>
      </c>
      <c r="AD48">
        <v>6</v>
      </c>
      <c r="AE48">
        <v>6870379757026</v>
      </c>
      <c r="AF48" t="s">
        <v>2810</v>
      </c>
      <c r="AG48">
        <v>1</v>
      </c>
      <c r="AH48">
        <v>1</v>
      </c>
    </row>
    <row r="49" spans="1:34">
      <c r="A49">
        <v>2026</v>
      </c>
      <c r="B49" s="1">
        <v>46054</v>
      </c>
      <c r="C49" t="s">
        <v>2657</v>
      </c>
      <c r="D49" t="s">
        <v>2811</v>
      </c>
      <c r="E49" s="43">
        <v>46065.600187256947</v>
      </c>
      <c r="F49" s="1">
        <v>46065</v>
      </c>
      <c r="G49" s="43">
        <v>46073.574799340277</v>
      </c>
      <c r="H49" t="s">
        <v>2725</v>
      </c>
      <c r="I49" t="s">
        <v>2681</v>
      </c>
      <c r="J49" t="s">
        <v>37</v>
      </c>
      <c r="L49" t="s">
        <v>2364</v>
      </c>
      <c r="M49">
        <v>687037975702</v>
      </c>
      <c r="N49" t="s">
        <v>2661</v>
      </c>
      <c r="O49" s="1">
        <v>45947</v>
      </c>
      <c r="T49" t="s">
        <v>2662</v>
      </c>
      <c r="U49" t="s">
        <v>2812</v>
      </c>
      <c r="V49">
        <v>6</v>
      </c>
      <c r="W49" t="s">
        <v>2677</v>
      </c>
      <c r="X49">
        <v>1</v>
      </c>
      <c r="Y49" t="s">
        <v>2807</v>
      </c>
      <c r="AA49">
        <v>687037975702</v>
      </c>
      <c r="AB49" t="s">
        <v>171</v>
      </c>
      <c r="AC49">
        <v>0</v>
      </c>
      <c r="AD49">
        <v>7</v>
      </c>
      <c r="AE49">
        <v>6870379757027</v>
      </c>
      <c r="AF49" t="s">
        <v>2810</v>
      </c>
      <c r="AG49">
        <v>1</v>
      </c>
      <c r="AH49">
        <v>0</v>
      </c>
    </row>
    <row r="50" spans="1:34">
      <c r="A50">
        <v>2026</v>
      </c>
      <c r="B50" s="1">
        <v>46054</v>
      </c>
      <c r="C50" t="s">
        <v>2657</v>
      </c>
      <c r="D50" s="44" t="s">
        <v>2813</v>
      </c>
      <c r="E50" s="43">
        <v>46073.593297997686</v>
      </c>
      <c r="F50" s="1">
        <v>46073</v>
      </c>
      <c r="G50" s="43">
        <v>46077.829706956021</v>
      </c>
      <c r="H50" t="s">
        <v>2725</v>
      </c>
      <c r="I50" t="s">
        <v>2719</v>
      </c>
      <c r="J50" t="s">
        <v>37</v>
      </c>
      <c r="L50" t="s">
        <v>2364</v>
      </c>
      <c r="M50">
        <v>687037975702</v>
      </c>
      <c r="N50" t="s">
        <v>2661</v>
      </c>
      <c r="O50" s="1">
        <v>45947</v>
      </c>
      <c r="T50" t="s">
        <v>2662</v>
      </c>
      <c r="U50" t="s">
        <v>2814</v>
      </c>
      <c r="V50">
        <v>2</v>
      </c>
      <c r="W50" t="s">
        <v>2677</v>
      </c>
      <c r="X50">
        <v>1</v>
      </c>
      <c r="Y50" t="s">
        <v>2807</v>
      </c>
      <c r="AA50">
        <v>687037975702</v>
      </c>
      <c r="AB50" t="s">
        <v>171</v>
      </c>
      <c r="AC50">
        <v>0</v>
      </c>
      <c r="AD50">
        <v>8</v>
      </c>
      <c r="AE50">
        <v>6870379757028</v>
      </c>
      <c r="AF50" t="s">
        <v>2810</v>
      </c>
      <c r="AG50">
        <v>1</v>
      </c>
      <c r="AH50">
        <v>0</v>
      </c>
    </row>
    <row r="51" spans="1:34">
      <c r="A51">
        <v>2026</v>
      </c>
      <c r="B51" s="1">
        <v>46054</v>
      </c>
      <c r="C51" t="s">
        <v>2657</v>
      </c>
      <c r="D51" t="s">
        <v>2815</v>
      </c>
      <c r="E51" s="43">
        <v>46079.820878310187</v>
      </c>
      <c r="F51" s="1">
        <v>46079</v>
      </c>
      <c r="G51" s="43">
        <v>46083.79215090278</v>
      </c>
      <c r="H51" t="s">
        <v>2725</v>
      </c>
      <c r="I51" t="s">
        <v>2660</v>
      </c>
      <c r="J51" t="s">
        <v>37</v>
      </c>
      <c r="L51" t="s">
        <v>2364</v>
      </c>
      <c r="M51">
        <v>687037975702</v>
      </c>
      <c r="N51" t="s">
        <v>2661</v>
      </c>
      <c r="O51" s="1">
        <v>45947</v>
      </c>
      <c r="T51" t="s">
        <v>2662</v>
      </c>
      <c r="U51" t="s">
        <v>2816</v>
      </c>
      <c r="V51">
        <v>2</v>
      </c>
      <c r="W51" t="s">
        <v>2677</v>
      </c>
      <c r="X51">
        <v>1</v>
      </c>
      <c r="Y51" t="s">
        <v>2678</v>
      </c>
      <c r="AA51">
        <v>687037975702</v>
      </c>
      <c r="AB51" t="s">
        <v>171</v>
      </c>
      <c r="AC51">
        <v>0</v>
      </c>
      <c r="AD51">
        <v>9</v>
      </c>
      <c r="AE51">
        <v>6870379757029</v>
      </c>
      <c r="AF51" t="s">
        <v>2810</v>
      </c>
      <c r="AG51">
        <v>0</v>
      </c>
      <c r="AH51">
        <v>0</v>
      </c>
    </row>
    <row r="52" spans="1:34">
      <c r="A52">
        <v>2026</v>
      </c>
      <c r="B52" s="1">
        <v>46054</v>
      </c>
      <c r="C52" t="s">
        <v>2657</v>
      </c>
      <c r="D52" t="s">
        <v>2817</v>
      </c>
      <c r="E52" s="43">
        <v>46079.820083969906</v>
      </c>
      <c r="F52" s="1">
        <v>46079</v>
      </c>
      <c r="G52" s="43">
        <v>46083.792191053239</v>
      </c>
      <c r="H52" t="s">
        <v>2725</v>
      </c>
      <c r="I52" t="s">
        <v>2660</v>
      </c>
      <c r="J52" t="s">
        <v>37</v>
      </c>
      <c r="L52" t="s">
        <v>2364</v>
      </c>
      <c r="M52">
        <v>687037975702</v>
      </c>
      <c r="N52" t="s">
        <v>2661</v>
      </c>
      <c r="O52" s="1">
        <v>45947</v>
      </c>
      <c r="T52" t="s">
        <v>2662</v>
      </c>
      <c r="U52" t="s">
        <v>2818</v>
      </c>
      <c r="V52">
        <v>2</v>
      </c>
      <c r="W52" t="s">
        <v>2677</v>
      </c>
      <c r="X52">
        <v>1</v>
      </c>
      <c r="Y52" t="s">
        <v>2678</v>
      </c>
      <c r="AA52">
        <v>687037975702</v>
      </c>
      <c r="AB52" t="s">
        <v>171</v>
      </c>
      <c r="AC52">
        <v>0</v>
      </c>
      <c r="AD52">
        <v>9</v>
      </c>
      <c r="AE52">
        <v>6870379757029</v>
      </c>
      <c r="AF52" t="s">
        <v>2810</v>
      </c>
      <c r="AG52">
        <v>1</v>
      </c>
      <c r="AH52">
        <v>0</v>
      </c>
    </row>
    <row r="53" spans="1:34">
      <c r="A53">
        <v>2025</v>
      </c>
      <c r="B53" s="1">
        <v>45962</v>
      </c>
      <c r="C53" t="s">
        <v>2657</v>
      </c>
      <c r="D53" t="s">
        <v>2819</v>
      </c>
      <c r="E53" s="43">
        <v>45965.693403287034</v>
      </c>
      <c r="F53" s="1">
        <v>45965</v>
      </c>
      <c r="G53" s="43">
        <v>45974.588508969908</v>
      </c>
      <c r="H53" t="s">
        <v>2802</v>
      </c>
      <c r="I53" t="s">
        <v>2669</v>
      </c>
      <c r="J53" t="s">
        <v>2735</v>
      </c>
      <c r="L53" t="s">
        <v>2336</v>
      </c>
      <c r="M53">
        <v>16898656902</v>
      </c>
      <c r="N53" t="s">
        <v>2746</v>
      </c>
      <c r="O53" s="1">
        <v>45661</v>
      </c>
      <c r="T53" t="s">
        <v>2662</v>
      </c>
      <c r="U53" t="s">
        <v>2820</v>
      </c>
      <c r="V53">
        <v>7</v>
      </c>
      <c r="W53" t="s">
        <v>2671</v>
      </c>
      <c r="X53">
        <v>1</v>
      </c>
      <c r="Y53" t="s">
        <v>2692</v>
      </c>
      <c r="AA53">
        <v>16898656902</v>
      </c>
      <c r="AB53" t="s">
        <v>1078</v>
      </c>
      <c r="AC53">
        <v>0</v>
      </c>
      <c r="AD53">
        <v>45</v>
      </c>
      <c r="AE53">
        <v>1689865690245</v>
      </c>
      <c r="AF53" t="s">
        <v>2821</v>
      </c>
      <c r="AG53">
        <v>1</v>
      </c>
      <c r="AH53">
        <v>1</v>
      </c>
    </row>
    <row r="54" spans="1:34">
      <c r="A54">
        <v>2025</v>
      </c>
      <c r="B54" s="1">
        <v>45962</v>
      </c>
      <c r="C54" t="s">
        <v>2657</v>
      </c>
      <c r="D54" t="s">
        <v>2822</v>
      </c>
      <c r="E54" s="43">
        <v>45972.552481828701</v>
      </c>
      <c r="F54" s="1">
        <v>45972</v>
      </c>
      <c r="G54" s="43">
        <v>45973.572956608798</v>
      </c>
      <c r="H54" t="s">
        <v>2802</v>
      </c>
      <c r="I54" t="s">
        <v>2681</v>
      </c>
      <c r="J54" t="s">
        <v>2735</v>
      </c>
      <c r="L54" t="s">
        <v>2336</v>
      </c>
      <c r="M54">
        <v>16898656902</v>
      </c>
      <c r="N54" t="s">
        <v>2746</v>
      </c>
      <c r="O54" s="1">
        <v>45661</v>
      </c>
      <c r="T54" t="s">
        <v>2662</v>
      </c>
      <c r="U54" t="s">
        <v>2823</v>
      </c>
      <c r="V54">
        <v>1</v>
      </c>
      <c r="W54" t="s">
        <v>2671</v>
      </c>
      <c r="X54">
        <v>1</v>
      </c>
      <c r="Y54" t="s">
        <v>2692</v>
      </c>
      <c r="Z54" t="s">
        <v>2684</v>
      </c>
      <c r="AA54">
        <v>16898656902</v>
      </c>
      <c r="AB54" t="s">
        <v>1078</v>
      </c>
      <c r="AC54">
        <v>0</v>
      </c>
      <c r="AD54">
        <v>46</v>
      </c>
      <c r="AE54">
        <v>1689865690246</v>
      </c>
      <c r="AF54" t="s">
        <v>2821</v>
      </c>
      <c r="AG54">
        <v>1</v>
      </c>
      <c r="AH54">
        <v>0</v>
      </c>
    </row>
    <row r="55" spans="1:34">
      <c r="A55">
        <v>2026</v>
      </c>
      <c r="B55" s="1">
        <v>46082</v>
      </c>
      <c r="C55" t="s">
        <v>2657</v>
      </c>
      <c r="D55" t="s">
        <v>2824</v>
      </c>
      <c r="E55" s="43">
        <v>46084.521955775461</v>
      </c>
      <c r="F55" s="1">
        <v>46084</v>
      </c>
      <c r="G55" s="43">
        <v>46092.708897627315</v>
      </c>
      <c r="H55" t="s">
        <v>2668</v>
      </c>
      <c r="I55" t="s">
        <v>2669</v>
      </c>
      <c r="J55" t="s">
        <v>36</v>
      </c>
      <c r="L55" t="s">
        <v>2421</v>
      </c>
      <c r="M55">
        <v>187533500102</v>
      </c>
      <c r="N55" t="s">
        <v>2661</v>
      </c>
      <c r="O55" s="1">
        <v>44830</v>
      </c>
      <c r="T55" t="s">
        <v>2662</v>
      </c>
      <c r="U55" t="s">
        <v>2825</v>
      </c>
      <c r="V55">
        <v>6</v>
      </c>
      <c r="X55">
        <v>1</v>
      </c>
      <c r="Y55" t="s">
        <v>2688</v>
      </c>
      <c r="AA55">
        <v>187533500102</v>
      </c>
      <c r="AB55" t="s">
        <v>1717</v>
      </c>
      <c r="AC55">
        <v>0</v>
      </c>
      <c r="AD55">
        <v>10</v>
      </c>
      <c r="AE55">
        <v>18753350010210</v>
      </c>
      <c r="AF55" t="s">
        <v>2826</v>
      </c>
      <c r="AG55">
        <v>1</v>
      </c>
      <c r="AH55">
        <v>1</v>
      </c>
    </row>
    <row r="56" spans="1:34">
      <c r="A56">
        <v>2026</v>
      </c>
      <c r="B56" s="1">
        <v>46082</v>
      </c>
      <c r="C56" t="s">
        <v>2657</v>
      </c>
      <c r="D56" t="s">
        <v>2827</v>
      </c>
      <c r="E56" s="43">
        <v>46093.673353368053</v>
      </c>
      <c r="F56" s="1">
        <v>46093</v>
      </c>
      <c r="G56" s="43">
        <v>46093.842101585651</v>
      </c>
      <c r="H56" t="s">
        <v>2668</v>
      </c>
      <c r="I56" t="s">
        <v>2681</v>
      </c>
      <c r="J56" t="s">
        <v>36</v>
      </c>
      <c r="L56" t="s">
        <v>2421</v>
      </c>
      <c r="M56">
        <v>187533500102</v>
      </c>
      <c r="N56" t="s">
        <v>2661</v>
      </c>
      <c r="O56" s="1">
        <v>44830</v>
      </c>
      <c r="T56" t="s">
        <v>2662</v>
      </c>
      <c r="U56" t="s">
        <v>2828</v>
      </c>
      <c r="V56">
        <v>0</v>
      </c>
      <c r="X56">
        <v>1</v>
      </c>
      <c r="Y56" t="s">
        <v>2688</v>
      </c>
      <c r="AA56">
        <v>187533500102</v>
      </c>
      <c r="AB56" t="s">
        <v>1717</v>
      </c>
      <c r="AC56">
        <v>1</v>
      </c>
      <c r="AD56">
        <v>11</v>
      </c>
      <c r="AE56">
        <v>18753350010211</v>
      </c>
      <c r="AF56" t="s">
        <v>2826</v>
      </c>
      <c r="AG56">
        <v>1</v>
      </c>
      <c r="AH56">
        <v>0</v>
      </c>
    </row>
    <row r="57" spans="1:34">
      <c r="A57">
        <v>2025</v>
      </c>
      <c r="B57" s="1">
        <v>45962</v>
      </c>
      <c r="C57" t="s">
        <v>2657</v>
      </c>
      <c r="D57" t="s">
        <v>2829</v>
      </c>
      <c r="E57" s="43">
        <v>45966.639480844904</v>
      </c>
      <c r="F57" s="1">
        <v>45966</v>
      </c>
      <c r="G57" s="43">
        <v>45968.604718634262</v>
      </c>
      <c r="H57" t="s">
        <v>2802</v>
      </c>
      <c r="I57" t="s">
        <v>2669</v>
      </c>
      <c r="J57" t="s">
        <v>37</v>
      </c>
      <c r="L57" t="s">
        <v>2421</v>
      </c>
      <c r="M57">
        <v>60769061802</v>
      </c>
      <c r="N57" t="s">
        <v>2661</v>
      </c>
      <c r="O57" s="1">
        <v>45299</v>
      </c>
      <c r="T57" t="s">
        <v>2662</v>
      </c>
      <c r="U57" t="s">
        <v>2830</v>
      </c>
      <c r="V57">
        <v>2</v>
      </c>
      <c r="W57" t="s">
        <v>2671</v>
      </c>
      <c r="X57">
        <v>1</v>
      </c>
      <c r="Y57" t="s">
        <v>2695</v>
      </c>
      <c r="AA57">
        <v>60769061802</v>
      </c>
      <c r="AB57" t="s">
        <v>2141</v>
      </c>
      <c r="AC57">
        <v>0</v>
      </c>
      <c r="AD57">
        <v>45</v>
      </c>
      <c r="AE57">
        <v>6076906180245</v>
      </c>
      <c r="AF57" t="s">
        <v>2831</v>
      </c>
      <c r="AG57">
        <v>1</v>
      </c>
      <c r="AH57">
        <v>1</v>
      </c>
    </row>
    <row r="58" spans="1:34">
      <c r="A58">
        <v>2025</v>
      </c>
      <c r="B58" s="1">
        <v>45962</v>
      </c>
      <c r="C58" t="s">
        <v>2657</v>
      </c>
      <c r="D58" t="s">
        <v>2832</v>
      </c>
      <c r="E58" s="43">
        <v>45979.866834143519</v>
      </c>
      <c r="F58" s="1">
        <v>45979</v>
      </c>
      <c r="G58" s="43">
        <v>46045.825134953702</v>
      </c>
      <c r="H58" t="s">
        <v>2802</v>
      </c>
      <c r="I58" t="s">
        <v>2719</v>
      </c>
      <c r="J58" t="s">
        <v>36</v>
      </c>
      <c r="L58" t="s">
        <v>2421</v>
      </c>
      <c r="M58">
        <v>60769061802</v>
      </c>
      <c r="N58" t="s">
        <v>2661</v>
      </c>
      <c r="O58" s="1">
        <v>45299</v>
      </c>
      <c r="T58" t="s">
        <v>2662</v>
      </c>
      <c r="U58" t="s">
        <v>2833</v>
      </c>
      <c r="V58">
        <v>48</v>
      </c>
      <c r="W58" t="s">
        <v>2664</v>
      </c>
      <c r="X58">
        <v>1</v>
      </c>
      <c r="Y58" t="s">
        <v>2665</v>
      </c>
      <c r="Z58" t="s">
        <v>2834</v>
      </c>
      <c r="AA58">
        <v>60769061802</v>
      </c>
      <c r="AB58" t="s">
        <v>2141</v>
      </c>
      <c r="AC58">
        <v>0</v>
      </c>
      <c r="AD58">
        <v>47</v>
      </c>
      <c r="AE58">
        <v>6076906180247</v>
      </c>
      <c r="AF58" t="s">
        <v>2831</v>
      </c>
      <c r="AG58">
        <v>1</v>
      </c>
      <c r="AH58">
        <v>0</v>
      </c>
    </row>
    <row r="59" spans="1:34">
      <c r="A59">
        <v>2025</v>
      </c>
      <c r="B59" s="1">
        <v>45962</v>
      </c>
      <c r="C59" t="s">
        <v>2657</v>
      </c>
      <c r="D59" t="s">
        <v>2835</v>
      </c>
      <c r="E59" s="43">
        <v>45988.717367407407</v>
      </c>
      <c r="F59" s="1">
        <v>45988</v>
      </c>
      <c r="G59" s="43">
        <v>46008.706674108798</v>
      </c>
      <c r="H59" t="s">
        <v>2802</v>
      </c>
      <c r="I59" t="s">
        <v>2660</v>
      </c>
      <c r="J59" t="s">
        <v>36</v>
      </c>
      <c r="L59" t="s">
        <v>2421</v>
      </c>
      <c r="M59">
        <v>60769061802</v>
      </c>
      <c r="N59" t="s">
        <v>2661</v>
      </c>
      <c r="O59" s="1">
        <v>45299</v>
      </c>
      <c r="T59" t="s">
        <v>2662</v>
      </c>
      <c r="U59" t="s">
        <v>2836</v>
      </c>
      <c r="V59">
        <v>14</v>
      </c>
      <c r="X59">
        <v>1</v>
      </c>
      <c r="Y59" t="s">
        <v>2688</v>
      </c>
      <c r="AA59">
        <v>60769061802</v>
      </c>
      <c r="AB59" t="s">
        <v>2141</v>
      </c>
      <c r="AC59">
        <v>0</v>
      </c>
      <c r="AD59">
        <v>48</v>
      </c>
      <c r="AE59">
        <v>6076906180248</v>
      </c>
      <c r="AF59" t="s">
        <v>2831</v>
      </c>
      <c r="AG59">
        <v>0</v>
      </c>
      <c r="AH59">
        <v>0</v>
      </c>
    </row>
    <row r="60" spans="1:34">
      <c r="A60">
        <v>2025</v>
      </c>
      <c r="B60" s="1">
        <v>45962</v>
      </c>
      <c r="C60" t="s">
        <v>2657</v>
      </c>
      <c r="D60" t="s">
        <v>2837</v>
      </c>
      <c r="E60" s="43">
        <v>45986.613084502314</v>
      </c>
      <c r="F60" s="1">
        <v>45986</v>
      </c>
      <c r="G60" s="43">
        <v>45999.599167129629</v>
      </c>
      <c r="H60" t="s">
        <v>2802</v>
      </c>
      <c r="I60" t="s">
        <v>2660</v>
      </c>
      <c r="J60" t="s">
        <v>36</v>
      </c>
      <c r="L60" t="s">
        <v>2421</v>
      </c>
      <c r="M60">
        <v>60769061802</v>
      </c>
      <c r="N60" t="s">
        <v>2661</v>
      </c>
      <c r="O60" s="1">
        <v>45299</v>
      </c>
      <c r="T60" t="s">
        <v>2662</v>
      </c>
      <c r="U60" t="s">
        <v>2838</v>
      </c>
      <c r="V60">
        <v>9</v>
      </c>
      <c r="X60">
        <v>1</v>
      </c>
      <c r="Y60" t="s">
        <v>2688</v>
      </c>
      <c r="AA60">
        <v>60769061802</v>
      </c>
      <c r="AB60" t="s">
        <v>2141</v>
      </c>
      <c r="AC60">
        <v>0</v>
      </c>
      <c r="AD60">
        <v>48</v>
      </c>
      <c r="AE60">
        <v>6076906180248</v>
      </c>
      <c r="AF60" t="s">
        <v>2831</v>
      </c>
      <c r="AG60">
        <v>1</v>
      </c>
      <c r="AH60">
        <v>0</v>
      </c>
    </row>
    <row r="61" spans="1:34">
      <c r="A61">
        <v>2026</v>
      </c>
      <c r="B61" s="1">
        <v>46082</v>
      </c>
      <c r="C61" t="s">
        <v>2657</v>
      </c>
      <c r="D61" t="s">
        <v>2839</v>
      </c>
      <c r="E61" s="43">
        <v>46085.601586793979</v>
      </c>
      <c r="F61" s="1">
        <v>46085</v>
      </c>
      <c r="G61" s="43">
        <v>46090.757698009256</v>
      </c>
      <c r="H61" t="s">
        <v>2668</v>
      </c>
      <c r="I61" t="s">
        <v>2669</v>
      </c>
      <c r="J61" t="s">
        <v>38</v>
      </c>
      <c r="L61" t="s">
        <v>2381</v>
      </c>
      <c r="M61">
        <v>183456830502</v>
      </c>
      <c r="N61" t="s">
        <v>2702</v>
      </c>
      <c r="O61" s="1">
        <v>45661</v>
      </c>
      <c r="T61" t="s">
        <v>2798</v>
      </c>
      <c r="U61" t="s">
        <v>2840</v>
      </c>
      <c r="V61">
        <v>7</v>
      </c>
      <c r="W61" t="s">
        <v>2677</v>
      </c>
      <c r="X61">
        <v>0</v>
      </c>
      <c r="Y61" t="s">
        <v>2767</v>
      </c>
      <c r="AA61">
        <v>183456830502</v>
      </c>
      <c r="AB61" t="s">
        <v>1466</v>
      </c>
      <c r="AC61">
        <v>1</v>
      </c>
      <c r="AD61">
        <v>10</v>
      </c>
      <c r="AE61">
        <v>18345683050210</v>
      </c>
      <c r="AF61" t="s">
        <v>2841</v>
      </c>
      <c r="AG61">
        <v>1</v>
      </c>
      <c r="AH61">
        <v>1</v>
      </c>
    </row>
    <row r="62" spans="1:34">
      <c r="A62">
        <v>2026</v>
      </c>
      <c r="B62" s="1">
        <v>46023</v>
      </c>
      <c r="C62" t="s">
        <v>2657</v>
      </c>
      <c r="D62" t="s">
        <v>2842</v>
      </c>
      <c r="E62" s="43">
        <v>46029.603688541669</v>
      </c>
      <c r="F62" s="1">
        <v>46029</v>
      </c>
      <c r="G62" s="43">
        <v>46038.766836759256</v>
      </c>
      <c r="H62" t="s">
        <v>2701</v>
      </c>
      <c r="I62" t="s">
        <v>2669</v>
      </c>
      <c r="J62" t="s">
        <v>36</v>
      </c>
      <c r="L62" t="s">
        <v>2355</v>
      </c>
      <c r="M62">
        <v>542325043802</v>
      </c>
      <c r="N62" t="s">
        <v>2702</v>
      </c>
      <c r="O62" s="1">
        <v>45661</v>
      </c>
      <c r="T62" t="s">
        <v>2662</v>
      </c>
      <c r="U62" t="s">
        <v>2843</v>
      </c>
      <c r="V62">
        <v>7</v>
      </c>
      <c r="X62">
        <v>1</v>
      </c>
      <c r="Y62" t="s">
        <v>2699</v>
      </c>
      <c r="AA62">
        <v>542325043802</v>
      </c>
      <c r="AB62" t="s">
        <v>448</v>
      </c>
      <c r="AC62">
        <v>0</v>
      </c>
      <c r="AD62">
        <v>2</v>
      </c>
      <c r="AE62">
        <v>5423250438022</v>
      </c>
      <c r="AF62" t="s">
        <v>2844</v>
      </c>
      <c r="AG62">
        <v>0</v>
      </c>
      <c r="AH62">
        <v>0</v>
      </c>
    </row>
    <row r="63" spans="1:34">
      <c r="A63">
        <v>2026</v>
      </c>
      <c r="B63" s="1">
        <v>46023</v>
      </c>
      <c r="C63" t="s">
        <v>2657</v>
      </c>
      <c r="D63" t="s">
        <v>2845</v>
      </c>
      <c r="E63" s="43">
        <v>46028.715974375002</v>
      </c>
      <c r="F63" s="1">
        <v>46028</v>
      </c>
      <c r="G63" s="43">
        <v>46038.752861805558</v>
      </c>
      <c r="H63" t="s">
        <v>2701</v>
      </c>
      <c r="I63" t="s">
        <v>2669</v>
      </c>
      <c r="J63" t="s">
        <v>36</v>
      </c>
      <c r="L63" t="s">
        <v>2355</v>
      </c>
      <c r="M63">
        <v>542325043802</v>
      </c>
      <c r="N63" t="s">
        <v>2702</v>
      </c>
      <c r="O63" s="1">
        <v>45661</v>
      </c>
      <c r="T63" t="s">
        <v>2662</v>
      </c>
      <c r="U63" t="s">
        <v>2846</v>
      </c>
      <c r="V63">
        <v>8</v>
      </c>
      <c r="X63">
        <v>1</v>
      </c>
      <c r="Y63" t="s">
        <v>2717</v>
      </c>
      <c r="AA63">
        <v>542325043802</v>
      </c>
      <c r="AB63" t="s">
        <v>448</v>
      </c>
      <c r="AC63">
        <v>0</v>
      </c>
      <c r="AD63">
        <v>2</v>
      </c>
      <c r="AE63">
        <v>5423250438022</v>
      </c>
      <c r="AF63" t="s">
        <v>2844</v>
      </c>
      <c r="AG63">
        <v>1</v>
      </c>
      <c r="AH63">
        <v>1</v>
      </c>
    </row>
    <row r="64" spans="1:34">
      <c r="A64">
        <v>2026</v>
      </c>
      <c r="B64" s="1">
        <v>46023</v>
      </c>
      <c r="C64" t="s">
        <v>2657</v>
      </c>
      <c r="D64" t="s">
        <v>2847</v>
      </c>
      <c r="E64" s="43">
        <v>46050.794165023151</v>
      </c>
      <c r="F64" s="1">
        <v>46050</v>
      </c>
      <c r="G64" s="43">
        <v>46057.853976874998</v>
      </c>
      <c r="H64" t="s">
        <v>2701</v>
      </c>
      <c r="I64" t="s">
        <v>2660</v>
      </c>
      <c r="J64" t="s">
        <v>36</v>
      </c>
      <c r="L64" t="s">
        <v>2355</v>
      </c>
      <c r="M64">
        <v>542325043802</v>
      </c>
      <c r="N64" t="s">
        <v>2702</v>
      </c>
      <c r="O64" s="1">
        <v>45661</v>
      </c>
      <c r="T64" t="s">
        <v>2662</v>
      </c>
      <c r="U64" t="s">
        <v>2848</v>
      </c>
      <c r="V64">
        <v>5</v>
      </c>
      <c r="X64">
        <v>1</v>
      </c>
      <c r="Y64" t="s">
        <v>2699</v>
      </c>
      <c r="AA64">
        <v>542325043802</v>
      </c>
      <c r="AB64" t="s">
        <v>448</v>
      </c>
      <c r="AC64">
        <v>0</v>
      </c>
      <c r="AD64">
        <v>5</v>
      </c>
      <c r="AE64">
        <v>5423250438025</v>
      </c>
      <c r="AF64" t="s">
        <v>2844</v>
      </c>
      <c r="AG64">
        <v>1</v>
      </c>
      <c r="AH64">
        <v>0</v>
      </c>
    </row>
    <row r="65" spans="1:34">
      <c r="A65">
        <v>2025</v>
      </c>
      <c r="B65" s="1">
        <v>45931</v>
      </c>
      <c r="C65" t="s">
        <v>2657</v>
      </c>
      <c r="D65" t="s">
        <v>2849</v>
      </c>
      <c r="E65" s="43">
        <v>45931.555452986111</v>
      </c>
      <c r="F65" s="1">
        <v>45931</v>
      </c>
      <c r="G65" s="43">
        <v>45937.797443506941</v>
      </c>
      <c r="H65" t="s">
        <v>2659</v>
      </c>
      <c r="I65" t="s">
        <v>2669</v>
      </c>
      <c r="J65" t="s">
        <v>38</v>
      </c>
      <c r="L65" t="s">
        <v>2353</v>
      </c>
      <c r="M65">
        <v>98835860802</v>
      </c>
      <c r="N65" t="s">
        <v>2675</v>
      </c>
      <c r="O65" s="1">
        <v>45294</v>
      </c>
      <c r="T65" t="s">
        <v>2662</v>
      </c>
      <c r="U65" t="s">
        <v>2850</v>
      </c>
      <c r="V65">
        <v>4</v>
      </c>
      <c r="W65" t="s">
        <v>2671</v>
      </c>
      <c r="X65">
        <v>1</v>
      </c>
      <c r="Y65" t="s">
        <v>2683</v>
      </c>
      <c r="AA65">
        <v>98835860802</v>
      </c>
      <c r="AB65" t="s">
        <v>1667</v>
      </c>
      <c r="AC65">
        <v>0</v>
      </c>
      <c r="AD65">
        <v>40</v>
      </c>
      <c r="AE65">
        <v>9883586080240</v>
      </c>
      <c r="AF65" t="s">
        <v>2851</v>
      </c>
      <c r="AG65">
        <v>1</v>
      </c>
      <c r="AH65">
        <v>1</v>
      </c>
    </row>
    <row r="66" spans="1:34">
      <c r="A66">
        <v>2025</v>
      </c>
      <c r="B66" s="1">
        <v>45931</v>
      </c>
      <c r="C66" t="s">
        <v>2657</v>
      </c>
      <c r="D66" t="s">
        <v>2852</v>
      </c>
      <c r="E66" s="43">
        <v>45932.549988495368</v>
      </c>
      <c r="F66" s="1">
        <v>45932</v>
      </c>
      <c r="G66" s="43">
        <v>45937.79751665509</v>
      </c>
      <c r="H66" t="s">
        <v>2659</v>
      </c>
      <c r="I66" t="s">
        <v>2669</v>
      </c>
      <c r="J66" t="s">
        <v>38</v>
      </c>
      <c r="L66" t="s">
        <v>2353</v>
      </c>
      <c r="M66">
        <v>98835860802</v>
      </c>
      <c r="N66" t="s">
        <v>2675</v>
      </c>
      <c r="O66" s="1">
        <v>45294</v>
      </c>
      <c r="T66" t="s">
        <v>2662</v>
      </c>
      <c r="U66" t="s">
        <v>2853</v>
      </c>
      <c r="V66">
        <v>3</v>
      </c>
      <c r="W66" t="s">
        <v>2671</v>
      </c>
      <c r="X66">
        <v>1</v>
      </c>
      <c r="Y66" t="s">
        <v>2764</v>
      </c>
      <c r="AA66">
        <v>98835860802</v>
      </c>
      <c r="AB66" t="s">
        <v>1667</v>
      </c>
      <c r="AC66">
        <v>0</v>
      </c>
      <c r="AD66">
        <v>40</v>
      </c>
      <c r="AE66">
        <v>9883586080240</v>
      </c>
      <c r="AF66" t="s">
        <v>2851</v>
      </c>
      <c r="AG66">
        <v>0</v>
      </c>
      <c r="AH66">
        <v>0</v>
      </c>
    </row>
    <row r="67" spans="1:34">
      <c r="A67">
        <v>2025</v>
      </c>
      <c r="B67" s="1">
        <v>45931</v>
      </c>
      <c r="C67" t="s">
        <v>2657</v>
      </c>
      <c r="D67" t="s">
        <v>2854</v>
      </c>
      <c r="E67" s="43">
        <v>45938.784342384257</v>
      </c>
      <c r="F67" s="1">
        <v>45938</v>
      </c>
      <c r="G67" s="43">
        <v>45947.684589606484</v>
      </c>
      <c r="H67" t="s">
        <v>2659</v>
      </c>
      <c r="I67" t="s">
        <v>2681</v>
      </c>
      <c r="J67" t="s">
        <v>38</v>
      </c>
      <c r="L67" t="s">
        <v>2353</v>
      </c>
      <c r="M67">
        <v>98835860802</v>
      </c>
      <c r="N67" t="s">
        <v>2675</v>
      </c>
      <c r="O67" s="1">
        <v>45294</v>
      </c>
      <c r="T67" t="s">
        <v>2662</v>
      </c>
      <c r="U67" t="s">
        <v>2855</v>
      </c>
      <c r="V67">
        <v>7</v>
      </c>
      <c r="W67" t="s">
        <v>2677</v>
      </c>
      <c r="X67">
        <v>1</v>
      </c>
      <c r="Y67" t="s">
        <v>2678</v>
      </c>
      <c r="AA67">
        <v>98835860802</v>
      </c>
      <c r="AB67" t="s">
        <v>1667</v>
      </c>
      <c r="AC67">
        <v>0</v>
      </c>
      <c r="AD67">
        <v>41</v>
      </c>
      <c r="AE67">
        <v>9883586080241</v>
      </c>
      <c r="AF67" t="s">
        <v>2851</v>
      </c>
      <c r="AG67">
        <v>1</v>
      </c>
      <c r="AH67">
        <v>0</v>
      </c>
    </row>
    <row r="68" spans="1:34">
      <c r="A68">
        <v>2025</v>
      </c>
      <c r="B68" s="1">
        <v>45992</v>
      </c>
      <c r="C68" t="s">
        <v>2657</v>
      </c>
      <c r="D68" t="s">
        <v>2856</v>
      </c>
      <c r="E68" s="43">
        <v>46008.887553020832</v>
      </c>
      <c r="F68" s="1">
        <v>46008</v>
      </c>
      <c r="G68" s="43">
        <v>46028.750186608799</v>
      </c>
      <c r="H68" t="s">
        <v>2686</v>
      </c>
      <c r="I68" t="s">
        <v>2719</v>
      </c>
      <c r="J68" t="s">
        <v>37</v>
      </c>
      <c r="L68" t="s">
        <v>2364</v>
      </c>
      <c r="M68">
        <v>24679550702</v>
      </c>
      <c r="N68" t="s">
        <v>2661</v>
      </c>
      <c r="O68" s="1">
        <v>45994</v>
      </c>
      <c r="T68" t="s">
        <v>2662</v>
      </c>
      <c r="U68" t="s">
        <v>2857</v>
      </c>
      <c r="V68">
        <v>14</v>
      </c>
      <c r="W68" t="s">
        <v>2671</v>
      </c>
      <c r="X68">
        <v>1</v>
      </c>
      <c r="Y68" t="s">
        <v>2757</v>
      </c>
      <c r="AA68">
        <v>24679550702</v>
      </c>
      <c r="AB68" t="s">
        <v>2389</v>
      </c>
      <c r="AC68">
        <v>0</v>
      </c>
      <c r="AD68">
        <v>51</v>
      </c>
      <c r="AE68">
        <v>2467955070251</v>
      </c>
      <c r="AF68" t="s">
        <v>2858</v>
      </c>
      <c r="AG68">
        <v>1</v>
      </c>
      <c r="AH68">
        <v>1</v>
      </c>
    </row>
    <row r="69" spans="1:34">
      <c r="A69">
        <v>2025</v>
      </c>
      <c r="B69" s="1">
        <v>45901</v>
      </c>
      <c r="C69" t="s">
        <v>2657</v>
      </c>
      <c r="D69" t="s">
        <v>2859</v>
      </c>
      <c r="E69" s="43">
        <v>45901.829043472222</v>
      </c>
      <c r="F69" s="1">
        <v>45901</v>
      </c>
      <c r="G69" s="43">
        <v>45902.649577465279</v>
      </c>
      <c r="H69" t="s">
        <v>2734</v>
      </c>
      <c r="I69" t="s">
        <v>2669</v>
      </c>
      <c r="J69" t="s">
        <v>2735</v>
      </c>
      <c r="L69" t="s">
        <v>2361</v>
      </c>
      <c r="M69">
        <v>97759973202</v>
      </c>
      <c r="N69" t="s">
        <v>2746</v>
      </c>
      <c r="O69" s="1">
        <v>45294</v>
      </c>
      <c r="T69" t="s">
        <v>2662</v>
      </c>
      <c r="U69" t="s">
        <v>2860</v>
      </c>
      <c r="V69">
        <v>1</v>
      </c>
      <c r="W69" t="s">
        <v>2671</v>
      </c>
      <c r="X69">
        <v>1</v>
      </c>
      <c r="Y69" t="s">
        <v>2692</v>
      </c>
      <c r="Z69" t="s">
        <v>2684</v>
      </c>
      <c r="AA69">
        <v>97759973202</v>
      </c>
      <c r="AB69" t="s">
        <v>2118</v>
      </c>
      <c r="AC69">
        <v>0</v>
      </c>
      <c r="AD69">
        <v>36</v>
      </c>
      <c r="AE69">
        <v>9775997320236</v>
      </c>
      <c r="AF69" t="s">
        <v>2861</v>
      </c>
      <c r="AG69">
        <v>1</v>
      </c>
      <c r="AH69">
        <v>1</v>
      </c>
    </row>
    <row r="70" spans="1:34">
      <c r="A70">
        <v>2025</v>
      </c>
      <c r="B70" s="1">
        <v>45901</v>
      </c>
      <c r="C70" t="s">
        <v>2657</v>
      </c>
      <c r="D70" t="s">
        <v>2862</v>
      </c>
      <c r="E70" s="43">
        <v>45916.569350243059</v>
      </c>
      <c r="F70" s="1">
        <v>45916</v>
      </c>
      <c r="G70" s="43">
        <v>45918.529277210648</v>
      </c>
      <c r="H70" t="s">
        <v>2734</v>
      </c>
      <c r="I70" t="s">
        <v>2719</v>
      </c>
      <c r="J70" t="s">
        <v>2735</v>
      </c>
      <c r="L70" t="s">
        <v>2361</v>
      </c>
      <c r="M70">
        <v>97759973202</v>
      </c>
      <c r="N70" t="s">
        <v>2746</v>
      </c>
      <c r="O70" s="1">
        <v>45294</v>
      </c>
      <c r="T70" t="s">
        <v>2662</v>
      </c>
      <c r="U70" t="s">
        <v>2863</v>
      </c>
      <c r="V70">
        <v>2</v>
      </c>
      <c r="W70" t="s">
        <v>2743</v>
      </c>
      <c r="X70">
        <v>1</v>
      </c>
      <c r="Y70" t="s">
        <v>2688</v>
      </c>
      <c r="AA70">
        <v>97759973202</v>
      </c>
      <c r="AB70" t="s">
        <v>2118</v>
      </c>
      <c r="AC70">
        <v>0</v>
      </c>
      <c r="AD70">
        <v>38</v>
      </c>
      <c r="AE70">
        <v>9775997320238</v>
      </c>
      <c r="AF70" t="s">
        <v>2861</v>
      </c>
      <c r="AG70">
        <v>1</v>
      </c>
      <c r="AH70">
        <v>0</v>
      </c>
    </row>
    <row r="71" spans="1:34">
      <c r="A71">
        <v>2025</v>
      </c>
      <c r="B71" s="1">
        <v>45901</v>
      </c>
      <c r="C71" t="s">
        <v>2657</v>
      </c>
      <c r="D71" t="s">
        <v>2864</v>
      </c>
      <c r="E71" s="43">
        <v>45923.505851458336</v>
      </c>
      <c r="F71" s="1">
        <v>45923</v>
      </c>
      <c r="G71" s="43">
        <v>45924.530565729168</v>
      </c>
      <c r="H71" t="s">
        <v>2734</v>
      </c>
      <c r="I71" t="s">
        <v>2660</v>
      </c>
      <c r="J71" t="s">
        <v>2735</v>
      </c>
      <c r="L71" t="s">
        <v>2361</v>
      </c>
      <c r="M71">
        <v>97759973202</v>
      </c>
      <c r="N71" t="s">
        <v>2746</v>
      </c>
      <c r="O71" s="1">
        <v>45294</v>
      </c>
      <c r="T71" t="s">
        <v>2662</v>
      </c>
      <c r="U71" t="s">
        <v>2865</v>
      </c>
      <c r="V71">
        <v>1</v>
      </c>
      <c r="X71">
        <v>1</v>
      </c>
      <c r="Y71" t="s">
        <v>2688</v>
      </c>
      <c r="Z71" t="s">
        <v>2834</v>
      </c>
      <c r="AA71">
        <v>97759973202</v>
      </c>
      <c r="AB71" t="s">
        <v>2118</v>
      </c>
      <c r="AC71">
        <v>0</v>
      </c>
      <c r="AD71">
        <v>39</v>
      </c>
      <c r="AE71">
        <v>9775997320239</v>
      </c>
      <c r="AF71" t="s">
        <v>2861</v>
      </c>
      <c r="AG71">
        <v>1</v>
      </c>
      <c r="AH71">
        <v>0</v>
      </c>
    </row>
    <row r="72" spans="1:34">
      <c r="A72">
        <v>2025</v>
      </c>
      <c r="B72" s="1">
        <v>45901</v>
      </c>
      <c r="C72" t="s">
        <v>2657</v>
      </c>
      <c r="D72" t="s">
        <v>2866</v>
      </c>
      <c r="E72" s="43">
        <v>45924.778738055553</v>
      </c>
      <c r="F72" s="1">
        <v>45924</v>
      </c>
      <c r="G72" s="43">
        <v>45924.778738055553</v>
      </c>
      <c r="H72" t="s">
        <v>2734</v>
      </c>
      <c r="I72" t="s">
        <v>2660</v>
      </c>
      <c r="J72" t="s">
        <v>2735</v>
      </c>
      <c r="L72" t="s">
        <v>2361</v>
      </c>
      <c r="M72">
        <v>97759973202</v>
      </c>
      <c r="N72" t="s">
        <v>2746</v>
      </c>
      <c r="O72" s="1">
        <v>45294</v>
      </c>
      <c r="T72" t="s">
        <v>2662</v>
      </c>
      <c r="U72" t="s">
        <v>2867</v>
      </c>
      <c r="V72">
        <v>0</v>
      </c>
      <c r="X72">
        <v>1</v>
      </c>
      <c r="Y72" t="s">
        <v>2688</v>
      </c>
      <c r="AA72">
        <v>97759973202</v>
      </c>
      <c r="AB72" t="s">
        <v>2118</v>
      </c>
      <c r="AC72">
        <v>0</v>
      </c>
      <c r="AD72">
        <v>39</v>
      </c>
      <c r="AE72">
        <v>9775997320239</v>
      </c>
      <c r="AF72" t="s">
        <v>2861</v>
      </c>
      <c r="AG72">
        <v>0</v>
      </c>
      <c r="AH72">
        <v>0</v>
      </c>
    </row>
    <row r="73" spans="1:34">
      <c r="A73">
        <v>2025</v>
      </c>
      <c r="B73" s="1">
        <v>45839</v>
      </c>
      <c r="C73" t="s">
        <v>2657</v>
      </c>
      <c r="D73" t="s">
        <v>2868</v>
      </c>
      <c r="E73" s="43">
        <v>45862.854570439813</v>
      </c>
      <c r="F73" s="1">
        <v>45862</v>
      </c>
      <c r="G73" s="43">
        <v>45891.558473541663</v>
      </c>
      <c r="H73" t="s">
        <v>2869</v>
      </c>
      <c r="I73" t="s">
        <v>2660</v>
      </c>
      <c r="J73" t="s">
        <v>38</v>
      </c>
      <c r="L73" t="s">
        <v>2352</v>
      </c>
      <c r="M73">
        <v>117086860802</v>
      </c>
      <c r="N73" t="s">
        <v>2702</v>
      </c>
      <c r="O73" s="1">
        <v>45294</v>
      </c>
      <c r="T73" t="s">
        <v>2662</v>
      </c>
      <c r="U73" t="s">
        <v>2870</v>
      </c>
      <c r="V73">
        <v>21</v>
      </c>
      <c r="W73" t="s">
        <v>2671</v>
      </c>
      <c r="X73">
        <v>1</v>
      </c>
      <c r="Y73" t="s">
        <v>2695</v>
      </c>
      <c r="Z73" t="s">
        <v>2684</v>
      </c>
      <c r="AA73">
        <v>117086860802</v>
      </c>
      <c r="AB73" t="s">
        <v>876</v>
      </c>
      <c r="AC73">
        <v>0</v>
      </c>
      <c r="AD73">
        <v>30</v>
      </c>
      <c r="AE73">
        <v>11708686080230</v>
      </c>
      <c r="AF73" t="s">
        <v>2871</v>
      </c>
      <c r="AG73">
        <v>1</v>
      </c>
      <c r="AH73">
        <v>1</v>
      </c>
    </row>
    <row r="74" spans="1:34">
      <c r="A74">
        <v>2025</v>
      </c>
      <c r="B74" s="1">
        <v>45931</v>
      </c>
      <c r="C74" t="s">
        <v>2657</v>
      </c>
      <c r="D74" t="s">
        <v>2872</v>
      </c>
      <c r="E74" s="43">
        <v>45960.885291168983</v>
      </c>
      <c r="F74" s="1">
        <v>45960</v>
      </c>
      <c r="G74" s="43">
        <v>45960.885291168983</v>
      </c>
      <c r="H74" t="s">
        <v>2659</v>
      </c>
      <c r="I74" t="s">
        <v>2697</v>
      </c>
      <c r="J74" t="s">
        <v>38</v>
      </c>
      <c r="L74" t="s">
        <v>2379</v>
      </c>
      <c r="M74">
        <v>244366726002</v>
      </c>
      <c r="N74" t="s">
        <v>2675</v>
      </c>
      <c r="O74" s="1">
        <v>45448</v>
      </c>
      <c r="T74" t="s">
        <v>2662</v>
      </c>
      <c r="U74" t="s">
        <v>2873</v>
      </c>
      <c r="V74">
        <v>0</v>
      </c>
      <c r="W74" t="s">
        <v>2677</v>
      </c>
      <c r="X74">
        <v>1</v>
      </c>
      <c r="Y74" t="s">
        <v>2779</v>
      </c>
      <c r="AA74">
        <v>244366726002</v>
      </c>
      <c r="AB74" t="s">
        <v>398</v>
      </c>
      <c r="AC74">
        <v>0</v>
      </c>
      <c r="AD74">
        <v>44</v>
      </c>
      <c r="AE74">
        <v>24436672600244</v>
      </c>
      <c r="AF74" t="s">
        <v>2874</v>
      </c>
      <c r="AG74">
        <v>1</v>
      </c>
      <c r="AH74">
        <v>1</v>
      </c>
    </row>
    <row r="75" spans="1:34">
      <c r="A75">
        <v>2025</v>
      </c>
      <c r="B75" s="1">
        <v>45931</v>
      </c>
      <c r="C75" t="s">
        <v>2657</v>
      </c>
      <c r="D75" t="s">
        <v>2875</v>
      </c>
      <c r="E75" s="43">
        <v>45960.905404421297</v>
      </c>
      <c r="F75" s="1">
        <v>45960</v>
      </c>
      <c r="G75" s="43">
        <v>45968.816680405092</v>
      </c>
      <c r="H75" t="s">
        <v>2659</v>
      </c>
      <c r="I75" t="s">
        <v>2697</v>
      </c>
      <c r="J75" t="s">
        <v>38</v>
      </c>
      <c r="L75" t="s">
        <v>2379</v>
      </c>
      <c r="M75">
        <v>244366726002</v>
      </c>
      <c r="N75" t="s">
        <v>2675</v>
      </c>
      <c r="O75" s="1">
        <v>45448</v>
      </c>
      <c r="T75" t="s">
        <v>2662</v>
      </c>
      <c r="U75" t="s">
        <v>2876</v>
      </c>
      <c r="V75">
        <v>6</v>
      </c>
      <c r="W75" t="s">
        <v>2743</v>
      </c>
      <c r="X75">
        <v>1</v>
      </c>
      <c r="Y75" t="s">
        <v>2744</v>
      </c>
      <c r="AA75">
        <v>244366726002</v>
      </c>
      <c r="AB75" t="s">
        <v>398</v>
      </c>
      <c r="AC75">
        <v>0</v>
      </c>
      <c r="AD75">
        <v>44</v>
      </c>
      <c r="AE75">
        <v>24436672600244</v>
      </c>
      <c r="AF75" t="s">
        <v>2874</v>
      </c>
      <c r="AG75">
        <v>0</v>
      </c>
      <c r="AH75">
        <v>0</v>
      </c>
    </row>
    <row r="76" spans="1:34">
      <c r="A76">
        <v>2025</v>
      </c>
      <c r="B76" s="1">
        <v>45931</v>
      </c>
      <c r="C76" t="s">
        <v>2657</v>
      </c>
      <c r="D76" t="s">
        <v>2877</v>
      </c>
      <c r="E76" s="43">
        <v>45946.558387372686</v>
      </c>
      <c r="F76" s="1">
        <v>45946</v>
      </c>
      <c r="G76" s="43">
        <v>45972.815621689813</v>
      </c>
      <c r="H76" t="s">
        <v>2659</v>
      </c>
      <c r="I76" t="s">
        <v>2719</v>
      </c>
      <c r="J76" t="s">
        <v>37</v>
      </c>
      <c r="L76" t="s">
        <v>2344</v>
      </c>
      <c r="M76">
        <v>686172844702</v>
      </c>
      <c r="N76" t="s">
        <v>2661</v>
      </c>
      <c r="O76" s="1">
        <v>45884</v>
      </c>
      <c r="T76" t="s">
        <v>2662</v>
      </c>
      <c r="U76" t="s">
        <v>2878</v>
      </c>
      <c r="V76">
        <v>18</v>
      </c>
      <c r="W76" t="s">
        <v>2671</v>
      </c>
      <c r="X76">
        <v>1</v>
      </c>
      <c r="Y76" t="s">
        <v>2692</v>
      </c>
      <c r="Z76" t="s">
        <v>2684</v>
      </c>
      <c r="AA76">
        <v>560201489502</v>
      </c>
      <c r="AB76" t="s">
        <v>1032</v>
      </c>
      <c r="AC76">
        <v>0</v>
      </c>
      <c r="AD76">
        <v>42</v>
      </c>
      <c r="AE76">
        <v>56020148950242</v>
      </c>
      <c r="AF76" t="s">
        <v>2879</v>
      </c>
      <c r="AG76">
        <v>1</v>
      </c>
      <c r="AH76">
        <v>1</v>
      </c>
    </row>
    <row r="77" spans="1:34">
      <c r="A77">
        <v>2026</v>
      </c>
      <c r="B77" s="1">
        <v>46023</v>
      </c>
      <c r="C77" t="s">
        <v>2657</v>
      </c>
      <c r="D77" t="s">
        <v>2880</v>
      </c>
      <c r="E77" s="43">
        <v>46044.729537013889</v>
      </c>
      <c r="F77" s="1">
        <v>46044</v>
      </c>
      <c r="G77" s="43">
        <v>46055.804634398148</v>
      </c>
      <c r="H77" t="s">
        <v>2701</v>
      </c>
      <c r="I77" t="s">
        <v>2660</v>
      </c>
      <c r="J77" t="s">
        <v>37</v>
      </c>
      <c r="L77" t="s">
        <v>2351</v>
      </c>
      <c r="M77">
        <v>985914499902</v>
      </c>
      <c r="N77" t="s">
        <v>2702</v>
      </c>
      <c r="O77" s="1">
        <v>46021</v>
      </c>
      <c r="T77" t="s">
        <v>2662</v>
      </c>
      <c r="U77" t="s">
        <v>2881</v>
      </c>
      <c r="V77">
        <v>7</v>
      </c>
      <c r="W77" t="s">
        <v>2677</v>
      </c>
      <c r="X77">
        <v>1</v>
      </c>
      <c r="Y77" t="s">
        <v>2760</v>
      </c>
      <c r="AA77">
        <v>985914499902</v>
      </c>
      <c r="AB77" t="s">
        <v>2515</v>
      </c>
      <c r="AC77">
        <v>0</v>
      </c>
      <c r="AD77">
        <v>4</v>
      </c>
      <c r="AE77">
        <v>9859144999024</v>
      </c>
      <c r="AF77" t="s">
        <v>2882</v>
      </c>
      <c r="AG77">
        <v>1</v>
      </c>
      <c r="AH77">
        <v>1</v>
      </c>
    </row>
    <row r="78" spans="1:34">
      <c r="A78">
        <v>2026</v>
      </c>
      <c r="B78" s="1">
        <v>46023</v>
      </c>
      <c r="C78" t="s">
        <v>2657</v>
      </c>
      <c r="D78" t="s">
        <v>2883</v>
      </c>
      <c r="E78" s="43">
        <v>46037.749531932874</v>
      </c>
      <c r="F78" s="1">
        <v>46037</v>
      </c>
      <c r="G78" s="43">
        <v>46041.565526574072</v>
      </c>
      <c r="H78" t="s">
        <v>2701</v>
      </c>
      <c r="I78" t="s">
        <v>2719</v>
      </c>
      <c r="J78" t="s">
        <v>39</v>
      </c>
      <c r="L78" t="s">
        <v>2362</v>
      </c>
      <c r="M78">
        <v>617214756102</v>
      </c>
      <c r="N78" t="s">
        <v>2702</v>
      </c>
      <c r="O78" s="1">
        <v>46021</v>
      </c>
      <c r="T78" t="s">
        <v>2662</v>
      </c>
      <c r="U78" t="s">
        <v>2884</v>
      </c>
      <c r="V78">
        <v>2</v>
      </c>
      <c r="W78" t="s">
        <v>2677</v>
      </c>
      <c r="X78">
        <v>1</v>
      </c>
      <c r="Y78" t="s">
        <v>2760</v>
      </c>
      <c r="AA78">
        <v>617231255902</v>
      </c>
      <c r="AB78" t="s">
        <v>2365</v>
      </c>
      <c r="AC78">
        <v>0</v>
      </c>
      <c r="AD78">
        <v>3</v>
      </c>
      <c r="AE78">
        <v>6172312559023</v>
      </c>
      <c r="AF78" t="s">
        <v>2885</v>
      </c>
      <c r="AG78">
        <v>1</v>
      </c>
      <c r="AH78">
        <v>1</v>
      </c>
    </row>
    <row r="79" spans="1:34">
      <c r="A79">
        <v>2026</v>
      </c>
      <c r="B79" s="1">
        <v>46023</v>
      </c>
      <c r="C79" t="s">
        <v>2657</v>
      </c>
      <c r="D79" t="s">
        <v>2886</v>
      </c>
      <c r="E79" s="43">
        <v>46038.612612175923</v>
      </c>
      <c r="F79" s="1">
        <v>46038</v>
      </c>
      <c r="G79" s="43">
        <v>46042.675590509258</v>
      </c>
      <c r="H79" t="s">
        <v>2701</v>
      </c>
      <c r="I79" t="s">
        <v>2719</v>
      </c>
      <c r="J79" t="s">
        <v>39</v>
      </c>
      <c r="L79" t="s">
        <v>2362</v>
      </c>
      <c r="M79">
        <v>617214756102</v>
      </c>
      <c r="N79" t="s">
        <v>2702</v>
      </c>
      <c r="O79" s="1">
        <v>46021</v>
      </c>
      <c r="T79" t="s">
        <v>2662</v>
      </c>
      <c r="U79" t="s">
        <v>2887</v>
      </c>
      <c r="V79">
        <v>2</v>
      </c>
      <c r="W79" t="s">
        <v>2671</v>
      </c>
      <c r="X79">
        <v>1</v>
      </c>
      <c r="Y79" t="s">
        <v>2683</v>
      </c>
      <c r="AA79">
        <v>617231255902</v>
      </c>
      <c r="AB79" t="s">
        <v>2365</v>
      </c>
      <c r="AC79">
        <v>0</v>
      </c>
      <c r="AD79">
        <v>3</v>
      </c>
      <c r="AE79">
        <v>6172312559023</v>
      </c>
      <c r="AF79" t="s">
        <v>2885</v>
      </c>
      <c r="AG79">
        <v>0</v>
      </c>
      <c r="AH79">
        <v>0</v>
      </c>
    </row>
    <row r="80" spans="1:34">
      <c r="A80">
        <v>2026</v>
      </c>
      <c r="B80" s="1">
        <v>46023</v>
      </c>
      <c r="C80" t="s">
        <v>2657</v>
      </c>
      <c r="D80" t="s">
        <v>2888</v>
      </c>
      <c r="E80" s="43">
        <v>46043.593298749998</v>
      </c>
      <c r="F80" s="1">
        <v>46043</v>
      </c>
      <c r="G80" s="43">
        <v>46044.687309525463</v>
      </c>
      <c r="H80" t="s">
        <v>2701</v>
      </c>
      <c r="I80" t="s">
        <v>2719</v>
      </c>
      <c r="J80" t="s">
        <v>39</v>
      </c>
      <c r="L80" t="s">
        <v>2362</v>
      </c>
      <c r="M80">
        <v>617214756102</v>
      </c>
      <c r="N80" t="s">
        <v>2702</v>
      </c>
      <c r="O80" s="1">
        <v>46021</v>
      </c>
      <c r="T80" t="s">
        <v>2662</v>
      </c>
      <c r="U80" t="s">
        <v>2889</v>
      </c>
      <c r="V80">
        <v>1</v>
      </c>
      <c r="W80" t="s">
        <v>2677</v>
      </c>
      <c r="X80">
        <v>1</v>
      </c>
      <c r="Y80" t="s">
        <v>2760</v>
      </c>
      <c r="AA80">
        <v>617231255902</v>
      </c>
      <c r="AB80" t="s">
        <v>2365</v>
      </c>
      <c r="AC80">
        <v>0</v>
      </c>
      <c r="AD80">
        <v>4</v>
      </c>
      <c r="AE80">
        <v>6172312559024</v>
      </c>
      <c r="AF80" t="s">
        <v>2885</v>
      </c>
      <c r="AG80">
        <v>1</v>
      </c>
      <c r="AH80">
        <v>0</v>
      </c>
    </row>
    <row r="81" spans="1:34">
      <c r="A81">
        <v>2025</v>
      </c>
      <c r="B81" s="1">
        <v>45992</v>
      </c>
      <c r="C81" t="s">
        <v>2657</v>
      </c>
      <c r="D81" t="s">
        <v>2890</v>
      </c>
      <c r="E81" s="43">
        <v>46007.855365162039</v>
      </c>
      <c r="F81" s="1">
        <v>46007</v>
      </c>
      <c r="G81" s="43">
        <v>46009.693279444444</v>
      </c>
      <c r="H81" t="s">
        <v>2686</v>
      </c>
      <c r="I81" t="s">
        <v>2719</v>
      </c>
      <c r="J81" t="s">
        <v>38</v>
      </c>
      <c r="L81" t="s">
        <v>2379</v>
      </c>
      <c r="M81">
        <v>653060435802</v>
      </c>
      <c r="N81" t="s">
        <v>2675</v>
      </c>
      <c r="O81" s="1">
        <v>45294</v>
      </c>
      <c r="T81" t="s">
        <v>2662</v>
      </c>
      <c r="U81" t="s">
        <v>2891</v>
      </c>
      <c r="V81">
        <v>2</v>
      </c>
      <c r="W81" t="s">
        <v>2671</v>
      </c>
      <c r="X81">
        <v>1</v>
      </c>
      <c r="Y81" t="s">
        <v>2764</v>
      </c>
      <c r="AA81">
        <v>653060435802</v>
      </c>
      <c r="AB81" t="s">
        <v>851</v>
      </c>
      <c r="AC81">
        <v>0</v>
      </c>
      <c r="AD81">
        <v>51</v>
      </c>
      <c r="AE81">
        <v>65306043580251</v>
      </c>
      <c r="AF81" t="s">
        <v>2892</v>
      </c>
      <c r="AG81">
        <v>1</v>
      </c>
      <c r="AH81">
        <v>1</v>
      </c>
    </row>
    <row r="82" spans="1:34">
      <c r="A82">
        <v>2026</v>
      </c>
      <c r="B82" s="1">
        <v>46082</v>
      </c>
      <c r="C82" t="s">
        <v>2657</v>
      </c>
      <c r="D82" t="s">
        <v>2893</v>
      </c>
      <c r="E82" s="43">
        <v>46083.611650833336</v>
      </c>
      <c r="F82" s="1">
        <v>46083</v>
      </c>
      <c r="G82" s="43">
        <v>46085.586013125001</v>
      </c>
      <c r="H82" t="s">
        <v>2668</v>
      </c>
      <c r="I82" t="s">
        <v>2669</v>
      </c>
      <c r="J82" t="s">
        <v>36</v>
      </c>
      <c r="L82" t="s">
        <v>2355</v>
      </c>
      <c r="M82">
        <v>59283260402</v>
      </c>
      <c r="N82" t="s">
        <v>2702</v>
      </c>
      <c r="O82" s="1">
        <v>45294</v>
      </c>
      <c r="T82" t="s">
        <v>2662</v>
      </c>
      <c r="U82" t="s">
        <v>2894</v>
      </c>
      <c r="V82">
        <v>2</v>
      </c>
      <c r="W82" t="s">
        <v>2671</v>
      </c>
      <c r="X82">
        <v>1</v>
      </c>
      <c r="Y82" t="s">
        <v>2672</v>
      </c>
      <c r="AA82">
        <v>59283260402</v>
      </c>
      <c r="AB82" t="s">
        <v>905</v>
      </c>
      <c r="AC82">
        <v>1</v>
      </c>
      <c r="AD82">
        <v>10</v>
      </c>
      <c r="AE82">
        <v>5928326040210</v>
      </c>
      <c r="AF82" t="s">
        <v>2895</v>
      </c>
      <c r="AG82">
        <v>1</v>
      </c>
      <c r="AH82">
        <v>1</v>
      </c>
    </row>
    <row r="83" spans="1:34">
      <c r="A83">
        <v>2025</v>
      </c>
      <c r="B83" s="1">
        <v>45962</v>
      </c>
      <c r="C83" t="s">
        <v>2657</v>
      </c>
      <c r="D83" t="s">
        <v>2896</v>
      </c>
      <c r="E83" s="43">
        <v>45967.649415150459</v>
      </c>
      <c r="F83" s="1">
        <v>45967</v>
      </c>
      <c r="G83" s="43">
        <v>45972.833661504628</v>
      </c>
      <c r="H83" t="s">
        <v>2802</v>
      </c>
      <c r="I83" t="s">
        <v>2669</v>
      </c>
      <c r="J83" t="s">
        <v>37</v>
      </c>
      <c r="L83" t="s">
        <v>2421</v>
      </c>
      <c r="M83">
        <v>1044965067502</v>
      </c>
      <c r="N83" t="s">
        <v>2661</v>
      </c>
      <c r="O83" s="1">
        <v>45709</v>
      </c>
      <c r="T83" t="s">
        <v>2662</v>
      </c>
      <c r="U83" t="s">
        <v>2897</v>
      </c>
      <c r="V83">
        <v>3</v>
      </c>
      <c r="W83" t="s">
        <v>2671</v>
      </c>
      <c r="X83">
        <v>1</v>
      </c>
      <c r="Y83" t="s">
        <v>2683</v>
      </c>
      <c r="AA83">
        <v>124090551902</v>
      </c>
      <c r="AB83" t="s">
        <v>1956</v>
      </c>
      <c r="AC83">
        <v>0</v>
      </c>
      <c r="AD83">
        <v>45</v>
      </c>
      <c r="AE83">
        <v>12409055190245</v>
      </c>
      <c r="AF83" t="s">
        <v>2898</v>
      </c>
      <c r="AG83">
        <v>0</v>
      </c>
      <c r="AH83">
        <v>0</v>
      </c>
    </row>
    <row r="84" spans="1:34">
      <c r="A84">
        <v>2025</v>
      </c>
      <c r="B84" s="1">
        <v>45962</v>
      </c>
      <c r="C84" t="s">
        <v>2657</v>
      </c>
      <c r="D84" t="s">
        <v>2899</v>
      </c>
      <c r="E84" s="43">
        <v>45966.66857976852</v>
      </c>
      <c r="F84" s="1">
        <v>45966</v>
      </c>
      <c r="G84" s="43">
        <v>45978.744569826391</v>
      </c>
      <c r="H84" t="s">
        <v>2802</v>
      </c>
      <c r="I84" t="s">
        <v>2669</v>
      </c>
      <c r="J84" t="s">
        <v>37</v>
      </c>
      <c r="L84" t="s">
        <v>2421</v>
      </c>
      <c r="M84">
        <v>1044965067502</v>
      </c>
      <c r="N84" t="s">
        <v>2661</v>
      </c>
      <c r="O84" s="1">
        <v>45709</v>
      </c>
      <c r="T84" t="s">
        <v>2662</v>
      </c>
      <c r="U84" t="s">
        <v>2900</v>
      </c>
      <c r="V84">
        <v>8</v>
      </c>
      <c r="W84" t="s">
        <v>2671</v>
      </c>
      <c r="X84">
        <v>1</v>
      </c>
      <c r="Y84" t="s">
        <v>2683</v>
      </c>
      <c r="AA84">
        <v>124090551902</v>
      </c>
      <c r="AB84" t="s">
        <v>1956</v>
      </c>
      <c r="AC84">
        <v>0</v>
      </c>
      <c r="AD84">
        <v>45</v>
      </c>
      <c r="AE84">
        <v>12409055190245</v>
      </c>
      <c r="AF84" t="s">
        <v>2898</v>
      </c>
      <c r="AG84">
        <v>0</v>
      </c>
      <c r="AH84">
        <v>0</v>
      </c>
    </row>
    <row r="85" spans="1:34">
      <c r="A85">
        <v>2025</v>
      </c>
      <c r="B85" s="1">
        <v>45962</v>
      </c>
      <c r="C85" t="s">
        <v>2657</v>
      </c>
      <c r="D85" t="s">
        <v>2901</v>
      </c>
      <c r="E85" s="43">
        <v>45965.814223344911</v>
      </c>
      <c r="F85" s="1">
        <v>45965</v>
      </c>
      <c r="G85" s="43">
        <v>45966.810336944443</v>
      </c>
      <c r="H85" t="s">
        <v>2802</v>
      </c>
      <c r="I85" t="s">
        <v>2669</v>
      </c>
      <c r="J85" t="s">
        <v>37</v>
      </c>
      <c r="L85" t="s">
        <v>2421</v>
      </c>
      <c r="M85">
        <v>1044965067502</v>
      </c>
      <c r="N85" t="s">
        <v>2661</v>
      </c>
      <c r="O85" s="1">
        <v>45709</v>
      </c>
      <c r="T85" t="s">
        <v>2662</v>
      </c>
      <c r="U85" t="s">
        <v>2902</v>
      </c>
      <c r="V85">
        <v>1</v>
      </c>
      <c r="W85" t="s">
        <v>2671</v>
      </c>
      <c r="X85">
        <v>1</v>
      </c>
      <c r="Y85" t="s">
        <v>2727</v>
      </c>
      <c r="AA85">
        <v>124090551902</v>
      </c>
      <c r="AB85" t="s">
        <v>1956</v>
      </c>
      <c r="AC85">
        <v>0</v>
      </c>
      <c r="AD85">
        <v>45</v>
      </c>
      <c r="AE85">
        <v>12409055190245</v>
      </c>
      <c r="AF85" t="s">
        <v>2898</v>
      </c>
      <c r="AG85">
        <v>1</v>
      </c>
      <c r="AH85">
        <v>1</v>
      </c>
    </row>
    <row r="86" spans="1:34">
      <c r="A86">
        <v>2025</v>
      </c>
      <c r="B86" s="1">
        <v>45962</v>
      </c>
      <c r="C86" t="s">
        <v>2657</v>
      </c>
      <c r="D86" t="s">
        <v>2903</v>
      </c>
      <c r="E86" s="43">
        <v>45975.671928993055</v>
      </c>
      <c r="F86" s="1">
        <v>45975</v>
      </c>
      <c r="G86" s="43">
        <v>45982.749908958336</v>
      </c>
      <c r="H86" t="s">
        <v>2802</v>
      </c>
      <c r="I86" t="s">
        <v>2681</v>
      </c>
      <c r="J86" t="s">
        <v>36</v>
      </c>
      <c r="L86" t="s">
        <v>2421</v>
      </c>
      <c r="M86">
        <v>124090551902</v>
      </c>
      <c r="N86" t="s">
        <v>2661</v>
      </c>
      <c r="O86" s="1">
        <v>45541</v>
      </c>
      <c r="T86" t="s">
        <v>2662</v>
      </c>
      <c r="U86" t="s">
        <v>2904</v>
      </c>
      <c r="V86">
        <v>5</v>
      </c>
      <c r="X86">
        <v>1</v>
      </c>
      <c r="Y86" t="s">
        <v>2772</v>
      </c>
      <c r="AA86">
        <v>124090551902</v>
      </c>
      <c r="AB86" t="s">
        <v>1956</v>
      </c>
      <c r="AC86">
        <v>0</v>
      </c>
      <c r="AD86">
        <v>46</v>
      </c>
      <c r="AE86">
        <v>12409055190246</v>
      </c>
      <c r="AF86" t="s">
        <v>2898</v>
      </c>
      <c r="AG86">
        <v>0</v>
      </c>
      <c r="AH86">
        <v>0</v>
      </c>
    </row>
    <row r="87" spans="1:34">
      <c r="A87">
        <v>2025</v>
      </c>
      <c r="B87" s="1">
        <v>45962</v>
      </c>
      <c r="C87" t="s">
        <v>2657</v>
      </c>
      <c r="D87" t="s">
        <v>2905</v>
      </c>
      <c r="E87" s="43">
        <v>45975.668935289352</v>
      </c>
      <c r="F87" s="1">
        <v>45975</v>
      </c>
      <c r="G87" s="43">
        <v>45994.650455810188</v>
      </c>
      <c r="H87" t="s">
        <v>2802</v>
      </c>
      <c r="I87" t="s">
        <v>2681</v>
      </c>
      <c r="J87" t="s">
        <v>36</v>
      </c>
      <c r="L87" t="s">
        <v>2421</v>
      </c>
      <c r="M87">
        <v>124090551902</v>
      </c>
      <c r="N87" t="s">
        <v>2661</v>
      </c>
      <c r="O87" s="1">
        <v>45541</v>
      </c>
      <c r="T87" t="s">
        <v>2662</v>
      </c>
      <c r="U87" t="s">
        <v>2906</v>
      </c>
      <c r="V87">
        <v>13</v>
      </c>
      <c r="X87">
        <v>1</v>
      </c>
      <c r="Y87" t="s">
        <v>2772</v>
      </c>
      <c r="AA87">
        <v>124090551902</v>
      </c>
      <c r="AB87" t="s">
        <v>1956</v>
      </c>
      <c r="AC87">
        <v>0</v>
      </c>
      <c r="AD87">
        <v>46</v>
      </c>
      <c r="AE87">
        <v>12409055190246</v>
      </c>
      <c r="AF87" t="s">
        <v>2898</v>
      </c>
      <c r="AG87">
        <v>1</v>
      </c>
      <c r="AH87">
        <v>0</v>
      </c>
    </row>
    <row r="88" spans="1:34">
      <c r="A88">
        <v>2025</v>
      </c>
      <c r="B88" s="1">
        <v>45962</v>
      </c>
      <c r="C88" t="s">
        <v>2657</v>
      </c>
      <c r="D88" t="s">
        <v>2907</v>
      </c>
      <c r="E88" s="43">
        <v>45975.670700150462</v>
      </c>
      <c r="F88" s="1">
        <v>45975</v>
      </c>
      <c r="G88" s="43">
        <v>45975.670700150462</v>
      </c>
      <c r="H88" t="s">
        <v>2802</v>
      </c>
      <c r="I88" t="s">
        <v>2681</v>
      </c>
      <c r="J88" t="s">
        <v>36</v>
      </c>
      <c r="L88" t="s">
        <v>2421</v>
      </c>
      <c r="M88">
        <v>124090551902</v>
      </c>
      <c r="N88" t="s">
        <v>2661</v>
      </c>
      <c r="O88" s="1">
        <v>45541</v>
      </c>
      <c r="T88" t="s">
        <v>2662</v>
      </c>
      <c r="U88" t="s">
        <v>2908</v>
      </c>
      <c r="V88">
        <v>0</v>
      </c>
      <c r="X88">
        <v>1</v>
      </c>
      <c r="Y88" t="s">
        <v>2695</v>
      </c>
      <c r="AA88">
        <v>124090551902</v>
      </c>
      <c r="AB88" t="s">
        <v>1956</v>
      </c>
      <c r="AC88">
        <v>0</v>
      </c>
      <c r="AD88">
        <v>46</v>
      </c>
      <c r="AE88">
        <v>12409055190246</v>
      </c>
      <c r="AF88" t="s">
        <v>2898</v>
      </c>
      <c r="AG88">
        <v>0</v>
      </c>
      <c r="AH88">
        <v>0</v>
      </c>
    </row>
    <row r="89" spans="1:34">
      <c r="A89">
        <v>2025</v>
      </c>
      <c r="B89" s="1">
        <v>45962</v>
      </c>
      <c r="C89" t="s">
        <v>2657</v>
      </c>
      <c r="D89" t="s">
        <v>2909</v>
      </c>
      <c r="E89" s="43">
        <v>45978.743258958333</v>
      </c>
      <c r="F89" s="1">
        <v>45978</v>
      </c>
      <c r="G89" s="43">
        <v>45986.524401400464</v>
      </c>
      <c r="H89" t="s">
        <v>2802</v>
      </c>
      <c r="I89" t="s">
        <v>2719</v>
      </c>
      <c r="J89" t="s">
        <v>36</v>
      </c>
      <c r="L89" t="s">
        <v>2421</v>
      </c>
      <c r="M89">
        <v>1044965067502</v>
      </c>
      <c r="N89" t="s">
        <v>2661</v>
      </c>
      <c r="O89" s="1">
        <v>45709</v>
      </c>
      <c r="T89" t="s">
        <v>2662</v>
      </c>
      <c r="U89" t="s">
        <v>2910</v>
      </c>
      <c r="V89">
        <v>6</v>
      </c>
      <c r="W89" t="s">
        <v>2671</v>
      </c>
      <c r="X89">
        <v>1</v>
      </c>
      <c r="Y89" t="s">
        <v>2683</v>
      </c>
      <c r="Z89" t="s">
        <v>2684</v>
      </c>
      <c r="AA89">
        <v>124090551902</v>
      </c>
      <c r="AB89" t="s">
        <v>1956</v>
      </c>
      <c r="AC89">
        <v>0</v>
      </c>
      <c r="AD89">
        <v>47</v>
      </c>
      <c r="AE89">
        <v>12409055190247</v>
      </c>
      <c r="AF89" t="s">
        <v>2898</v>
      </c>
      <c r="AG89">
        <v>0</v>
      </c>
      <c r="AH89">
        <v>0</v>
      </c>
    </row>
    <row r="90" spans="1:34">
      <c r="A90">
        <v>2025</v>
      </c>
      <c r="B90" s="1">
        <v>45962</v>
      </c>
      <c r="C90" t="s">
        <v>2657</v>
      </c>
      <c r="D90" t="s">
        <v>2911</v>
      </c>
      <c r="E90" s="43">
        <v>45978.67179951389</v>
      </c>
      <c r="F90" s="1">
        <v>45978</v>
      </c>
      <c r="G90" s="43">
        <v>45982.749720983797</v>
      </c>
      <c r="H90" t="s">
        <v>2802</v>
      </c>
      <c r="I90" t="s">
        <v>2719</v>
      </c>
      <c r="J90" t="s">
        <v>36</v>
      </c>
      <c r="L90" t="s">
        <v>2421</v>
      </c>
      <c r="M90">
        <v>1044965067502</v>
      </c>
      <c r="N90" t="s">
        <v>2661</v>
      </c>
      <c r="O90" s="1">
        <v>45709</v>
      </c>
      <c r="T90" t="s">
        <v>2662</v>
      </c>
      <c r="U90" t="s">
        <v>2912</v>
      </c>
      <c r="V90">
        <v>4</v>
      </c>
      <c r="W90" t="s">
        <v>2677</v>
      </c>
      <c r="X90">
        <v>1</v>
      </c>
      <c r="Y90" t="s">
        <v>2760</v>
      </c>
      <c r="AA90">
        <v>124090551902</v>
      </c>
      <c r="AB90" t="s">
        <v>1956</v>
      </c>
      <c r="AC90">
        <v>0</v>
      </c>
      <c r="AD90">
        <v>47</v>
      </c>
      <c r="AE90">
        <v>12409055190247</v>
      </c>
      <c r="AF90" t="s">
        <v>2898</v>
      </c>
      <c r="AG90">
        <v>1</v>
      </c>
      <c r="AH90">
        <v>0</v>
      </c>
    </row>
    <row r="91" spans="1:34">
      <c r="A91">
        <v>2025</v>
      </c>
      <c r="B91" s="1">
        <v>45962</v>
      </c>
      <c r="C91" t="s">
        <v>2657</v>
      </c>
      <c r="D91" t="s">
        <v>2913</v>
      </c>
      <c r="E91" s="43">
        <v>45978.742551423609</v>
      </c>
      <c r="F91" s="1">
        <v>45978</v>
      </c>
      <c r="G91" s="43">
        <v>45986.524729155091</v>
      </c>
      <c r="H91" t="s">
        <v>2802</v>
      </c>
      <c r="I91" t="s">
        <v>2719</v>
      </c>
      <c r="J91" t="s">
        <v>36</v>
      </c>
      <c r="L91" t="s">
        <v>2421</v>
      </c>
      <c r="M91">
        <v>1044965067502</v>
      </c>
      <c r="N91" t="s">
        <v>2661</v>
      </c>
      <c r="O91" s="1">
        <v>45709</v>
      </c>
      <c r="T91" t="s">
        <v>2662</v>
      </c>
      <c r="U91" t="s">
        <v>2914</v>
      </c>
      <c r="V91">
        <v>6</v>
      </c>
      <c r="W91" t="s">
        <v>2671</v>
      </c>
      <c r="X91">
        <v>1</v>
      </c>
      <c r="Y91" t="s">
        <v>2683</v>
      </c>
      <c r="Z91" t="s">
        <v>2684</v>
      </c>
      <c r="AA91">
        <v>124090551902</v>
      </c>
      <c r="AB91" t="s">
        <v>1956</v>
      </c>
      <c r="AC91">
        <v>0</v>
      </c>
      <c r="AD91">
        <v>47</v>
      </c>
      <c r="AE91">
        <v>12409055190247</v>
      </c>
      <c r="AF91" t="s">
        <v>2898</v>
      </c>
      <c r="AG91">
        <v>0</v>
      </c>
      <c r="AH91">
        <v>0</v>
      </c>
    </row>
    <row r="92" spans="1:34">
      <c r="A92">
        <v>2025</v>
      </c>
      <c r="B92" s="1">
        <v>45962</v>
      </c>
      <c r="C92" t="s">
        <v>2657</v>
      </c>
      <c r="D92" t="s">
        <v>2915</v>
      </c>
      <c r="E92" s="43">
        <v>45988.779989675924</v>
      </c>
      <c r="F92" s="1">
        <v>45988</v>
      </c>
      <c r="G92" s="43">
        <v>46000.710617314813</v>
      </c>
      <c r="H92" t="s">
        <v>2802</v>
      </c>
      <c r="I92" t="s">
        <v>2660</v>
      </c>
      <c r="J92" t="s">
        <v>36</v>
      </c>
      <c r="L92" t="s">
        <v>2421</v>
      </c>
      <c r="M92">
        <v>1044965067502</v>
      </c>
      <c r="N92" t="s">
        <v>2661</v>
      </c>
      <c r="O92" s="1">
        <v>45709</v>
      </c>
      <c r="T92" t="s">
        <v>2662</v>
      </c>
      <c r="U92" t="s">
        <v>2916</v>
      </c>
      <c r="V92">
        <v>8</v>
      </c>
      <c r="W92" t="s">
        <v>2664</v>
      </c>
      <c r="X92">
        <v>1</v>
      </c>
      <c r="Y92" t="s">
        <v>2744</v>
      </c>
      <c r="AA92">
        <v>124090551902</v>
      </c>
      <c r="AB92" t="s">
        <v>1956</v>
      </c>
      <c r="AC92">
        <v>0</v>
      </c>
      <c r="AD92">
        <v>48</v>
      </c>
      <c r="AE92">
        <v>12409055190248</v>
      </c>
      <c r="AF92" t="s">
        <v>2898</v>
      </c>
      <c r="AG92">
        <v>1</v>
      </c>
      <c r="AH92">
        <v>0</v>
      </c>
    </row>
    <row r="93" spans="1:34">
      <c r="A93">
        <v>2026</v>
      </c>
      <c r="B93" s="1">
        <v>46054</v>
      </c>
      <c r="C93" t="s">
        <v>2657</v>
      </c>
      <c r="D93" t="s">
        <v>2917</v>
      </c>
      <c r="E93" s="43">
        <v>46059.727631689813</v>
      </c>
      <c r="F93" s="1">
        <v>46059</v>
      </c>
      <c r="G93" s="43">
        <v>46064.578945289351</v>
      </c>
      <c r="H93" t="s">
        <v>2725</v>
      </c>
      <c r="I93" t="s">
        <v>2669</v>
      </c>
      <c r="J93" t="s">
        <v>38</v>
      </c>
      <c r="L93" t="s">
        <v>2342</v>
      </c>
      <c r="M93">
        <v>98385811302</v>
      </c>
      <c r="N93" t="s">
        <v>2702</v>
      </c>
      <c r="O93" s="1">
        <v>45294</v>
      </c>
      <c r="T93" t="s">
        <v>2662</v>
      </c>
      <c r="U93" t="s">
        <v>2918</v>
      </c>
      <c r="V93">
        <v>3</v>
      </c>
      <c r="W93" t="s">
        <v>2664</v>
      </c>
      <c r="X93">
        <v>1</v>
      </c>
      <c r="Y93" t="s">
        <v>2665</v>
      </c>
      <c r="Z93" t="s">
        <v>2684</v>
      </c>
      <c r="AA93">
        <v>98385811302</v>
      </c>
      <c r="AB93" t="s">
        <v>1591</v>
      </c>
      <c r="AC93">
        <v>0</v>
      </c>
      <c r="AD93">
        <v>6</v>
      </c>
      <c r="AE93">
        <v>983858113026</v>
      </c>
      <c r="AF93" t="s">
        <v>2919</v>
      </c>
      <c r="AG93">
        <v>1</v>
      </c>
      <c r="AH93">
        <v>1</v>
      </c>
    </row>
    <row r="94" spans="1:34">
      <c r="A94">
        <v>2026</v>
      </c>
      <c r="B94" s="1">
        <v>46054</v>
      </c>
      <c r="C94" t="s">
        <v>2657</v>
      </c>
      <c r="D94" t="s">
        <v>2920</v>
      </c>
      <c r="E94" s="43">
        <v>46065.542750231485</v>
      </c>
      <c r="F94" s="1">
        <v>46065</v>
      </c>
      <c r="G94" s="43">
        <v>46079.832831851854</v>
      </c>
      <c r="H94" t="s">
        <v>2725</v>
      </c>
      <c r="I94" t="s">
        <v>2681</v>
      </c>
      <c r="J94" t="s">
        <v>38</v>
      </c>
      <c r="L94" t="s">
        <v>2342</v>
      </c>
      <c r="M94">
        <v>98385811302</v>
      </c>
      <c r="N94" t="s">
        <v>2702</v>
      </c>
      <c r="O94" s="1">
        <v>45294</v>
      </c>
      <c r="T94" t="s">
        <v>2662</v>
      </c>
      <c r="U94" t="s">
        <v>2921</v>
      </c>
      <c r="V94">
        <v>10</v>
      </c>
      <c r="W94" t="s">
        <v>2664</v>
      </c>
      <c r="X94">
        <v>1</v>
      </c>
      <c r="Y94" t="s">
        <v>2665</v>
      </c>
      <c r="AA94">
        <v>98385811302</v>
      </c>
      <c r="AB94" t="s">
        <v>1591</v>
      </c>
      <c r="AC94">
        <v>1</v>
      </c>
      <c r="AD94">
        <v>7</v>
      </c>
      <c r="AE94">
        <v>983858113027</v>
      </c>
      <c r="AF94" t="s">
        <v>2919</v>
      </c>
      <c r="AG94">
        <v>1</v>
      </c>
      <c r="AH94">
        <v>0</v>
      </c>
    </row>
    <row r="95" spans="1:34">
      <c r="A95">
        <v>2026</v>
      </c>
      <c r="B95" s="1">
        <v>46082</v>
      </c>
      <c r="C95" t="s">
        <v>2657</v>
      </c>
      <c r="D95" t="s">
        <v>2922</v>
      </c>
      <c r="E95" s="43">
        <v>46083.866229710649</v>
      </c>
      <c r="F95" s="1">
        <v>46083</v>
      </c>
      <c r="G95" s="43">
        <v>46085.604120543983</v>
      </c>
      <c r="H95" t="s">
        <v>2668</v>
      </c>
      <c r="I95" t="s">
        <v>2669</v>
      </c>
      <c r="J95" t="s">
        <v>36</v>
      </c>
      <c r="L95" t="s">
        <v>2393</v>
      </c>
      <c r="M95">
        <v>241002216802</v>
      </c>
      <c r="N95" t="s">
        <v>2702</v>
      </c>
      <c r="O95" s="1">
        <v>45411</v>
      </c>
      <c r="T95" t="s">
        <v>2662</v>
      </c>
      <c r="U95" t="s">
        <v>2923</v>
      </c>
      <c r="V95">
        <v>2</v>
      </c>
      <c r="X95">
        <v>1</v>
      </c>
      <c r="Y95" t="s">
        <v>2717</v>
      </c>
      <c r="AA95">
        <v>241002216802</v>
      </c>
      <c r="AB95" t="s">
        <v>1704</v>
      </c>
      <c r="AC95">
        <v>0</v>
      </c>
      <c r="AD95">
        <v>10</v>
      </c>
      <c r="AE95">
        <v>24100221680210</v>
      </c>
      <c r="AF95" t="s">
        <v>2924</v>
      </c>
      <c r="AG95">
        <v>1</v>
      </c>
      <c r="AH95">
        <v>1</v>
      </c>
    </row>
    <row r="96" spans="1:34">
      <c r="A96">
        <v>2026</v>
      </c>
      <c r="B96" s="1">
        <v>46082</v>
      </c>
      <c r="C96" t="s">
        <v>2657</v>
      </c>
      <c r="D96" t="s">
        <v>2925</v>
      </c>
      <c r="E96" s="43">
        <v>46087.758740393518</v>
      </c>
      <c r="F96" s="1">
        <v>46087</v>
      </c>
      <c r="G96" s="43">
        <v>46087.758740393518</v>
      </c>
      <c r="H96" t="s">
        <v>2668</v>
      </c>
      <c r="I96" t="s">
        <v>2669</v>
      </c>
      <c r="J96" t="s">
        <v>36</v>
      </c>
      <c r="L96" t="s">
        <v>2393</v>
      </c>
      <c r="M96">
        <v>241002216802</v>
      </c>
      <c r="N96" t="s">
        <v>2702</v>
      </c>
      <c r="O96" s="1">
        <v>45411</v>
      </c>
      <c r="T96" t="s">
        <v>2798</v>
      </c>
      <c r="U96" t="s">
        <v>2926</v>
      </c>
      <c r="V96">
        <v>5</v>
      </c>
      <c r="W96" t="s">
        <v>2743</v>
      </c>
      <c r="X96">
        <v>0</v>
      </c>
      <c r="Y96" t="s">
        <v>2721</v>
      </c>
      <c r="AA96">
        <v>241002216802</v>
      </c>
      <c r="AB96" t="s">
        <v>1704</v>
      </c>
      <c r="AC96">
        <v>1</v>
      </c>
      <c r="AD96">
        <v>10</v>
      </c>
      <c r="AE96">
        <v>24100221680210</v>
      </c>
      <c r="AF96" t="s">
        <v>2924</v>
      </c>
      <c r="AG96">
        <v>0</v>
      </c>
      <c r="AH96">
        <v>0</v>
      </c>
    </row>
    <row r="97" spans="1:34">
      <c r="A97">
        <v>2026</v>
      </c>
      <c r="B97" s="1">
        <v>46082</v>
      </c>
      <c r="C97" t="s">
        <v>2657</v>
      </c>
      <c r="D97" t="s">
        <v>2927</v>
      </c>
      <c r="E97" s="43">
        <v>46084.90973230324</v>
      </c>
      <c r="F97" s="1">
        <v>46084</v>
      </c>
      <c r="G97" s="43">
        <v>46091.526510856478</v>
      </c>
      <c r="H97" t="s">
        <v>2668</v>
      </c>
      <c r="I97" t="s">
        <v>2669</v>
      </c>
      <c r="J97" t="s">
        <v>36</v>
      </c>
      <c r="L97" t="s">
        <v>2393</v>
      </c>
      <c r="M97">
        <v>241002216802</v>
      </c>
      <c r="N97" t="s">
        <v>2702</v>
      </c>
      <c r="O97" s="1">
        <v>45411</v>
      </c>
      <c r="T97" t="s">
        <v>2662</v>
      </c>
      <c r="U97" t="s">
        <v>2928</v>
      </c>
      <c r="V97">
        <v>5</v>
      </c>
      <c r="W97" t="s">
        <v>2677</v>
      </c>
      <c r="X97">
        <v>1</v>
      </c>
      <c r="Y97" t="s">
        <v>2807</v>
      </c>
      <c r="AA97">
        <v>241002216802</v>
      </c>
      <c r="AB97" t="s">
        <v>1704</v>
      </c>
      <c r="AC97">
        <v>0</v>
      </c>
      <c r="AD97">
        <v>10</v>
      </c>
      <c r="AE97">
        <v>24100221680210</v>
      </c>
      <c r="AF97" t="s">
        <v>2924</v>
      </c>
      <c r="AG97">
        <v>0</v>
      </c>
      <c r="AH97">
        <v>0</v>
      </c>
    </row>
    <row r="98" spans="1:34">
      <c r="A98">
        <v>2025</v>
      </c>
      <c r="B98" s="1">
        <v>45962</v>
      </c>
      <c r="C98" t="s">
        <v>2657</v>
      </c>
      <c r="D98" t="s">
        <v>2929</v>
      </c>
      <c r="E98" s="43">
        <v>45972.904351817131</v>
      </c>
      <c r="F98" s="1">
        <v>45972</v>
      </c>
      <c r="G98" s="43">
        <v>45985.564195752311</v>
      </c>
      <c r="H98" t="s">
        <v>2802</v>
      </c>
      <c r="I98" t="s">
        <v>2681</v>
      </c>
      <c r="J98" t="s">
        <v>37</v>
      </c>
      <c r="L98" t="s">
        <v>2364</v>
      </c>
      <c r="M98">
        <v>137029362402</v>
      </c>
      <c r="N98" t="s">
        <v>2661</v>
      </c>
      <c r="O98" s="1">
        <v>45669</v>
      </c>
      <c r="T98" t="s">
        <v>2662</v>
      </c>
      <c r="U98" t="s">
        <v>2930</v>
      </c>
      <c r="V98">
        <v>9</v>
      </c>
      <c r="W98" t="s">
        <v>2677</v>
      </c>
      <c r="X98">
        <v>1</v>
      </c>
      <c r="Y98" t="s">
        <v>2931</v>
      </c>
      <c r="Z98" t="s">
        <v>2684</v>
      </c>
      <c r="AA98">
        <v>137029362402</v>
      </c>
      <c r="AB98" t="s">
        <v>1441</v>
      </c>
      <c r="AC98">
        <v>0</v>
      </c>
      <c r="AD98">
        <v>46</v>
      </c>
      <c r="AE98">
        <v>13702936240246</v>
      </c>
      <c r="AF98" t="s">
        <v>2932</v>
      </c>
      <c r="AG98">
        <v>0</v>
      </c>
      <c r="AH98">
        <v>0</v>
      </c>
    </row>
    <row r="99" spans="1:34">
      <c r="A99">
        <v>2025</v>
      </c>
      <c r="B99" s="1">
        <v>45962</v>
      </c>
      <c r="C99" t="s">
        <v>2657</v>
      </c>
      <c r="D99" s="44" t="s">
        <v>2933</v>
      </c>
      <c r="E99" s="43">
        <v>45972.890600925923</v>
      </c>
      <c r="F99" s="1">
        <v>45972</v>
      </c>
      <c r="G99" s="43">
        <v>46009.620548680556</v>
      </c>
      <c r="H99" t="s">
        <v>2802</v>
      </c>
      <c r="I99" t="s">
        <v>2681</v>
      </c>
      <c r="J99" t="s">
        <v>37</v>
      </c>
      <c r="L99" t="s">
        <v>2364</v>
      </c>
      <c r="M99">
        <v>137029362402</v>
      </c>
      <c r="N99" t="s">
        <v>2661</v>
      </c>
      <c r="O99" s="1">
        <v>45669</v>
      </c>
      <c r="T99" t="s">
        <v>2662</v>
      </c>
      <c r="U99" t="s">
        <v>2934</v>
      </c>
      <c r="V99">
        <v>27</v>
      </c>
      <c r="W99" t="s">
        <v>2671</v>
      </c>
      <c r="X99">
        <v>1</v>
      </c>
      <c r="Y99" t="s">
        <v>2683</v>
      </c>
      <c r="AA99">
        <v>137029362402</v>
      </c>
      <c r="AB99" t="s">
        <v>1441</v>
      </c>
      <c r="AC99">
        <v>0</v>
      </c>
      <c r="AD99">
        <v>46</v>
      </c>
      <c r="AE99">
        <v>13702936240246</v>
      </c>
      <c r="AF99" t="s">
        <v>2932</v>
      </c>
      <c r="AG99">
        <v>1</v>
      </c>
      <c r="AH99">
        <v>1</v>
      </c>
    </row>
    <row r="100" spans="1:34">
      <c r="A100">
        <v>2025</v>
      </c>
      <c r="B100" s="1">
        <v>45992</v>
      </c>
      <c r="C100" t="s">
        <v>2657</v>
      </c>
      <c r="D100" t="s">
        <v>2935</v>
      </c>
      <c r="E100" s="43">
        <v>45994.808309872686</v>
      </c>
      <c r="F100" s="1">
        <v>45994</v>
      </c>
      <c r="G100" s="43">
        <v>46009.566905671294</v>
      </c>
      <c r="H100" t="s">
        <v>2686</v>
      </c>
      <c r="I100" t="s">
        <v>2669</v>
      </c>
      <c r="J100" t="s">
        <v>37</v>
      </c>
      <c r="L100" t="s">
        <v>2369</v>
      </c>
      <c r="M100">
        <v>560201489502</v>
      </c>
      <c r="N100" t="s">
        <v>2661</v>
      </c>
      <c r="O100" s="1">
        <v>45884</v>
      </c>
      <c r="T100" t="s">
        <v>2662</v>
      </c>
      <c r="U100" t="s">
        <v>2936</v>
      </c>
      <c r="V100">
        <v>11</v>
      </c>
      <c r="W100" t="s">
        <v>2664</v>
      </c>
      <c r="X100">
        <v>1</v>
      </c>
      <c r="Y100" t="s">
        <v>2767</v>
      </c>
      <c r="AA100">
        <v>560201489502</v>
      </c>
      <c r="AB100" t="s">
        <v>1032</v>
      </c>
      <c r="AC100">
        <v>0</v>
      </c>
      <c r="AD100">
        <v>49</v>
      </c>
      <c r="AE100">
        <v>56020148950249</v>
      </c>
      <c r="AF100" t="s">
        <v>2937</v>
      </c>
      <c r="AG100">
        <v>1</v>
      </c>
      <c r="AH100">
        <v>1</v>
      </c>
    </row>
    <row r="101" spans="1:34">
      <c r="A101">
        <v>2025</v>
      </c>
      <c r="B101" s="1">
        <v>45992</v>
      </c>
      <c r="C101" t="s">
        <v>2657</v>
      </c>
      <c r="D101" t="s">
        <v>2938</v>
      </c>
      <c r="E101" s="43">
        <v>46001.601739074074</v>
      </c>
      <c r="F101" s="1">
        <v>46001</v>
      </c>
      <c r="G101" s="43">
        <v>46008.808457800929</v>
      </c>
      <c r="H101" t="s">
        <v>2686</v>
      </c>
      <c r="I101" t="s">
        <v>2681</v>
      </c>
      <c r="J101" t="s">
        <v>37</v>
      </c>
      <c r="L101" t="s">
        <v>2369</v>
      </c>
      <c r="M101">
        <v>560201489502</v>
      </c>
      <c r="N101" t="s">
        <v>2661</v>
      </c>
      <c r="O101" s="1">
        <v>45884</v>
      </c>
      <c r="T101" t="s">
        <v>2662</v>
      </c>
      <c r="U101" t="s">
        <v>2939</v>
      </c>
      <c r="V101">
        <v>5</v>
      </c>
      <c r="W101" t="s">
        <v>2704</v>
      </c>
      <c r="X101">
        <v>1</v>
      </c>
      <c r="Y101" t="s">
        <v>2721</v>
      </c>
      <c r="AA101">
        <v>560201489502</v>
      </c>
      <c r="AB101" t="s">
        <v>1032</v>
      </c>
      <c r="AC101">
        <v>0</v>
      </c>
      <c r="AD101">
        <v>50</v>
      </c>
      <c r="AE101">
        <v>56020148950250</v>
      </c>
      <c r="AF101" t="s">
        <v>2937</v>
      </c>
      <c r="AG101">
        <v>1</v>
      </c>
      <c r="AH101">
        <v>0</v>
      </c>
    </row>
    <row r="102" spans="1:34">
      <c r="A102">
        <v>2025</v>
      </c>
      <c r="B102" s="1">
        <v>45992</v>
      </c>
      <c r="C102" t="s">
        <v>2657</v>
      </c>
      <c r="D102" t="s">
        <v>2940</v>
      </c>
      <c r="E102" s="43">
        <v>46006.824106435182</v>
      </c>
      <c r="F102" s="1">
        <v>46006</v>
      </c>
      <c r="G102" s="43">
        <v>46020.581764236114</v>
      </c>
      <c r="H102" t="s">
        <v>2686</v>
      </c>
      <c r="I102" t="s">
        <v>2719</v>
      </c>
      <c r="J102" t="s">
        <v>37</v>
      </c>
      <c r="L102" t="s">
        <v>2369</v>
      </c>
      <c r="M102">
        <v>560201489502</v>
      </c>
      <c r="N102" t="s">
        <v>2661</v>
      </c>
      <c r="O102" s="1">
        <v>45884</v>
      </c>
      <c r="T102" t="s">
        <v>2662</v>
      </c>
      <c r="U102" t="s">
        <v>2941</v>
      </c>
      <c r="V102">
        <v>10</v>
      </c>
      <c r="W102" t="s">
        <v>2743</v>
      </c>
      <c r="X102">
        <v>1</v>
      </c>
      <c r="Y102" t="s">
        <v>2717</v>
      </c>
      <c r="AA102">
        <v>560201489502</v>
      </c>
      <c r="AB102" t="s">
        <v>1032</v>
      </c>
      <c r="AC102">
        <v>0</v>
      </c>
      <c r="AD102">
        <v>51</v>
      </c>
      <c r="AE102">
        <v>56020148950251</v>
      </c>
      <c r="AF102" t="s">
        <v>2937</v>
      </c>
      <c r="AG102">
        <v>0</v>
      </c>
      <c r="AH102">
        <v>0</v>
      </c>
    </row>
    <row r="103" spans="1:34">
      <c r="A103">
        <v>2025</v>
      </c>
      <c r="B103" s="1">
        <v>45992</v>
      </c>
      <c r="C103" t="s">
        <v>2657</v>
      </c>
      <c r="D103" t="s">
        <v>2942</v>
      </c>
      <c r="E103" s="43">
        <v>46006.822311377313</v>
      </c>
      <c r="F103" s="1">
        <v>46006</v>
      </c>
      <c r="G103" s="43">
        <v>46008.771630428244</v>
      </c>
      <c r="H103" t="s">
        <v>2686</v>
      </c>
      <c r="I103" t="s">
        <v>2719</v>
      </c>
      <c r="J103" t="s">
        <v>37</v>
      </c>
      <c r="L103" t="s">
        <v>2369</v>
      </c>
      <c r="M103">
        <v>560201489502</v>
      </c>
      <c r="N103" t="s">
        <v>2661</v>
      </c>
      <c r="O103" s="1">
        <v>45884</v>
      </c>
      <c r="T103" t="s">
        <v>2662</v>
      </c>
      <c r="U103" t="s">
        <v>2943</v>
      </c>
      <c r="V103">
        <v>2</v>
      </c>
      <c r="W103" t="s">
        <v>2704</v>
      </c>
      <c r="X103">
        <v>1</v>
      </c>
      <c r="Y103" t="s">
        <v>2721</v>
      </c>
      <c r="AA103">
        <v>560201489502</v>
      </c>
      <c r="AB103" t="s">
        <v>1032</v>
      </c>
      <c r="AC103">
        <v>0</v>
      </c>
      <c r="AD103">
        <v>51</v>
      </c>
      <c r="AE103">
        <v>56020148950251</v>
      </c>
      <c r="AF103" t="s">
        <v>2937</v>
      </c>
      <c r="AG103">
        <v>1</v>
      </c>
      <c r="AH103">
        <v>0</v>
      </c>
    </row>
    <row r="104" spans="1:34">
      <c r="A104">
        <v>2025</v>
      </c>
      <c r="B104" s="1">
        <v>45992</v>
      </c>
      <c r="C104" t="s">
        <v>2657</v>
      </c>
      <c r="D104" t="s">
        <v>2944</v>
      </c>
      <c r="E104" s="43">
        <v>46020.586985023147</v>
      </c>
      <c r="F104" s="1">
        <v>46020</v>
      </c>
      <c r="G104" s="43">
        <v>46037.777906527779</v>
      </c>
      <c r="H104" t="s">
        <v>2686</v>
      </c>
      <c r="I104" t="s">
        <v>2697</v>
      </c>
      <c r="J104" t="s">
        <v>37</v>
      </c>
      <c r="L104" t="s">
        <v>2369</v>
      </c>
      <c r="M104">
        <v>560201489502</v>
      </c>
      <c r="N104" t="s">
        <v>2661</v>
      </c>
      <c r="O104" s="1">
        <v>45884</v>
      </c>
      <c r="T104" t="s">
        <v>2662</v>
      </c>
      <c r="U104" t="s">
        <v>2945</v>
      </c>
      <c r="V104">
        <v>13</v>
      </c>
      <c r="W104" t="s">
        <v>2671</v>
      </c>
      <c r="X104">
        <v>1</v>
      </c>
      <c r="Y104" t="s">
        <v>2767</v>
      </c>
      <c r="AA104">
        <v>560201489502</v>
      </c>
      <c r="AB104" t="s">
        <v>1032</v>
      </c>
      <c r="AC104">
        <v>0</v>
      </c>
      <c r="AD104">
        <v>1</v>
      </c>
      <c r="AE104">
        <v>5602014895021</v>
      </c>
      <c r="AF104" t="s">
        <v>2937</v>
      </c>
      <c r="AG104">
        <v>1</v>
      </c>
      <c r="AH104">
        <v>0</v>
      </c>
    </row>
    <row r="105" spans="1:34">
      <c r="A105">
        <v>2026</v>
      </c>
      <c r="B105" s="1">
        <v>46054</v>
      </c>
      <c r="C105" t="s">
        <v>2657</v>
      </c>
      <c r="D105" t="s">
        <v>2946</v>
      </c>
      <c r="E105" s="43">
        <v>46058.636517592589</v>
      </c>
      <c r="F105" s="1">
        <v>46058</v>
      </c>
      <c r="G105" s="43">
        <v>46065.710174652777</v>
      </c>
      <c r="H105" t="s">
        <v>2725</v>
      </c>
      <c r="I105" t="s">
        <v>2669</v>
      </c>
      <c r="J105" t="s">
        <v>39</v>
      </c>
      <c r="L105" t="s">
        <v>2336</v>
      </c>
      <c r="M105">
        <v>161445746002</v>
      </c>
      <c r="N105" t="s">
        <v>2746</v>
      </c>
      <c r="O105" s="1">
        <v>45673</v>
      </c>
      <c r="T105" t="s">
        <v>2662</v>
      </c>
      <c r="U105" t="s">
        <v>2947</v>
      </c>
      <c r="V105">
        <v>5</v>
      </c>
      <c r="W105" t="s">
        <v>2677</v>
      </c>
      <c r="X105">
        <v>1</v>
      </c>
      <c r="Y105" t="s">
        <v>2678</v>
      </c>
      <c r="AA105">
        <v>11103651302</v>
      </c>
      <c r="AB105" t="s">
        <v>1482</v>
      </c>
      <c r="AC105">
        <v>0</v>
      </c>
      <c r="AD105">
        <v>6</v>
      </c>
      <c r="AE105">
        <v>111036513026</v>
      </c>
      <c r="AF105" t="s">
        <v>2948</v>
      </c>
      <c r="AG105">
        <v>1</v>
      </c>
      <c r="AH105">
        <v>1</v>
      </c>
    </row>
    <row r="106" spans="1:34">
      <c r="A106">
        <v>2026</v>
      </c>
      <c r="B106" s="1">
        <v>46054</v>
      </c>
      <c r="C106" t="s">
        <v>2657</v>
      </c>
      <c r="D106" t="s">
        <v>2949</v>
      </c>
      <c r="E106" s="43">
        <v>46063.664850486108</v>
      </c>
      <c r="F106" s="1">
        <v>46063</v>
      </c>
      <c r="G106" s="43">
        <v>46064.882690983795</v>
      </c>
      <c r="H106" t="s">
        <v>2725</v>
      </c>
      <c r="I106" t="s">
        <v>2681</v>
      </c>
      <c r="J106" t="s">
        <v>39</v>
      </c>
      <c r="L106" t="s">
        <v>2336</v>
      </c>
      <c r="M106">
        <v>161445746002</v>
      </c>
      <c r="N106" t="s">
        <v>2746</v>
      </c>
      <c r="O106" s="1">
        <v>45673</v>
      </c>
      <c r="T106" t="s">
        <v>2662</v>
      </c>
      <c r="U106" t="s">
        <v>2950</v>
      </c>
      <c r="V106">
        <v>1</v>
      </c>
      <c r="W106" t="s">
        <v>2671</v>
      </c>
      <c r="X106">
        <v>1</v>
      </c>
      <c r="Y106" t="s">
        <v>2683</v>
      </c>
      <c r="AA106">
        <v>11103651302</v>
      </c>
      <c r="AB106" t="s">
        <v>1482</v>
      </c>
      <c r="AC106">
        <v>0</v>
      </c>
      <c r="AD106">
        <v>7</v>
      </c>
      <c r="AE106">
        <v>111036513027</v>
      </c>
      <c r="AF106" t="s">
        <v>2948</v>
      </c>
      <c r="AG106">
        <v>0</v>
      </c>
      <c r="AH106">
        <v>0</v>
      </c>
    </row>
    <row r="107" spans="1:34">
      <c r="A107">
        <v>2026</v>
      </c>
      <c r="B107" s="1">
        <v>46054</v>
      </c>
      <c r="C107" t="s">
        <v>2657</v>
      </c>
      <c r="D107" s="44" t="s">
        <v>2951</v>
      </c>
      <c r="E107" s="43">
        <v>46062.50012837963</v>
      </c>
      <c r="F107" s="1">
        <v>46062</v>
      </c>
      <c r="G107" s="43">
        <v>46065.709379490741</v>
      </c>
      <c r="H107" t="s">
        <v>2725</v>
      </c>
      <c r="I107" t="s">
        <v>2681</v>
      </c>
      <c r="J107" t="s">
        <v>39</v>
      </c>
      <c r="L107" t="s">
        <v>2336</v>
      </c>
      <c r="M107">
        <v>161445746002</v>
      </c>
      <c r="N107" t="s">
        <v>2746</v>
      </c>
      <c r="O107" s="1">
        <v>45673</v>
      </c>
      <c r="T107" t="s">
        <v>2662</v>
      </c>
      <c r="U107" t="s">
        <v>2952</v>
      </c>
      <c r="V107">
        <v>3</v>
      </c>
      <c r="W107" t="s">
        <v>2671</v>
      </c>
      <c r="X107">
        <v>1</v>
      </c>
      <c r="Y107" t="s">
        <v>2683</v>
      </c>
      <c r="AA107">
        <v>11103651302</v>
      </c>
      <c r="AB107" t="s">
        <v>1482</v>
      </c>
      <c r="AC107">
        <v>0</v>
      </c>
      <c r="AD107">
        <v>7</v>
      </c>
      <c r="AE107">
        <v>111036513027</v>
      </c>
      <c r="AF107" t="s">
        <v>2948</v>
      </c>
      <c r="AG107">
        <v>1</v>
      </c>
      <c r="AH107">
        <v>0</v>
      </c>
    </row>
    <row r="108" spans="1:34">
      <c r="A108">
        <v>2026</v>
      </c>
      <c r="B108" s="1">
        <v>46054</v>
      </c>
      <c r="C108" t="s">
        <v>2657</v>
      </c>
      <c r="D108" t="s">
        <v>2953</v>
      </c>
      <c r="E108" s="43">
        <v>46073.592907789352</v>
      </c>
      <c r="F108" s="1">
        <v>46073</v>
      </c>
      <c r="G108" s="43">
        <v>46077.664597824078</v>
      </c>
      <c r="H108" t="s">
        <v>2725</v>
      </c>
      <c r="I108" t="s">
        <v>2719</v>
      </c>
      <c r="J108" t="s">
        <v>39</v>
      </c>
      <c r="L108" t="s">
        <v>2336</v>
      </c>
      <c r="M108">
        <v>161445746002</v>
      </c>
      <c r="N108" t="s">
        <v>2746</v>
      </c>
      <c r="O108" s="1">
        <v>45673</v>
      </c>
      <c r="T108" t="s">
        <v>2662</v>
      </c>
      <c r="U108" t="s">
        <v>2954</v>
      </c>
      <c r="V108">
        <v>2</v>
      </c>
      <c r="W108" t="s">
        <v>2671</v>
      </c>
      <c r="X108">
        <v>1</v>
      </c>
      <c r="Y108" t="s">
        <v>2683</v>
      </c>
      <c r="AA108">
        <v>11103651302</v>
      </c>
      <c r="AB108" t="s">
        <v>1482</v>
      </c>
      <c r="AC108">
        <v>0</v>
      </c>
      <c r="AD108">
        <v>8</v>
      </c>
      <c r="AE108">
        <v>111036513028</v>
      </c>
      <c r="AF108" t="s">
        <v>2948</v>
      </c>
      <c r="AG108">
        <v>1</v>
      </c>
      <c r="AH108">
        <v>0</v>
      </c>
    </row>
    <row r="109" spans="1:34">
      <c r="A109">
        <v>2026</v>
      </c>
      <c r="B109" s="1">
        <v>46054</v>
      </c>
      <c r="C109" t="s">
        <v>2657</v>
      </c>
      <c r="D109" t="s">
        <v>2955</v>
      </c>
      <c r="E109" s="43">
        <v>46076.527403541666</v>
      </c>
      <c r="F109" s="1">
        <v>46076</v>
      </c>
      <c r="G109" s="43">
        <v>46078.632695567132</v>
      </c>
      <c r="H109" t="s">
        <v>2725</v>
      </c>
      <c r="I109" t="s">
        <v>2660</v>
      </c>
      <c r="J109" t="s">
        <v>39</v>
      </c>
      <c r="L109" t="s">
        <v>2336</v>
      </c>
      <c r="M109">
        <v>161445746002</v>
      </c>
      <c r="N109" t="s">
        <v>2746</v>
      </c>
      <c r="O109" s="1">
        <v>45673</v>
      </c>
      <c r="T109" t="s">
        <v>2662</v>
      </c>
      <c r="U109" t="s">
        <v>2956</v>
      </c>
      <c r="V109">
        <v>2</v>
      </c>
      <c r="W109" t="s">
        <v>2677</v>
      </c>
      <c r="X109">
        <v>1</v>
      </c>
      <c r="Y109" t="s">
        <v>2678</v>
      </c>
      <c r="AA109">
        <v>11103651302</v>
      </c>
      <c r="AB109" t="s">
        <v>1482</v>
      </c>
      <c r="AC109">
        <v>0</v>
      </c>
      <c r="AD109">
        <v>9</v>
      </c>
      <c r="AE109">
        <v>111036513029</v>
      </c>
      <c r="AF109" t="s">
        <v>2948</v>
      </c>
      <c r="AG109">
        <v>1</v>
      </c>
      <c r="AH109">
        <v>0</v>
      </c>
    </row>
    <row r="110" spans="1:34">
      <c r="A110">
        <v>2026</v>
      </c>
      <c r="B110" s="1">
        <v>46054</v>
      </c>
      <c r="C110" t="s">
        <v>2657</v>
      </c>
      <c r="D110" t="s">
        <v>2957</v>
      </c>
      <c r="E110" s="43">
        <v>46077.809966840279</v>
      </c>
      <c r="F110" s="1">
        <v>46077</v>
      </c>
      <c r="G110" s="43">
        <v>46078.632778483799</v>
      </c>
      <c r="H110" t="s">
        <v>2725</v>
      </c>
      <c r="I110" t="s">
        <v>2660</v>
      </c>
      <c r="J110" t="s">
        <v>39</v>
      </c>
      <c r="L110" t="s">
        <v>2336</v>
      </c>
      <c r="M110">
        <v>161445746002</v>
      </c>
      <c r="N110" t="s">
        <v>2746</v>
      </c>
      <c r="O110" s="1">
        <v>45673</v>
      </c>
      <c r="T110" t="s">
        <v>2662</v>
      </c>
      <c r="U110" t="s">
        <v>2958</v>
      </c>
      <c r="V110">
        <v>1</v>
      </c>
      <c r="W110" t="s">
        <v>2677</v>
      </c>
      <c r="X110">
        <v>1</v>
      </c>
      <c r="Y110" t="s">
        <v>2678</v>
      </c>
      <c r="AA110">
        <v>11103651302</v>
      </c>
      <c r="AB110" t="s">
        <v>1482</v>
      </c>
      <c r="AC110">
        <v>0</v>
      </c>
      <c r="AD110">
        <v>9</v>
      </c>
      <c r="AE110">
        <v>111036513029</v>
      </c>
      <c r="AF110" t="s">
        <v>2948</v>
      </c>
      <c r="AG110">
        <v>0</v>
      </c>
      <c r="AH110">
        <v>0</v>
      </c>
    </row>
    <row r="111" spans="1:34">
      <c r="A111">
        <v>2025</v>
      </c>
      <c r="B111" s="1">
        <v>45901</v>
      </c>
      <c r="C111" t="s">
        <v>2657</v>
      </c>
      <c r="D111" t="s">
        <v>2959</v>
      </c>
      <c r="E111" s="43">
        <v>45923.877805601849</v>
      </c>
      <c r="F111" s="1">
        <v>45923</v>
      </c>
      <c r="G111" s="43">
        <v>45925.787301157405</v>
      </c>
      <c r="H111" t="s">
        <v>2734</v>
      </c>
      <c r="I111" t="s">
        <v>2660</v>
      </c>
      <c r="J111" t="s">
        <v>2735</v>
      </c>
      <c r="L111" t="s">
        <v>2336</v>
      </c>
      <c r="M111">
        <v>16116314302</v>
      </c>
      <c r="N111" t="s">
        <v>2746</v>
      </c>
      <c r="O111" s="1">
        <v>45358</v>
      </c>
      <c r="T111" t="s">
        <v>2662</v>
      </c>
      <c r="U111" t="s">
        <v>2960</v>
      </c>
      <c r="V111">
        <v>2</v>
      </c>
      <c r="W111" t="s">
        <v>2743</v>
      </c>
      <c r="X111">
        <v>1</v>
      </c>
      <c r="Y111" t="s">
        <v>2699</v>
      </c>
      <c r="Z111" t="s">
        <v>2834</v>
      </c>
      <c r="AA111">
        <v>16116314302</v>
      </c>
      <c r="AB111" t="s">
        <v>1654</v>
      </c>
      <c r="AC111">
        <v>0</v>
      </c>
      <c r="AD111">
        <v>39</v>
      </c>
      <c r="AE111">
        <v>1611631430239</v>
      </c>
      <c r="AF111" t="s">
        <v>2961</v>
      </c>
      <c r="AG111">
        <v>1</v>
      </c>
      <c r="AH111">
        <v>1</v>
      </c>
    </row>
    <row r="112" spans="1:34">
      <c r="A112">
        <v>2025</v>
      </c>
      <c r="B112" s="1">
        <v>45901</v>
      </c>
      <c r="C112" t="s">
        <v>2657</v>
      </c>
      <c r="D112" t="s">
        <v>2962</v>
      </c>
      <c r="E112" s="43">
        <v>45929.791036921299</v>
      </c>
      <c r="F112" s="1">
        <v>45929</v>
      </c>
      <c r="G112" s="43">
        <v>45932.696759224535</v>
      </c>
      <c r="H112" t="s">
        <v>2734</v>
      </c>
      <c r="I112" t="s">
        <v>2697</v>
      </c>
      <c r="J112" t="s">
        <v>2735</v>
      </c>
      <c r="L112" t="s">
        <v>2336</v>
      </c>
      <c r="M112">
        <v>16116314302</v>
      </c>
      <c r="N112" t="s">
        <v>2746</v>
      </c>
      <c r="O112" s="1">
        <v>45358</v>
      </c>
      <c r="T112" t="s">
        <v>2662</v>
      </c>
      <c r="U112" t="s">
        <v>2963</v>
      </c>
      <c r="V112">
        <v>3</v>
      </c>
      <c r="W112" t="s">
        <v>2743</v>
      </c>
      <c r="X112">
        <v>1</v>
      </c>
      <c r="Y112" t="s">
        <v>2699</v>
      </c>
      <c r="AA112">
        <v>16116314302</v>
      </c>
      <c r="AB112" t="s">
        <v>1654</v>
      </c>
      <c r="AC112">
        <v>0</v>
      </c>
      <c r="AD112">
        <v>40</v>
      </c>
      <c r="AE112">
        <v>1611631430240</v>
      </c>
      <c r="AF112" t="s">
        <v>2961</v>
      </c>
      <c r="AG112">
        <v>1</v>
      </c>
      <c r="AH112">
        <v>0</v>
      </c>
    </row>
    <row r="113" spans="1:35">
      <c r="A113">
        <v>2025</v>
      </c>
      <c r="B113" s="1">
        <v>45992</v>
      </c>
      <c r="C113" t="s">
        <v>2657</v>
      </c>
      <c r="D113" t="s">
        <v>2964</v>
      </c>
      <c r="E113" s="43">
        <v>45993.817782789352</v>
      </c>
      <c r="F113" s="1">
        <v>45993</v>
      </c>
      <c r="G113" s="43">
        <v>45993.817782789352</v>
      </c>
      <c r="H113" t="s">
        <v>2686</v>
      </c>
      <c r="I113" t="s">
        <v>2669</v>
      </c>
      <c r="J113" t="s">
        <v>100</v>
      </c>
      <c r="L113" t="s">
        <v>2381</v>
      </c>
      <c r="M113">
        <v>24558652202</v>
      </c>
      <c r="N113" t="s">
        <v>2702</v>
      </c>
      <c r="O113" s="1">
        <v>45669</v>
      </c>
      <c r="T113" t="s">
        <v>2662</v>
      </c>
      <c r="U113" t="s">
        <v>2965</v>
      </c>
      <c r="V113">
        <v>0</v>
      </c>
      <c r="W113" t="s">
        <v>2664</v>
      </c>
      <c r="X113">
        <v>1</v>
      </c>
      <c r="Y113" t="s">
        <v>2695</v>
      </c>
      <c r="AA113">
        <v>24558652202</v>
      </c>
      <c r="AB113" t="s">
        <v>102</v>
      </c>
      <c r="AC113">
        <v>0</v>
      </c>
      <c r="AD113">
        <v>49</v>
      </c>
      <c r="AE113">
        <v>2455865220249</v>
      </c>
      <c r="AF113" t="s">
        <v>2966</v>
      </c>
      <c r="AG113">
        <v>1</v>
      </c>
      <c r="AH113">
        <v>1</v>
      </c>
    </row>
    <row r="114" spans="1:35">
      <c r="A114">
        <v>2025</v>
      </c>
      <c r="B114" s="1">
        <v>45992</v>
      </c>
      <c r="C114" t="s">
        <v>2657</v>
      </c>
      <c r="D114" t="s">
        <v>2967</v>
      </c>
      <c r="E114" s="43">
        <v>46003.734142800924</v>
      </c>
      <c r="F114" s="1">
        <v>46003</v>
      </c>
      <c r="G114" s="43">
        <v>46031.760403206019</v>
      </c>
      <c r="H114" t="s">
        <v>2686</v>
      </c>
      <c r="I114" t="s">
        <v>2681</v>
      </c>
      <c r="J114" t="s">
        <v>100</v>
      </c>
      <c r="L114" t="s">
        <v>2381</v>
      </c>
      <c r="M114">
        <v>24558652202</v>
      </c>
      <c r="N114" t="s">
        <v>2702</v>
      </c>
      <c r="O114" s="1">
        <v>45669</v>
      </c>
      <c r="T114" t="s">
        <v>2662</v>
      </c>
      <c r="U114" t="s">
        <v>2968</v>
      </c>
      <c r="V114">
        <v>20</v>
      </c>
      <c r="W114" t="s">
        <v>2704</v>
      </c>
      <c r="X114">
        <v>1</v>
      </c>
      <c r="Y114" t="s">
        <v>2699</v>
      </c>
      <c r="Z114" t="s">
        <v>2684</v>
      </c>
      <c r="AA114">
        <v>24558652202</v>
      </c>
      <c r="AB114" t="s">
        <v>102</v>
      </c>
      <c r="AC114">
        <v>0</v>
      </c>
      <c r="AD114">
        <v>50</v>
      </c>
      <c r="AE114">
        <v>2455865220250</v>
      </c>
      <c r="AF114" t="s">
        <v>2966</v>
      </c>
      <c r="AG114">
        <v>0</v>
      </c>
      <c r="AH114">
        <v>0</v>
      </c>
    </row>
    <row r="115" spans="1:35">
      <c r="A115">
        <v>2025</v>
      </c>
      <c r="B115" s="1">
        <v>45992</v>
      </c>
      <c r="C115" t="s">
        <v>2657</v>
      </c>
      <c r="D115" t="s">
        <v>2969</v>
      </c>
      <c r="E115" s="43">
        <v>46001.556947187499</v>
      </c>
      <c r="F115" s="1">
        <v>46001</v>
      </c>
      <c r="G115" s="43">
        <v>46020.814561006948</v>
      </c>
      <c r="H115" t="s">
        <v>2686</v>
      </c>
      <c r="I115" t="s">
        <v>2681</v>
      </c>
      <c r="J115" t="s">
        <v>100</v>
      </c>
      <c r="L115" t="s">
        <v>2381</v>
      </c>
      <c r="M115">
        <v>24558652202</v>
      </c>
      <c r="N115" t="s">
        <v>2702</v>
      </c>
      <c r="O115" s="1">
        <v>45669</v>
      </c>
      <c r="T115" t="s">
        <v>2662</v>
      </c>
      <c r="U115" t="s">
        <v>2970</v>
      </c>
      <c r="V115">
        <v>13</v>
      </c>
      <c r="W115" t="s">
        <v>2704</v>
      </c>
      <c r="X115">
        <v>1</v>
      </c>
      <c r="Y115" t="s">
        <v>2699</v>
      </c>
      <c r="AA115">
        <v>24558652202</v>
      </c>
      <c r="AB115" t="s">
        <v>102</v>
      </c>
      <c r="AC115">
        <v>0</v>
      </c>
      <c r="AD115">
        <v>50</v>
      </c>
      <c r="AE115">
        <v>2455865220250</v>
      </c>
      <c r="AF115" t="s">
        <v>2966</v>
      </c>
      <c r="AG115">
        <v>1</v>
      </c>
      <c r="AH115">
        <v>0</v>
      </c>
    </row>
    <row r="116" spans="1:35">
      <c r="A116">
        <v>2025</v>
      </c>
      <c r="B116" s="1">
        <v>45992</v>
      </c>
      <c r="C116" t="s">
        <v>2657</v>
      </c>
      <c r="D116" t="s">
        <v>2971</v>
      </c>
      <c r="E116" s="43">
        <v>46007.702123680552</v>
      </c>
      <c r="F116" s="1">
        <v>46007</v>
      </c>
      <c r="G116" s="43">
        <v>46031.764219004632</v>
      </c>
      <c r="H116" t="s">
        <v>2686</v>
      </c>
      <c r="I116" t="s">
        <v>2719</v>
      </c>
      <c r="J116" t="s">
        <v>100</v>
      </c>
      <c r="L116" t="s">
        <v>2381</v>
      </c>
      <c r="M116">
        <v>809933053402</v>
      </c>
      <c r="N116" t="s">
        <v>2702</v>
      </c>
      <c r="O116" s="1">
        <v>45669</v>
      </c>
      <c r="T116" t="s">
        <v>2662</v>
      </c>
      <c r="U116" t="s">
        <v>2972</v>
      </c>
      <c r="V116">
        <v>18</v>
      </c>
      <c r="W116" t="s">
        <v>2664</v>
      </c>
      <c r="X116">
        <v>1</v>
      </c>
      <c r="Y116" t="s">
        <v>2721</v>
      </c>
      <c r="Z116" t="s">
        <v>2684</v>
      </c>
      <c r="AA116">
        <v>24558652202</v>
      </c>
      <c r="AB116" t="s">
        <v>102</v>
      </c>
      <c r="AC116">
        <v>0</v>
      </c>
      <c r="AD116">
        <v>51</v>
      </c>
      <c r="AE116">
        <v>2455865220251</v>
      </c>
      <c r="AF116" t="s">
        <v>2966</v>
      </c>
      <c r="AG116">
        <v>1</v>
      </c>
      <c r="AH116">
        <v>0</v>
      </c>
    </row>
    <row r="117" spans="1:35">
      <c r="A117">
        <v>2025</v>
      </c>
      <c r="B117" s="1">
        <v>45992</v>
      </c>
      <c r="C117" t="s">
        <v>2657</v>
      </c>
      <c r="D117" t="s">
        <v>2973</v>
      </c>
      <c r="E117" s="43">
        <v>46021.709970358796</v>
      </c>
      <c r="F117" s="1">
        <v>46021</v>
      </c>
      <c r="G117" s="43">
        <v>46027.568090983797</v>
      </c>
      <c r="H117" t="s">
        <v>2686</v>
      </c>
      <c r="I117" t="s">
        <v>2697</v>
      </c>
      <c r="J117" t="s">
        <v>100</v>
      </c>
      <c r="L117" t="s">
        <v>2381</v>
      </c>
      <c r="M117">
        <v>24558652202</v>
      </c>
      <c r="N117" t="s">
        <v>2702</v>
      </c>
      <c r="O117" s="1">
        <v>45669</v>
      </c>
      <c r="T117" t="s">
        <v>2662</v>
      </c>
      <c r="U117" t="s">
        <v>2974</v>
      </c>
      <c r="V117">
        <v>4</v>
      </c>
      <c r="W117" t="s">
        <v>2704</v>
      </c>
      <c r="X117">
        <v>1</v>
      </c>
      <c r="Y117" t="s">
        <v>2699</v>
      </c>
      <c r="AA117">
        <v>24558652202</v>
      </c>
      <c r="AB117" t="s">
        <v>102</v>
      </c>
      <c r="AC117">
        <v>0</v>
      </c>
      <c r="AD117">
        <v>1</v>
      </c>
      <c r="AE117">
        <v>245586522021</v>
      </c>
      <c r="AF117" t="s">
        <v>2966</v>
      </c>
      <c r="AG117">
        <v>1</v>
      </c>
      <c r="AH117">
        <v>0</v>
      </c>
    </row>
    <row r="118" spans="1:35">
      <c r="A118">
        <v>2026</v>
      </c>
      <c r="B118" s="1">
        <v>46023</v>
      </c>
      <c r="C118" t="s">
        <v>2657</v>
      </c>
      <c r="D118" t="s">
        <v>2975</v>
      </c>
      <c r="E118" s="43">
        <v>46037.833945868057</v>
      </c>
      <c r="F118" s="1">
        <v>46037</v>
      </c>
      <c r="G118" s="43">
        <v>46041.564053923612</v>
      </c>
      <c r="H118" t="s">
        <v>2701</v>
      </c>
      <c r="I118" t="s">
        <v>2719</v>
      </c>
      <c r="J118" t="s">
        <v>37</v>
      </c>
      <c r="L118" t="s">
        <v>2344</v>
      </c>
      <c r="M118">
        <v>191336978502</v>
      </c>
      <c r="N118" t="s">
        <v>2661</v>
      </c>
      <c r="O118" s="1">
        <v>45349</v>
      </c>
      <c r="T118" t="s">
        <v>2662</v>
      </c>
      <c r="U118" t="s">
        <v>2976</v>
      </c>
      <c r="V118">
        <v>2</v>
      </c>
      <c r="W118" t="s">
        <v>2671</v>
      </c>
      <c r="X118">
        <v>1</v>
      </c>
      <c r="Y118" t="s">
        <v>2764</v>
      </c>
      <c r="AA118">
        <v>191336978502</v>
      </c>
      <c r="AB118" t="s">
        <v>768</v>
      </c>
      <c r="AC118">
        <v>0</v>
      </c>
      <c r="AD118">
        <v>3</v>
      </c>
      <c r="AE118">
        <v>1913369785023</v>
      </c>
      <c r="AF118" t="s">
        <v>2977</v>
      </c>
      <c r="AG118">
        <v>1</v>
      </c>
      <c r="AH118">
        <v>1</v>
      </c>
    </row>
    <row r="119" spans="1:35">
      <c r="A119">
        <v>2026</v>
      </c>
      <c r="B119" s="1">
        <v>46023</v>
      </c>
      <c r="C119" t="s">
        <v>2657</v>
      </c>
      <c r="D119" t="s">
        <v>2978</v>
      </c>
      <c r="E119" s="43">
        <v>46035.710883368054</v>
      </c>
      <c r="F119" s="1">
        <v>46035</v>
      </c>
      <c r="G119" s="43">
        <v>46038.559145115738</v>
      </c>
      <c r="H119" t="s">
        <v>2701</v>
      </c>
      <c r="I119" t="s">
        <v>2681</v>
      </c>
      <c r="J119" t="s">
        <v>38</v>
      </c>
      <c r="L119" t="s">
        <v>2363</v>
      </c>
      <c r="M119">
        <v>1102237904002</v>
      </c>
      <c r="N119" t="s">
        <v>2702</v>
      </c>
      <c r="O119" s="1">
        <v>45842</v>
      </c>
      <c r="T119" t="s">
        <v>2662</v>
      </c>
      <c r="U119" t="s">
        <v>2979</v>
      </c>
      <c r="V119">
        <v>3</v>
      </c>
      <c r="W119" t="s">
        <v>2664</v>
      </c>
      <c r="X119">
        <v>1</v>
      </c>
      <c r="Y119" t="s">
        <v>2717</v>
      </c>
      <c r="AA119">
        <v>21753463202</v>
      </c>
      <c r="AB119" t="s">
        <v>2172</v>
      </c>
      <c r="AC119">
        <v>0</v>
      </c>
      <c r="AD119">
        <v>3</v>
      </c>
      <c r="AE119">
        <v>217534632023</v>
      </c>
      <c r="AF119" t="s">
        <v>2980</v>
      </c>
      <c r="AG119">
        <v>0</v>
      </c>
      <c r="AH119">
        <v>0</v>
      </c>
    </row>
    <row r="120" spans="1:35">
      <c r="A120">
        <v>2026</v>
      </c>
      <c r="B120" s="1">
        <v>46023</v>
      </c>
      <c r="C120" t="s">
        <v>2657</v>
      </c>
      <c r="D120" t="s">
        <v>2981</v>
      </c>
      <c r="E120" s="43">
        <v>46035.710098993055</v>
      </c>
      <c r="F120" s="1">
        <v>46035</v>
      </c>
      <c r="G120" s="43">
        <v>46038.559107893518</v>
      </c>
      <c r="H120" t="s">
        <v>2701</v>
      </c>
      <c r="I120" t="s">
        <v>2681</v>
      </c>
      <c r="J120" t="s">
        <v>38</v>
      </c>
      <c r="L120" t="s">
        <v>2363</v>
      </c>
      <c r="M120">
        <v>1102146047902</v>
      </c>
      <c r="N120" t="s">
        <v>2702</v>
      </c>
      <c r="O120" s="1">
        <v>45842</v>
      </c>
      <c r="T120" t="s">
        <v>2662</v>
      </c>
      <c r="U120" t="s">
        <v>2982</v>
      </c>
      <c r="V120">
        <v>3</v>
      </c>
      <c r="W120" t="s">
        <v>2664</v>
      </c>
      <c r="X120">
        <v>1</v>
      </c>
      <c r="Y120" t="s">
        <v>2717</v>
      </c>
      <c r="AA120">
        <v>21753463202</v>
      </c>
      <c r="AB120" t="s">
        <v>2172</v>
      </c>
      <c r="AC120">
        <v>0</v>
      </c>
      <c r="AD120">
        <v>3</v>
      </c>
      <c r="AE120">
        <v>217534632023</v>
      </c>
      <c r="AF120" t="s">
        <v>2980</v>
      </c>
      <c r="AG120">
        <v>1</v>
      </c>
      <c r="AH120">
        <v>1</v>
      </c>
    </row>
    <row r="121" spans="1:35">
      <c r="A121">
        <v>2026</v>
      </c>
      <c r="B121" s="1">
        <v>46023</v>
      </c>
      <c r="C121" t="s">
        <v>2657</v>
      </c>
      <c r="D121" t="s">
        <v>2983</v>
      </c>
      <c r="E121" s="43">
        <v>46037.701881018518</v>
      </c>
      <c r="F121" s="1">
        <v>46037</v>
      </c>
      <c r="G121" s="43">
        <v>46044.543210752316</v>
      </c>
      <c r="H121" t="s">
        <v>2701</v>
      </c>
      <c r="I121" t="s">
        <v>2719</v>
      </c>
      <c r="J121" t="s">
        <v>38</v>
      </c>
      <c r="L121" t="s">
        <v>2363</v>
      </c>
      <c r="M121">
        <v>1102237904002</v>
      </c>
      <c r="N121" t="s">
        <v>2702</v>
      </c>
      <c r="O121" s="1">
        <v>45842</v>
      </c>
      <c r="T121" t="s">
        <v>2662</v>
      </c>
      <c r="U121" t="s">
        <v>2984</v>
      </c>
      <c r="V121">
        <v>5</v>
      </c>
      <c r="W121" t="s">
        <v>2985</v>
      </c>
      <c r="X121">
        <v>1</v>
      </c>
      <c r="Y121" t="s">
        <v>2985</v>
      </c>
      <c r="AA121">
        <v>21753463202</v>
      </c>
      <c r="AB121" t="s">
        <v>2172</v>
      </c>
      <c r="AC121">
        <v>0</v>
      </c>
      <c r="AD121">
        <v>3</v>
      </c>
      <c r="AE121">
        <v>217534632023</v>
      </c>
      <c r="AF121" t="s">
        <v>2980</v>
      </c>
      <c r="AG121">
        <v>0</v>
      </c>
      <c r="AH121">
        <v>0</v>
      </c>
    </row>
    <row r="122" spans="1:35">
      <c r="A122">
        <v>2026</v>
      </c>
      <c r="B122" s="1">
        <v>46023</v>
      </c>
      <c r="C122" t="s">
        <v>2657</v>
      </c>
      <c r="D122" t="s">
        <v>2986</v>
      </c>
      <c r="E122" s="43">
        <v>46045.827413935185</v>
      </c>
      <c r="F122" s="1">
        <v>46045</v>
      </c>
      <c r="G122" s="43">
        <v>46091.580382372682</v>
      </c>
      <c r="H122" t="s">
        <v>2701</v>
      </c>
      <c r="I122" t="s">
        <v>2660</v>
      </c>
      <c r="J122" t="s">
        <v>38</v>
      </c>
      <c r="L122" t="s">
        <v>2363</v>
      </c>
      <c r="M122">
        <v>1102146047902</v>
      </c>
      <c r="N122" t="s">
        <v>2702</v>
      </c>
      <c r="O122" s="1">
        <v>45842</v>
      </c>
      <c r="T122" t="s">
        <v>2798</v>
      </c>
      <c r="U122" t="s">
        <v>2987</v>
      </c>
      <c r="V122">
        <v>35</v>
      </c>
      <c r="W122" t="s">
        <v>2985</v>
      </c>
      <c r="X122">
        <v>0</v>
      </c>
      <c r="Y122" t="s">
        <v>2985</v>
      </c>
      <c r="AA122">
        <v>21753463202</v>
      </c>
      <c r="AB122" t="s">
        <v>2172</v>
      </c>
      <c r="AC122">
        <v>0</v>
      </c>
      <c r="AD122">
        <v>4</v>
      </c>
      <c r="AE122">
        <v>217534632024</v>
      </c>
      <c r="AF122" t="s">
        <v>2980</v>
      </c>
      <c r="AG122">
        <v>1</v>
      </c>
      <c r="AH122">
        <v>0</v>
      </c>
    </row>
    <row r="123" spans="1:35">
      <c r="A123">
        <v>2026</v>
      </c>
      <c r="B123" s="1">
        <v>46023</v>
      </c>
      <c r="C123" t="s">
        <v>2657</v>
      </c>
      <c r="D123" t="s">
        <v>2988</v>
      </c>
      <c r="E123" s="43">
        <v>46051.59856658565</v>
      </c>
      <c r="F123" s="1">
        <v>46051</v>
      </c>
      <c r="G123" s="43">
        <v>46058.546497662035</v>
      </c>
      <c r="H123" t="s">
        <v>2701</v>
      </c>
      <c r="I123" t="s">
        <v>2697</v>
      </c>
      <c r="J123" t="s">
        <v>38</v>
      </c>
      <c r="L123" t="s">
        <v>2363</v>
      </c>
      <c r="M123">
        <v>22945409202</v>
      </c>
      <c r="N123" t="s">
        <v>2702</v>
      </c>
      <c r="O123" s="1">
        <v>44685</v>
      </c>
      <c r="T123" t="s">
        <v>2662</v>
      </c>
      <c r="U123" t="s">
        <v>2989</v>
      </c>
      <c r="V123">
        <v>5</v>
      </c>
      <c r="W123" t="s">
        <v>2664</v>
      </c>
      <c r="X123">
        <v>1</v>
      </c>
      <c r="Y123" t="s">
        <v>2757</v>
      </c>
      <c r="AA123">
        <v>21753463202</v>
      </c>
      <c r="AB123" t="s">
        <v>2172</v>
      </c>
      <c r="AC123">
        <v>0</v>
      </c>
      <c r="AD123">
        <v>5</v>
      </c>
      <c r="AE123">
        <v>217534632025</v>
      </c>
      <c r="AF123" t="s">
        <v>2980</v>
      </c>
      <c r="AG123">
        <v>1</v>
      </c>
      <c r="AH123">
        <v>0</v>
      </c>
    </row>
    <row r="124" spans="1:35">
      <c r="A124">
        <v>2025</v>
      </c>
      <c r="B124" s="1">
        <v>45962</v>
      </c>
      <c r="C124" t="s">
        <v>2657</v>
      </c>
      <c r="D124" t="s">
        <v>2990</v>
      </c>
      <c r="E124" s="43">
        <v>45985.803097835647</v>
      </c>
      <c r="F124" s="1">
        <v>45985</v>
      </c>
      <c r="G124" s="43">
        <v>45992.604380613426</v>
      </c>
      <c r="H124" t="s">
        <v>2802</v>
      </c>
      <c r="I124" t="s">
        <v>2660</v>
      </c>
      <c r="J124" t="s">
        <v>100</v>
      </c>
      <c r="L124" t="s">
        <v>2361</v>
      </c>
      <c r="M124">
        <v>47713862502</v>
      </c>
      <c r="N124" t="s">
        <v>2746</v>
      </c>
      <c r="O124" s="1">
        <v>45975</v>
      </c>
      <c r="T124" t="s">
        <v>2662</v>
      </c>
      <c r="U124" t="s">
        <v>2991</v>
      </c>
      <c r="V124">
        <v>5</v>
      </c>
      <c r="W124" t="s">
        <v>2677</v>
      </c>
      <c r="X124">
        <v>1</v>
      </c>
      <c r="Y124" t="s">
        <v>2807</v>
      </c>
      <c r="AA124">
        <v>245677411802</v>
      </c>
      <c r="AB124" t="s">
        <v>2447</v>
      </c>
      <c r="AC124">
        <v>0</v>
      </c>
      <c r="AD124">
        <v>48</v>
      </c>
      <c r="AE124">
        <v>24567741180248</v>
      </c>
      <c r="AF124" t="s">
        <v>2992</v>
      </c>
      <c r="AG124">
        <v>1</v>
      </c>
      <c r="AH124">
        <v>1</v>
      </c>
    </row>
    <row r="125" spans="1:35">
      <c r="A125">
        <v>2026</v>
      </c>
      <c r="B125" s="1">
        <v>46023</v>
      </c>
      <c r="C125" t="s">
        <v>2657</v>
      </c>
      <c r="D125" t="s">
        <v>2993</v>
      </c>
      <c r="E125" s="43">
        <v>46029.771925439818</v>
      </c>
      <c r="F125" s="1">
        <v>46029</v>
      </c>
      <c r="G125" s="43">
        <v>46038.804011712964</v>
      </c>
      <c r="H125" t="s">
        <v>2701</v>
      </c>
      <c r="I125" t="s">
        <v>2669</v>
      </c>
      <c r="J125" t="s">
        <v>100</v>
      </c>
      <c r="L125" t="s">
        <v>2347</v>
      </c>
      <c r="M125">
        <v>655945459902</v>
      </c>
      <c r="N125" t="s">
        <v>2675</v>
      </c>
      <c r="O125" s="1">
        <v>45947</v>
      </c>
      <c r="T125" t="s">
        <v>2662</v>
      </c>
      <c r="U125" t="s">
        <v>2994</v>
      </c>
      <c r="V125">
        <v>7</v>
      </c>
      <c r="W125" t="s">
        <v>2671</v>
      </c>
      <c r="X125">
        <v>1</v>
      </c>
      <c r="Y125" t="s">
        <v>2757</v>
      </c>
      <c r="AA125">
        <v>655945459902</v>
      </c>
      <c r="AB125" t="s">
        <v>312</v>
      </c>
      <c r="AC125">
        <v>0</v>
      </c>
      <c r="AD125">
        <v>2</v>
      </c>
      <c r="AE125">
        <v>6559454599022</v>
      </c>
      <c r="AF125" t="s">
        <v>2995</v>
      </c>
      <c r="AG125">
        <v>1</v>
      </c>
      <c r="AH125">
        <v>1</v>
      </c>
    </row>
    <row r="126" spans="1:35">
      <c r="A126">
        <v>2026</v>
      </c>
      <c r="B126" s="1">
        <v>46054</v>
      </c>
      <c r="C126" t="s">
        <v>2657</v>
      </c>
      <c r="D126" t="s">
        <v>2996</v>
      </c>
      <c r="E126" s="43">
        <v>46064.901952268519</v>
      </c>
      <c r="F126" s="1">
        <v>46064</v>
      </c>
      <c r="G126" s="43">
        <v>46072.796792256944</v>
      </c>
      <c r="H126" t="s">
        <v>2725</v>
      </c>
      <c r="I126" t="s">
        <v>2681</v>
      </c>
      <c r="J126" t="s">
        <v>38</v>
      </c>
      <c r="L126" t="s">
        <v>2379</v>
      </c>
      <c r="M126">
        <v>314278248802</v>
      </c>
      <c r="N126" t="s">
        <v>2675</v>
      </c>
      <c r="O126" s="1">
        <v>45294</v>
      </c>
      <c r="T126" t="s">
        <v>2662</v>
      </c>
      <c r="U126" t="s">
        <v>2997</v>
      </c>
      <c r="V126">
        <v>6</v>
      </c>
      <c r="W126" t="s">
        <v>2743</v>
      </c>
      <c r="X126">
        <v>1</v>
      </c>
      <c r="Y126" t="s">
        <v>2764</v>
      </c>
      <c r="AA126">
        <v>314278248802</v>
      </c>
      <c r="AB126" t="s">
        <v>194</v>
      </c>
      <c r="AC126">
        <v>0</v>
      </c>
      <c r="AD126">
        <v>7</v>
      </c>
      <c r="AE126">
        <v>3142782488027</v>
      </c>
      <c r="AF126" t="s">
        <v>2998</v>
      </c>
      <c r="AG126">
        <v>1</v>
      </c>
      <c r="AH126">
        <v>1</v>
      </c>
    </row>
    <row r="127" spans="1:35">
      <c r="A127">
        <v>2026</v>
      </c>
      <c r="B127" s="1">
        <v>46054</v>
      </c>
      <c r="C127" t="s">
        <v>2657</v>
      </c>
      <c r="D127" t="s">
        <v>2999</v>
      </c>
      <c r="E127" s="43">
        <v>46072.612717708333</v>
      </c>
      <c r="F127" s="1">
        <v>46072</v>
      </c>
      <c r="G127" s="43">
        <v>46079.800289814812</v>
      </c>
      <c r="H127" t="s">
        <v>2725</v>
      </c>
      <c r="I127" t="s">
        <v>2719</v>
      </c>
      <c r="J127" t="s">
        <v>38</v>
      </c>
      <c r="L127" t="s">
        <v>2379</v>
      </c>
      <c r="M127">
        <v>314278248802</v>
      </c>
      <c r="N127" t="s">
        <v>2675</v>
      </c>
      <c r="O127" s="1">
        <v>45294</v>
      </c>
      <c r="T127" t="s">
        <v>2662</v>
      </c>
      <c r="U127" t="s">
        <v>3000</v>
      </c>
      <c r="V127">
        <v>5</v>
      </c>
      <c r="W127" t="s">
        <v>2677</v>
      </c>
      <c r="X127">
        <v>1</v>
      </c>
      <c r="Y127" t="s">
        <v>2760</v>
      </c>
      <c r="AA127">
        <v>314278248802</v>
      </c>
      <c r="AB127" t="s">
        <v>194</v>
      </c>
      <c r="AC127">
        <v>0</v>
      </c>
      <c r="AD127">
        <v>8</v>
      </c>
      <c r="AE127">
        <v>3142782488028</v>
      </c>
      <c r="AF127" t="s">
        <v>2998</v>
      </c>
      <c r="AG127">
        <v>1</v>
      </c>
      <c r="AH127">
        <v>0</v>
      </c>
      <c r="AI127" t="s">
        <v>3001</v>
      </c>
    </row>
    <row r="128" spans="1:35">
      <c r="A128">
        <v>2026</v>
      </c>
      <c r="B128" s="1">
        <v>46082</v>
      </c>
      <c r="C128" t="s">
        <v>2657</v>
      </c>
      <c r="D128" t="s">
        <v>3002</v>
      </c>
      <c r="E128" s="43">
        <v>46087.508076666665</v>
      </c>
      <c r="F128" s="1">
        <v>46087</v>
      </c>
      <c r="G128" s="43">
        <v>46090.815993877317</v>
      </c>
      <c r="H128" t="s">
        <v>2668</v>
      </c>
      <c r="I128" t="s">
        <v>2669</v>
      </c>
      <c r="J128" t="s">
        <v>39</v>
      </c>
      <c r="L128" t="s">
        <v>2336</v>
      </c>
      <c r="M128">
        <v>16116314302</v>
      </c>
      <c r="N128" t="s">
        <v>2746</v>
      </c>
      <c r="O128" s="1">
        <v>45358</v>
      </c>
      <c r="T128" t="s">
        <v>2662</v>
      </c>
      <c r="U128" t="s">
        <v>3003</v>
      </c>
      <c r="V128">
        <v>1</v>
      </c>
      <c r="W128" t="s">
        <v>2743</v>
      </c>
      <c r="X128">
        <v>1</v>
      </c>
      <c r="Y128" t="s">
        <v>2699</v>
      </c>
      <c r="AA128">
        <v>16116314302</v>
      </c>
      <c r="AB128" t="s">
        <v>1654</v>
      </c>
      <c r="AC128">
        <v>0</v>
      </c>
      <c r="AD128">
        <v>10</v>
      </c>
      <c r="AE128">
        <v>1611631430210</v>
      </c>
      <c r="AF128" t="s">
        <v>3004</v>
      </c>
      <c r="AG128">
        <v>1</v>
      </c>
      <c r="AH128">
        <v>1</v>
      </c>
    </row>
    <row r="129" spans="1:34">
      <c r="A129">
        <v>2026</v>
      </c>
      <c r="B129" s="1">
        <v>46082</v>
      </c>
      <c r="C129" t="s">
        <v>2657</v>
      </c>
      <c r="D129" t="s">
        <v>3005</v>
      </c>
      <c r="E129" s="43">
        <v>46091.564138495371</v>
      </c>
      <c r="F129" s="1">
        <v>46091</v>
      </c>
      <c r="G129" s="43">
        <v>46093.850310347225</v>
      </c>
      <c r="H129" t="s">
        <v>2668</v>
      </c>
      <c r="I129" t="s">
        <v>2681</v>
      </c>
      <c r="J129" t="s">
        <v>39</v>
      </c>
      <c r="L129" t="s">
        <v>2336</v>
      </c>
      <c r="M129">
        <v>16116314302</v>
      </c>
      <c r="N129" t="s">
        <v>2746</v>
      </c>
      <c r="O129" s="1">
        <v>45358</v>
      </c>
      <c r="T129" t="s">
        <v>2662</v>
      </c>
      <c r="U129" t="s">
        <v>3006</v>
      </c>
      <c r="V129">
        <v>2</v>
      </c>
      <c r="W129" t="s">
        <v>2743</v>
      </c>
      <c r="X129">
        <v>1</v>
      </c>
      <c r="Y129" t="s">
        <v>2699</v>
      </c>
      <c r="AA129">
        <v>16116314302</v>
      </c>
      <c r="AB129" t="s">
        <v>1654</v>
      </c>
      <c r="AC129">
        <v>1</v>
      </c>
      <c r="AD129">
        <v>11</v>
      </c>
      <c r="AE129">
        <v>1611631430211</v>
      </c>
      <c r="AF129" t="s">
        <v>3004</v>
      </c>
      <c r="AG129">
        <v>1</v>
      </c>
      <c r="AH129">
        <v>0</v>
      </c>
    </row>
    <row r="130" spans="1:34">
      <c r="A130">
        <v>2026</v>
      </c>
      <c r="B130" s="1">
        <v>46054</v>
      </c>
      <c r="C130" t="s">
        <v>2657</v>
      </c>
      <c r="D130" t="s">
        <v>3007</v>
      </c>
      <c r="E130" s="43">
        <v>46056.625418668984</v>
      </c>
      <c r="F130" s="1">
        <v>46056</v>
      </c>
      <c r="G130" s="43">
        <v>46072.68398400463</v>
      </c>
      <c r="H130" t="s">
        <v>2725</v>
      </c>
      <c r="I130" t="s">
        <v>2669</v>
      </c>
      <c r="J130" t="s">
        <v>100</v>
      </c>
      <c r="L130" t="s">
        <v>2353</v>
      </c>
      <c r="M130">
        <v>247227556102</v>
      </c>
      <c r="N130" t="s">
        <v>2702</v>
      </c>
      <c r="O130" s="1">
        <v>45006</v>
      </c>
      <c r="T130" t="s">
        <v>2798</v>
      </c>
      <c r="U130" t="s">
        <v>3008</v>
      </c>
      <c r="V130">
        <v>28</v>
      </c>
      <c r="W130" t="s">
        <v>2671</v>
      </c>
      <c r="X130">
        <v>0</v>
      </c>
      <c r="Y130" t="s">
        <v>2692</v>
      </c>
      <c r="AA130">
        <v>247227556102</v>
      </c>
      <c r="AB130" t="s">
        <v>270</v>
      </c>
      <c r="AC130">
        <v>0</v>
      </c>
      <c r="AD130">
        <v>6</v>
      </c>
      <c r="AE130">
        <v>2472275561026</v>
      </c>
      <c r="AF130" t="s">
        <v>3009</v>
      </c>
      <c r="AG130">
        <v>1</v>
      </c>
      <c r="AH130">
        <v>1</v>
      </c>
    </row>
    <row r="131" spans="1:34">
      <c r="A131">
        <v>2026</v>
      </c>
      <c r="B131" s="1">
        <v>46054</v>
      </c>
      <c r="C131" t="s">
        <v>2657</v>
      </c>
      <c r="D131" t="s">
        <v>3010</v>
      </c>
      <c r="E131" s="43">
        <v>46055.790973541669</v>
      </c>
      <c r="F131" s="1">
        <v>46055</v>
      </c>
      <c r="G131" s="43">
        <v>46065.586179432874</v>
      </c>
      <c r="H131" t="s">
        <v>2725</v>
      </c>
      <c r="I131" t="s">
        <v>2669</v>
      </c>
      <c r="J131" t="s">
        <v>37</v>
      </c>
      <c r="L131" t="s">
        <v>2351</v>
      </c>
      <c r="M131">
        <v>734743947702</v>
      </c>
      <c r="N131" t="s">
        <v>2661</v>
      </c>
      <c r="O131" s="1">
        <v>45880</v>
      </c>
      <c r="T131" t="s">
        <v>2662</v>
      </c>
      <c r="U131" t="s">
        <v>3011</v>
      </c>
      <c r="V131">
        <v>8</v>
      </c>
      <c r="W131" t="s">
        <v>2677</v>
      </c>
      <c r="X131">
        <v>1</v>
      </c>
      <c r="Y131" t="s">
        <v>2740</v>
      </c>
      <c r="AA131">
        <v>734743947702</v>
      </c>
      <c r="AB131" t="s">
        <v>2588</v>
      </c>
      <c r="AC131">
        <v>1</v>
      </c>
      <c r="AD131">
        <v>6</v>
      </c>
      <c r="AE131">
        <v>7347439477026</v>
      </c>
      <c r="AF131" t="s">
        <v>3012</v>
      </c>
      <c r="AG131">
        <v>1</v>
      </c>
      <c r="AH131">
        <v>1</v>
      </c>
    </row>
    <row r="132" spans="1:34">
      <c r="A132">
        <v>2026</v>
      </c>
      <c r="B132" s="1">
        <v>46054</v>
      </c>
      <c r="C132" t="s">
        <v>2657</v>
      </c>
      <c r="D132" s="44" t="s">
        <v>3013</v>
      </c>
      <c r="E132" s="43">
        <v>46058.50583923611</v>
      </c>
      <c r="F132" s="1">
        <v>46058</v>
      </c>
      <c r="G132" s="43">
        <v>46062.96597917824</v>
      </c>
      <c r="H132" t="s">
        <v>2725</v>
      </c>
      <c r="I132" t="s">
        <v>2669</v>
      </c>
      <c r="J132" t="s">
        <v>36</v>
      </c>
      <c r="L132" t="s">
        <v>2472</v>
      </c>
      <c r="M132">
        <v>1087931314602</v>
      </c>
      <c r="N132" t="s">
        <v>2702</v>
      </c>
      <c r="O132" s="1">
        <v>46021</v>
      </c>
      <c r="T132" t="s">
        <v>2662</v>
      </c>
      <c r="U132" t="s">
        <v>3014</v>
      </c>
      <c r="V132">
        <v>2</v>
      </c>
      <c r="W132" t="s">
        <v>2677</v>
      </c>
      <c r="X132">
        <v>1</v>
      </c>
      <c r="Y132" t="s">
        <v>2779</v>
      </c>
      <c r="Z132" t="s">
        <v>2684</v>
      </c>
      <c r="AA132">
        <v>1087931314602</v>
      </c>
      <c r="AB132" t="s">
        <v>2565</v>
      </c>
      <c r="AC132">
        <v>0</v>
      </c>
      <c r="AD132">
        <v>6</v>
      </c>
      <c r="AE132">
        <v>10879313146026</v>
      </c>
      <c r="AF132" t="s">
        <v>3015</v>
      </c>
      <c r="AG132">
        <v>0</v>
      </c>
      <c r="AH132">
        <v>0</v>
      </c>
    </row>
    <row r="133" spans="1:34">
      <c r="A133">
        <v>2026</v>
      </c>
      <c r="B133" s="1">
        <v>46054</v>
      </c>
      <c r="C133" t="s">
        <v>2657</v>
      </c>
      <c r="D133" s="44" t="s">
        <v>3016</v>
      </c>
      <c r="E133" s="43">
        <v>46056.785819560188</v>
      </c>
      <c r="F133" s="1">
        <v>46056</v>
      </c>
      <c r="G133" s="43">
        <v>46058.825046122685</v>
      </c>
      <c r="H133" t="s">
        <v>2725</v>
      </c>
      <c r="I133" t="s">
        <v>2669</v>
      </c>
      <c r="J133" t="s">
        <v>36</v>
      </c>
      <c r="L133" t="s">
        <v>2472</v>
      </c>
      <c r="M133">
        <v>1087931314602</v>
      </c>
      <c r="N133" t="s">
        <v>2702</v>
      </c>
      <c r="O133" s="1">
        <v>46021</v>
      </c>
      <c r="T133" t="s">
        <v>2662</v>
      </c>
      <c r="U133" t="s">
        <v>3017</v>
      </c>
      <c r="V133">
        <v>2</v>
      </c>
      <c r="W133" t="s">
        <v>2671</v>
      </c>
      <c r="X133">
        <v>1</v>
      </c>
      <c r="Y133" t="s">
        <v>2672</v>
      </c>
      <c r="AA133">
        <v>1087931314602</v>
      </c>
      <c r="AB133" t="s">
        <v>2565</v>
      </c>
      <c r="AC133">
        <v>0</v>
      </c>
      <c r="AD133">
        <v>6</v>
      </c>
      <c r="AE133">
        <v>10879313146026</v>
      </c>
      <c r="AF133" t="s">
        <v>3015</v>
      </c>
      <c r="AG133">
        <v>1</v>
      </c>
      <c r="AH133">
        <v>1</v>
      </c>
    </row>
    <row r="134" spans="1:34">
      <c r="A134">
        <v>2026</v>
      </c>
      <c r="B134" s="1">
        <v>46054</v>
      </c>
      <c r="C134" t="s">
        <v>2657</v>
      </c>
      <c r="D134" t="s">
        <v>3018</v>
      </c>
      <c r="E134" s="43">
        <v>46057.55613704861</v>
      </c>
      <c r="F134" s="1">
        <v>46057</v>
      </c>
      <c r="G134" s="43">
        <v>46058.829304270832</v>
      </c>
      <c r="H134" t="s">
        <v>2725</v>
      </c>
      <c r="I134" t="s">
        <v>2669</v>
      </c>
      <c r="J134" t="s">
        <v>36</v>
      </c>
      <c r="L134" t="s">
        <v>2472</v>
      </c>
      <c r="M134">
        <v>1087931314602</v>
      </c>
      <c r="N134" t="s">
        <v>2702</v>
      </c>
      <c r="O134" s="1">
        <v>46021</v>
      </c>
      <c r="T134" t="s">
        <v>2662</v>
      </c>
      <c r="U134" t="s">
        <v>3019</v>
      </c>
      <c r="V134">
        <v>1</v>
      </c>
      <c r="W134" t="s">
        <v>2677</v>
      </c>
      <c r="X134">
        <v>1</v>
      </c>
      <c r="Y134" t="s">
        <v>2760</v>
      </c>
      <c r="AA134">
        <v>1087931314602</v>
      </c>
      <c r="AB134" t="s">
        <v>2565</v>
      </c>
      <c r="AC134">
        <v>0</v>
      </c>
      <c r="AD134">
        <v>6</v>
      </c>
      <c r="AE134">
        <v>10879313146026</v>
      </c>
      <c r="AF134" t="s">
        <v>3015</v>
      </c>
      <c r="AG134">
        <v>0</v>
      </c>
      <c r="AH134">
        <v>0</v>
      </c>
    </row>
    <row r="135" spans="1:34">
      <c r="A135">
        <v>2026</v>
      </c>
      <c r="B135" s="1">
        <v>46054</v>
      </c>
      <c r="C135" t="s">
        <v>2657</v>
      </c>
      <c r="D135" s="44" t="s">
        <v>3020</v>
      </c>
      <c r="E135" s="43">
        <v>46062.590174999998</v>
      </c>
      <c r="F135" s="1">
        <v>46062</v>
      </c>
      <c r="G135" s="43">
        <v>46077.530505937502</v>
      </c>
      <c r="H135" t="s">
        <v>2725</v>
      </c>
      <c r="I135" t="s">
        <v>2681</v>
      </c>
      <c r="J135" t="s">
        <v>36</v>
      </c>
      <c r="L135" t="s">
        <v>2472</v>
      </c>
      <c r="M135">
        <v>1087931314602</v>
      </c>
      <c r="N135" t="s">
        <v>2702</v>
      </c>
      <c r="O135" s="1">
        <v>46021</v>
      </c>
      <c r="T135" t="s">
        <v>2662</v>
      </c>
      <c r="U135" t="s">
        <v>3021</v>
      </c>
      <c r="V135">
        <v>11</v>
      </c>
      <c r="W135" t="s">
        <v>2671</v>
      </c>
      <c r="X135">
        <v>1</v>
      </c>
      <c r="Y135" t="s">
        <v>2672</v>
      </c>
      <c r="Z135" t="s">
        <v>2684</v>
      </c>
      <c r="AA135">
        <v>1087931314602</v>
      </c>
      <c r="AB135" t="s">
        <v>2565</v>
      </c>
      <c r="AC135">
        <v>0</v>
      </c>
      <c r="AD135">
        <v>7</v>
      </c>
      <c r="AE135">
        <v>10879313146027</v>
      </c>
      <c r="AF135" t="s">
        <v>3015</v>
      </c>
      <c r="AG135">
        <v>1</v>
      </c>
      <c r="AH135">
        <v>0</v>
      </c>
    </row>
    <row r="136" spans="1:34">
      <c r="A136">
        <v>2025</v>
      </c>
      <c r="B136" s="1">
        <v>45931</v>
      </c>
      <c r="C136" t="s">
        <v>2657</v>
      </c>
      <c r="D136" t="s">
        <v>3022</v>
      </c>
      <c r="E136" s="43">
        <v>45952.89200670139</v>
      </c>
      <c r="F136" s="1">
        <v>45952</v>
      </c>
      <c r="G136" s="43">
        <v>45964.658623958334</v>
      </c>
      <c r="H136" t="s">
        <v>2659</v>
      </c>
      <c r="I136" t="s">
        <v>2660</v>
      </c>
      <c r="J136" t="s">
        <v>100</v>
      </c>
      <c r="L136" t="s">
        <v>2353</v>
      </c>
      <c r="M136">
        <v>320035971002</v>
      </c>
      <c r="N136" t="s">
        <v>2675</v>
      </c>
      <c r="O136" s="1">
        <v>45669</v>
      </c>
      <c r="T136" t="s">
        <v>2662</v>
      </c>
      <c r="U136" t="s">
        <v>3023</v>
      </c>
      <c r="V136">
        <v>8</v>
      </c>
      <c r="W136" t="s">
        <v>2677</v>
      </c>
      <c r="X136">
        <v>1</v>
      </c>
      <c r="Y136" t="s">
        <v>2807</v>
      </c>
      <c r="AA136">
        <v>320035971002</v>
      </c>
      <c r="AB136" t="s">
        <v>208</v>
      </c>
      <c r="AC136">
        <v>0</v>
      </c>
      <c r="AD136">
        <v>43</v>
      </c>
      <c r="AE136">
        <v>32003597100243</v>
      </c>
      <c r="AF136" t="s">
        <v>3024</v>
      </c>
      <c r="AG136">
        <v>1</v>
      </c>
      <c r="AH136">
        <v>1</v>
      </c>
    </row>
    <row r="137" spans="1:34">
      <c r="A137">
        <v>2025</v>
      </c>
      <c r="B137" s="1">
        <v>45962</v>
      </c>
      <c r="C137" t="s">
        <v>2657</v>
      </c>
      <c r="D137" s="44" t="s">
        <v>3025</v>
      </c>
      <c r="E137" s="43">
        <v>45974.806020254633</v>
      </c>
      <c r="F137" s="1">
        <v>45974</v>
      </c>
      <c r="G137" s="43">
        <v>46035.559084062501</v>
      </c>
      <c r="H137" t="s">
        <v>2802</v>
      </c>
      <c r="I137" t="s">
        <v>2681</v>
      </c>
      <c r="J137" t="s">
        <v>100</v>
      </c>
      <c r="L137" t="s">
        <v>2381</v>
      </c>
      <c r="M137">
        <v>549848560202</v>
      </c>
      <c r="N137" t="s">
        <v>2702</v>
      </c>
      <c r="O137" s="1">
        <v>45669</v>
      </c>
      <c r="T137" t="s">
        <v>2662</v>
      </c>
      <c r="U137" t="s">
        <v>3026</v>
      </c>
      <c r="V137">
        <v>43</v>
      </c>
      <c r="W137" t="s">
        <v>2664</v>
      </c>
      <c r="X137">
        <v>1</v>
      </c>
      <c r="Y137" t="s">
        <v>2665</v>
      </c>
      <c r="AA137">
        <v>549848560202</v>
      </c>
      <c r="AB137" t="s">
        <v>437</v>
      </c>
      <c r="AC137">
        <v>0</v>
      </c>
      <c r="AD137">
        <v>46</v>
      </c>
      <c r="AE137">
        <v>54984856020246</v>
      </c>
      <c r="AF137" t="s">
        <v>3027</v>
      </c>
      <c r="AG137">
        <v>1</v>
      </c>
      <c r="AH137">
        <v>1</v>
      </c>
    </row>
    <row r="138" spans="1:34">
      <c r="A138">
        <v>2026</v>
      </c>
      <c r="B138" s="1">
        <v>46023</v>
      </c>
      <c r="C138" t="s">
        <v>2657</v>
      </c>
      <c r="D138" t="s">
        <v>3028</v>
      </c>
      <c r="E138" s="43">
        <v>46050.518148124997</v>
      </c>
      <c r="F138" s="1">
        <v>46050</v>
      </c>
      <c r="G138" s="43">
        <v>46050.518148124997</v>
      </c>
      <c r="H138" t="s">
        <v>2701</v>
      </c>
      <c r="I138" t="s">
        <v>2660</v>
      </c>
      <c r="J138" t="s">
        <v>39</v>
      </c>
      <c r="L138" t="s">
        <v>2355</v>
      </c>
      <c r="M138">
        <v>6127997902</v>
      </c>
      <c r="N138" t="s">
        <v>2702</v>
      </c>
      <c r="O138" s="1">
        <v>44952</v>
      </c>
      <c r="T138" t="s">
        <v>2662</v>
      </c>
      <c r="U138" t="s">
        <v>3029</v>
      </c>
      <c r="V138">
        <v>0</v>
      </c>
      <c r="W138" t="s">
        <v>2704</v>
      </c>
      <c r="X138">
        <v>1</v>
      </c>
      <c r="Y138" t="s">
        <v>2721</v>
      </c>
      <c r="AA138">
        <v>366327938802</v>
      </c>
      <c r="AB138" t="s">
        <v>1985</v>
      </c>
      <c r="AC138">
        <v>0</v>
      </c>
      <c r="AD138">
        <v>5</v>
      </c>
      <c r="AE138">
        <v>3663279388025</v>
      </c>
      <c r="AF138" t="s">
        <v>3030</v>
      </c>
      <c r="AG138">
        <v>1</v>
      </c>
      <c r="AH138">
        <v>1</v>
      </c>
    </row>
    <row r="139" spans="1:34">
      <c r="A139">
        <v>2026</v>
      </c>
      <c r="B139" s="1">
        <v>46082</v>
      </c>
      <c r="C139" t="s">
        <v>2657</v>
      </c>
      <c r="D139" t="s">
        <v>3031</v>
      </c>
      <c r="E139" s="43">
        <v>46086.535648969904</v>
      </c>
      <c r="F139" s="1">
        <v>46086</v>
      </c>
      <c r="G139" s="43">
        <v>46087.710157465277</v>
      </c>
      <c r="H139" t="s">
        <v>2668</v>
      </c>
      <c r="I139" t="s">
        <v>2669</v>
      </c>
      <c r="J139" t="s">
        <v>39</v>
      </c>
      <c r="L139" t="s">
        <v>2362</v>
      </c>
      <c r="M139">
        <v>617214756102</v>
      </c>
      <c r="N139" t="s">
        <v>2702</v>
      </c>
      <c r="O139" s="1">
        <v>46021</v>
      </c>
      <c r="T139" t="s">
        <v>2662</v>
      </c>
      <c r="U139" t="s">
        <v>3032</v>
      </c>
      <c r="V139">
        <v>1</v>
      </c>
      <c r="W139" t="s">
        <v>2677</v>
      </c>
      <c r="X139">
        <v>1</v>
      </c>
      <c r="Y139" t="s">
        <v>2760</v>
      </c>
      <c r="AA139">
        <v>617231255902</v>
      </c>
      <c r="AB139" t="s">
        <v>2365</v>
      </c>
      <c r="AC139">
        <v>0</v>
      </c>
      <c r="AD139">
        <v>10</v>
      </c>
      <c r="AE139">
        <v>61723125590210</v>
      </c>
      <c r="AF139" t="s">
        <v>3033</v>
      </c>
      <c r="AG139">
        <v>0</v>
      </c>
      <c r="AH139">
        <v>0</v>
      </c>
    </row>
    <row r="140" spans="1:34">
      <c r="A140">
        <v>2026</v>
      </c>
      <c r="B140" s="1">
        <v>46082</v>
      </c>
      <c r="C140" t="s">
        <v>2657</v>
      </c>
      <c r="D140" t="s">
        <v>3034</v>
      </c>
      <c r="E140" s="43">
        <v>46083.55930847222</v>
      </c>
      <c r="F140" s="1">
        <v>46083</v>
      </c>
      <c r="G140" s="43">
        <v>46086.634873240742</v>
      </c>
      <c r="H140" t="s">
        <v>2668</v>
      </c>
      <c r="I140" t="s">
        <v>2669</v>
      </c>
      <c r="J140" t="s">
        <v>39</v>
      </c>
      <c r="L140" t="s">
        <v>2362</v>
      </c>
      <c r="M140">
        <v>617214756102</v>
      </c>
      <c r="N140" t="s">
        <v>2702</v>
      </c>
      <c r="O140" s="1">
        <v>46021</v>
      </c>
      <c r="T140" t="s">
        <v>2662</v>
      </c>
      <c r="U140" t="s">
        <v>3035</v>
      </c>
      <c r="V140">
        <v>3</v>
      </c>
      <c r="W140" t="s">
        <v>2671</v>
      </c>
      <c r="X140">
        <v>1</v>
      </c>
      <c r="Y140" t="s">
        <v>2764</v>
      </c>
      <c r="AA140">
        <v>617231255902</v>
      </c>
      <c r="AB140" t="s">
        <v>2365</v>
      </c>
      <c r="AC140">
        <v>0</v>
      </c>
      <c r="AD140">
        <v>10</v>
      </c>
      <c r="AE140">
        <v>61723125590210</v>
      </c>
      <c r="AF140" t="s">
        <v>3033</v>
      </c>
      <c r="AG140">
        <v>1</v>
      </c>
      <c r="AH140">
        <v>1</v>
      </c>
    </row>
    <row r="141" spans="1:34">
      <c r="A141">
        <v>2026</v>
      </c>
      <c r="B141" s="1">
        <v>46082</v>
      </c>
      <c r="C141" t="s">
        <v>2657</v>
      </c>
      <c r="D141" t="s">
        <v>3036</v>
      </c>
      <c r="E141" s="43">
        <v>46091.579263009262</v>
      </c>
      <c r="F141" s="1">
        <v>46091</v>
      </c>
      <c r="G141" s="43">
        <v>46094.558093761574</v>
      </c>
      <c r="H141" t="s">
        <v>2668</v>
      </c>
      <c r="I141" t="s">
        <v>2681</v>
      </c>
      <c r="J141" t="s">
        <v>39</v>
      </c>
      <c r="L141" t="s">
        <v>2362</v>
      </c>
      <c r="M141">
        <v>617214756102</v>
      </c>
      <c r="N141" t="s">
        <v>2702</v>
      </c>
      <c r="O141" s="1">
        <v>46021</v>
      </c>
      <c r="T141" t="s">
        <v>2662</v>
      </c>
      <c r="U141" t="s">
        <v>3037</v>
      </c>
      <c r="V141">
        <v>3</v>
      </c>
      <c r="W141" t="s">
        <v>2677</v>
      </c>
      <c r="X141">
        <v>1</v>
      </c>
      <c r="Y141" t="s">
        <v>2760</v>
      </c>
      <c r="AA141">
        <v>617231255902</v>
      </c>
      <c r="AB141" t="s">
        <v>2365</v>
      </c>
      <c r="AC141">
        <v>1</v>
      </c>
      <c r="AD141">
        <v>11</v>
      </c>
      <c r="AE141">
        <v>61723125590211</v>
      </c>
      <c r="AF141" t="s">
        <v>3033</v>
      </c>
      <c r="AG141">
        <v>1</v>
      </c>
      <c r="AH141">
        <v>0</v>
      </c>
    </row>
    <row r="142" spans="1:34">
      <c r="A142">
        <v>2026</v>
      </c>
      <c r="B142" s="1">
        <v>46082</v>
      </c>
      <c r="C142" t="s">
        <v>2657</v>
      </c>
      <c r="D142" t="s">
        <v>3038</v>
      </c>
      <c r="E142" s="43">
        <v>46084.907478749999</v>
      </c>
      <c r="F142" s="1">
        <v>46084</v>
      </c>
      <c r="G142" s="43">
        <v>46094.742005196757</v>
      </c>
      <c r="H142" t="s">
        <v>2668</v>
      </c>
      <c r="I142" t="s">
        <v>2669</v>
      </c>
      <c r="J142" t="s">
        <v>37</v>
      </c>
      <c r="L142" t="s">
        <v>2351</v>
      </c>
      <c r="M142">
        <v>985914499902</v>
      </c>
      <c r="N142" t="s">
        <v>2702</v>
      </c>
      <c r="O142" s="1">
        <v>46021</v>
      </c>
      <c r="T142" t="s">
        <v>2662</v>
      </c>
      <c r="U142" t="s">
        <v>3039</v>
      </c>
      <c r="V142">
        <v>8</v>
      </c>
      <c r="W142" t="s">
        <v>2671</v>
      </c>
      <c r="X142">
        <v>1</v>
      </c>
      <c r="Y142" t="s">
        <v>2692</v>
      </c>
      <c r="AA142">
        <v>985914499902</v>
      </c>
      <c r="AB142" t="s">
        <v>2515</v>
      </c>
      <c r="AC142">
        <v>1</v>
      </c>
      <c r="AD142">
        <v>10</v>
      </c>
      <c r="AE142">
        <v>98591449990210</v>
      </c>
      <c r="AF142" t="s">
        <v>3040</v>
      </c>
      <c r="AG142">
        <v>0</v>
      </c>
      <c r="AH142">
        <v>0</v>
      </c>
    </row>
    <row r="143" spans="1:34">
      <c r="A143">
        <v>2026</v>
      </c>
      <c r="B143" s="1">
        <v>46082</v>
      </c>
      <c r="C143" t="s">
        <v>2657</v>
      </c>
      <c r="D143" t="s">
        <v>3041</v>
      </c>
      <c r="E143" s="43">
        <v>46084.906415625002</v>
      </c>
      <c r="F143" s="1">
        <v>46084</v>
      </c>
      <c r="G143" s="43">
        <v>46092.783581215277</v>
      </c>
      <c r="H143" t="s">
        <v>2668</v>
      </c>
      <c r="I143" t="s">
        <v>2669</v>
      </c>
      <c r="J143" t="s">
        <v>37</v>
      </c>
      <c r="L143" t="s">
        <v>2351</v>
      </c>
      <c r="M143">
        <v>985914499902</v>
      </c>
      <c r="N143" t="s">
        <v>2702</v>
      </c>
      <c r="O143" s="1">
        <v>46021</v>
      </c>
      <c r="T143" t="s">
        <v>2662</v>
      </c>
      <c r="U143" t="s">
        <v>3042</v>
      </c>
      <c r="V143">
        <v>6</v>
      </c>
      <c r="W143" t="s">
        <v>2677</v>
      </c>
      <c r="X143">
        <v>1</v>
      </c>
      <c r="Y143" t="s">
        <v>2807</v>
      </c>
      <c r="AA143">
        <v>985914499902</v>
      </c>
      <c r="AB143" t="s">
        <v>2515</v>
      </c>
      <c r="AC143">
        <v>0</v>
      </c>
      <c r="AD143">
        <v>10</v>
      </c>
      <c r="AE143">
        <v>98591449990210</v>
      </c>
      <c r="AF143" t="s">
        <v>3040</v>
      </c>
      <c r="AG143">
        <v>1</v>
      </c>
      <c r="AH143">
        <v>1</v>
      </c>
    </row>
    <row r="144" spans="1:34">
      <c r="A144">
        <v>2025</v>
      </c>
      <c r="B144" s="1">
        <v>45931</v>
      </c>
      <c r="C144" t="s">
        <v>2657</v>
      </c>
      <c r="D144" t="s">
        <v>3043</v>
      </c>
      <c r="E144" s="43">
        <v>45952.732482280095</v>
      </c>
      <c r="F144" s="1">
        <v>45952</v>
      </c>
      <c r="G144" s="43">
        <v>45959.578629247684</v>
      </c>
      <c r="H144" t="s">
        <v>2659</v>
      </c>
      <c r="I144" t="s">
        <v>2660</v>
      </c>
      <c r="J144" t="s">
        <v>2735</v>
      </c>
      <c r="L144" t="s">
        <v>2336</v>
      </c>
      <c r="M144">
        <v>127737463602</v>
      </c>
      <c r="N144" t="s">
        <v>2746</v>
      </c>
      <c r="O144" s="1">
        <v>45661</v>
      </c>
      <c r="T144" t="s">
        <v>2662</v>
      </c>
      <c r="U144" t="s">
        <v>3044</v>
      </c>
      <c r="V144">
        <v>5</v>
      </c>
      <c r="W144" t="s">
        <v>2677</v>
      </c>
      <c r="X144">
        <v>1</v>
      </c>
      <c r="Y144" t="s">
        <v>2760</v>
      </c>
      <c r="Z144" t="s">
        <v>2684</v>
      </c>
      <c r="AA144">
        <v>127737463602</v>
      </c>
      <c r="AB144" t="s">
        <v>1066</v>
      </c>
      <c r="AC144">
        <v>0</v>
      </c>
      <c r="AD144">
        <v>43</v>
      </c>
      <c r="AE144">
        <v>12773746360243</v>
      </c>
      <c r="AF144" t="s">
        <v>3045</v>
      </c>
      <c r="AG144">
        <v>1</v>
      </c>
      <c r="AH144">
        <v>1</v>
      </c>
    </row>
    <row r="145" spans="1:35">
      <c r="A145">
        <v>2026</v>
      </c>
      <c r="B145" s="1">
        <v>46082</v>
      </c>
      <c r="C145" t="s">
        <v>2657</v>
      </c>
      <c r="D145" t="s">
        <v>3046</v>
      </c>
      <c r="E145" s="43">
        <v>46084.583748831021</v>
      </c>
      <c r="F145" s="1">
        <v>46084</v>
      </c>
      <c r="G145" s="43">
        <v>46084.583748831021</v>
      </c>
      <c r="H145" t="s">
        <v>2668</v>
      </c>
      <c r="I145" t="s">
        <v>2669</v>
      </c>
      <c r="J145" t="s">
        <v>39</v>
      </c>
      <c r="L145" t="s">
        <v>2408</v>
      </c>
      <c r="M145">
        <v>24383333802</v>
      </c>
      <c r="N145" t="s">
        <v>2746</v>
      </c>
      <c r="O145" s="1">
        <v>45661</v>
      </c>
      <c r="T145" t="s">
        <v>2662</v>
      </c>
      <c r="U145" t="s">
        <v>3047</v>
      </c>
      <c r="V145">
        <v>0</v>
      </c>
      <c r="W145" t="s">
        <v>2671</v>
      </c>
      <c r="X145">
        <v>1</v>
      </c>
      <c r="Y145" t="s">
        <v>2672</v>
      </c>
      <c r="AA145">
        <v>24383333802</v>
      </c>
      <c r="AB145" t="s">
        <v>1342</v>
      </c>
      <c r="AC145">
        <v>0</v>
      </c>
      <c r="AD145">
        <v>10</v>
      </c>
      <c r="AE145">
        <v>2438333380210</v>
      </c>
      <c r="AF145" t="s">
        <v>3048</v>
      </c>
      <c r="AG145">
        <v>1</v>
      </c>
      <c r="AH145">
        <v>1</v>
      </c>
      <c r="AI145" t="s">
        <v>3001</v>
      </c>
    </row>
    <row r="146" spans="1:35">
      <c r="A146">
        <v>2026</v>
      </c>
      <c r="B146" s="1">
        <v>46082</v>
      </c>
      <c r="C146" t="s">
        <v>2657</v>
      </c>
      <c r="D146" t="s">
        <v>3049</v>
      </c>
      <c r="E146" s="43">
        <v>46090.56293388889</v>
      </c>
      <c r="F146" s="1">
        <v>46090</v>
      </c>
      <c r="G146" s="43">
        <v>46091.529620254631</v>
      </c>
      <c r="H146" t="s">
        <v>2668</v>
      </c>
      <c r="I146" t="s">
        <v>2681</v>
      </c>
      <c r="J146" t="s">
        <v>39</v>
      </c>
      <c r="L146" t="s">
        <v>2408</v>
      </c>
      <c r="M146">
        <v>24383333802</v>
      </c>
      <c r="N146" t="s">
        <v>2746</v>
      </c>
      <c r="O146" s="1">
        <v>45661</v>
      </c>
      <c r="T146" t="s">
        <v>2662</v>
      </c>
      <c r="U146" t="s">
        <v>3050</v>
      </c>
      <c r="V146">
        <v>1</v>
      </c>
      <c r="W146" t="s">
        <v>2677</v>
      </c>
      <c r="X146">
        <v>1</v>
      </c>
      <c r="Y146" t="s">
        <v>2760</v>
      </c>
      <c r="AA146">
        <v>24383333802</v>
      </c>
      <c r="AB146" t="s">
        <v>1342</v>
      </c>
      <c r="AC146">
        <v>0</v>
      </c>
      <c r="AD146">
        <v>11</v>
      </c>
      <c r="AE146">
        <v>2438333380211</v>
      </c>
      <c r="AF146" t="s">
        <v>3048</v>
      </c>
      <c r="AG146">
        <v>1</v>
      </c>
      <c r="AH146">
        <v>0</v>
      </c>
    </row>
    <row r="147" spans="1:35">
      <c r="A147">
        <v>2026</v>
      </c>
      <c r="B147" s="1">
        <v>46082</v>
      </c>
      <c r="C147" t="s">
        <v>2657</v>
      </c>
      <c r="D147" s="44" t="s">
        <v>3051</v>
      </c>
      <c r="E147" s="43">
        <v>46092.692658449072</v>
      </c>
      <c r="F147" s="1">
        <v>46092</v>
      </c>
      <c r="G147" s="43">
        <v>46094.560787048613</v>
      </c>
      <c r="H147" t="s">
        <v>2668</v>
      </c>
      <c r="I147" t="s">
        <v>2681</v>
      </c>
      <c r="J147" t="s">
        <v>39</v>
      </c>
      <c r="L147" t="s">
        <v>2408</v>
      </c>
      <c r="M147">
        <v>24383333802</v>
      </c>
      <c r="N147" t="s">
        <v>2746</v>
      </c>
      <c r="O147" s="1">
        <v>45661</v>
      </c>
      <c r="T147" t="s">
        <v>2662</v>
      </c>
      <c r="U147" t="s">
        <v>3052</v>
      </c>
      <c r="V147">
        <v>2</v>
      </c>
      <c r="W147" t="s">
        <v>2677</v>
      </c>
      <c r="X147">
        <v>1</v>
      </c>
      <c r="Y147" t="s">
        <v>2779</v>
      </c>
      <c r="AA147">
        <v>24383333802</v>
      </c>
      <c r="AB147" t="s">
        <v>1342</v>
      </c>
      <c r="AC147">
        <v>1</v>
      </c>
      <c r="AD147">
        <v>11</v>
      </c>
      <c r="AE147">
        <v>2438333380211</v>
      </c>
      <c r="AF147" t="s">
        <v>3048</v>
      </c>
      <c r="AG147">
        <v>0</v>
      </c>
      <c r="AH147">
        <v>0</v>
      </c>
    </row>
    <row r="148" spans="1:35">
      <c r="A148">
        <v>2025</v>
      </c>
      <c r="B148" s="1">
        <v>45901</v>
      </c>
      <c r="C148" t="s">
        <v>2657</v>
      </c>
      <c r="D148" t="s">
        <v>3053</v>
      </c>
      <c r="E148" s="43">
        <v>45918.799653472219</v>
      </c>
      <c r="F148" s="1">
        <v>45918</v>
      </c>
      <c r="G148" s="43">
        <v>45922.793651261571</v>
      </c>
      <c r="H148" t="s">
        <v>2734</v>
      </c>
      <c r="I148" t="s">
        <v>2719</v>
      </c>
      <c r="J148" t="s">
        <v>2735</v>
      </c>
      <c r="L148" t="s">
        <v>2362</v>
      </c>
      <c r="M148">
        <v>103928980802</v>
      </c>
      <c r="N148" t="s">
        <v>2746</v>
      </c>
      <c r="O148" s="1">
        <v>45661</v>
      </c>
      <c r="T148" t="s">
        <v>2662</v>
      </c>
      <c r="U148" t="s">
        <v>3054</v>
      </c>
      <c r="V148">
        <v>2</v>
      </c>
      <c r="W148" t="s">
        <v>2743</v>
      </c>
      <c r="X148">
        <v>1</v>
      </c>
      <c r="Y148" t="s">
        <v>2985</v>
      </c>
      <c r="AA148">
        <v>103928980802</v>
      </c>
      <c r="AB148" t="s">
        <v>1764</v>
      </c>
      <c r="AC148">
        <v>0</v>
      </c>
      <c r="AD148">
        <v>38</v>
      </c>
      <c r="AE148">
        <v>10392898080238</v>
      </c>
      <c r="AF148" t="s">
        <v>3055</v>
      </c>
      <c r="AG148">
        <v>1</v>
      </c>
      <c r="AH148">
        <v>1</v>
      </c>
    </row>
    <row r="149" spans="1:35">
      <c r="A149">
        <v>2025</v>
      </c>
      <c r="B149" s="1">
        <v>45901</v>
      </c>
      <c r="C149" t="s">
        <v>2657</v>
      </c>
      <c r="D149" t="s">
        <v>3056</v>
      </c>
      <c r="E149" s="43">
        <v>45926.511623923609</v>
      </c>
      <c r="F149" s="1">
        <v>45926</v>
      </c>
      <c r="G149" s="43">
        <v>45926.652905000003</v>
      </c>
      <c r="H149" t="s">
        <v>2734</v>
      </c>
      <c r="I149" t="s">
        <v>2660</v>
      </c>
      <c r="J149" t="s">
        <v>2735</v>
      </c>
      <c r="L149" t="s">
        <v>2362</v>
      </c>
      <c r="M149">
        <v>103928980802</v>
      </c>
      <c r="N149" t="s">
        <v>2746</v>
      </c>
      <c r="O149" s="1">
        <v>45661</v>
      </c>
      <c r="T149" t="s">
        <v>2662</v>
      </c>
      <c r="U149" t="s">
        <v>3057</v>
      </c>
      <c r="V149">
        <v>0</v>
      </c>
      <c r="W149" t="s">
        <v>2743</v>
      </c>
      <c r="X149">
        <v>1</v>
      </c>
      <c r="Y149" t="s">
        <v>2764</v>
      </c>
      <c r="AA149">
        <v>103928980802</v>
      </c>
      <c r="AB149" t="s">
        <v>1764</v>
      </c>
      <c r="AC149">
        <v>0</v>
      </c>
      <c r="AD149">
        <v>39</v>
      </c>
      <c r="AE149">
        <v>10392898080239</v>
      </c>
      <c r="AF149" t="s">
        <v>3055</v>
      </c>
      <c r="AG149">
        <v>0</v>
      </c>
      <c r="AH149">
        <v>0</v>
      </c>
    </row>
    <row r="150" spans="1:35">
      <c r="A150">
        <v>2025</v>
      </c>
      <c r="B150" s="1">
        <v>45901</v>
      </c>
      <c r="C150" t="s">
        <v>2657</v>
      </c>
      <c r="D150" t="s">
        <v>3058</v>
      </c>
      <c r="E150" s="43">
        <v>45924.671481516205</v>
      </c>
      <c r="F150" s="1">
        <v>45924</v>
      </c>
      <c r="G150" s="43">
        <v>45925.482615023146</v>
      </c>
      <c r="H150" t="s">
        <v>2734</v>
      </c>
      <c r="I150" t="s">
        <v>2660</v>
      </c>
      <c r="J150" t="s">
        <v>2735</v>
      </c>
      <c r="L150" t="s">
        <v>2362</v>
      </c>
      <c r="M150">
        <v>103928980802</v>
      </c>
      <c r="N150" t="s">
        <v>2746</v>
      </c>
      <c r="O150" s="1">
        <v>45661</v>
      </c>
      <c r="T150" t="s">
        <v>2662</v>
      </c>
      <c r="U150" t="s">
        <v>3059</v>
      </c>
      <c r="V150">
        <v>1</v>
      </c>
      <c r="W150" t="s">
        <v>2743</v>
      </c>
      <c r="X150">
        <v>1</v>
      </c>
      <c r="Y150" t="s">
        <v>2699</v>
      </c>
      <c r="AA150">
        <v>103928980802</v>
      </c>
      <c r="AB150" t="s">
        <v>1764</v>
      </c>
      <c r="AC150">
        <v>0</v>
      </c>
      <c r="AD150">
        <v>39</v>
      </c>
      <c r="AE150">
        <v>10392898080239</v>
      </c>
      <c r="AF150" t="s">
        <v>3055</v>
      </c>
      <c r="AG150">
        <v>0</v>
      </c>
      <c r="AH150">
        <v>0</v>
      </c>
    </row>
    <row r="151" spans="1:35">
      <c r="A151">
        <v>2025</v>
      </c>
      <c r="B151" s="1">
        <v>45901</v>
      </c>
      <c r="C151" t="s">
        <v>2657</v>
      </c>
      <c r="D151" t="s">
        <v>3060</v>
      </c>
      <c r="E151" s="43">
        <v>45923.652411724535</v>
      </c>
      <c r="F151" s="1">
        <v>45923</v>
      </c>
      <c r="G151" s="43">
        <v>45925.479786180556</v>
      </c>
      <c r="H151" t="s">
        <v>2734</v>
      </c>
      <c r="I151" t="s">
        <v>2660</v>
      </c>
      <c r="J151" t="s">
        <v>2735</v>
      </c>
      <c r="L151" t="s">
        <v>2362</v>
      </c>
      <c r="M151">
        <v>103928980802</v>
      </c>
      <c r="N151" t="s">
        <v>2746</v>
      </c>
      <c r="O151" s="1">
        <v>45661</v>
      </c>
      <c r="T151" t="s">
        <v>2662</v>
      </c>
      <c r="U151" t="s">
        <v>3061</v>
      </c>
      <c r="V151">
        <v>2</v>
      </c>
      <c r="W151" t="s">
        <v>2677</v>
      </c>
      <c r="X151">
        <v>1</v>
      </c>
      <c r="Y151" t="s">
        <v>2807</v>
      </c>
      <c r="AA151">
        <v>103928980802</v>
      </c>
      <c r="AB151" t="s">
        <v>1764</v>
      </c>
      <c r="AC151">
        <v>0</v>
      </c>
      <c r="AD151">
        <v>39</v>
      </c>
      <c r="AE151">
        <v>10392898080239</v>
      </c>
      <c r="AF151" t="s">
        <v>3055</v>
      </c>
      <c r="AG151">
        <v>1</v>
      </c>
      <c r="AH151">
        <v>0</v>
      </c>
    </row>
    <row r="152" spans="1:35">
      <c r="A152">
        <v>2025</v>
      </c>
      <c r="B152" s="1">
        <v>45901</v>
      </c>
      <c r="C152" t="s">
        <v>2657</v>
      </c>
      <c r="D152" t="s">
        <v>3062</v>
      </c>
      <c r="E152" s="43">
        <v>45925.581271076386</v>
      </c>
      <c r="F152" s="1">
        <v>45925</v>
      </c>
      <c r="G152" s="43">
        <v>45925.78735215278</v>
      </c>
      <c r="H152" t="s">
        <v>2734</v>
      </c>
      <c r="I152" t="s">
        <v>2660</v>
      </c>
      <c r="J152" t="s">
        <v>2735</v>
      </c>
      <c r="L152" t="s">
        <v>2362</v>
      </c>
      <c r="M152">
        <v>103928980802</v>
      </c>
      <c r="N152" t="s">
        <v>2746</v>
      </c>
      <c r="O152" s="1">
        <v>45661</v>
      </c>
      <c r="T152" t="s">
        <v>2662</v>
      </c>
      <c r="U152" t="s">
        <v>3063</v>
      </c>
      <c r="V152">
        <v>0</v>
      </c>
      <c r="W152" t="s">
        <v>2743</v>
      </c>
      <c r="X152">
        <v>1</v>
      </c>
      <c r="Y152" t="s">
        <v>2717</v>
      </c>
      <c r="AA152">
        <v>103928980802</v>
      </c>
      <c r="AB152" t="s">
        <v>1764</v>
      </c>
      <c r="AC152">
        <v>0</v>
      </c>
      <c r="AD152">
        <v>39</v>
      </c>
      <c r="AE152">
        <v>10392898080239</v>
      </c>
      <c r="AF152" t="s">
        <v>3055</v>
      </c>
      <c r="AG152">
        <v>0</v>
      </c>
      <c r="AH152">
        <v>0</v>
      </c>
    </row>
    <row r="153" spans="1:35">
      <c r="A153">
        <v>2025</v>
      </c>
      <c r="B153" s="1">
        <v>45901</v>
      </c>
      <c r="C153" t="s">
        <v>2657</v>
      </c>
      <c r="D153" t="s">
        <v>3064</v>
      </c>
      <c r="E153" s="43">
        <v>45929.482119942128</v>
      </c>
      <c r="F153" s="1">
        <v>45929</v>
      </c>
      <c r="G153" s="43">
        <v>45930.778276435187</v>
      </c>
      <c r="H153" t="s">
        <v>2734</v>
      </c>
      <c r="I153" t="s">
        <v>2697</v>
      </c>
      <c r="J153" t="s">
        <v>2735</v>
      </c>
      <c r="L153" t="s">
        <v>2362</v>
      </c>
      <c r="M153">
        <v>103928980802</v>
      </c>
      <c r="N153" t="s">
        <v>2746</v>
      </c>
      <c r="O153" s="1">
        <v>45661</v>
      </c>
      <c r="T153" t="s">
        <v>2662</v>
      </c>
      <c r="U153" t="s">
        <v>3065</v>
      </c>
      <c r="V153">
        <v>1</v>
      </c>
      <c r="W153" t="s">
        <v>2743</v>
      </c>
      <c r="X153">
        <v>1</v>
      </c>
      <c r="Y153" t="s">
        <v>2717</v>
      </c>
      <c r="Z153" t="s">
        <v>2834</v>
      </c>
      <c r="AA153">
        <v>103928980802</v>
      </c>
      <c r="AB153" t="s">
        <v>1764</v>
      </c>
      <c r="AC153">
        <v>0</v>
      </c>
      <c r="AD153">
        <v>40</v>
      </c>
      <c r="AE153">
        <v>10392898080240</v>
      </c>
      <c r="AF153" t="s">
        <v>3055</v>
      </c>
      <c r="AG153">
        <v>1</v>
      </c>
      <c r="AH153">
        <v>0</v>
      </c>
    </row>
    <row r="154" spans="1:35">
      <c r="A154">
        <v>2026</v>
      </c>
      <c r="B154" s="1">
        <v>46082</v>
      </c>
      <c r="C154" t="s">
        <v>2657</v>
      </c>
      <c r="D154" t="s">
        <v>3066</v>
      </c>
      <c r="E154" s="43">
        <v>46083.59396982639</v>
      </c>
      <c r="F154" s="1">
        <v>46083</v>
      </c>
      <c r="G154" s="43">
        <v>46092.547056354168</v>
      </c>
      <c r="H154" t="s">
        <v>2668</v>
      </c>
      <c r="I154" t="s">
        <v>2669</v>
      </c>
      <c r="J154" t="s">
        <v>39</v>
      </c>
      <c r="L154" t="s">
        <v>2408</v>
      </c>
      <c r="M154">
        <v>24386750602</v>
      </c>
      <c r="N154" t="s">
        <v>2746</v>
      </c>
      <c r="O154" s="1">
        <v>45294</v>
      </c>
      <c r="T154" t="s">
        <v>2798</v>
      </c>
      <c r="U154" t="s">
        <v>3067</v>
      </c>
      <c r="V154">
        <v>9</v>
      </c>
      <c r="W154" t="s">
        <v>2743</v>
      </c>
      <c r="X154">
        <v>0</v>
      </c>
      <c r="Y154" t="s">
        <v>2699</v>
      </c>
      <c r="Z154" t="s">
        <v>2834</v>
      </c>
      <c r="AA154">
        <v>24386750602</v>
      </c>
      <c r="AB154" t="s">
        <v>1847</v>
      </c>
      <c r="AC154">
        <v>1</v>
      </c>
      <c r="AD154">
        <v>10</v>
      </c>
      <c r="AE154">
        <v>2438675060210</v>
      </c>
      <c r="AF154" t="s">
        <v>3068</v>
      </c>
      <c r="AG154">
        <v>1</v>
      </c>
      <c r="AH154">
        <v>1</v>
      </c>
    </row>
    <row r="155" spans="1:35">
      <c r="A155">
        <v>2025</v>
      </c>
      <c r="B155" s="1">
        <v>45901</v>
      </c>
      <c r="C155" t="s">
        <v>2657</v>
      </c>
      <c r="D155" t="s">
        <v>3069</v>
      </c>
      <c r="E155" s="43">
        <v>45904.747208923611</v>
      </c>
      <c r="F155" s="1">
        <v>45904</v>
      </c>
      <c r="G155" s="43">
        <v>45904.747208923611</v>
      </c>
      <c r="H155" t="s">
        <v>2734</v>
      </c>
      <c r="I155" t="s">
        <v>2669</v>
      </c>
      <c r="J155" t="s">
        <v>38</v>
      </c>
      <c r="L155" t="s">
        <v>2421</v>
      </c>
      <c r="M155">
        <v>1044965067502</v>
      </c>
      <c r="N155" t="s">
        <v>2661</v>
      </c>
      <c r="O155" s="1">
        <v>45709</v>
      </c>
      <c r="T155" t="s">
        <v>2662</v>
      </c>
      <c r="U155" t="s">
        <v>3070</v>
      </c>
      <c r="V155">
        <v>0</v>
      </c>
      <c r="W155" t="s">
        <v>2671</v>
      </c>
      <c r="X155">
        <v>1</v>
      </c>
      <c r="Y155" t="s">
        <v>2764</v>
      </c>
      <c r="AA155">
        <v>124090551902</v>
      </c>
      <c r="AB155" t="s">
        <v>1956</v>
      </c>
      <c r="AC155">
        <v>0</v>
      </c>
      <c r="AD155">
        <v>36</v>
      </c>
      <c r="AE155">
        <v>12409055190236</v>
      </c>
      <c r="AF155" t="s">
        <v>3071</v>
      </c>
      <c r="AG155">
        <v>0</v>
      </c>
      <c r="AH155">
        <v>0</v>
      </c>
    </row>
    <row r="156" spans="1:35">
      <c r="A156">
        <v>2025</v>
      </c>
      <c r="B156" s="1">
        <v>45901</v>
      </c>
      <c r="C156" t="s">
        <v>2657</v>
      </c>
      <c r="D156" s="44" t="s">
        <v>3072</v>
      </c>
      <c r="E156" s="43">
        <v>45905.611735509257</v>
      </c>
      <c r="F156" s="1">
        <v>45905</v>
      </c>
      <c r="G156" s="43">
        <v>45908.597064027781</v>
      </c>
      <c r="H156" t="s">
        <v>2734</v>
      </c>
      <c r="I156" t="s">
        <v>2669</v>
      </c>
      <c r="J156" t="s">
        <v>38</v>
      </c>
      <c r="L156" t="s">
        <v>2421</v>
      </c>
      <c r="M156">
        <v>1044965067502</v>
      </c>
      <c r="N156" t="s">
        <v>2661</v>
      </c>
      <c r="O156" s="1">
        <v>45709</v>
      </c>
      <c r="T156" t="s">
        <v>2662</v>
      </c>
      <c r="U156" t="s">
        <v>3073</v>
      </c>
      <c r="V156">
        <v>1</v>
      </c>
      <c r="W156" t="s">
        <v>2671</v>
      </c>
      <c r="X156">
        <v>1</v>
      </c>
      <c r="Y156" t="s">
        <v>2683</v>
      </c>
      <c r="AA156">
        <v>124090551902</v>
      </c>
      <c r="AB156" t="s">
        <v>1956</v>
      </c>
      <c r="AC156">
        <v>0</v>
      </c>
      <c r="AD156">
        <v>36</v>
      </c>
      <c r="AE156">
        <v>12409055190236</v>
      </c>
      <c r="AF156" t="s">
        <v>3071</v>
      </c>
      <c r="AG156">
        <v>0</v>
      </c>
      <c r="AH156">
        <v>0</v>
      </c>
    </row>
    <row r="157" spans="1:35">
      <c r="A157">
        <v>2025</v>
      </c>
      <c r="B157" s="1">
        <v>45901</v>
      </c>
      <c r="C157" t="s">
        <v>2657</v>
      </c>
      <c r="D157" t="s">
        <v>3074</v>
      </c>
      <c r="E157" s="43">
        <v>45902.574720960649</v>
      </c>
      <c r="F157" s="1">
        <v>45902</v>
      </c>
      <c r="G157" s="43">
        <v>45916.880026481478</v>
      </c>
      <c r="H157" t="s">
        <v>2734</v>
      </c>
      <c r="I157" t="s">
        <v>2669</v>
      </c>
      <c r="J157" t="s">
        <v>38</v>
      </c>
      <c r="L157" t="s">
        <v>2421</v>
      </c>
      <c r="M157">
        <v>124090551902</v>
      </c>
      <c r="N157" t="s">
        <v>2661</v>
      </c>
      <c r="O157" s="1">
        <v>45541</v>
      </c>
      <c r="T157" t="s">
        <v>2662</v>
      </c>
      <c r="U157" t="s">
        <v>3075</v>
      </c>
      <c r="V157">
        <v>10</v>
      </c>
      <c r="W157" t="s">
        <v>2704</v>
      </c>
      <c r="X157">
        <v>1</v>
      </c>
      <c r="Y157" t="s">
        <v>2764</v>
      </c>
      <c r="AA157">
        <v>124090551902</v>
      </c>
      <c r="AB157" t="s">
        <v>1956</v>
      </c>
      <c r="AC157">
        <v>0</v>
      </c>
      <c r="AD157">
        <v>36</v>
      </c>
      <c r="AE157">
        <v>12409055190236</v>
      </c>
      <c r="AF157" t="s">
        <v>3071</v>
      </c>
      <c r="AG157">
        <v>1</v>
      </c>
      <c r="AH157">
        <v>1</v>
      </c>
    </row>
    <row r="158" spans="1:35">
      <c r="A158">
        <v>2025</v>
      </c>
      <c r="B158" s="1">
        <v>45901</v>
      </c>
      <c r="C158" t="s">
        <v>2657</v>
      </c>
      <c r="D158" t="s">
        <v>3076</v>
      </c>
      <c r="E158" s="43">
        <v>45915.716014965277</v>
      </c>
      <c r="F158" s="1">
        <v>45915</v>
      </c>
      <c r="G158" s="43">
        <v>45916.821101423608</v>
      </c>
      <c r="H158" t="s">
        <v>2734</v>
      </c>
      <c r="I158" t="s">
        <v>2719</v>
      </c>
      <c r="J158" t="s">
        <v>38</v>
      </c>
      <c r="L158" t="s">
        <v>2421</v>
      </c>
      <c r="M158">
        <v>1044965067502</v>
      </c>
      <c r="N158" t="s">
        <v>2661</v>
      </c>
      <c r="O158" s="1">
        <v>45709</v>
      </c>
      <c r="T158" t="s">
        <v>2662</v>
      </c>
      <c r="U158" t="s">
        <v>3077</v>
      </c>
      <c r="V158">
        <v>1</v>
      </c>
      <c r="W158" t="s">
        <v>2671</v>
      </c>
      <c r="X158">
        <v>1</v>
      </c>
      <c r="Y158" t="s">
        <v>2764</v>
      </c>
      <c r="AA158">
        <v>124090551902</v>
      </c>
      <c r="AB158" t="s">
        <v>1956</v>
      </c>
      <c r="AC158">
        <v>0</v>
      </c>
      <c r="AD158">
        <v>38</v>
      </c>
      <c r="AE158">
        <v>12409055190238</v>
      </c>
      <c r="AF158" t="s">
        <v>3071</v>
      </c>
      <c r="AG158">
        <v>1</v>
      </c>
      <c r="AH158">
        <v>0</v>
      </c>
    </row>
    <row r="159" spans="1:35">
      <c r="A159">
        <v>2025</v>
      </c>
      <c r="B159" s="1">
        <v>45901</v>
      </c>
      <c r="C159" t="s">
        <v>2657</v>
      </c>
      <c r="D159" t="s">
        <v>3078</v>
      </c>
      <c r="E159" s="43">
        <v>45924.858214259257</v>
      </c>
      <c r="F159" s="1">
        <v>45924</v>
      </c>
      <c r="G159" s="43">
        <v>45924.858214259257</v>
      </c>
      <c r="H159" t="s">
        <v>2734</v>
      </c>
      <c r="I159" t="s">
        <v>2660</v>
      </c>
      <c r="J159" t="s">
        <v>38</v>
      </c>
      <c r="L159" t="s">
        <v>2421</v>
      </c>
      <c r="M159">
        <v>124090551902</v>
      </c>
      <c r="N159" t="s">
        <v>2661</v>
      </c>
      <c r="O159" s="1">
        <v>45541</v>
      </c>
      <c r="T159" t="s">
        <v>2662</v>
      </c>
      <c r="U159" t="s">
        <v>3079</v>
      </c>
      <c r="V159">
        <v>0</v>
      </c>
      <c r="X159">
        <v>1</v>
      </c>
      <c r="Y159" t="s">
        <v>2721</v>
      </c>
      <c r="AA159">
        <v>124090551902</v>
      </c>
      <c r="AB159" t="s">
        <v>1956</v>
      </c>
      <c r="AC159">
        <v>0</v>
      </c>
      <c r="AD159">
        <v>39</v>
      </c>
      <c r="AE159">
        <v>12409055190239</v>
      </c>
      <c r="AF159" t="s">
        <v>3071</v>
      </c>
      <c r="AG159">
        <v>1</v>
      </c>
      <c r="AH159">
        <v>0</v>
      </c>
    </row>
    <row r="160" spans="1:35">
      <c r="A160">
        <v>2025</v>
      </c>
      <c r="B160" s="1">
        <v>45901</v>
      </c>
      <c r="C160" t="s">
        <v>2657</v>
      </c>
      <c r="D160" t="s">
        <v>3080</v>
      </c>
      <c r="E160" s="43">
        <v>45930.545628506945</v>
      </c>
      <c r="F160" s="1">
        <v>45930</v>
      </c>
      <c r="G160" s="43">
        <v>45931.563973032411</v>
      </c>
      <c r="H160" t="s">
        <v>2734</v>
      </c>
      <c r="I160" t="s">
        <v>2697</v>
      </c>
      <c r="J160" t="s">
        <v>38</v>
      </c>
      <c r="L160" t="s">
        <v>2421</v>
      </c>
      <c r="M160">
        <v>1044965067502</v>
      </c>
      <c r="N160" t="s">
        <v>2661</v>
      </c>
      <c r="O160" s="1">
        <v>45709</v>
      </c>
      <c r="T160" t="s">
        <v>2662</v>
      </c>
      <c r="U160" t="s">
        <v>3081</v>
      </c>
      <c r="V160">
        <v>1</v>
      </c>
      <c r="W160" t="s">
        <v>2671</v>
      </c>
      <c r="X160">
        <v>1</v>
      </c>
      <c r="Y160" t="s">
        <v>2764</v>
      </c>
      <c r="AA160">
        <v>124090551902</v>
      </c>
      <c r="AB160" t="s">
        <v>1956</v>
      </c>
      <c r="AC160">
        <v>0</v>
      </c>
      <c r="AD160">
        <v>40</v>
      </c>
      <c r="AE160">
        <v>12409055190240</v>
      </c>
      <c r="AF160" t="s">
        <v>3071</v>
      </c>
      <c r="AG160">
        <v>1</v>
      </c>
      <c r="AH160">
        <v>0</v>
      </c>
    </row>
    <row r="161" spans="1:34">
      <c r="A161">
        <v>2026</v>
      </c>
      <c r="B161" s="1">
        <v>46023</v>
      </c>
      <c r="C161" t="s">
        <v>2657</v>
      </c>
      <c r="D161" t="s">
        <v>3082</v>
      </c>
      <c r="E161" s="43">
        <v>46031.681355821762</v>
      </c>
      <c r="F161" s="1">
        <v>46031</v>
      </c>
      <c r="G161" s="43">
        <v>46031.681355821762</v>
      </c>
      <c r="H161" t="s">
        <v>2701</v>
      </c>
      <c r="I161" t="s">
        <v>2681</v>
      </c>
      <c r="J161" t="s">
        <v>36</v>
      </c>
      <c r="L161" t="s">
        <v>2421</v>
      </c>
      <c r="M161">
        <v>435346364602</v>
      </c>
      <c r="N161" t="s">
        <v>2661</v>
      </c>
      <c r="O161" s="1">
        <v>45349</v>
      </c>
      <c r="T161" t="s">
        <v>2662</v>
      </c>
      <c r="U161" t="s">
        <v>3083</v>
      </c>
      <c r="V161">
        <v>0</v>
      </c>
      <c r="W161" t="s">
        <v>2671</v>
      </c>
      <c r="X161">
        <v>1</v>
      </c>
      <c r="Y161" t="s">
        <v>2695</v>
      </c>
      <c r="AA161">
        <v>435346364602</v>
      </c>
      <c r="AB161" t="s">
        <v>1636</v>
      </c>
      <c r="AC161">
        <v>0</v>
      </c>
      <c r="AD161">
        <v>2</v>
      </c>
      <c r="AE161">
        <v>4353463646022</v>
      </c>
      <c r="AF161" t="s">
        <v>3084</v>
      </c>
      <c r="AG161">
        <v>1</v>
      </c>
      <c r="AH161">
        <v>1</v>
      </c>
    </row>
    <row r="162" spans="1:34">
      <c r="A162">
        <v>2026</v>
      </c>
      <c r="B162" s="1">
        <v>46023</v>
      </c>
      <c r="C162" t="s">
        <v>2657</v>
      </c>
      <c r="D162" t="s">
        <v>3085</v>
      </c>
      <c r="E162" s="43">
        <v>46049.538174594905</v>
      </c>
      <c r="F162" s="1">
        <v>46049</v>
      </c>
      <c r="G162" s="43">
        <v>46052.61062334491</v>
      </c>
      <c r="H162" t="s">
        <v>2701</v>
      </c>
      <c r="I162" t="s">
        <v>2660</v>
      </c>
      <c r="J162" t="s">
        <v>36</v>
      </c>
      <c r="L162" t="s">
        <v>2421</v>
      </c>
      <c r="M162">
        <v>435346364602</v>
      </c>
      <c r="N162" t="s">
        <v>2661</v>
      </c>
      <c r="O162" s="1">
        <v>45349</v>
      </c>
      <c r="T162" t="s">
        <v>2662</v>
      </c>
      <c r="U162" t="s">
        <v>3086</v>
      </c>
      <c r="V162">
        <v>3</v>
      </c>
      <c r="W162" t="s">
        <v>2743</v>
      </c>
      <c r="X162">
        <v>1</v>
      </c>
      <c r="Y162" t="s">
        <v>2931</v>
      </c>
      <c r="AA162">
        <v>435346364602</v>
      </c>
      <c r="AB162" t="s">
        <v>1636</v>
      </c>
      <c r="AC162">
        <v>0</v>
      </c>
      <c r="AD162">
        <v>5</v>
      </c>
      <c r="AE162">
        <v>4353463646025</v>
      </c>
      <c r="AF162" t="s">
        <v>3084</v>
      </c>
      <c r="AG162">
        <v>1</v>
      </c>
      <c r="AH162">
        <v>0</v>
      </c>
    </row>
    <row r="163" spans="1:34">
      <c r="A163">
        <v>2025</v>
      </c>
      <c r="B163" s="1">
        <v>45870</v>
      </c>
      <c r="C163" t="s">
        <v>2657</v>
      </c>
      <c r="D163" t="s">
        <v>3087</v>
      </c>
      <c r="E163" s="43">
        <v>45890.752116875003</v>
      </c>
      <c r="F163" s="1">
        <v>45890</v>
      </c>
      <c r="G163" s="43">
        <v>45936.560629120373</v>
      </c>
      <c r="H163" t="s">
        <v>3088</v>
      </c>
      <c r="I163" t="s">
        <v>2719</v>
      </c>
      <c r="J163" t="s">
        <v>38</v>
      </c>
      <c r="L163" t="s">
        <v>2381</v>
      </c>
      <c r="M163">
        <v>26774818902</v>
      </c>
      <c r="N163" t="s">
        <v>2702</v>
      </c>
      <c r="O163" s="1">
        <v>45661</v>
      </c>
      <c r="T163" t="s">
        <v>2662</v>
      </c>
      <c r="U163" t="s">
        <v>3089</v>
      </c>
      <c r="V163">
        <v>32</v>
      </c>
      <c r="W163" t="s">
        <v>2664</v>
      </c>
      <c r="X163">
        <v>1</v>
      </c>
      <c r="Y163" t="s">
        <v>2695</v>
      </c>
      <c r="AA163">
        <v>26774818902</v>
      </c>
      <c r="AB163" t="s">
        <v>1125</v>
      </c>
      <c r="AC163">
        <v>0</v>
      </c>
      <c r="AD163">
        <v>34</v>
      </c>
      <c r="AE163">
        <v>2677481890234</v>
      </c>
      <c r="AF163" t="s">
        <v>3090</v>
      </c>
      <c r="AG163">
        <v>1</v>
      </c>
      <c r="AH163">
        <v>1</v>
      </c>
    </row>
    <row r="164" spans="1:34">
      <c r="A164">
        <v>2025</v>
      </c>
      <c r="B164" s="1">
        <v>45931</v>
      </c>
      <c r="C164" t="s">
        <v>2657</v>
      </c>
      <c r="D164" t="s">
        <v>3091</v>
      </c>
      <c r="E164" s="43">
        <v>45944.745838587965</v>
      </c>
      <c r="F164" s="1">
        <v>45944</v>
      </c>
      <c r="G164" s="43">
        <v>45946.562568819441</v>
      </c>
      <c r="H164" t="s">
        <v>2659</v>
      </c>
      <c r="I164" t="s">
        <v>2681</v>
      </c>
      <c r="J164" t="s">
        <v>37</v>
      </c>
      <c r="L164" t="s">
        <v>2364</v>
      </c>
      <c r="M164">
        <v>575629095302</v>
      </c>
      <c r="N164" t="s">
        <v>2661</v>
      </c>
      <c r="O164" s="1">
        <v>45294</v>
      </c>
      <c r="T164" t="s">
        <v>2662</v>
      </c>
      <c r="U164" t="s">
        <v>3092</v>
      </c>
      <c r="V164">
        <v>2</v>
      </c>
      <c r="W164" t="s">
        <v>2671</v>
      </c>
      <c r="X164">
        <v>1</v>
      </c>
      <c r="Y164" t="s">
        <v>2672</v>
      </c>
      <c r="AA164">
        <v>625725137302</v>
      </c>
      <c r="AB164" t="s">
        <v>1537</v>
      </c>
      <c r="AC164">
        <v>0</v>
      </c>
      <c r="AD164">
        <v>42</v>
      </c>
      <c r="AE164">
        <v>62572513730242</v>
      </c>
      <c r="AF164" t="s">
        <v>3093</v>
      </c>
      <c r="AG164">
        <v>1</v>
      </c>
      <c r="AH164">
        <v>1</v>
      </c>
    </row>
    <row r="165" spans="1:34">
      <c r="A165">
        <v>2025</v>
      </c>
      <c r="B165" s="1">
        <v>45931</v>
      </c>
      <c r="C165" t="s">
        <v>2657</v>
      </c>
      <c r="D165" t="s">
        <v>3094</v>
      </c>
      <c r="E165" s="43">
        <v>45957.630896030096</v>
      </c>
      <c r="F165" s="1">
        <v>45957</v>
      </c>
      <c r="G165" s="43">
        <v>45966.487442638892</v>
      </c>
      <c r="H165" t="s">
        <v>2659</v>
      </c>
      <c r="I165" t="s">
        <v>2660</v>
      </c>
      <c r="J165" t="s">
        <v>37</v>
      </c>
      <c r="L165" t="s">
        <v>2364</v>
      </c>
      <c r="M165">
        <v>625725137302</v>
      </c>
      <c r="N165" t="s">
        <v>2661</v>
      </c>
      <c r="O165" s="1">
        <v>45294</v>
      </c>
      <c r="T165" t="s">
        <v>2662</v>
      </c>
      <c r="U165" t="s">
        <v>3095</v>
      </c>
      <c r="V165">
        <v>7</v>
      </c>
      <c r="W165" t="s">
        <v>2671</v>
      </c>
      <c r="X165">
        <v>1</v>
      </c>
      <c r="Y165" t="s">
        <v>2779</v>
      </c>
      <c r="AA165">
        <v>625725137302</v>
      </c>
      <c r="AB165" t="s">
        <v>1537</v>
      </c>
      <c r="AC165">
        <v>0</v>
      </c>
      <c r="AD165">
        <v>44</v>
      </c>
      <c r="AE165">
        <v>62572513730244</v>
      </c>
      <c r="AF165" t="s">
        <v>3093</v>
      </c>
      <c r="AG165">
        <v>1</v>
      </c>
      <c r="AH165">
        <v>0</v>
      </c>
    </row>
    <row r="166" spans="1:34">
      <c r="A166">
        <v>2025</v>
      </c>
      <c r="B166" s="1">
        <v>45931</v>
      </c>
      <c r="C166" t="s">
        <v>2657</v>
      </c>
      <c r="D166" t="s">
        <v>3096</v>
      </c>
      <c r="E166" s="43">
        <v>45958.659198333335</v>
      </c>
      <c r="F166" s="1">
        <v>45958</v>
      </c>
      <c r="G166" s="43">
        <v>45974.743182939812</v>
      </c>
      <c r="H166" t="s">
        <v>2659</v>
      </c>
      <c r="I166" t="s">
        <v>2660</v>
      </c>
      <c r="J166" t="s">
        <v>37</v>
      </c>
      <c r="L166" t="s">
        <v>2364</v>
      </c>
      <c r="M166">
        <v>575629095302</v>
      </c>
      <c r="N166" t="s">
        <v>2661</v>
      </c>
      <c r="O166" s="1">
        <v>45294</v>
      </c>
      <c r="T166" t="s">
        <v>2662</v>
      </c>
      <c r="U166" t="s">
        <v>3097</v>
      </c>
      <c r="V166">
        <v>12</v>
      </c>
      <c r="W166" t="s">
        <v>2671</v>
      </c>
      <c r="X166">
        <v>1</v>
      </c>
      <c r="Y166" t="s">
        <v>2672</v>
      </c>
      <c r="AA166">
        <v>625725137302</v>
      </c>
      <c r="AB166" t="s">
        <v>1537</v>
      </c>
      <c r="AC166">
        <v>0</v>
      </c>
      <c r="AD166">
        <v>44</v>
      </c>
      <c r="AE166">
        <v>62572513730244</v>
      </c>
      <c r="AF166" t="s">
        <v>3093</v>
      </c>
      <c r="AG166">
        <v>0</v>
      </c>
      <c r="AH166">
        <v>0</v>
      </c>
    </row>
    <row r="167" spans="1:34">
      <c r="A167">
        <v>2026</v>
      </c>
      <c r="B167" s="1">
        <v>46054</v>
      </c>
      <c r="C167" t="s">
        <v>2657</v>
      </c>
      <c r="D167" t="s">
        <v>3098</v>
      </c>
      <c r="E167" s="43">
        <v>46055.806006180559</v>
      </c>
      <c r="F167" s="1">
        <v>46055</v>
      </c>
      <c r="G167" s="43">
        <v>46064.519607870374</v>
      </c>
      <c r="H167" t="s">
        <v>2725</v>
      </c>
      <c r="I167" t="s">
        <v>2669</v>
      </c>
      <c r="J167" t="s">
        <v>39</v>
      </c>
      <c r="L167" t="s">
        <v>2408</v>
      </c>
      <c r="M167">
        <v>10369153302</v>
      </c>
      <c r="N167" t="s">
        <v>2746</v>
      </c>
      <c r="O167" s="1">
        <v>45751</v>
      </c>
      <c r="T167" t="s">
        <v>2662</v>
      </c>
      <c r="U167" t="s">
        <v>3099</v>
      </c>
      <c r="V167">
        <v>7</v>
      </c>
      <c r="W167" t="s">
        <v>2677</v>
      </c>
      <c r="X167">
        <v>1</v>
      </c>
      <c r="Y167" t="s">
        <v>2760</v>
      </c>
      <c r="Z167" t="s">
        <v>2684</v>
      </c>
      <c r="AA167">
        <v>10369153302</v>
      </c>
      <c r="AB167" t="s">
        <v>329</v>
      </c>
      <c r="AC167">
        <v>0</v>
      </c>
      <c r="AD167">
        <v>6</v>
      </c>
      <c r="AE167">
        <v>103691533026</v>
      </c>
      <c r="AF167" t="s">
        <v>3100</v>
      </c>
      <c r="AG167">
        <v>1</v>
      </c>
      <c r="AH167">
        <v>1</v>
      </c>
    </row>
    <row r="168" spans="1:34">
      <c r="A168">
        <v>2026</v>
      </c>
      <c r="B168" s="1">
        <v>46054</v>
      </c>
      <c r="C168" t="s">
        <v>2657</v>
      </c>
      <c r="D168" t="s">
        <v>3101</v>
      </c>
      <c r="E168" s="43">
        <v>46058.594455937498</v>
      </c>
      <c r="F168" s="1">
        <v>46058</v>
      </c>
      <c r="G168" s="43">
        <v>46062.588350312501</v>
      </c>
      <c r="H168" t="s">
        <v>2725</v>
      </c>
      <c r="I168" t="s">
        <v>2669</v>
      </c>
      <c r="J168" t="s">
        <v>39</v>
      </c>
      <c r="L168" t="s">
        <v>2408</v>
      </c>
      <c r="M168">
        <v>10369153302</v>
      </c>
      <c r="N168" t="s">
        <v>2746</v>
      </c>
      <c r="O168" s="1">
        <v>45751</v>
      </c>
      <c r="T168" t="s">
        <v>2662</v>
      </c>
      <c r="U168" t="s">
        <v>3102</v>
      </c>
      <c r="V168">
        <v>2</v>
      </c>
      <c r="W168" t="s">
        <v>2743</v>
      </c>
      <c r="X168">
        <v>1</v>
      </c>
      <c r="Y168" t="s">
        <v>2717</v>
      </c>
      <c r="AA168">
        <v>10369153302</v>
      </c>
      <c r="AB168" t="s">
        <v>329</v>
      </c>
      <c r="AC168">
        <v>0</v>
      </c>
      <c r="AD168">
        <v>6</v>
      </c>
      <c r="AE168">
        <v>103691533026</v>
      </c>
      <c r="AF168" t="s">
        <v>3100</v>
      </c>
      <c r="AG168">
        <v>0</v>
      </c>
      <c r="AH168">
        <v>0</v>
      </c>
    </row>
    <row r="169" spans="1:34">
      <c r="A169">
        <v>2026</v>
      </c>
      <c r="B169" s="1">
        <v>46054</v>
      </c>
      <c r="C169" t="s">
        <v>2657</v>
      </c>
      <c r="D169" s="44" t="s">
        <v>3103</v>
      </c>
      <c r="E169" s="43">
        <v>46062.673765428241</v>
      </c>
      <c r="F169" s="1">
        <v>46062</v>
      </c>
      <c r="G169" s="43">
        <v>46072.834356828702</v>
      </c>
      <c r="H169" t="s">
        <v>2725</v>
      </c>
      <c r="I169" t="s">
        <v>2681</v>
      </c>
      <c r="J169" t="s">
        <v>39</v>
      </c>
      <c r="L169" t="s">
        <v>2408</v>
      </c>
      <c r="M169">
        <v>10369153302</v>
      </c>
      <c r="N169" t="s">
        <v>2746</v>
      </c>
      <c r="O169" s="1">
        <v>45751</v>
      </c>
      <c r="T169" t="s">
        <v>2662</v>
      </c>
      <c r="U169" t="s">
        <v>3104</v>
      </c>
      <c r="V169">
        <v>8</v>
      </c>
      <c r="W169" t="s">
        <v>2743</v>
      </c>
      <c r="X169">
        <v>1</v>
      </c>
      <c r="Y169" t="s">
        <v>2699</v>
      </c>
      <c r="AA169">
        <v>10369153302</v>
      </c>
      <c r="AB169" t="s">
        <v>329</v>
      </c>
      <c r="AC169">
        <v>0</v>
      </c>
      <c r="AD169">
        <v>7</v>
      </c>
      <c r="AE169">
        <v>103691533027</v>
      </c>
      <c r="AF169" t="s">
        <v>3100</v>
      </c>
      <c r="AG169">
        <v>1</v>
      </c>
      <c r="AH169">
        <v>0</v>
      </c>
    </row>
    <row r="170" spans="1:34">
      <c r="A170">
        <v>2026</v>
      </c>
      <c r="B170" s="1">
        <v>46054</v>
      </c>
      <c r="C170" t="s">
        <v>2657</v>
      </c>
      <c r="D170" t="s">
        <v>3105</v>
      </c>
      <c r="E170" s="43">
        <v>46062.873961655096</v>
      </c>
      <c r="F170" s="1">
        <v>46062</v>
      </c>
      <c r="G170" s="43">
        <v>46064.518416238425</v>
      </c>
      <c r="H170" t="s">
        <v>2725</v>
      </c>
      <c r="I170" t="s">
        <v>2681</v>
      </c>
      <c r="J170" t="s">
        <v>39</v>
      </c>
      <c r="L170" t="s">
        <v>2408</v>
      </c>
      <c r="M170">
        <v>10369153302</v>
      </c>
      <c r="N170" t="s">
        <v>2746</v>
      </c>
      <c r="O170" s="1">
        <v>45751</v>
      </c>
      <c r="T170" t="s">
        <v>2662</v>
      </c>
      <c r="U170" t="s">
        <v>3106</v>
      </c>
      <c r="V170">
        <v>2</v>
      </c>
      <c r="W170" t="s">
        <v>2671</v>
      </c>
      <c r="X170">
        <v>1</v>
      </c>
      <c r="Y170" t="s">
        <v>2688</v>
      </c>
      <c r="AA170">
        <v>10369153302</v>
      </c>
      <c r="AB170" t="s">
        <v>329</v>
      </c>
      <c r="AC170">
        <v>0</v>
      </c>
      <c r="AD170">
        <v>7</v>
      </c>
      <c r="AE170">
        <v>103691533027</v>
      </c>
      <c r="AF170" t="s">
        <v>3100</v>
      </c>
      <c r="AG170">
        <v>0</v>
      </c>
      <c r="AH170">
        <v>0</v>
      </c>
    </row>
    <row r="171" spans="1:34">
      <c r="A171">
        <v>2026</v>
      </c>
      <c r="B171" s="1">
        <v>46054</v>
      </c>
      <c r="C171" t="s">
        <v>2657</v>
      </c>
      <c r="D171" t="s">
        <v>3107</v>
      </c>
      <c r="E171" s="43">
        <v>46078.63948391204</v>
      </c>
      <c r="F171" s="1">
        <v>46078</v>
      </c>
      <c r="G171" s="43">
        <v>46079.831041516205</v>
      </c>
      <c r="H171" t="s">
        <v>2725</v>
      </c>
      <c r="I171" t="s">
        <v>2660</v>
      </c>
      <c r="J171" t="s">
        <v>39</v>
      </c>
      <c r="L171" t="s">
        <v>2408</v>
      </c>
      <c r="M171">
        <v>10369153302</v>
      </c>
      <c r="N171" t="s">
        <v>2746</v>
      </c>
      <c r="O171" s="1">
        <v>45751</v>
      </c>
      <c r="T171" t="s">
        <v>2662</v>
      </c>
      <c r="U171" t="s">
        <v>3108</v>
      </c>
      <c r="V171">
        <v>1</v>
      </c>
      <c r="W171" t="s">
        <v>2671</v>
      </c>
      <c r="X171">
        <v>1</v>
      </c>
      <c r="Y171" t="s">
        <v>2683</v>
      </c>
      <c r="AA171">
        <v>10369153302</v>
      </c>
      <c r="AB171" t="s">
        <v>329</v>
      </c>
      <c r="AC171">
        <v>0</v>
      </c>
      <c r="AD171">
        <v>9</v>
      </c>
      <c r="AE171">
        <v>103691533029</v>
      </c>
      <c r="AF171" t="s">
        <v>3100</v>
      </c>
      <c r="AG171">
        <v>1</v>
      </c>
      <c r="AH171">
        <v>0</v>
      </c>
    </row>
    <row r="172" spans="1:34">
      <c r="A172">
        <v>2026</v>
      </c>
      <c r="B172" s="1">
        <v>46054</v>
      </c>
      <c r="C172" t="s">
        <v>2657</v>
      </c>
      <c r="D172" s="44" t="s">
        <v>3109</v>
      </c>
      <c r="E172" s="43">
        <v>46079.752989201392</v>
      </c>
      <c r="F172" s="1">
        <v>46079</v>
      </c>
      <c r="G172" s="43">
        <v>46083.735603263885</v>
      </c>
      <c r="H172" t="s">
        <v>2725</v>
      </c>
      <c r="I172" t="s">
        <v>2660</v>
      </c>
      <c r="J172" t="s">
        <v>39</v>
      </c>
      <c r="L172" t="s">
        <v>2408</v>
      </c>
      <c r="M172">
        <v>639050652002</v>
      </c>
      <c r="N172" t="s">
        <v>2746</v>
      </c>
      <c r="O172" s="1">
        <v>45751</v>
      </c>
      <c r="T172" t="s">
        <v>2662</v>
      </c>
      <c r="U172" t="s">
        <v>3110</v>
      </c>
      <c r="V172">
        <v>2</v>
      </c>
      <c r="W172" t="s">
        <v>2671</v>
      </c>
      <c r="X172">
        <v>1</v>
      </c>
      <c r="Y172" t="s">
        <v>2683</v>
      </c>
      <c r="AA172">
        <v>10369153302</v>
      </c>
      <c r="AB172" t="s">
        <v>329</v>
      </c>
      <c r="AC172">
        <v>0</v>
      </c>
      <c r="AD172">
        <v>9</v>
      </c>
      <c r="AE172">
        <v>103691533029</v>
      </c>
      <c r="AF172" t="s">
        <v>3100</v>
      </c>
      <c r="AG172">
        <v>0</v>
      </c>
      <c r="AH172">
        <v>0</v>
      </c>
    </row>
    <row r="173" spans="1:34">
      <c r="A173">
        <v>2026</v>
      </c>
      <c r="B173" s="1">
        <v>46082</v>
      </c>
      <c r="C173" t="s">
        <v>2657</v>
      </c>
      <c r="D173" t="s">
        <v>3111</v>
      </c>
      <c r="E173" s="43">
        <v>46083.80745521991</v>
      </c>
      <c r="F173" s="1">
        <v>46083</v>
      </c>
      <c r="G173" s="43">
        <v>46092.782438993054</v>
      </c>
      <c r="H173" t="s">
        <v>2668</v>
      </c>
      <c r="I173" t="s">
        <v>2669</v>
      </c>
      <c r="J173" t="s">
        <v>37</v>
      </c>
      <c r="L173" t="s">
        <v>2344</v>
      </c>
      <c r="M173">
        <v>277711423902</v>
      </c>
      <c r="N173" t="s">
        <v>2661</v>
      </c>
      <c r="O173" s="1">
        <v>45884</v>
      </c>
      <c r="T173" t="s">
        <v>2662</v>
      </c>
      <c r="U173" t="s">
        <v>3112</v>
      </c>
      <c r="V173">
        <v>7</v>
      </c>
      <c r="W173" t="s">
        <v>2671</v>
      </c>
      <c r="X173">
        <v>1</v>
      </c>
      <c r="Y173" t="s">
        <v>2683</v>
      </c>
      <c r="AA173">
        <v>277711423902</v>
      </c>
      <c r="AB173" t="s">
        <v>737</v>
      </c>
      <c r="AC173">
        <v>0</v>
      </c>
      <c r="AD173">
        <v>10</v>
      </c>
      <c r="AE173">
        <v>27771142390210</v>
      </c>
      <c r="AF173" t="s">
        <v>3113</v>
      </c>
      <c r="AG173">
        <v>1</v>
      </c>
      <c r="AH173">
        <v>1</v>
      </c>
    </row>
    <row r="174" spans="1:34">
      <c r="A174">
        <v>2026</v>
      </c>
      <c r="B174" s="1">
        <v>46082</v>
      </c>
      <c r="C174" t="s">
        <v>2657</v>
      </c>
      <c r="D174" t="s">
        <v>3114</v>
      </c>
      <c r="E174" s="43">
        <v>46093.748871909724</v>
      </c>
      <c r="F174" s="1">
        <v>46093</v>
      </c>
      <c r="G174" s="43">
        <v>46094.742155902779</v>
      </c>
      <c r="H174" t="s">
        <v>2668</v>
      </c>
      <c r="I174" t="s">
        <v>2681</v>
      </c>
      <c r="J174" t="s">
        <v>37</v>
      </c>
      <c r="L174" t="s">
        <v>2344</v>
      </c>
      <c r="M174">
        <v>277711423902</v>
      </c>
      <c r="N174" t="s">
        <v>2661</v>
      </c>
      <c r="O174" s="1">
        <v>45884</v>
      </c>
      <c r="T174" t="s">
        <v>2662</v>
      </c>
      <c r="U174" t="s">
        <v>3115</v>
      </c>
      <c r="V174">
        <v>1</v>
      </c>
      <c r="W174" t="s">
        <v>2671</v>
      </c>
      <c r="X174">
        <v>1</v>
      </c>
      <c r="Y174" t="s">
        <v>2672</v>
      </c>
      <c r="AA174">
        <v>277711423902</v>
      </c>
      <c r="AB174" t="s">
        <v>737</v>
      </c>
      <c r="AC174">
        <v>1</v>
      </c>
      <c r="AD174">
        <v>11</v>
      </c>
      <c r="AE174">
        <v>27771142390211</v>
      </c>
      <c r="AF174" t="s">
        <v>3113</v>
      </c>
      <c r="AG174">
        <v>0</v>
      </c>
      <c r="AH174">
        <v>0</v>
      </c>
    </row>
    <row r="175" spans="1:34">
      <c r="A175">
        <v>2026</v>
      </c>
      <c r="B175" s="1">
        <v>46082</v>
      </c>
      <c r="C175" t="s">
        <v>2657</v>
      </c>
      <c r="D175" t="s">
        <v>3116</v>
      </c>
      <c r="E175" s="43">
        <v>46092.79988658565</v>
      </c>
      <c r="F175" s="1">
        <v>46092</v>
      </c>
      <c r="G175" s="43">
        <v>46093.609910497682</v>
      </c>
      <c r="H175" t="s">
        <v>2668</v>
      </c>
      <c r="I175" t="s">
        <v>2681</v>
      </c>
      <c r="J175" t="s">
        <v>37</v>
      </c>
      <c r="L175" t="s">
        <v>2344</v>
      </c>
      <c r="M175">
        <v>374008562902</v>
      </c>
      <c r="N175" t="s">
        <v>2661</v>
      </c>
      <c r="O175" s="1">
        <v>45884</v>
      </c>
      <c r="T175" t="s">
        <v>2662</v>
      </c>
      <c r="U175" t="s">
        <v>3117</v>
      </c>
      <c r="V175">
        <v>1</v>
      </c>
      <c r="W175" t="s">
        <v>2671</v>
      </c>
      <c r="X175">
        <v>1</v>
      </c>
      <c r="Y175" t="s">
        <v>2721</v>
      </c>
      <c r="AA175">
        <v>277711423902</v>
      </c>
      <c r="AB175" t="s">
        <v>737</v>
      </c>
      <c r="AC175">
        <v>0</v>
      </c>
      <c r="AD175">
        <v>11</v>
      </c>
      <c r="AE175">
        <v>27771142390211</v>
      </c>
      <c r="AF175" t="s">
        <v>3113</v>
      </c>
      <c r="AG175">
        <v>1</v>
      </c>
      <c r="AH175">
        <v>0</v>
      </c>
    </row>
    <row r="176" spans="1:34">
      <c r="A176">
        <v>2025</v>
      </c>
      <c r="B176" s="1">
        <v>45962</v>
      </c>
      <c r="C176" t="s">
        <v>2657</v>
      </c>
      <c r="D176" s="44" t="s">
        <v>3118</v>
      </c>
      <c r="E176" s="43">
        <v>45973.728513391201</v>
      </c>
      <c r="F176" s="1">
        <v>45973</v>
      </c>
      <c r="G176" s="43">
        <v>46035.548027152778</v>
      </c>
      <c r="H176" t="s">
        <v>2802</v>
      </c>
      <c r="I176" t="s">
        <v>2681</v>
      </c>
      <c r="J176" t="s">
        <v>36</v>
      </c>
      <c r="L176" t="s">
        <v>2393</v>
      </c>
      <c r="M176">
        <v>128174680202</v>
      </c>
      <c r="N176" t="s">
        <v>2702</v>
      </c>
      <c r="O176" s="1">
        <v>44685</v>
      </c>
      <c r="T176" t="s">
        <v>2662</v>
      </c>
      <c r="U176" t="s">
        <v>3119</v>
      </c>
      <c r="V176">
        <v>44</v>
      </c>
      <c r="W176" t="s">
        <v>2664</v>
      </c>
      <c r="X176">
        <v>1</v>
      </c>
      <c r="Y176" t="s">
        <v>2665</v>
      </c>
      <c r="Z176" t="s">
        <v>2834</v>
      </c>
      <c r="AA176">
        <v>128174680202</v>
      </c>
      <c r="AB176" t="s">
        <v>978</v>
      </c>
      <c r="AC176">
        <v>0</v>
      </c>
      <c r="AD176">
        <v>46</v>
      </c>
      <c r="AE176">
        <v>12817468020246</v>
      </c>
      <c r="AF176" t="s">
        <v>3120</v>
      </c>
      <c r="AG176">
        <v>1</v>
      </c>
      <c r="AH176">
        <v>1</v>
      </c>
    </row>
    <row r="177" spans="1:35">
      <c r="A177">
        <v>2026</v>
      </c>
      <c r="B177" s="1">
        <v>46082</v>
      </c>
      <c r="C177" t="s">
        <v>2657</v>
      </c>
      <c r="D177" t="s">
        <v>3121</v>
      </c>
      <c r="E177" s="43">
        <v>46085.861495462967</v>
      </c>
      <c r="F177" s="1">
        <v>46085</v>
      </c>
      <c r="G177" s="43">
        <v>46090.832000289352</v>
      </c>
      <c r="H177" t="s">
        <v>2668</v>
      </c>
      <c r="I177" t="s">
        <v>2669</v>
      </c>
      <c r="J177" t="s">
        <v>37</v>
      </c>
      <c r="L177" t="s">
        <v>2364</v>
      </c>
      <c r="M177">
        <v>24679550702</v>
      </c>
      <c r="N177" t="s">
        <v>2661</v>
      </c>
      <c r="O177" s="1">
        <v>45994</v>
      </c>
      <c r="T177" t="s">
        <v>2662</v>
      </c>
      <c r="U177" t="s">
        <v>3122</v>
      </c>
      <c r="V177">
        <v>3</v>
      </c>
      <c r="W177" t="s">
        <v>2671</v>
      </c>
      <c r="X177">
        <v>1</v>
      </c>
      <c r="Y177" t="s">
        <v>2683</v>
      </c>
      <c r="AA177">
        <v>24679550702</v>
      </c>
      <c r="AB177" t="s">
        <v>2389</v>
      </c>
      <c r="AC177">
        <v>0</v>
      </c>
      <c r="AD177">
        <v>10</v>
      </c>
      <c r="AE177">
        <v>2467955070210</v>
      </c>
      <c r="AF177" t="s">
        <v>3123</v>
      </c>
      <c r="AG177">
        <v>1</v>
      </c>
      <c r="AH177">
        <v>1</v>
      </c>
    </row>
    <row r="178" spans="1:35">
      <c r="A178">
        <v>2026</v>
      </c>
      <c r="B178" s="1">
        <v>46082</v>
      </c>
      <c r="C178" t="s">
        <v>2657</v>
      </c>
      <c r="D178" t="s">
        <v>3124</v>
      </c>
      <c r="E178" s="43">
        <v>46094.815887349534</v>
      </c>
      <c r="F178" s="1">
        <v>46094</v>
      </c>
      <c r="G178" s="43">
        <v>46094.815887349534</v>
      </c>
      <c r="H178" t="s">
        <v>2668</v>
      </c>
      <c r="I178" t="s">
        <v>2681</v>
      </c>
      <c r="J178" t="s">
        <v>37</v>
      </c>
      <c r="L178" t="s">
        <v>2364</v>
      </c>
      <c r="M178">
        <v>24679550702</v>
      </c>
      <c r="N178" t="s">
        <v>2661</v>
      </c>
      <c r="O178" s="1">
        <v>45994</v>
      </c>
      <c r="T178" t="s">
        <v>2798</v>
      </c>
      <c r="U178" t="s">
        <v>3125</v>
      </c>
      <c r="V178">
        <v>0</v>
      </c>
      <c r="W178" t="s">
        <v>2677</v>
      </c>
      <c r="X178">
        <v>0</v>
      </c>
      <c r="Y178" t="s">
        <v>2807</v>
      </c>
      <c r="AA178">
        <v>24679550702</v>
      </c>
      <c r="AB178" t="s">
        <v>2389</v>
      </c>
      <c r="AC178">
        <v>1</v>
      </c>
      <c r="AD178">
        <v>11</v>
      </c>
      <c r="AE178">
        <v>2467955070211</v>
      </c>
      <c r="AF178" t="s">
        <v>3123</v>
      </c>
      <c r="AG178">
        <v>0</v>
      </c>
      <c r="AH178">
        <v>0</v>
      </c>
      <c r="AI178" t="s">
        <v>3001</v>
      </c>
    </row>
    <row r="179" spans="1:35">
      <c r="A179">
        <v>2026</v>
      </c>
      <c r="B179" s="1">
        <v>46082</v>
      </c>
      <c r="C179" t="s">
        <v>2657</v>
      </c>
      <c r="D179" t="s">
        <v>3126</v>
      </c>
      <c r="E179" s="43">
        <v>46093.749890787039</v>
      </c>
      <c r="F179" s="1">
        <v>46093</v>
      </c>
      <c r="G179" s="43">
        <v>46093.749890787039</v>
      </c>
      <c r="H179" t="s">
        <v>2668</v>
      </c>
      <c r="I179" t="s">
        <v>2681</v>
      </c>
      <c r="J179" t="s">
        <v>37</v>
      </c>
      <c r="L179" t="s">
        <v>2364</v>
      </c>
      <c r="M179">
        <v>24679550702</v>
      </c>
      <c r="N179" t="s">
        <v>2661</v>
      </c>
      <c r="O179" s="1">
        <v>45994</v>
      </c>
      <c r="T179" t="s">
        <v>2798</v>
      </c>
      <c r="U179" t="s">
        <v>3127</v>
      </c>
      <c r="V179">
        <v>1</v>
      </c>
      <c r="W179" t="s">
        <v>2664</v>
      </c>
      <c r="X179">
        <v>0</v>
      </c>
      <c r="Y179" t="s">
        <v>2757</v>
      </c>
      <c r="AA179">
        <v>24679550702</v>
      </c>
      <c r="AB179" t="s">
        <v>2389</v>
      </c>
      <c r="AC179">
        <v>0</v>
      </c>
      <c r="AD179">
        <v>11</v>
      </c>
      <c r="AE179">
        <v>2467955070211</v>
      </c>
      <c r="AF179" t="s">
        <v>3123</v>
      </c>
      <c r="AG179">
        <v>1</v>
      </c>
      <c r="AH179">
        <v>0</v>
      </c>
    </row>
    <row r="180" spans="1:35">
      <c r="A180">
        <v>2025</v>
      </c>
      <c r="B180" s="1">
        <v>45931</v>
      </c>
      <c r="C180" t="s">
        <v>2657</v>
      </c>
      <c r="D180" t="s">
        <v>3128</v>
      </c>
      <c r="E180" s="43">
        <v>45951.75344079861</v>
      </c>
      <c r="F180" s="1">
        <v>45951</v>
      </c>
      <c r="G180" s="43">
        <v>45953.847431550923</v>
      </c>
      <c r="H180" t="s">
        <v>2659</v>
      </c>
      <c r="I180" t="s">
        <v>2719</v>
      </c>
      <c r="J180" t="s">
        <v>38</v>
      </c>
      <c r="L180" t="s">
        <v>2379</v>
      </c>
      <c r="M180">
        <v>827345792502</v>
      </c>
      <c r="N180" t="s">
        <v>2675</v>
      </c>
      <c r="O180" s="1">
        <v>45474</v>
      </c>
      <c r="T180" t="s">
        <v>2662</v>
      </c>
      <c r="U180" t="s">
        <v>3129</v>
      </c>
      <c r="V180">
        <v>2</v>
      </c>
      <c r="W180" t="s">
        <v>2677</v>
      </c>
      <c r="X180">
        <v>1</v>
      </c>
      <c r="Y180" t="s">
        <v>2678</v>
      </c>
      <c r="AA180">
        <v>827345792502</v>
      </c>
      <c r="AB180" t="s">
        <v>2415</v>
      </c>
      <c r="AC180">
        <v>0</v>
      </c>
      <c r="AD180">
        <v>43</v>
      </c>
      <c r="AE180">
        <v>82734579250243</v>
      </c>
      <c r="AF180" t="s">
        <v>3130</v>
      </c>
      <c r="AG180">
        <v>1</v>
      </c>
      <c r="AH180">
        <v>1</v>
      </c>
    </row>
    <row r="181" spans="1:35">
      <c r="A181">
        <v>2025</v>
      </c>
      <c r="B181" s="1">
        <v>45992</v>
      </c>
      <c r="C181" t="s">
        <v>2657</v>
      </c>
      <c r="D181" t="s">
        <v>3131</v>
      </c>
      <c r="E181" s="43">
        <v>46007.604338043981</v>
      </c>
      <c r="F181" s="1">
        <v>46007</v>
      </c>
      <c r="G181" s="43">
        <v>46008.571910092593</v>
      </c>
      <c r="H181" t="s">
        <v>2686</v>
      </c>
      <c r="I181" t="s">
        <v>2719</v>
      </c>
      <c r="J181" t="s">
        <v>38</v>
      </c>
      <c r="L181" t="s">
        <v>2342</v>
      </c>
      <c r="M181">
        <v>256525648402</v>
      </c>
      <c r="N181" t="s">
        <v>2702</v>
      </c>
      <c r="O181" s="1">
        <v>45394</v>
      </c>
      <c r="T181" t="s">
        <v>2662</v>
      </c>
      <c r="U181" t="s">
        <v>3132</v>
      </c>
      <c r="V181">
        <v>1</v>
      </c>
      <c r="W181" t="s">
        <v>2677</v>
      </c>
      <c r="X181">
        <v>1</v>
      </c>
      <c r="Y181" t="s">
        <v>2807</v>
      </c>
      <c r="AA181">
        <v>256525648402</v>
      </c>
      <c r="AB181" t="s">
        <v>2307</v>
      </c>
      <c r="AC181">
        <v>0</v>
      </c>
      <c r="AD181">
        <v>51</v>
      </c>
      <c r="AE181">
        <v>25652564840251</v>
      </c>
      <c r="AF181" t="s">
        <v>3133</v>
      </c>
      <c r="AG181">
        <v>1</v>
      </c>
      <c r="AH181">
        <v>1</v>
      </c>
    </row>
    <row r="182" spans="1:35">
      <c r="A182">
        <v>2025</v>
      </c>
      <c r="B182" s="1">
        <v>45901</v>
      </c>
      <c r="C182" t="s">
        <v>2657</v>
      </c>
      <c r="D182" s="44" t="s">
        <v>3134</v>
      </c>
      <c r="E182" s="43">
        <v>45917.792715960648</v>
      </c>
      <c r="F182" s="1">
        <v>45917</v>
      </c>
      <c r="G182" s="43">
        <v>45922.534727858794</v>
      </c>
      <c r="H182" t="s">
        <v>2734</v>
      </c>
      <c r="I182" t="s">
        <v>2719</v>
      </c>
      <c r="J182" t="s">
        <v>38</v>
      </c>
      <c r="L182" t="s">
        <v>2379</v>
      </c>
      <c r="M182">
        <v>627010921602</v>
      </c>
      <c r="N182" t="s">
        <v>2675</v>
      </c>
      <c r="O182" s="1">
        <v>45503</v>
      </c>
      <c r="T182" t="s">
        <v>2662</v>
      </c>
      <c r="U182" t="s">
        <v>3135</v>
      </c>
      <c r="V182">
        <v>3</v>
      </c>
      <c r="W182" t="s">
        <v>2671</v>
      </c>
      <c r="X182">
        <v>1</v>
      </c>
      <c r="Y182" t="s">
        <v>2692</v>
      </c>
      <c r="Z182" t="s">
        <v>2684</v>
      </c>
      <c r="AA182">
        <v>627010921602</v>
      </c>
      <c r="AB182" t="s">
        <v>1204</v>
      </c>
      <c r="AC182">
        <v>0</v>
      </c>
      <c r="AD182">
        <v>38</v>
      </c>
      <c r="AE182">
        <v>62701092160238</v>
      </c>
      <c r="AF182" t="s">
        <v>3136</v>
      </c>
      <c r="AG182">
        <v>0</v>
      </c>
      <c r="AH182">
        <v>0</v>
      </c>
    </row>
    <row r="183" spans="1:35">
      <c r="A183">
        <v>2025</v>
      </c>
      <c r="B183" s="1">
        <v>45901</v>
      </c>
      <c r="C183" t="s">
        <v>2657</v>
      </c>
      <c r="D183" t="s">
        <v>3137</v>
      </c>
      <c r="E183" s="43">
        <v>45916.754350763891</v>
      </c>
      <c r="F183" s="1">
        <v>45916</v>
      </c>
      <c r="G183" s="43">
        <v>45916.754350763891</v>
      </c>
      <c r="H183" t="s">
        <v>2734</v>
      </c>
      <c r="I183" t="s">
        <v>2719</v>
      </c>
      <c r="J183" t="s">
        <v>38</v>
      </c>
      <c r="L183" t="s">
        <v>2379</v>
      </c>
      <c r="M183">
        <v>627010921602</v>
      </c>
      <c r="N183" t="s">
        <v>2675</v>
      </c>
      <c r="O183" s="1">
        <v>45503</v>
      </c>
      <c r="T183" t="s">
        <v>2662</v>
      </c>
      <c r="U183" t="s">
        <v>3138</v>
      </c>
      <c r="V183">
        <v>0</v>
      </c>
      <c r="W183" t="s">
        <v>2671</v>
      </c>
      <c r="X183">
        <v>1</v>
      </c>
      <c r="Y183" t="s">
        <v>2695</v>
      </c>
      <c r="AA183">
        <v>627010921602</v>
      </c>
      <c r="AB183" t="s">
        <v>1204</v>
      </c>
      <c r="AC183">
        <v>0</v>
      </c>
      <c r="AD183">
        <v>38</v>
      </c>
      <c r="AE183">
        <v>62701092160238</v>
      </c>
      <c r="AF183" t="s">
        <v>3136</v>
      </c>
      <c r="AG183">
        <v>1</v>
      </c>
      <c r="AH183">
        <v>1</v>
      </c>
    </row>
    <row r="184" spans="1:35">
      <c r="A184">
        <v>2026</v>
      </c>
      <c r="B184" s="1">
        <v>46054</v>
      </c>
      <c r="C184" t="s">
        <v>2657</v>
      </c>
      <c r="D184" t="s">
        <v>3139</v>
      </c>
      <c r="E184" s="43">
        <v>46057.639400185188</v>
      </c>
      <c r="F184" s="1">
        <v>46057</v>
      </c>
      <c r="G184" s="43">
        <v>46057.639400185188</v>
      </c>
      <c r="H184" t="s">
        <v>2725</v>
      </c>
      <c r="I184" t="s">
        <v>2669</v>
      </c>
      <c r="J184" t="s">
        <v>37</v>
      </c>
      <c r="L184" t="s">
        <v>2344</v>
      </c>
      <c r="M184">
        <v>662733088802</v>
      </c>
      <c r="N184" t="s">
        <v>2661</v>
      </c>
      <c r="O184" s="1">
        <v>46043</v>
      </c>
      <c r="T184" t="s">
        <v>2662</v>
      </c>
      <c r="U184" t="s">
        <v>3140</v>
      </c>
      <c r="V184">
        <v>0</v>
      </c>
      <c r="W184" t="s">
        <v>2671</v>
      </c>
      <c r="X184">
        <v>1</v>
      </c>
      <c r="Y184" t="s">
        <v>2683</v>
      </c>
      <c r="AA184">
        <v>662733088802</v>
      </c>
      <c r="AB184" t="s">
        <v>2601</v>
      </c>
      <c r="AC184">
        <v>0</v>
      </c>
      <c r="AD184">
        <v>6</v>
      </c>
      <c r="AE184">
        <v>6627330888026</v>
      </c>
      <c r="AF184" t="s">
        <v>3141</v>
      </c>
      <c r="AG184">
        <v>1</v>
      </c>
      <c r="AH184">
        <v>1</v>
      </c>
    </row>
    <row r="185" spans="1:35">
      <c r="A185">
        <v>2026</v>
      </c>
      <c r="B185" s="1">
        <v>46054</v>
      </c>
      <c r="C185" t="s">
        <v>2657</v>
      </c>
      <c r="D185" t="s">
        <v>3142</v>
      </c>
      <c r="E185" s="43">
        <v>46062.817497534721</v>
      </c>
      <c r="F185" s="1">
        <v>46062</v>
      </c>
      <c r="G185" s="43">
        <v>46065.586858750001</v>
      </c>
      <c r="H185" t="s">
        <v>2725</v>
      </c>
      <c r="I185" t="s">
        <v>2681</v>
      </c>
      <c r="J185" t="s">
        <v>37</v>
      </c>
      <c r="L185" t="s">
        <v>2344</v>
      </c>
      <c r="M185">
        <v>662733088802</v>
      </c>
      <c r="N185" t="s">
        <v>2661</v>
      </c>
      <c r="O185" s="1">
        <v>46043</v>
      </c>
      <c r="T185" t="s">
        <v>2662</v>
      </c>
      <c r="U185" t="s">
        <v>3143</v>
      </c>
      <c r="V185">
        <v>3</v>
      </c>
      <c r="W185" t="s">
        <v>2671</v>
      </c>
      <c r="X185">
        <v>1</v>
      </c>
      <c r="Y185" t="s">
        <v>2683</v>
      </c>
      <c r="AA185">
        <v>662733088802</v>
      </c>
      <c r="AB185" t="s">
        <v>2601</v>
      </c>
      <c r="AC185">
        <v>0</v>
      </c>
      <c r="AD185">
        <v>7</v>
      </c>
      <c r="AE185">
        <v>6627330888027</v>
      </c>
      <c r="AF185" t="s">
        <v>3141</v>
      </c>
      <c r="AG185">
        <v>1</v>
      </c>
      <c r="AH185">
        <v>0</v>
      </c>
    </row>
    <row r="186" spans="1:35">
      <c r="A186">
        <v>2026</v>
      </c>
      <c r="B186" s="1">
        <v>46054</v>
      </c>
      <c r="C186" t="s">
        <v>2657</v>
      </c>
      <c r="D186" t="s">
        <v>3144</v>
      </c>
      <c r="E186" s="43">
        <v>46073.601798090276</v>
      </c>
      <c r="F186" s="1">
        <v>46073</v>
      </c>
      <c r="G186" s="43">
        <v>46073.601798090276</v>
      </c>
      <c r="H186" t="s">
        <v>2725</v>
      </c>
      <c r="I186" t="s">
        <v>2719</v>
      </c>
      <c r="J186" t="s">
        <v>37</v>
      </c>
      <c r="L186" t="s">
        <v>2344</v>
      </c>
      <c r="M186">
        <v>662733088802</v>
      </c>
      <c r="N186" t="s">
        <v>2661</v>
      </c>
      <c r="O186" s="1">
        <v>46043</v>
      </c>
      <c r="T186" t="s">
        <v>2662</v>
      </c>
      <c r="U186" t="s">
        <v>3145</v>
      </c>
      <c r="V186">
        <v>0</v>
      </c>
      <c r="W186" t="s">
        <v>2664</v>
      </c>
      <c r="X186">
        <v>1</v>
      </c>
      <c r="Y186" t="s">
        <v>2695</v>
      </c>
      <c r="AA186">
        <v>662733088802</v>
      </c>
      <c r="AB186" t="s">
        <v>2601</v>
      </c>
      <c r="AC186">
        <v>0</v>
      </c>
      <c r="AD186">
        <v>8</v>
      </c>
      <c r="AE186">
        <v>6627330888028</v>
      </c>
      <c r="AF186" t="s">
        <v>3141</v>
      </c>
      <c r="AG186">
        <v>0</v>
      </c>
      <c r="AH186">
        <v>0</v>
      </c>
    </row>
    <row r="187" spans="1:35">
      <c r="A187">
        <v>2026</v>
      </c>
      <c r="B187" s="1">
        <v>46054</v>
      </c>
      <c r="C187" t="s">
        <v>2657</v>
      </c>
      <c r="D187" t="s">
        <v>3146</v>
      </c>
      <c r="E187" s="43">
        <v>46073.600265972222</v>
      </c>
      <c r="F187" s="1">
        <v>46073</v>
      </c>
      <c r="G187" s="43">
        <v>46093.821486539353</v>
      </c>
      <c r="H187" t="s">
        <v>2725</v>
      </c>
      <c r="I187" t="s">
        <v>2719</v>
      </c>
      <c r="J187" t="s">
        <v>37</v>
      </c>
      <c r="L187" t="s">
        <v>2344</v>
      </c>
      <c r="M187">
        <v>662733088802</v>
      </c>
      <c r="N187" t="s">
        <v>2661</v>
      </c>
      <c r="O187" s="1">
        <v>46043</v>
      </c>
      <c r="T187" t="s">
        <v>2662</v>
      </c>
      <c r="U187" t="s">
        <v>3147</v>
      </c>
      <c r="V187">
        <v>14</v>
      </c>
      <c r="W187" t="s">
        <v>2677</v>
      </c>
      <c r="X187">
        <v>1</v>
      </c>
      <c r="Y187" t="s">
        <v>2779</v>
      </c>
      <c r="AA187">
        <v>662733088802</v>
      </c>
      <c r="AB187" t="s">
        <v>2601</v>
      </c>
      <c r="AC187">
        <v>0</v>
      </c>
      <c r="AD187">
        <v>8</v>
      </c>
      <c r="AE187">
        <v>6627330888028</v>
      </c>
      <c r="AF187" t="s">
        <v>3141</v>
      </c>
      <c r="AG187">
        <v>1</v>
      </c>
      <c r="AH187">
        <v>0</v>
      </c>
    </row>
    <row r="188" spans="1:35">
      <c r="A188">
        <v>2026</v>
      </c>
      <c r="B188" s="1">
        <v>46054</v>
      </c>
      <c r="C188" t="s">
        <v>2657</v>
      </c>
      <c r="D188" t="s">
        <v>3148</v>
      </c>
      <c r="E188" s="43">
        <v>46073.601198032404</v>
      </c>
      <c r="F188" s="1">
        <v>46073</v>
      </c>
      <c r="G188" s="43">
        <v>46093.821540046294</v>
      </c>
      <c r="H188" t="s">
        <v>2725</v>
      </c>
      <c r="I188" t="s">
        <v>2719</v>
      </c>
      <c r="J188" t="s">
        <v>37</v>
      </c>
      <c r="L188" t="s">
        <v>2344</v>
      </c>
      <c r="M188">
        <v>662733088802</v>
      </c>
      <c r="N188" t="s">
        <v>2661</v>
      </c>
      <c r="O188" s="1">
        <v>46043</v>
      </c>
      <c r="T188" t="s">
        <v>2662</v>
      </c>
      <c r="U188" t="s">
        <v>3149</v>
      </c>
      <c r="V188">
        <v>14</v>
      </c>
      <c r="W188" t="s">
        <v>2671</v>
      </c>
      <c r="X188">
        <v>1</v>
      </c>
      <c r="Y188" t="s">
        <v>2683</v>
      </c>
      <c r="AA188">
        <v>662733088802</v>
      </c>
      <c r="AB188" t="s">
        <v>2601</v>
      </c>
      <c r="AC188">
        <v>0</v>
      </c>
      <c r="AD188">
        <v>8</v>
      </c>
      <c r="AE188">
        <v>6627330888028</v>
      </c>
      <c r="AF188" t="s">
        <v>3141</v>
      </c>
      <c r="AG188">
        <v>0</v>
      </c>
      <c r="AH188">
        <v>0</v>
      </c>
    </row>
    <row r="189" spans="1:35">
      <c r="A189">
        <v>2026</v>
      </c>
      <c r="B189" s="1">
        <v>46082</v>
      </c>
      <c r="C189" t="s">
        <v>2657</v>
      </c>
      <c r="D189" s="44" t="s">
        <v>3150</v>
      </c>
      <c r="E189" s="43">
        <v>46090.716253125</v>
      </c>
      <c r="F189" s="1">
        <v>46090</v>
      </c>
      <c r="G189" s="43">
        <v>46092.764338553243</v>
      </c>
      <c r="H189" t="s">
        <v>2668</v>
      </c>
      <c r="I189" t="s">
        <v>2681</v>
      </c>
      <c r="J189" t="s">
        <v>36</v>
      </c>
      <c r="L189" t="s">
        <v>2355</v>
      </c>
      <c r="M189">
        <v>133844711902</v>
      </c>
      <c r="N189" t="s">
        <v>2702</v>
      </c>
      <c r="O189" s="1">
        <v>44844</v>
      </c>
      <c r="T189" t="s">
        <v>2662</v>
      </c>
      <c r="U189" t="s">
        <v>3151</v>
      </c>
      <c r="V189">
        <v>2</v>
      </c>
      <c r="W189" t="s">
        <v>2677</v>
      </c>
      <c r="X189">
        <v>1</v>
      </c>
      <c r="Y189" t="s">
        <v>2931</v>
      </c>
      <c r="AA189">
        <v>133844711902</v>
      </c>
      <c r="AB189" t="s">
        <v>2283</v>
      </c>
      <c r="AC189">
        <v>0</v>
      </c>
      <c r="AD189">
        <v>11</v>
      </c>
      <c r="AE189">
        <v>13384471190211</v>
      </c>
      <c r="AF189" t="s">
        <v>3152</v>
      </c>
      <c r="AG189">
        <v>1</v>
      </c>
      <c r="AH189">
        <v>1</v>
      </c>
    </row>
    <row r="190" spans="1:35">
      <c r="A190">
        <v>2026</v>
      </c>
      <c r="B190" s="1">
        <v>46082</v>
      </c>
      <c r="C190" t="s">
        <v>2657</v>
      </c>
      <c r="D190" t="s">
        <v>3153</v>
      </c>
      <c r="E190" s="43">
        <v>46092.765779675923</v>
      </c>
      <c r="F190" s="1">
        <v>46092</v>
      </c>
      <c r="G190" s="43">
        <v>46092.778414201392</v>
      </c>
      <c r="H190" t="s">
        <v>2668</v>
      </c>
      <c r="I190" t="s">
        <v>2681</v>
      </c>
      <c r="J190" t="s">
        <v>36</v>
      </c>
      <c r="L190" t="s">
        <v>2355</v>
      </c>
      <c r="M190">
        <v>133844711902</v>
      </c>
      <c r="N190" t="s">
        <v>2702</v>
      </c>
      <c r="O190" s="1">
        <v>44844</v>
      </c>
      <c r="T190" t="s">
        <v>2798</v>
      </c>
      <c r="U190" t="s">
        <v>3154</v>
      </c>
      <c r="V190">
        <v>2</v>
      </c>
      <c r="W190" t="s">
        <v>2677</v>
      </c>
      <c r="X190">
        <v>0</v>
      </c>
      <c r="Y190" t="s">
        <v>2807</v>
      </c>
      <c r="AA190">
        <v>133844711902</v>
      </c>
      <c r="AB190" t="s">
        <v>2283</v>
      </c>
      <c r="AC190">
        <v>1</v>
      </c>
      <c r="AD190">
        <v>11</v>
      </c>
      <c r="AE190">
        <v>13384471190211</v>
      </c>
      <c r="AF190" t="s">
        <v>3152</v>
      </c>
      <c r="AG190">
        <v>0</v>
      </c>
      <c r="AH190">
        <v>0</v>
      </c>
    </row>
    <row r="191" spans="1:35">
      <c r="A191">
        <v>2025</v>
      </c>
      <c r="B191" s="1">
        <v>45901</v>
      </c>
      <c r="C191" t="s">
        <v>2657</v>
      </c>
      <c r="D191" t="s">
        <v>3155</v>
      </c>
      <c r="E191" s="43">
        <v>45908.581292511575</v>
      </c>
      <c r="F191" s="1">
        <v>45908</v>
      </c>
      <c r="G191" s="43">
        <v>45912.699117430559</v>
      </c>
      <c r="H191" t="s">
        <v>2734</v>
      </c>
      <c r="I191" t="s">
        <v>2681</v>
      </c>
      <c r="J191" t="s">
        <v>38</v>
      </c>
      <c r="L191" t="s">
        <v>2393</v>
      </c>
      <c r="M191">
        <v>803007155202</v>
      </c>
      <c r="N191" t="s">
        <v>2675</v>
      </c>
      <c r="O191" s="1">
        <v>45384</v>
      </c>
      <c r="T191" t="s">
        <v>2662</v>
      </c>
      <c r="U191" t="s">
        <v>3156</v>
      </c>
      <c r="V191">
        <v>4</v>
      </c>
      <c r="W191" t="s">
        <v>2671</v>
      </c>
      <c r="X191">
        <v>1</v>
      </c>
      <c r="Y191" t="s">
        <v>2764</v>
      </c>
      <c r="AA191">
        <v>13351599302</v>
      </c>
      <c r="AB191" t="s">
        <v>1583</v>
      </c>
      <c r="AC191">
        <v>0</v>
      </c>
      <c r="AD191">
        <v>37</v>
      </c>
      <c r="AE191">
        <v>1335159930237</v>
      </c>
      <c r="AF191" t="s">
        <v>3157</v>
      </c>
      <c r="AG191">
        <v>1</v>
      </c>
      <c r="AH191">
        <v>1</v>
      </c>
    </row>
    <row r="192" spans="1:35">
      <c r="A192">
        <v>2025</v>
      </c>
      <c r="B192" s="1">
        <v>45962</v>
      </c>
      <c r="C192" t="s">
        <v>2657</v>
      </c>
      <c r="D192" s="44" t="s">
        <v>3158</v>
      </c>
      <c r="E192" s="43">
        <v>45968.673230868058</v>
      </c>
      <c r="F192" s="1">
        <v>45968</v>
      </c>
      <c r="G192" s="43">
        <v>45968.673230868058</v>
      </c>
      <c r="H192" t="s">
        <v>2802</v>
      </c>
      <c r="I192" t="s">
        <v>2669</v>
      </c>
      <c r="J192" t="s">
        <v>100</v>
      </c>
      <c r="L192" t="s">
        <v>2363</v>
      </c>
      <c r="M192">
        <v>1138178402502</v>
      </c>
      <c r="N192" t="s">
        <v>2702</v>
      </c>
      <c r="O192" s="1">
        <v>45947</v>
      </c>
      <c r="T192" t="s">
        <v>2662</v>
      </c>
      <c r="U192" t="s">
        <v>3159</v>
      </c>
      <c r="V192">
        <v>0</v>
      </c>
      <c r="X192">
        <v>1</v>
      </c>
      <c r="Y192" t="s">
        <v>2760</v>
      </c>
      <c r="AA192">
        <v>29271934502</v>
      </c>
      <c r="AB192" t="s">
        <v>965</v>
      </c>
      <c r="AC192">
        <v>0</v>
      </c>
      <c r="AD192">
        <v>45</v>
      </c>
      <c r="AE192">
        <v>2927193450245</v>
      </c>
      <c r="AF192" t="s">
        <v>3160</v>
      </c>
      <c r="AG192">
        <v>1</v>
      </c>
      <c r="AH192">
        <v>1</v>
      </c>
    </row>
    <row r="193" spans="1:34">
      <c r="A193">
        <v>2025</v>
      </c>
      <c r="B193" s="1">
        <v>45962</v>
      </c>
      <c r="C193" t="s">
        <v>2657</v>
      </c>
      <c r="D193" t="s">
        <v>3161</v>
      </c>
      <c r="E193" s="43">
        <v>45971.901848726855</v>
      </c>
      <c r="F193" s="1">
        <v>45971</v>
      </c>
      <c r="G193" s="43">
        <v>45972.784372303242</v>
      </c>
      <c r="H193" t="s">
        <v>2802</v>
      </c>
      <c r="I193" t="s">
        <v>2681</v>
      </c>
      <c r="J193" t="s">
        <v>100</v>
      </c>
      <c r="L193" t="s">
        <v>2363</v>
      </c>
      <c r="M193">
        <v>1138178402502</v>
      </c>
      <c r="N193" t="s">
        <v>2702</v>
      </c>
      <c r="O193" s="1">
        <v>45947</v>
      </c>
      <c r="T193" t="s">
        <v>2662</v>
      </c>
      <c r="U193" t="s">
        <v>3162</v>
      </c>
      <c r="V193">
        <v>1</v>
      </c>
      <c r="X193">
        <v>1</v>
      </c>
      <c r="Y193" t="s">
        <v>2760</v>
      </c>
      <c r="AA193">
        <v>29271934502</v>
      </c>
      <c r="AB193" t="s">
        <v>965</v>
      </c>
      <c r="AC193">
        <v>0</v>
      </c>
      <c r="AD193">
        <v>46</v>
      </c>
      <c r="AE193">
        <v>2927193450246</v>
      </c>
      <c r="AF193" t="s">
        <v>3160</v>
      </c>
      <c r="AG193">
        <v>1</v>
      </c>
      <c r="AH193">
        <v>0</v>
      </c>
    </row>
    <row r="194" spans="1:34">
      <c r="A194">
        <v>2025</v>
      </c>
      <c r="B194" s="1">
        <v>45962</v>
      </c>
      <c r="C194" t="s">
        <v>2657</v>
      </c>
      <c r="D194" t="s">
        <v>3163</v>
      </c>
      <c r="E194" s="43">
        <v>45973.601210752313</v>
      </c>
      <c r="F194" s="1">
        <v>45973</v>
      </c>
      <c r="G194" s="43">
        <v>45989.730329143516</v>
      </c>
      <c r="H194" t="s">
        <v>2802</v>
      </c>
      <c r="I194" t="s">
        <v>2681</v>
      </c>
      <c r="J194" t="s">
        <v>100</v>
      </c>
      <c r="L194" t="s">
        <v>2363</v>
      </c>
      <c r="M194">
        <v>29271934502</v>
      </c>
      <c r="N194" t="s">
        <v>2702</v>
      </c>
      <c r="O194" s="1">
        <v>45947</v>
      </c>
      <c r="T194" t="s">
        <v>2662</v>
      </c>
      <c r="U194" t="s">
        <v>3164</v>
      </c>
      <c r="V194">
        <v>12</v>
      </c>
      <c r="W194" t="s">
        <v>2743</v>
      </c>
      <c r="X194">
        <v>1</v>
      </c>
      <c r="Y194" t="s">
        <v>2985</v>
      </c>
      <c r="AA194">
        <v>29271934502</v>
      </c>
      <c r="AB194" t="s">
        <v>965</v>
      </c>
      <c r="AC194">
        <v>0</v>
      </c>
      <c r="AD194">
        <v>46</v>
      </c>
      <c r="AE194">
        <v>2927193450246</v>
      </c>
      <c r="AF194" t="s">
        <v>3160</v>
      </c>
      <c r="AG194">
        <v>0</v>
      </c>
      <c r="AH194">
        <v>0</v>
      </c>
    </row>
    <row r="195" spans="1:34">
      <c r="A195">
        <v>2025</v>
      </c>
      <c r="B195" s="1">
        <v>45962</v>
      </c>
      <c r="C195" t="s">
        <v>2657</v>
      </c>
      <c r="D195" t="s">
        <v>3165</v>
      </c>
      <c r="E195" s="43">
        <v>45982.597130462964</v>
      </c>
      <c r="F195" s="1">
        <v>45982</v>
      </c>
      <c r="G195" s="43">
        <v>45989.729700173608</v>
      </c>
      <c r="H195" t="s">
        <v>2802</v>
      </c>
      <c r="I195" t="s">
        <v>2719</v>
      </c>
      <c r="J195" t="s">
        <v>100</v>
      </c>
      <c r="L195" t="s">
        <v>2363</v>
      </c>
      <c r="M195">
        <v>29271934502</v>
      </c>
      <c r="N195" t="s">
        <v>2702</v>
      </c>
      <c r="O195" s="1">
        <v>45947</v>
      </c>
      <c r="T195" t="s">
        <v>2662</v>
      </c>
      <c r="U195" t="s">
        <v>3166</v>
      </c>
      <c r="V195">
        <v>5</v>
      </c>
      <c r="W195" t="s">
        <v>2743</v>
      </c>
      <c r="X195">
        <v>1</v>
      </c>
      <c r="Y195" t="s">
        <v>2721</v>
      </c>
      <c r="AA195">
        <v>29271934502</v>
      </c>
      <c r="AB195" t="s">
        <v>965</v>
      </c>
      <c r="AC195">
        <v>0</v>
      </c>
      <c r="AD195">
        <v>47</v>
      </c>
      <c r="AE195">
        <v>2927193450247</v>
      </c>
      <c r="AF195" t="s">
        <v>3160</v>
      </c>
      <c r="AG195">
        <v>1</v>
      </c>
      <c r="AH195">
        <v>0</v>
      </c>
    </row>
    <row r="196" spans="1:34">
      <c r="A196">
        <v>2025</v>
      </c>
      <c r="B196" s="1">
        <v>45962</v>
      </c>
      <c r="C196" t="s">
        <v>2657</v>
      </c>
      <c r="D196" t="s">
        <v>3167</v>
      </c>
      <c r="E196" s="43">
        <v>45982.598804699075</v>
      </c>
      <c r="F196" s="1">
        <v>45982</v>
      </c>
      <c r="G196" s="43">
        <v>45989.729809710647</v>
      </c>
      <c r="H196" t="s">
        <v>2802</v>
      </c>
      <c r="I196" t="s">
        <v>2719</v>
      </c>
      <c r="J196" t="s">
        <v>100</v>
      </c>
      <c r="L196" t="s">
        <v>2363</v>
      </c>
      <c r="M196">
        <v>29271934502</v>
      </c>
      <c r="N196" t="s">
        <v>2702</v>
      </c>
      <c r="O196" s="1">
        <v>45947</v>
      </c>
      <c r="T196" t="s">
        <v>2662</v>
      </c>
      <c r="U196" t="s">
        <v>3168</v>
      </c>
      <c r="V196">
        <v>5</v>
      </c>
      <c r="W196" t="s">
        <v>2743</v>
      </c>
      <c r="X196">
        <v>1</v>
      </c>
      <c r="Y196" t="s">
        <v>2931</v>
      </c>
      <c r="Z196" t="s">
        <v>2684</v>
      </c>
      <c r="AA196">
        <v>29271934502</v>
      </c>
      <c r="AB196" t="s">
        <v>965</v>
      </c>
      <c r="AC196">
        <v>0</v>
      </c>
      <c r="AD196">
        <v>47</v>
      </c>
      <c r="AE196">
        <v>2927193450247</v>
      </c>
      <c r="AF196" t="s">
        <v>3160</v>
      </c>
      <c r="AG196">
        <v>0</v>
      </c>
      <c r="AH196">
        <v>0</v>
      </c>
    </row>
    <row r="197" spans="1:34">
      <c r="A197">
        <v>2025</v>
      </c>
      <c r="B197" s="1">
        <v>45962</v>
      </c>
      <c r="C197" t="s">
        <v>2657</v>
      </c>
      <c r="D197" t="s">
        <v>3169</v>
      </c>
      <c r="E197" s="43">
        <v>45965.817102326386</v>
      </c>
      <c r="F197" s="1">
        <v>45965</v>
      </c>
      <c r="G197" s="43">
        <v>45972.819229733796</v>
      </c>
      <c r="H197" t="s">
        <v>2802</v>
      </c>
      <c r="I197" t="s">
        <v>2669</v>
      </c>
      <c r="J197" t="s">
        <v>37</v>
      </c>
      <c r="L197" t="s">
        <v>2351</v>
      </c>
      <c r="M197">
        <v>175133439302</v>
      </c>
      <c r="N197" t="s">
        <v>2661</v>
      </c>
      <c r="O197" s="1">
        <v>45320</v>
      </c>
      <c r="T197" t="s">
        <v>2662</v>
      </c>
      <c r="U197" t="s">
        <v>3170</v>
      </c>
      <c r="V197">
        <v>5</v>
      </c>
      <c r="W197" t="s">
        <v>2664</v>
      </c>
      <c r="X197">
        <v>1</v>
      </c>
      <c r="Y197" t="s">
        <v>2744</v>
      </c>
      <c r="AA197">
        <v>175133439302</v>
      </c>
      <c r="AB197" t="s">
        <v>920</v>
      </c>
      <c r="AC197">
        <v>0</v>
      </c>
      <c r="AD197">
        <v>45</v>
      </c>
      <c r="AE197">
        <v>17513343930245</v>
      </c>
      <c r="AF197" t="s">
        <v>3171</v>
      </c>
      <c r="AG197">
        <v>1</v>
      </c>
      <c r="AH197">
        <v>1</v>
      </c>
    </row>
    <row r="198" spans="1:34">
      <c r="A198">
        <v>2025</v>
      </c>
      <c r="B198" s="1">
        <v>45962</v>
      </c>
      <c r="C198" t="s">
        <v>2657</v>
      </c>
      <c r="D198" s="44" t="s">
        <v>3172</v>
      </c>
      <c r="E198" s="43">
        <v>45966.556583425925</v>
      </c>
      <c r="F198" s="1">
        <v>45966</v>
      </c>
      <c r="G198" s="43">
        <v>45979.554729166666</v>
      </c>
      <c r="H198" t="s">
        <v>2802</v>
      </c>
      <c r="I198" t="s">
        <v>2669</v>
      </c>
      <c r="J198" t="s">
        <v>37</v>
      </c>
      <c r="L198" t="s">
        <v>2351</v>
      </c>
      <c r="M198">
        <v>175133439302</v>
      </c>
      <c r="N198" t="s">
        <v>2661</v>
      </c>
      <c r="O198" s="1">
        <v>45320</v>
      </c>
      <c r="T198" t="s">
        <v>2662</v>
      </c>
      <c r="U198" t="s">
        <v>3173</v>
      </c>
      <c r="V198">
        <v>9</v>
      </c>
      <c r="W198" t="s">
        <v>2671</v>
      </c>
      <c r="X198">
        <v>1</v>
      </c>
      <c r="Y198" t="s">
        <v>2757</v>
      </c>
      <c r="AA198">
        <v>175133439302</v>
      </c>
      <c r="AB198" t="s">
        <v>920</v>
      </c>
      <c r="AC198">
        <v>0</v>
      </c>
      <c r="AD198">
        <v>45</v>
      </c>
      <c r="AE198">
        <v>17513343930245</v>
      </c>
      <c r="AF198" t="s">
        <v>3171</v>
      </c>
      <c r="AG198">
        <v>0</v>
      </c>
      <c r="AH198">
        <v>0</v>
      </c>
    </row>
    <row r="199" spans="1:34">
      <c r="A199">
        <v>2025</v>
      </c>
      <c r="B199" s="1">
        <v>45962</v>
      </c>
      <c r="C199" t="s">
        <v>2657</v>
      </c>
      <c r="D199" s="44" t="s">
        <v>3174</v>
      </c>
      <c r="E199" s="43">
        <v>45974.90097959491</v>
      </c>
      <c r="F199" s="1">
        <v>45974</v>
      </c>
      <c r="G199" s="43">
        <v>45974.90097959491</v>
      </c>
      <c r="H199" t="s">
        <v>2802</v>
      </c>
      <c r="I199" t="s">
        <v>2681</v>
      </c>
      <c r="J199" t="s">
        <v>37</v>
      </c>
      <c r="L199" t="s">
        <v>2351</v>
      </c>
      <c r="M199">
        <v>175133439302</v>
      </c>
      <c r="N199" t="s">
        <v>2661</v>
      </c>
      <c r="O199" s="1">
        <v>45320</v>
      </c>
      <c r="T199" t="s">
        <v>2662</v>
      </c>
      <c r="U199" t="s">
        <v>3175</v>
      </c>
      <c r="V199">
        <v>0</v>
      </c>
      <c r="W199" t="s">
        <v>2671</v>
      </c>
      <c r="X199">
        <v>1</v>
      </c>
      <c r="Y199" t="s">
        <v>2695</v>
      </c>
      <c r="AA199">
        <v>175133439302</v>
      </c>
      <c r="AB199" t="s">
        <v>920</v>
      </c>
      <c r="AC199">
        <v>0</v>
      </c>
      <c r="AD199">
        <v>46</v>
      </c>
      <c r="AE199">
        <v>17513343930246</v>
      </c>
      <c r="AF199" t="s">
        <v>3171</v>
      </c>
      <c r="AG199">
        <v>1</v>
      </c>
      <c r="AH199">
        <v>0</v>
      </c>
    </row>
    <row r="200" spans="1:34">
      <c r="A200">
        <v>2025</v>
      </c>
      <c r="B200" s="1">
        <v>45962</v>
      </c>
      <c r="C200" t="s">
        <v>2657</v>
      </c>
      <c r="D200" t="s">
        <v>3176</v>
      </c>
      <c r="E200" s="43">
        <v>45974.902273831016</v>
      </c>
      <c r="F200" s="1">
        <v>45974</v>
      </c>
      <c r="G200" s="43">
        <v>45989.818179918984</v>
      </c>
      <c r="H200" t="s">
        <v>2802</v>
      </c>
      <c r="I200" t="s">
        <v>2681</v>
      </c>
      <c r="J200" t="s">
        <v>37</v>
      </c>
      <c r="L200" t="s">
        <v>2351</v>
      </c>
      <c r="M200">
        <v>175133439302</v>
      </c>
      <c r="N200" t="s">
        <v>2661</v>
      </c>
      <c r="O200" s="1">
        <v>45320</v>
      </c>
      <c r="T200" t="s">
        <v>2662</v>
      </c>
      <c r="U200" t="s">
        <v>3177</v>
      </c>
      <c r="V200">
        <v>11</v>
      </c>
      <c r="W200" t="s">
        <v>2671</v>
      </c>
      <c r="X200">
        <v>1</v>
      </c>
      <c r="Y200" t="s">
        <v>2779</v>
      </c>
      <c r="AA200">
        <v>175133439302</v>
      </c>
      <c r="AB200" t="s">
        <v>920</v>
      </c>
      <c r="AC200">
        <v>0</v>
      </c>
      <c r="AD200">
        <v>46</v>
      </c>
      <c r="AE200">
        <v>17513343930246</v>
      </c>
      <c r="AF200" t="s">
        <v>3171</v>
      </c>
      <c r="AG200">
        <v>0</v>
      </c>
      <c r="AH200">
        <v>0</v>
      </c>
    </row>
    <row r="201" spans="1:34">
      <c r="A201">
        <v>2025</v>
      </c>
      <c r="B201" s="1">
        <v>45962</v>
      </c>
      <c r="C201" t="s">
        <v>2657</v>
      </c>
      <c r="D201" s="44" t="s">
        <v>3178</v>
      </c>
      <c r="E201" s="43">
        <v>45978.783479548612</v>
      </c>
      <c r="F201" s="1">
        <v>45978</v>
      </c>
      <c r="G201" s="43">
        <v>45994.867090231484</v>
      </c>
      <c r="H201" t="s">
        <v>2802</v>
      </c>
      <c r="I201" t="s">
        <v>2719</v>
      </c>
      <c r="J201" t="s">
        <v>37</v>
      </c>
      <c r="L201" t="s">
        <v>2351</v>
      </c>
      <c r="M201">
        <v>366781295402</v>
      </c>
      <c r="N201" t="s">
        <v>2661</v>
      </c>
      <c r="O201" s="1">
        <v>45294</v>
      </c>
      <c r="T201" t="s">
        <v>2662</v>
      </c>
      <c r="U201" t="s">
        <v>3179</v>
      </c>
      <c r="V201">
        <v>12</v>
      </c>
      <c r="W201" t="s">
        <v>2671</v>
      </c>
      <c r="X201">
        <v>1</v>
      </c>
      <c r="Y201" t="s">
        <v>2760</v>
      </c>
      <c r="Z201" t="s">
        <v>2684</v>
      </c>
      <c r="AA201">
        <v>175133439302</v>
      </c>
      <c r="AB201" t="s">
        <v>920</v>
      </c>
      <c r="AC201">
        <v>0</v>
      </c>
      <c r="AD201">
        <v>47</v>
      </c>
      <c r="AE201">
        <v>17513343930247</v>
      </c>
      <c r="AF201" t="s">
        <v>3171</v>
      </c>
      <c r="AG201">
        <v>1</v>
      </c>
      <c r="AH201">
        <v>0</v>
      </c>
    </row>
    <row r="202" spans="1:34">
      <c r="A202">
        <v>2025</v>
      </c>
      <c r="B202" s="1">
        <v>45962</v>
      </c>
      <c r="C202" t="s">
        <v>2657</v>
      </c>
      <c r="D202" t="s">
        <v>3180</v>
      </c>
      <c r="E202" s="43">
        <v>45985.612010555553</v>
      </c>
      <c r="F202" s="1">
        <v>45985</v>
      </c>
      <c r="G202" s="43">
        <v>45988.876511585651</v>
      </c>
      <c r="H202" t="s">
        <v>2802</v>
      </c>
      <c r="I202" t="s">
        <v>2660</v>
      </c>
      <c r="J202" t="s">
        <v>37</v>
      </c>
      <c r="L202" t="s">
        <v>2351</v>
      </c>
      <c r="M202">
        <v>175133439302</v>
      </c>
      <c r="N202" t="s">
        <v>2661</v>
      </c>
      <c r="O202" s="1">
        <v>45320</v>
      </c>
      <c r="T202" t="s">
        <v>2662</v>
      </c>
      <c r="U202" t="s">
        <v>3181</v>
      </c>
      <c r="V202">
        <v>3</v>
      </c>
      <c r="W202" t="s">
        <v>2671</v>
      </c>
      <c r="X202">
        <v>1</v>
      </c>
      <c r="Y202" t="s">
        <v>2760</v>
      </c>
      <c r="AA202">
        <v>175133439302</v>
      </c>
      <c r="AB202" t="s">
        <v>920</v>
      </c>
      <c r="AC202">
        <v>0</v>
      </c>
      <c r="AD202">
        <v>48</v>
      </c>
      <c r="AE202">
        <v>17513343930248</v>
      </c>
      <c r="AF202" t="s">
        <v>3171</v>
      </c>
      <c r="AG202">
        <v>1</v>
      </c>
      <c r="AH202">
        <v>0</v>
      </c>
    </row>
    <row r="203" spans="1:34">
      <c r="A203">
        <v>2025</v>
      </c>
      <c r="B203" s="1">
        <v>45962</v>
      </c>
      <c r="C203" t="s">
        <v>2657</v>
      </c>
      <c r="D203" t="s">
        <v>3182</v>
      </c>
      <c r="E203" s="43">
        <v>45973.809246585646</v>
      </c>
      <c r="F203" s="1">
        <v>45973</v>
      </c>
      <c r="G203" s="43">
        <v>45973.809246585646</v>
      </c>
      <c r="H203" t="s">
        <v>2802</v>
      </c>
      <c r="I203" t="s">
        <v>2681</v>
      </c>
      <c r="J203" t="s">
        <v>38</v>
      </c>
      <c r="L203" t="s">
        <v>2342</v>
      </c>
      <c r="M203">
        <v>21230697402</v>
      </c>
      <c r="N203" t="s">
        <v>2702</v>
      </c>
      <c r="O203" s="1">
        <v>44960</v>
      </c>
      <c r="T203" t="s">
        <v>2662</v>
      </c>
      <c r="U203" t="s">
        <v>3183</v>
      </c>
      <c r="V203">
        <v>0</v>
      </c>
      <c r="W203" t="s">
        <v>2671</v>
      </c>
      <c r="X203">
        <v>1</v>
      </c>
      <c r="Y203" t="s">
        <v>2672</v>
      </c>
      <c r="AA203">
        <v>481703768002</v>
      </c>
      <c r="AB203" t="s">
        <v>258</v>
      </c>
      <c r="AC203">
        <v>0</v>
      </c>
      <c r="AD203">
        <v>46</v>
      </c>
      <c r="AE203">
        <v>48170376800246</v>
      </c>
      <c r="AF203" t="s">
        <v>3184</v>
      </c>
      <c r="AG203">
        <v>1</v>
      </c>
      <c r="AH203">
        <v>1</v>
      </c>
    </row>
    <row r="204" spans="1:34">
      <c r="A204">
        <v>2025</v>
      </c>
      <c r="B204" s="1">
        <v>45931</v>
      </c>
      <c r="C204" t="s">
        <v>2657</v>
      </c>
      <c r="D204" s="44" t="s">
        <v>3185</v>
      </c>
      <c r="E204" s="43">
        <v>45932.532863425928</v>
      </c>
      <c r="F204" s="1">
        <v>45932</v>
      </c>
      <c r="G204" s="43">
        <v>45938.727362962964</v>
      </c>
      <c r="H204" t="s">
        <v>2659</v>
      </c>
      <c r="I204" t="s">
        <v>2669</v>
      </c>
      <c r="J204" t="s">
        <v>2735</v>
      </c>
      <c r="L204" t="s">
        <v>2336</v>
      </c>
      <c r="M204">
        <v>16898656902</v>
      </c>
      <c r="N204" t="s">
        <v>2746</v>
      </c>
      <c r="O204" s="1">
        <v>45661</v>
      </c>
      <c r="T204" t="s">
        <v>2662</v>
      </c>
      <c r="U204" t="s">
        <v>3186</v>
      </c>
      <c r="V204">
        <v>4</v>
      </c>
      <c r="W204" t="s">
        <v>2671</v>
      </c>
      <c r="X204">
        <v>1</v>
      </c>
      <c r="Y204" t="s">
        <v>2692</v>
      </c>
      <c r="Z204" t="s">
        <v>2684</v>
      </c>
      <c r="AA204">
        <v>16898656902</v>
      </c>
      <c r="AB204" t="s">
        <v>1078</v>
      </c>
      <c r="AC204">
        <v>0</v>
      </c>
      <c r="AD204">
        <v>40</v>
      </c>
      <c r="AE204">
        <v>1689865690240</v>
      </c>
      <c r="AF204" t="s">
        <v>3187</v>
      </c>
      <c r="AG204">
        <v>1</v>
      </c>
      <c r="AH204">
        <v>1</v>
      </c>
    </row>
    <row r="205" spans="1:34">
      <c r="A205">
        <v>2025</v>
      </c>
      <c r="B205" s="1">
        <v>45931</v>
      </c>
      <c r="C205" t="s">
        <v>2657</v>
      </c>
      <c r="D205" t="s">
        <v>3188</v>
      </c>
      <c r="E205" s="43">
        <v>45932.541570486108</v>
      </c>
      <c r="F205" s="1">
        <v>45932</v>
      </c>
      <c r="G205" s="43">
        <v>45933.734633749998</v>
      </c>
      <c r="H205" t="s">
        <v>2659</v>
      </c>
      <c r="I205" t="s">
        <v>2669</v>
      </c>
      <c r="J205" t="s">
        <v>2735</v>
      </c>
      <c r="L205" t="s">
        <v>2336</v>
      </c>
      <c r="M205">
        <v>16898656902</v>
      </c>
      <c r="N205" t="s">
        <v>2746</v>
      </c>
      <c r="O205" s="1">
        <v>45661</v>
      </c>
      <c r="T205" t="s">
        <v>2662</v>
      </c>
      <c r="U205" t="s">
        <v>3189</v>
      </c>
      <c r="V205">
        <v>1</v>
      </c>
      <c r="W205" t="s">
        <v>2677</v>
      </c>
      <c r="X205">
        <v>1</v>
      </c>
      <c r="AA205">
        <v>16898656902</v>
      </c>
      <c r="AB205" t="s">
        <v>1078</v>
      </c>
      <c r="AC205">
        <v>0</v>
      </c>
      <c r="AD205">
        <v>40</v>
      </c>
      <c r="AE205">
        <v>1689865690240</v>
      </c>
      <c r="AF205" t="s">
        <v>3187</v>
      </c>
      <c r="AG205">
        <v>0</v>
      </c>
      <c r="AH205">
        <v>0</v>
      </c>
    </row>
    <row r="206" spans="1:34">
      <c r="A206">
        <v>2025</v>
      </c>
      <c r="B206" s="1">
        <v>45931</v>
      </c>
      <c r="C206" t="s">
        <v>2657</v>
      </c>
      <c r="D206" s="44" t="s">
        <v>3190</v>
      </c>
      <c r="E206" s="43">
        <v>45939.535135069447</v>
      </c>
      <c r="F206" s="1">
        <v>45939</v>
      </c>
      <c r="G206" s="43">
        <v>45940.634191076388</v>
      </c>
      <c r="H206" t="s">
        <v>2659</v>
      </c>
      <c r="I206" t="s">
        <v>2681</v>
      </c>
      <c r="J206" t="s">
        <v>2735</v>
      </c>
      <c r="L206" t="s">
        <v>2336</v>
      </c>
      <c r="M206">
        <v>16898656902</v>
      </c>
      <c r="N206" t="s">
        <v>2746</v>
      </c>
      <c r="O206" s="1">
        <v>45661</v>
      </c>
      <c r="T206" t="s">
        <v>2662</v>
      </c>
      <c r="U206" t="s">
        <v>3191</v>
      </c>
      <c r="V206">
        <v>1</v>
      </c>
      <c r="W206" t="s">
        <v>2677</v>
      </c>
      <c r="X206">
        <v>1</v>
      </c>
      <c r="Y206" t="s">
        <v>2772</v>
      </c>
      <c r="Z206" t="s">
        <v>2684</v>
      </c>
      <c r="AA206">
        <v>16898656902</v>
      </c>
      <c r="AB206" t="s">
        <v>1078</v>
      </c>
      <c r="AC206">
        <v>0</v>
      </c>
      <c r="AD206">
        <v>41</v>
      </c>
      <c r="AE206">
        <v>1689865690241</v>
      </c>
      <c r="AF206" t="s">
        <v>3187</v>
      </c>
      <c r="AG206">
        <v>0</v>
      </c>
      <c r="AH206">
        <v>0</v>
      </c>
    </row>
    <row r="207" spans="1:34">
      <c r="A207">
        <v>2025</v>
      </c>
      <c r="B207" s="1">
        <v>45931</v>
      </c>
      <c r="C207" t="s">
        <v>2657</v>
      </c>
      <c r="D207" t="s">
        <v>3192</v>
      </c>
      <c r="E207" s="43">
        <v>45939.50403945602</v>
      </c>
      <c r="F207" s="1">
        <v>45939</v>
      </c>
      <c r="G207" s="43">
        <v>45940.634251990741</v>
      </c>
      <c r="H207" t="s">
        <v>2659</v>
      </c>
      <c r="I207" t="s">
        <v>2681</v>
      </c>
      <c r="J207" t="s">
        <v>2735</v>
      </c>
      <c r="L207" t="s">
        <v>2336</v>
      </c>
      <c r="M207">
        <v>16898656902</v>
      </c>
      <c r="N207" t="s">
        <v>2746</v>
      </c>
      <c r="O207" s="1">
        <v>45661</v>
      </c>
      <c r="T207" t="s">
        <v>2662</v>
      </c>
      <c r="U207" t="s">
        <v>3193</v>
      </c>
      <c r="V207">
        <v>1</v>
      </c>
      <c r="W207" t="s">
        <v>2677</v>
      </c>
      <c r="X207">
        <v>1</v>
      </c>
      <c r="Y207" t="s">
        <v>2807</v>
      </c>
      <c r="AA207">
        <v>16898656902</v>
      </c>
      <c r="AB207" t="s">
        <v>1078</v>
      </c>
      <c r="AC207">
        <v>0</v>
      </c>
      <c r="AD207">
        <v>41</v>
      </c>
      <c r="AE207">
        <v>1689865690241</v>
      </c>
      <c r="AF207" t="s">
        <v>3187</v>
      </c>
      <c r="AG207">
        <v>1</v>
      </c>
      <c r="AH207">
        <v>0</v>
      </c>
    </row>
    <row r="208" spans="1:34">
      <c r="A208">
        <v>2025</v>
      </c>
      <c r="B208" s="1">
        <v>45931</v>
      </c>
      <c r="C208" t="s">
        <v>2657</v>
      </c>
      <c r="D208" t="s">
        <v>3194</v>
      </c>
      <c r="E208" s="43">
        <v>45958.797028043984</v>
      </c>
      <c r="F208" s="1">
        <v>45958</v>
      </c>
      <c r="G208" s="43">
        <v>45960.716918564816</v>
      </c>
      <c r="H208" t="s">
        <v>2659</v>
      </c>
      <c r="I208" t="s">
        <v>2660</v>
      </c>
      <c r="J208" t="s">
        <v>2735</v>
      </c>
      <c r="L208" t="s">
        <v>2336</v>
      </c>
      <c r="M208">
        <v>818862028802</v>
      </c>
      <c r="N208" t="s">
        <v>2702</v>
      </c>
      <c r="O208" s="1">
        <v>45673</v>
      </c>
      <c r="T208" t="s">
        <v>2662</v>
      </c>
      <c r="U208" t="s">
        <v>3195</v>
      </c>
      <c r="V208">
        <v>2</v>
      </c>
      <c r="W208" t="s">
        <v>2664</v>
      </c>
      <c r="X208">
        <v>1</v>
      </c>
      <c r="Y208" t="s">
        <v>2665</v>
      </c>
      <c r="AA208">
        <v>16898656902</v>
      </c>
      <c r="AB208" t="s">
        <v>1078</v>
      </c>
      <c r="AC208">
        <v>0</v>
      </c>
      <c r="AD208">
        <v>44</v>
      </c>
      <c r="AE208">
        <v>1689865690244</v>
      </c>
      <c r="AF208" t="s">
        <v>3187</v>
      </c>
      <c r="AG208">
        <v>1</v>
      </c>
      <c r="AH208">
        <v>0</v>
      </c>
    </row>
    <row r="209" spans="1:34">
      <c r="A209">
        <v>2025</v>
      </c>
      <c r="B209" s="1">
        <v>45839</v>
      </c>
      <c r="C209" t="s">
        <v>2657</v>
      </c>
      <c r="D209" t="s">
        <v>3196</v>
      </c>
      <c r="E209" s="43">
        <v>45862.624882708333</v>
      </c>
      <c r="F209" s="1">
        <v>45862</v>
      </c>
      <c r="G209" s="43">
        <v>45887.79839181713</v>
      </c>
      <c r="H209" t="s">
        <v>2869</v>
      </c>
      <c r="I209" t="s">
        <v>2660</v>
      </c>
      <c r="J209" t="s">
        <v>38</v>
      </c>
      <c r="L209" t="s">
        <v>2352</v>
      </c>
      <c r="M209">
        <v>170004727002</v>
      </c>
      <c r="N209" t="s">
        <v>2702</v>
      </c>
      <c r="O209" s="1">
        <v>44971</v>
      </c>
      <c r="T209" t="s">
        <v>2662</v>
      </c>
      <c r="U209" t="s">
        <v>3197</v>
      </c>
      <c r="V209">
        <v>17</v>
      </c>
      <c r="W209" t="s">
        <v>2677</v>
      </c>
      <c r="X209">
        <v>1</v>
      </c>
      <c r="Y209" t="s">
        <v>2772</v>
      </c>
      <c r="AA209">
        <v>170004727002</v>
      </c>
      <c r="AB209" t="s">
        <v>2180</v>
      </c>
      <c r="AC209">
        <v>0</v>
      </c>
      <c r="AD209">
        <v>30</v>
      </c>
      <c r="AE209">
        <v>17000472700230</v>
      </c>
      <c r="AF209" t="s">
        <v>3198</v>
      </c>
      <c r="AG209">
        <v>1</v>
      </c>
      <c r="AH209">
        <v>1</v>
      </c>
    </row>
    <row r="210" spans="1:34">
      <c r="A210">
        <v>2025</v>
      </c>
      <c r="B210" s="1">
        <v>45839</v>
      </c>
      <c r="C210" t="s">
        <v>2657</v>
      </c>
      <c r="D210" t="s">
        <v>3199</v>
      </c>
      <c r="E210" s="43">
        <v>45862.627199097224</v>
      </c>
      <c r="F210" s="1">
        <v>45862</v>
      </c>
      <c r="G210" s="43">
        <v>45922.542791250002</v>
      </c>
      <c r="H210" t="s">
        <v>2869</v>
      </c>
      <c r="I210" t="s">
        <v>2660</v>
      </c>
      <c r="J210" t="s">
        <v>38</v>
      </c>
      <c r="L210" t="s">
        <v>2352</v>
      </c>
      <c r="M210">
        <v>170004727002</v>
      </c>
      <c r="N210" t="s">
        <v>2702</v>
      </c>
      <c r="O210" s="1">
        <v>44971</v>
      </c>
      <c r="T210" t="s">
        <v>2662</v>
      </c>
      <c r="U210" t="s">
        <v>3200</v>
      </c>
      <c r="V210">
        <v>42</v>
      </c>
      <c r="W210" t="s">
        <v>2743</v>
      </c>
      <c r="X210">
        <v>1</v>
      </c>
      <c r="Y210" t="s">
        <v>2764</v>
      </c>
      <c r="AA210">
        <v>170004727002</v>
      </c>
      <c r="AB210" t="s">
        <v>2180</v>
      </c>
      <c r="AC210">
        <v>0</v>
      </c>
      <c r="AD210">
        <v>30</v>
      </c>
      <c r="AE210">
        <v>17000472700230</v>
      </c>
      <c r="AF210" t="s">
        <v>3198</v>
      </c>
      <c r="AG210">
        <v>0</v>
      </c>
      <c r="AH210">
        <v>0</v>
      </c>
    </row>
    <row r="211" spans="1:34">
      <c r="A211">
        <v>2026</v>
      </c>
      <c r="B211" s="1">
        <v>46082</v>
      </c>
      <c r="C211" t="s">
        <v>2657</v>
      </c>
      <c r="D211" t="s">
        <v>3201</v>
      </c>
      <c r="E211" s="43">
        <v>46087.595416342592</v>
      </c>
      <c r="F211" s="1">
        <v>46087</v>
      </c>
      <c r="G211" s="43">
        <v>46094.805319606479</v>
      </c>
      <c r="H211" t="s">
        <v>2668</v>
      </c>
      <c r="I211" t="s">
        <v>2669</v>
      </c>
      <c r="J211" t="s">
        <v>38</v>
      </c>
      <c r="L211" t="s">
        <v>2342</v>
      </c>
      <c r="M211">
        <v>660765584502</v>
      </c>
      <c r="N211" t="s">
        <v>2702</v>
      </c>
      <c r="O211" s="1">
        <v>45324</v>
      </c>
      <c r="T211" t="s">
        <v>2662</v>
      </c>
      <c r="U211" t="s">
        <v>3202</v>
      </c>
      <c r="V211">
        <v>5</v>
      </c>
      <c r="W211" t="s">
        <v>2677</v>
      </c>
      <c r="X211">
        <v>1</v>
      </c>
      <c r="Y211" t="s">
        <v>2760</v>
      </c>
      <c r="AA211">
        <v>690138852002</v>
      </c>
      <c r="AB211" t="s">
        <v>2341</v>
      </c>
      <c r="AC211">
        <v>0</v>
      </c>
      <c r="AD211">
        <v>10</v>
      </c>
      <c r="AE211">
        <v>69013885200210</v>
      </c>
      <c r="AF211" t="s">
        <v>3203</v>
      </c>
      <c r="AG211">
        <v>1</v>
      </c>
      <c r="AH211">
        <v>1</v>
      </c>
    </row>
    <row r="212" spans="1:34">
      <c r="A212">
        <v>2026</v>
      </c>
      <c r="B212" s="1">
        <v>46082</v>
      </c>
      <c r="C212" t="s">
        <v>2657</v>
      </c>
      <c r="D212" t="s">
        <v>3204</v>
      </c>
      <c r="E212" s="43">
        <v>46087.827103900461</v>
      </c>
      <c r="F212" s="1">
        <v>46087</v>
      </c>
      <c r="G212" s="43">
        <v>46091.710526967596</v>
      </c>
      <c r="H212" t="s">
        <v>2668</v>
      </c>
      <c r="I212" t="s">
        <v>2669</v>
      </c>
      <c r="J212" t="s">
        <v>38</v>
      </c>
      <c r="L212" t="s">
        <v>2342</v>
      </c>
      <c r="M212">
        <v>12218349602</v>
      </c>
      <c r="N212" t="s">
        <v>2702</v>
      </c>
      <c r="O212" s="1">
        <v>45324</v>
      </c>
      <c r="T212" t="s">
        <v>2662</v>
      </c>
      <c r="U212" t="s">
        <v>3205</v>
      </c>
      <c r="V212">
        <v>2</v>
      </c>
      <c r="W212" t="s">
        <v>2677</v>
      </c>
      <c r="X212">
        <v>1</v>
      </c>
      <c r="Y212" t="s">
        <v>2678</v>
      </c>
      <c r="AA212">
        <v>690138852002</v>
      </c>
      <c r="AB212" t="s">
        <v>2341</v>
      </c>
      <c r="AC212">
        <v>0</v>
      </c>
      <c r="AD212">
        <v>10</v>
      </c>
      <c r="AE212">
        <v>69013885200210</v>
      </c>
      <c r="AF212" t="s">
        <v>3203</v>
      </c>
      <c r="AG212">
        <v>0</v>
      </c>
      <c r="AH212">
        <v>0</v>
      </c>
    </row>
    <row r="213" spans="1:34">
      <c r="A213">
        <v>2026</v>
      </c>
      <c r="B213" s="1">
        <v>46082</v>
      </c>
      <c r="C213" t="s">
        <v>2657</v>
      </c>
      <c r="D213" t="s">
        <v>3206</v>
      </c>
      <c r="E213" s="43">
        <v>46090.903281296298</v>
      </c>
      <c r="F213" s="1">
        <v>46090</v>
      </c>
      <c r="G213" s="43">
        <v>46092.793332974536</v>
      </c>
      <c r="H213" t="s">
        <v>2668</v>
      </c>
      <c r="I213" t="s">
        <v>2681</v>
      </c>
      <c r="J213" t="s">
        <v>38</v>
      </c>
      <c r="L213" t="s">
        <v>2342</v>
      </c>
      <c r="M213">
        <v>660765584502</v>
      </c>
      <c r="N213" t="s">
        <v>2702</v>
      </c>
      <c r="O213" s="1">
        <v>45324</v>
      </c>
      <c r="T213" t="s">
        <v>2662</v>
      </c>
      <c r="U213" t="s">
        <v>3207</v>
      </c>
      <c r="V213">
        <v>2</v>
      </c>
      <c r="W213" t="s">
        <v>2677</v>
      </c>
      <c r="X213">
        <v>1</v>
      </c>
      <c r="Y213" t="s">
        <v>2678</v>
      </c>
      <c r="AA213">
        <v>690138852002</v>
      </c>
      <c r="AB213" t="s">
        <v>2341</v>
      </c>
      <c r="AC213">
        <v>0</v>
      </c>
      <c r="AD213">
        <v>11</v>
      </c>
      <c r="AE213">
        <v>69013885200211</v>
      </c>
      <c r="AF213" t="s">
        <v>3203</v>
      </c>
      <c r="AG213">
        <v>1</v>
      </c>
      <c r="AH213">
        <v>0</v>
      </c>
    </row>
    <row r="214" spans="1:34">
      <c r="A214">
        <v>2026</v>
      </c>
      <c r="B214" s="1">
        <v>46082</v>
      </c>
      <c r="C214" t="s">
        <v>2657</v>
      </c>
      <c r="D214" t="s">
        <v>3208</v>
      </c>
      <c r="E214" s="43">
        <v>46094.811098773149</v>
      </c>
      <c r="F214" s="1">
        <v>46094</v>
      </c>
      <c r="G214" s="43">
        <v>46094.811098773149</v>
      </c>
      <c r="H214" t="s">
        <v>2668</v>
      </c>
      <c r="I214" t="s">
        <v>2681</v>
      </c>
      <c r="J214" t="s">
        <v>38</v>
      </c>
      <c r="L214" t="s">
        <v>2342</v>
      </c>
      <c r="M214">
        <v>660765584502</v>
      </c>
      <c r="N214" t="s">
        <v>2702</v>
      </c>
      <c r="O214" s="1">
        <v>45324</v>
      </c>
      <c r="T214" t="s">
        <v>2798</v>
      </c>
      <c r="U214" t="s">
        <v>3209</v>
      </c>
      <c r="V214">
        <v>0</v>
      </c>
      <c r="W214" t="s">
        <v>2677</v>
      </c>
      <c r="X214">
        <v>0</v>
      </c>
      <c r="Y214" t="s">
        <v>2760</v>
      </c>
      <c r="AA214">
        <v>690138852002</v>
      </c>
      <c r="AB214" t="s">
        <v>2341</v>
      </c>
      <c r="AC214">
        <v>1</v>
      </c>
      <c r="AD214">
        <v>11</v>
      </c>
      <c r="AE214">
        <v>69013885200211</v>
      </c>
      <c r="AF214" t="s">
        <v>3203</v>
      </c>
      <c r="AG214">
        <v>0</v>
      </c>
      <c r="AH214">
        <v>0</v>
      </c>
    </row>
    <row r="215" spans="1:34">
      <c r="A215">
        <v>2025</v>
      </c>
      <c r="B215" s="1">
        <v>45901</v>
      </c>
      <c r="C215" t="s">
        <v>2657</v>
      </c>
      <c r="D215" t="s">
        <v>3210</v>
      </c>
      <c r="E215" s="43">
        <v>45915.801483634263</v>
      </c>
      <c r="F215" s="1">
        <v>45915</v>
      </c>
      <c r="G215" s="43">
        <v>45924.761793622682</v>
      </c>
      <c r="H215" t="s">
        <v>2734</v>
      </c>
      <c r="I215" t="s">
        <v>2719</v>
      </c>
      <c r="J215" t="s">
        <v>38</v>
      </c>
      <c r="L215" t="s">
        <v>2381</v>
      </c>
      <c r="M215">
        <v>549848560202</v>
      </c>
      <c r="N215" t="s">
        <v>2702</v>
      </c>
      <c r="O215" s="1">
        <v>45669</v>
      </c>
      <c r="T215" t="s">
        <v>2662</v>
      </c>
      <c r="U215" t="s">
        <v>3211</v>
      </c>
      <c r="V215">
        <v>7</v>
      </c>
      <c r="W215" t="s">
        <v>2677</v>
      </c>
      <c r="X215">
        <v>1</v>
      </c>
      <c r="Y215" t="s">
        <v>2807</v>
      </c>
      <c r="AA215">
        <v>549848560202</v>
      </c>
      <c r="AB215" t="s">
        <v>437</v>
      </c>
      <c r="AC215">
        <v>0</v>
      </c>
      <c r="AD215">
        <v>38</v>
      </c>
      <c r="AE215">
        <v>54984856020238</v>
      </c>
      <c r="AF215" t="s">
        <v>3212</v>
      </c>
      <c r="AG215">
        <v>1</v>
      </c>
      <c r="AH215">
        <v>1</v>
      </c>
    </row>
    <row r="216" spans="1:34">
      <c r="A216">
        <v>2026</v>
      </c>
      <c r="B216" s="1">
        <v>46082</v>
      </c>
      <c r="C216" t="s">
        <v>2657</v>
      </c>
      <c r="D216" t="s">
        <v>3213</v>
      </c>
      <c r="E216" s="43">
        <v>46084.547650555556</v>
      </c>
      <c r="F216" s="1">
        <v>46084</v>
      </c>
      <c r="G216" s="43">
        <v>46085.62821333333</v>
      </c>
      <c r="H216" t="s">
        <v>2668</v>
      </c>
      <c r="I216" t="s">
        <v>2669</v>
      </c>
      <c r="J216" t="s">
        <v>39</v>
      </c>
      <c r="L216" t="s">
        <v>2362</v>
      </c>
      <c r="M216">
        <v>103928980802</v>
      </c>
      <c r="N216" t="s">
        <v>2746</v>
      </c>
      <c r="O216" s="1">
        <v>45661</v>
      </c>
      <c r="T216" t="s">
        <v>2662</v>
      </c>
      <c r="U216" t="s">
        <v>3214</v>
      </c>
      <c r="V216">
        <v>1</v>
      </c>
      <c r="W216" t="s">
        <v>2743</v>
      </c>
      <c r="X216">
        <v>1</v>
      </c>
      <c r="Y216" t="s">
        <v>2931</v>
      </c>
      <c r="AA216">
        <v>103928980802</v>
      </c>
      <c r="AB216" t="s">
        <v>1764</v>
      </c>
      <c r="AC216">
        <v>0</v>
      </c>
      <c r="AD216">
        <v>10</v>
      </c>
      <c r="AE216">
        <v>10392898080210</v>
      </c>
      <c r="AF216" t="s">
        <v>3215</v>
      </c>
      <c r="AG216">
        <v>1</v>
      </c>
      <c r="AH216">
        <v>1</v>
      </c>
    </row>
    <row r="217" spans="1:34">
      <c r="A217">
        <v>2026</v>
      </c>
      <c r="B217" s="1">
        <v>46082</v>
      </c>
      <c r="C217" t="s">
        <v>2657</v>
      </c>
      <c r="D217" t="s">
        <v>3216</v>
      </c>
      <c r="E217" s="43">
        <v>46087.514652199075</v>
      </c>
      <c r="F217" s="1">
        <v>46087</v>
      </c>
      <c r="G217" s="43">
        <v>46090.812015138887</v>
      </c>
      <c r="H217" t="s">
        <v>2668</v>
      </c>
      <c r="I217" t="s">
        <v>2669</v>
      </c>
      <c r="J217" t="s">
        <v>39</v>
      </c>
      <c r="L217" t="s">
        <v>2362</v>
      </c>
      <c r="M217">
        <v>103928980802</v>
      </c>
      <c r="N217" t="s">
        <v>2746</v>
      </c>
      <c r="O217" s="1">
        <v>45661</v>
      </c>
      <c r="T217" t="s">
        <v>2662</v>
      </c>
      <c r="U217" t="s">
        <v>3217</v>
      </c>
      <c r="V217">
        <v>1</v>
      </c>
      <c r="W217" t="s">
        <v>2677</v>
      </c>
      <c r="X217">
        <v>1</v>
      </c>
      <c r="Y217" t="s">
        <v>2807</v>
      </c>
      <c r="AA217">
        <v>103928980802</v>
      </c>
      <c r="AB217" t="s">
        <v>1764</v>
      </c>
      <c r="AC217">
        <v>1</v>
      </c>
      <c r="AD217">
        <v>10</v>
      </c>
      <c r="AE217">
        <v>10392898080210</v>
      </c>
      <c r="AF217" t="s">
        <v>3215</v>
      </c>
      <c r="AG217">
        <v>0</v>
      </c>
      <c r="AH217">
        <v>0</v>
      </c>
    </row>
    <row r="218" spans="1:34">
      <c r="A218">
        <v>2025</v>
      </c>
      <c r="B218" s="1">
        <v>45962</v>
      </c>
      <c r="C218" t="s">
        <v>2657</v>
      </c>
      <c r="D218" t="s">
        <v>3218</v>
      </c>
      <c r="E218" s="43">
        <v>45979.634099907409</v>
      </c>
      <c r="F218" s="1">
        <v>45979</v>
      </c>
      <c r="G218" s="43">
        <v>45982.610840243055</v>
      </c>
      <c r="H218" t="s">
        <v>2802</v>
      </c>
      <c r="I218" t="s">
        <v>2719</v>
      </c>
      <c r="J218" t="s">
        <v>36</v>
      </c>
      <c r="L218" t="s">
        <v>2355</v>
      </c>
      <c r="M218">
        <v>241419664602</v>
      </c>
      <c r="N218" t="s">
        <v>2702</v>
      </c>
      <c r="O218" s="1">
        <v>45503</v>
      </c>
      <c r="T218" t="s">
        <v>2662</v>
      </c>
      <c r="U218" t="s">
        <v>3219</v>
      </c>
      <c r="V218">
        <v>3</v>
      </c>
      <c r="W218" t="s">
        <v>2704</v>
      </c>
      <c r="X218">
        <v>1</v>
      </c>
      <c r="Y218" t="s">
        <v>2721</v>
      </c>
      <c r="AA218">
        <v>241419664602</v>
      </c>
      <c r="AB218" t="s">
        <v>628</v>
      </c>
      <c r="AC218">
        <v>0</v>
      </c>
      <c r="AD218">
        <v>47</v>
      </c>
      <c r="AE218">
        <v>24141966460247</v>
      </c>
      <c r="AF218" t="s">
        <v>3220</v>
      </c>
      <c r="AG218">
        <v>1</v>
      </c>
      <c r="AH218">
        <v>1</v>
      </c>
    </row>
    <row r="219" spans="1:34">
      <c r="A219">
        <v>2025</v>
      </c>
      <c r="B219" s="1">
        <v>45962</v>
      </c>
      <c r="C219" t="s">
        <v>2657</v>
      </c>
      <c r="D219" t="s">
        <v>3221</v>
      </c>
      <c r="E219" s="43">
        <v>45988.909268611111</v>
      </c>
      <c r="F219" s="1">
        <v>45988</v>
      </c>
      <c r="G219" s="43">
        <v>46000.543088020837</v>
      </c>
      <c r="H219" t="s">
        <v>2802</v>
      </c>
      <c r="I219" t="s">
        <v>2660</v>
      </c>
      <c r="J219" t="s">
        <v>36</v>
      </c>
      <c r="L219" t="s">
        <v>2355</v>
      </c>
      <c r="M219">
        <v>241419664602</v>
      </c>
      <c r="N219" t="s">
        <v>2702</v>
      </c>
      <c r="O219" s="1">
        <v>45503</v>
      </c>
      <c r="T219" t="s">
        <v>2662</v>
      </c>
      <c r="U219" t="s">
        <v>3222</v>
      </c>
      <c r="V219">
        <v>8</v>
      </c>
      <c r="W219" t="s">
        <v>2704</v>
      </c>
      <c r="X219">
        <v>1</v>
      </c>
      <c r="Y219" t="s">
        <v>2717</v>
      </c>
      <c r="AA219">
        <v>241419664602</v>
      </c>
      <c r="AB219" t="s">
        <v>628</v>
      </c>
      <c r="AC219">
        <v>0</v>
      </c>
      <c r="AD219">
        <v>48</v>
      </c>
      <c r="AE219">
        <v>24141966460248</v>
      </c>
      <c r="AF219" t="s">
        <v>3220</v>
      </c>
      <c r="AG219">
        <v>1</v>
      </c>
      <c r="AH219">
        <v>0</v>
      </c>
    </row>
    <row r="220" spans="1:34">
      <c r="A220">
        <v>2025</v>
      </c>
      <c r="B220" s="1">
        <v>45962</v>
      </c>
      <c r="C220" t="s">
        <v>2657</v>
      </c>
      <c r="D220" t="s">
        <v>3223</v>
      </c>
      <c r="E220" s="43">
        <v>45989.562320625002</v>
      </c>
      <c r="F220" s="1">
        <v>45989</v>
      </c>
      <c r="G220" s="43">
        <v>46052.59243070602</v>
      </c>
      <c r="H220" t="s">
        <v>2802</v>
      </c>
      <c r="I220" t="s">
        <v>2660</v>
      </c>
      <c r="J220" t="s">
        <v>36</v>
      </c>
      <c r="L220" t="s">
        <v>2355</v>
      </c>
      <c r="M220">
        <v>241419664602</v>
      </c>
      <c r="N220" t="s">
        <v>2702</v>
      </c>
      <c r="O220" s="1">
        <v>45503</v>
      </c>
      <c r="T220" t="s">
        <v>2662</v>
      </c>
      <c r="U220" t="s">
        <v>3224</v>
      </c>
      <c r="V220">
        <v>45</v>
      </c>
      <c r="W220" t="s">
        <v>2664</v>
      </c>
      <c r="X220">
        <v>1</v>
      </c>
      <c r="Y220" t="s">
        <v>2665</v>
      </c>
      <c r="Z220" t="s">
        <v>2834</v>
      </c>
      <c r="AA220">
        <v>241419664602</v>
      </c>
      <c r="AB220" t="s">
        <v>628</v>
      </c>
      <c r="AC220">
        <v>0</v>
      </c>
      <c r="AD220">
        <v>48</v>
      </c>
      <c r="AE220">
        <v>24141966460248</v>
      </c>
      <c r="AF220" t="s">
        <v>3220</v>
      </c>
      <c r="AG220">
        <v>0</v>
      </c>
      <c r="AH220">
        <v>0</v>
      </c>
    </row>
    <row r="221" spans="1:34">
      <c r="A221">
        <v>2025</v>
      </c>
      <c r="B221" s="1">
        <v>45992</v>
      </c>
      <c r="C221" t="s">
        <v>2657</v>
      </c>
      <c r="D221" t="s">
        <v>3225</v>
      </c>
      <c r="E221" s="43">
        <v>45995.719854953706</v>
      </c>
      <c r="F221" s="1">
        <v>45995</v>
      </c>
      <c r="G221" s="43">
        <v>46000.546815023146</v>
      </c>
      <c r="H221" t="s">
        <v>2686</v>
      </c>
      <c r="I221" t="s">
        <v>2669</v>
      </c>
      <c r="J221" t="s">
        <v>36</v>
      </c>
      <c r="L221" t="s">
        <v>2421</v>
      </c>
      <c r="M221">
        <v>60769061802</v>
      </c>
      <c r="N221" t="s">
        <v>2661</v>
      </c>
      <c r="O221" s="1">
        <v>45299</v>
      </c>
      <c r="T221" t="s">
        <v>2662</v>
      </c>
      <c r="U221" t="s">
        <v>3226</v>
      </c>
      <c r="V221">
        <v>3</v>
      </c>
      <c r="X221">
        <v>1</v>
      </c>
      <c r="Y221" t="s">
        <v>2717</v>
      </c>
      <c r="AA221">
        <v>60769061802</v>
      </c>
      <c r="AB221" t="s">
        <v>2141</v>
      </c>
      <c r="AC221">
        <v>0</v>
      </c>
      <c r="AD221">
        <v>49</v>
      </c>
      <c r="AE221">
        <v>6076906180249</v>
      </c>
      <c r="AF221" t="s">
        <v>3227</v>
      </c>
      <c r="AG221">
        <v>1</v>
      </c>
      <c r="AH221">
        <v>1</v>
      </c>
    </row>
    <row r="222" spans="1:34">
      <c r="A222">
        <v>2026</v>
      </c>
      <c r="B222" s="1">
        <v>46082</v>
      </c>
      <c r="C222" t="s">
        <v>2657</v>
      </c>
      <c r="D222" t="s">
        <v>3228</v>
      </c>
      <c r="E222" s="43">
        <v>46084.987316307874</v>
      </c>
      <c r="F222" s="1">
        <v>46084</v>
      </c>
      <c r="G222" s="43">
        <v>46085.556148668984</v>
      </c>
      <c r="H222" t="s">
        <v>2668</v>
      </c>
      <c r="I222" t="s">
        <v>2669</v>
      </c>
      <c r="J222" t="s">
        <v>36</v>
      </c>
      <c r="L222" t="s">
        <v>2421</v>
      </c>
      <c r="M222">
        <v>1044965067502</v>
      </c>
      <c r="N222" t="s">
        <v>2661</v>
      </c>
      <c r="O222" s="1">
        <v>45709</v>
      </c>
      <c r="T222" t="s">
        <v>2662</v>
      </c>
      <c r="U222" t="s">
        <v>3229</v>
      </c>
      <c r="V222">
        <v>1</v>
      </c>
      <c r="W222" t="s">
        <v>2671</v>
      </c>
      <c r="X222">
        <v>1</v>
      </c>
      <c r="Y222" t="s">
        <v>2764</v>
      </c>
      <c r="AA222">
        <v>124090551902</v>
      </c>
      <c r="AB222" t="s">
        <v>1956</v>
      </c>
      <c r="AC222">
        <v>0</v>
      </c>
      <c r="AD222">
        <v>10</v>
      </c>
      <c r="AE222">
        <v>12409055190210</v>
      </c>
      <c r="AF222" t="s">
        <v>3230</v>
      </c>
      <c r="AG222">
        <v>1</v>
      </c>
      <c r="AH222">
        <v>1</v>
      </c>
    </row>
    <row r="223" spans="1:34">
      <c r="A223">
        <v>2026</v>
      </c>
      <c r="B223" s="1">
        <v>46082</v>
      </c>
      <c r="C223" t="s">
        <v>2657</v>
      </c>
      <c r="D223" t="s">
        <v>3231</v>
      </c>
      <c r="E223" s="43">
        <v>46087.494582199077</v>
      </c>
      <c r="F223" s="1">
        <v>46087</v>
      </c>
      <c r="G223" s="43">
        <v>46090.540374108794</v>
      </c>
      <c r="H223" t="s">
        <v>2668</v>
      </c>
      <c r="I223" t="s">
        <v>2669</v>
      </c>
      <c r="J223" t="s">
        <v>36</v>
      </c>
      <c r="L223" t="s">
        <v>2421</v>
      </c>
      <c r="M223">
        <v>1044965067502</v>
      </c>
      <c r="N223" t="s">
        <v>2661</v>
      </c>
      <c r="O223" s="1">
        <v>45709</v>
      </c>
      <c r="T223" t="s">
        <v>2662</v>
      </c>
      <c r="U223" t="s">
        <v>3232</v>
      </c>
      <c r="V223">
        <v>1</v>
      </c>
      <c r="W223" t="s">
        <v>2671</v>
      </c>
      <c r="X223">
        <v>1</v>
      </c>
      <c r="Y223" t="s">
        <v>2727</v>
      </c>
      <c r="AA223">
        <v>124090551902</v>
      </c>
      <c r="AB223" t="s">
        <v>1956</v>
      </c>
      <c r="AC223">
        <v>0</v>
      </c>
      <c r="AD223">
        <v>10</v>
      </c>
      <c r="AE223">
        <v>12409055190210</v>
      </c>
      <c r="AF223" t="s">
        <v>3230</v>
      </c>
      <c r="AG223">
        <v>0</v>
      </c>
      <c r="AH223">
        <v>0</v>
      </c>
    </row>
    <row r="224" spans="1:34">
      <c r="A224">
        <v>2026</v>
      </c>
      <c r="B224" s="1">
        <v>46082</v>
      </c>
      <c r="C224" t="s">
        <v>2657</v>
      </c>
      <c r="D224" t="s">
        <v>3233</v>
      </c>
      <c r="E224" s="43">
        <v>46094.678775312503</v>
      </c>
      <c r="F224" s="1">
        <v>46094</v>
      </c>
      <c r="G224" s="43">
        <v>46094.875762222226</v>
      </c>
      <c r="H224" t="s">
        <v>2668</v>
      </c>
      <c r="I224" t="s">
        <v>2681</v>
      </c>
      <c r="J224" t="s">
        <v>36</v>
      </c>
      <c r="L224" t="s">
        <v>2421</v>
      </c>
      <c r="M224">
        <v>1044965067502</v>
      </c>
      <c r="N224" t="s">
        <v>2661</v>
      </c>
      <c r="O224" s="1">
        <v>45709</v>
      </c>
      <c r="T224" t="s">
        <v>2798</v>
      </c>
      <c r="U224" t="s">
        <v>3234</v>
      </c>
      <c r="V224">
        <v>0</v>
      </c>
      <c r="W224" t="s">
        <v>2671</v>
      </c>
      <c r="X224">
        <v>0</v>
      </c>
      <c r="Y224" t="s">
        <v>2683</v>
      </c>
      <c r="AA224">
        <v>124090551902</v>
      </c>
      <c r="AB224" t="s">
        <v>1956</v>
      </c>
      <c r="AC224">
        <v>1</v>
      </c>
      <c r="AD224">
        <v>11</v>
      </c>
      <c r="AE224">
        <v>12409055190211</v>
      </c>
      <c r="AF224" t="s">
        <v>3230</v>
      </c>
      <c r="AG224">
        <v>1</v>
      </c>
      <c r="AH224">
        <v>0</v>
      </c>
    </row>
    <row r="225" spans="1:34">
      <c r="A225">
        <v>2026</v>
      </c>
      <c r="B225" s="1">
        <v>46023</v>
      </c>
      <c r="C225" t="s">
        <v>2657</v>
      </c>
      <c r="D225" t="s">
        <v>3235</v>
      </c>
      <c r="E225" s="43">
        <v>46027.497414606485</v>
      </c>
      <c r="F225" s="1">
        <v>46027</v>
      </c>
      <c r="G225" s="43">
        <v>46027.497414606485</v>
      </c>
      <c r="H225" t="s">
        <v>2701</v>
      </c>
      <c r="I225" t="s">
        <v>2669</v>
      </c>
      <c r="J225" t="s">
        <v>36</v>
      </c>
      <c r="L225" t="s">
        <v>2361</v>
      </c>
      <c r="M225">
        <v>24928216102</v>
      </c>
      <c r="N225" t="s">
        <v>2675</v>
      </c>
      <c r="O225" s="1">
        <v>45972</v>
      </c>
      <c r="T225" t="s">
        <v>2662</v>
      </c>
      <c r="U225" t="s">
        <v>3236</v>
      </c>
      <c r="V225">
        <v>0</v>
      </c>
      <c r="W225" t="s">
        <v>2677</v>
      </c>
      <c r="X225">
        <v>1</v>
      </c>
      <c r="Y225" t="s">
        <v>3237</v>
      </c>
      <c r="AA225">
        <v>24928216102</v>
      </c>
      <c r="AB225" t="s">
        <v>2360</v>
      </c>
      <c r="AC225">
        <v>0</v>
      </c>
      <c r="AD225">
        <v>2</v>
      </c>
      <c r="AE225">
        <v>249282161022</v>
      </c>
      <c r="AF225" t="s">
        <v>3238</v>
      </c>
      <c r="AG225">
        <v>1</v>
      </c>
      <c r="AH225">
        <v>1</v>
      </c>
    </row>
    <row r="226" spans="1:34">
      <c r="A226">
        <v>2026</v>
      </c>
      <c r="B226" s="1">
        <v>46023</v>
      </c>
      <c r="C226" t="s">
        <v>2657</v>
      </c>
      <c r="D226" t="s">
        <v>3239</v>
      </c>
      <c r="E226" s="43">
        <v>46050.654478344906</v>
      </c>
      <c r="F226" s="1">
        <v>46050</v>
      </c>
      <c r="G226" s="43">
        <v>46050.654478344906</v>
      </c>
      <c r="H226" t="s">
        <v>2701</v>
      </c>
      <c r="I226" t="s">
        <v>2660</v>
      </c>
      <c r="J226" t="s">
        <v>100</v>
      </c>
      <c r="L226" t="s">
        <v>2361</v>
      </c>
      <c r="M226">
        <v>24928216102</v>
      </c>
      <c r="N226" t="s">
        <v>2675</v>
      </c>
      <c r="O226" s="1">
        <v>45972</v>
      </c>
      <c r="T226" t="s">
        <v>2662</v>
      </c>
      <c r="U226" t="s">
        <v>3240</v>
      </c>
      <c r="V226">
        <v>0</v>
      </c>
      <c r="W226" t="s">
        <v>2664</v>
      </c>
      <c r="X226">
        <v>1</v>
      </c>
      <c r="Y226" t="s">
        <v>2695</v>
      </c>
      <c r="AA226">
        <v>24928216102</v>
      </c>
      <c r="AB226" t="s">
        <v>2360</v>
      </c>
      <c r="AC226">
        <v>0</v>
      </c>
      <c r="AD226">
        <v>5</v>
      </c>
      <c r="AE226">
        <v>249282161025</v>
      </c>
      <c r="AF226" t="s">
        <v>3238</v>
      </c>
      <c r="AG226">
        <v>1</v>
      </c>
      <c r="AH226">
        <v>0</v>
      </c>
    </row>
    <row r="227" spans="1:34">
      <c r="A227">
        <v>2026</v>
      </c>
      <c r="B227" s="1">
        <v>46023</v>
      </c>
      <c r="C227" t="s">
        <v>2657</v>
      </c>
      <c r="D227" t="s">
        <v>3241</v>
      </c>
      <c r="E227" s="43">
        <v>46051.632416539353</v>
      </c>
      <c r="F227" s="1">
        <v>46051</v>
      </c>
      <c r="G227" s="43">
        <v>46055.600395254631</v>
      </c>
      <c r="H227" t="s">
        <v>2701</v>
      </c>
      <c r="I227" t="s">
        <v>2697</v>
      </c>
      <c r="J227" t="s">
        <v>100</v>
      </c>
      <c r="L227" t="s">
        <v>2361</v>
      </c>
      <c r="M227">
        <v>24928216102</v>
      </c>
      <c r="N227" t="s">
        <v>2675</v>
      </c>
      <c r="O227" s="1">
        <v>45972</v>
      </c>
      <c r="T227" t="s">
        <v>2662</v>
      </c>
      <c r="U227" t="s">
        <v>3242</v>
      </c>
      <c r="V227">
        <v>2</v>
      </c>
      <c r="W227" t="s">
        <v>2671</v>
      </c>
      <c r="X227">
        <v>1</v>
      </c>
      <c r="Y227" t="s">
        <v>2807</v>
      </c>
      <c r="AA227">
        <v>24928216102</v>
      </c>
      <c r="AB227" t="s">
        <v>2360</v>
      </c>
      <c r="AC227">
        <v>0</v>
      </c>
      <c r="AD227">
        <v>5</v>
      </c>
      <c r="AE227">
        <v>249282161025</v>
      </c>
      <c r="AF227" t="s">
        <v>3238</v>
      </c>
      <c r="AG227">
        <v>0</v>
      </c>
      <c r="AH227">
        <v>0</v>
      </c>
    </row>
    <row r="228" spans="1:34">
      <c r="A228">
        <v>2026</v>
      </c>
      <c r="B228" s="1">
        <v>46082</v>
      </c>
      <c r="C228" t="s">
        <v>2657</v>
      </c>
      <c r="D228" t="s">
        <v>3243</v>
      </c>
      <c r="E228" s="43">
        <v>46084.905417928239</v>
      </c>
      <c r="F228" s="1">
        <v>46084</v>
      </c>
      <c r="G228" s="43">
        <v>46085.549557835649</v>
      </c>
      <c r="H228" t="s">
        <v>2668</v>
      </c>
      <c r="I228" t="s">
        <v>2669</v>
      </c>
      <c r="J228" t="s">
        <v>37</v>
      </c>
      <c r="L228" t="s">
        <v>2351</v>
      </c>
      <c r="M228">
        <v>1045128782102</v>
      </c>
      <c r="N228" t="s">
        <v>2661</v>
      </c>
      <c r="O228" s="1">
        <v>45737</v>
      </c>
      <c r="T228" t="s">
        <v>2662</v>
      </c>
      <c r="U228" t="s">
        <v>3244</v>
      </c>
      <c r="V228">
        <v>1</v>
      </c>
      <c r="W228" t="s">
        <v>2664</v>
      </c>
      <c r="X228">
        <v>1</v>
      </c>
      <c r="Y228" t="s">
        <v>2695</v>
      </c>
      <c r="AA228">
        <v>1045128782102</v>
      </c>
      <c r="AB228" t="s">
        <v>474</v>
      </c>
      <c r="AC228">
        <v>1</v>
      </c>
      <c r="AD228">
        <v>10</v>
      </c>
      <c r="AE228">
        <v>104512878210210</v>
      </c>
      <c r="AF228" t="s">
        <v>3245</v>
      </c>
      <c r="AG228">
        <v>1</v>
      </c>
      <c r="AH228">
        <v>1</v>
      </c>
    </row>
    <row r="229" spans="1:34">
      <c r="A229">
        <v>2025</v>
      </c>
      <c r="B229" s="1">
        <v>45931</v>
      </c>
      <c r="C229" t="s">
        <v>2657</v>
      </c>
      <c r="D229" t="s">
        <v>3246</v>
      </c>
      <c r="E229" s="43">
        <v>45954.657942129626</v>
      </c>
      <c r="F229" s="1">
        <v>45954</v>
      </c>
      <c r="G229" s="43">
        <v>45966.626925983794</v>
      </c>
      <c r="H229" t="s">
        <v>2659</v>
      </c>
      <c r="I229" t="s">
        <v>2660</v>
      </c>
      <c r="J229" t="s">
        <v>100</v>
      </c>
      <c r="L229" t="s">
        <v>2353</v>
      </c>
      <c r="M229">
        <v>355214089002</v>
      </c>
      <c r="N229" t="s">
        <v>2675</v>
      </c>
      <c r="O229" s="1">
        <v>45661</v>
      </c>
      <c r="T229" t="s">
        <v>2662</v>
      </c>
      <c r="U229" t="s">
        <v>3247</v>
      </c>
      <c r="V229">
        <v>8</v>
      </c>
      <c r="W229" t="s">
        <v>2743</v>
      </c>
      <c r="X229">
        <v>1</v>
      </c>
      <c r="Y229" t="s">
        <v>2721</v>
      </c>
      <c r="Z229" t="s">
        <v>2684</v>
      </c>
      <c r="AA229">
        <v>355214089002</v>
      </c>
      <c r="AB229" t="s">
        <v>101</v>
      </c>
      <c r="AC229">
        <v>0</v>
      </c>
      <c r="AD229">
        <v>43</v>
      </c>
      <c r="AE229">
        <v>35521408900243</v>
      </c>
      <c r="AF229" t="s">
        <v>3248</v>
      </c>
      <c r="AG229">
        <v>1</v>
      </c>
      <c r="AH229">
        <v>1</v>
      </c>
    </row>
    <row r="230" spans="1:34">
      <c r="A230">
        <v>2025</v>
      </c>
      <c r="B230" s="1">
        <v>45931</v>
      </c>
      <c r="C230" t="s">
        <v>2657</v>
      </c>
      <c r="D230" t="s">
        <v>3249</v>
      </c>
      <c r="E230" s="43">
        <v>45958.737283136572</v>
      </c>
      <c r="F230" s="1">
        <v>45958</v>
      </c>
      <c r="G230" s="43">
        <v>45958.737283136572</v>
      </c>
      <c r="H230" t="s">
        <v>2659</v>
      </c>
      <c r="I230" t="s">
        <v>2660</v>
      </c>
      <c r="J230" t="s">
        <v>100</v>
      </c>
      <c r="L230" t="s">
        <v>2353</v>
      </c>
      <c r="M230">
        <v>1095970973902</v>
      </c>
      <c r="N230" t="s">
        <v>2661</v>
      </c>
      <c r="O230" s="1">
        <v>45817</v>
      </c>
      <c r="T230" t="s">
        <v>2662</v>
      </c>
      <c r="U230" t="s">
        <v>3250</v>
      </c>
      <c r="V230">
        <v>0</v>
      </c>
      <c r="W230" t="s">
        <v>2743</v>
      </c>
      <c r="X230">
        <v>1</v>
      </c>
      <c r="Y230" t="s">
        <v>2721</v>
      </c>
      <c r="AA230">
        <v>355214089002</v>
      </c>
      <c r="AB230" t="s">
        <v>101</v>
      </c>
      <c r="AC230">
        <v>0</v>
      </c>
      <c r="AD230">
        <v>44</v>
      </c>
      <c r="AE230">
        <v>35521408900244</v>
      </c>
      <c r="AF230" t="s">
        <v>3248</v>
      </c>
      <c r="AG230">
        <v>1</v>
      </c>
      <c r="AH230">
        <v>0</v>
      </c>
    </row>
    <row r="231" spans="1:34">
      <c r="A231">
        <v>2025</v>
      </c>
      <c r="B231" s="1">
        <v>45931</v>
      </c>
      <c r="C231" t="s">
        <v>2657</v>
      </c>
      <c r="D231" t="s">
        <v>3251</v>
      </c>
      <c r="E231" s="43">
        <v>45959.635083796296</v>
      </c>
      <c r="F231" s="1">
        <v>45959</v>
      </c>
      <c r="G231" s="43">
        <v>45959.635083796296</v>
      </c>
      <c r="H231" t="s">
        <v>2659</v>
      </c>
      <c r="I231" t="s">
        <v>2697</v>
      </c>
      <c r="J231" t="s">
        <v>100</v>
      </c>
      <c r="L231" t="s">
        <v>2353</v>
      </c>
      <c r="M231">
        <v>1095970973902</v>
      </c>
      <c r="N231" t="s">
        <v>2661</v>
      </c>
      <c r="O231" s="1">
        <v>45817</v>
      </c>
      <c r="T231" t="s">
        <v>2662</v>
      </c>
      <c r="U231" t="s">
        <v>3252</v>
      </c>
      <c r="V231">
        <v>0</v>
      </c>
      <c r="W231" t="s">
        <v>2671</v>
      </c>
      <c r="X231">
        <v>1</v>
      </c>
      <c r="Y231" t="s">
        <v>2807</v>
      </c>
      <c r="AA231">
        <v>355214089002</v>
      </c>
      <c r="AB231" t="s">
        <v>101</v>
      </c>
      <c r="AC231">
        <v>0</v>
      </c>
      <c r="AD231">
        <v>44</v>
      </c>
      <c r="AE231">
        <v>35521408900244</v>
      </c>
      <c r="AF231" t="s">
        <v>3248</v>
      </c>
      <c r="AG231">
        <v>0</v>
      </c>
      <c r="AH231">
        <v>0</v>
      </c>
    </row>
    <row r="232" spans="1:34">
      <c r="A232">
        <v>2026</v>
      </c>
      <c r="B232" s="1">
        <v>46023</v>
      </c>
      <c r="C232" t="s">
        <v>2657</v>
      </c>
      <c r="D232" s="44" t="s">
        <v>3253</v>
      </c>
      <c r="E232" s="43">
        <v>46035.77212559028</v>
      </c>
      <c r="F232" s="1">
        <v>46035</v>
      </c>
      <c r="G232" s="43">
        <v>46048.509297708333</v>
      </c>
      <c r="H232" t="s">
        <v>2701</v>
      </c>
      <c r="I232" t="s">
        <v>2681</v>
      </c>
      <c r="J232" t="s">
        <v>36</v>
      </c>
      <c r="L232" t="s">
        <v>2355</v>
      </c>
      <c r="M232">
        <v>1026263719202</v>
      </c>
      <c r="N232" t="s">
        <v>2661</v>
      </c>
      <c r="O232" s="1">
        <v>45730</v>
      </c>
      <c r="T232" t="s">
        <v>2662</v>
      </c>
      <c r="U232" t="s">
        <v>3254</v>
      </c>
      <c r="V232">
        <v>9</v>
      </c>
      <c r="X232">
        <v>1</v>
      </c>
      <c r="Y232" t="s">
        <v>2688</v>
      </c>
      <c r="AA232">
        <v>1026263719202</v>
      </c>
      <c r="AB232" t="s">
        <v>616</v>
      </c>
      <c r="AC232">
        <v>0</v>
      </c>
      <c r="AD232">
        <v>3</v>
      </c>
      <c r="AE232">
        <v>10262637192023</v>
      </c>
      <c r="AF232" t="s">
        <v>3255</v>
      </c>
      <c r="AG232">
        <v>1</v>
      </c>
      <c r="AH232">
        <v>1</v>
      </c>
    </row>
    <row r="233" spans="1:34">
      <c r="A233">
        <v>2026</v>
      </c>
      <c r="B233" s="1">
        <v>46023</v>
      </c>
      <c r="C233" t="s">
        <v>2657</v>
      </c>
      <c r="D233" t="s">
        <v>3256</v>
      </c>
      <c r="E233" s="43">
        <v>46044.871967187501</v>
      </c>
      <c r="F233" s="1">
        <v>46044</v>
      </c>
      <c r="G233" s="43">
        <v>46057.726694826386</v>
      </c>
      <c r="H233" t="s">
        <v>2701</v>
      </c>
      <c r="I233" t="s">
        <v>2660</v>
      </c>
      <c r="J233" t="s">
        <v>36</v>
      </c>
      <c r="L233" t="s">
        <v>2355</v>
      </c>
      <c r="M233">
        <v>1026263719202</v>
      </c>
      <c r="N233" t="s">
        <v>2661</v>
      </c>
      <c r="O233" s="1">
        <v>45730</v>
      </c>
      <c r="T233" t="s">
        <v>2662</v>
      </c>
      <c r="U233" t="s">
        <v>3257</v>
      </c>
      <c r="V233">
        <v>9</v>
      </c>
      <c r="X233">
        <v>1</v>
      </c>
      <c r="Y233" t="s">
        <v>2721</v>
      </c>
      <c r="AA233">
        <v>1026263719202</v>
      </c>
      <c r="AB233" t="s">
        <v>616</v>
      </c>
      <c r="AC233">
        <v>0</v>
      </c>
      <c r="AD233">
        <v>4</v>
      </c>
      <c r="AE233">
        <v>10262637192024</v>
      </c>
      <c r="AF233" t="s">
        <v>3255</v>
      </c>
      <c r="AG233">
        <v>1</v>
      </c>
      <c r="AH233">
        <v>0</v>
      </c>
    </row>
    <row r="234" spans="1:34">
      <c r="A234">
        <v>2025</v>
      </c>
      <c r="B234" s="1">
        <v>45870</v>
      </c>
      <c r="C234" t="s">
        <v>2657</v>
      </c>
      <c r="D234" t="s">
        <v>3258</v>
      </c>
      <c r="E234" s="43">
        <v>45887.585924432868</v>
      </c>
      <c r="F234" s="1">
        <v>45887</v>
      </c>
      <c r="G234" s="43">
        <v>45894.654827060185</v>
      </c>
      <c r="H234" t="s">
        <v>3088</v>
      </c>
      <c r="I234" t="s">
        <v>2719</v>
      </c>
      <c r="J234" t="s">
        <v>2735</v>
      </c>
      <c r="L234" t="s">
        <v>2336</v>
      </c>
      <c r="M234">
        <v>16898656902</v>
      </c>
      <c r="N234" t="s">
        <v>2746</v>
      </c>
      <c r="O234" s="1">
        <v>45661</v>
      </c>
      <c r="T234" t="s">
        <v>2662</v>
      </c>
      <c r="U234" t="s">
        <v>3259</v>
      </c>
      <c r="V234">
        <v>5</v>
      </c>
      <c r="W234" t="s">
        <v>2985</v>
      </c>
      <c r="X234">
        <v>1</v>
      </c>
      <c r="Y234" t="s">
        <v>2695</v>
      </c>
      <c r="Z234" t="s">
        <v>2684</v>
      </c>
      <c r="AA234">
        <v>16898656902</v>
      </c>
      <c r="AB234" t="s">
        <v>1078</v>
      </c>
      <c r="AC234">
        <v>0</v>
      </c>
      <c r="AD234">
        <v>34</v>
      </c>
      <c r="AE234">
        <v>1689865690234</v>
      </c>
      <c r="AF234" t="s">
        <v>3260</v>
      </c>
      <c r="AG234">
        <v>1</v>
      </c>
      <c r="AH234">
        <v>1</v>
      </c>
    </row>
    <row r="235" spans="1:34">
      <c r="A235">
        <v>2025</v>
      </c>
      <c r="B235" s="1">
        <v>45870</v>
      </c>
      <c r="C235" t="s">
        <v>2657</v>
      </c>
      <c r="D235" t="s">
        <v>3261</v>
      </c>
      <c r="E235" s="43">
        <v>45888.586703252317</v>
      </c>
      <c r="F235" s="1">
        <v>45888</v>
      </c>
      <c r="G235" s="43">
        <v>45894.654518784722</v>
      </c>
      <c r="H235" t="s">
        <v>3088</v>
      </c>
      <c r="I235" t="s">
        <v>2719</v>
      </c>
      <c r="J235" t="s">
        <v>2735</v>
      </c>
      <c r="L235" t="s">
        <v>2336</v>
      </c>
      <c r="M235">
        <v>16898656902</v>
      </c>
      <c r="N235" t="s">
        <v>2746</v>
      </c>
      <c r="O235" s="1">
        <v>45661</v>
      </c>
      <c r="T235" t="s">
        <v>2662</v>
      </c>
      <c r="U235" t="s">
        <v>3262</v>
      </c>
      <c r="V235">
        <v>4</v>
      </c>
      <c r="W235" t="s">
        <v>2677</v>
      </c>
      <c r="X235">
        <v>1</v>
      </c>
      <c r="Z235" t="s">
        <v>2684</v>
      </c>
      <c r="AA235">
        <v>16898656902</v>
      </c>
      <c r="AB235" t="s">
        <v>1078</v>
      </c>
      <c r="AC235">
        <v>0</v>
      </c>
      <c r="AD235">
        <v>34</v>
      </c>
      <c r="AE235">
        <v>1689865690234</v>
      </c>
      <c r="AF235" t="s">
        <v>3260</v>
      </c>
      <c r="AG235">
        <v>0</v>
      </c>
      <c r="AH235">
        <v>0</v>
      </c>
    </row>
    <row r="236" spans="1:34">
      <c r="A236">
        <v>2025</v>
      </c>
      <c r="B236" s="1">
        <v>45870</v>
      </c>
      <c r="C236" t="s">
        <v>2657</v>
      </c>
      <c r="D236" t="s">
        <v>3263</v>
      </c>
      <c r="E236" s="43">
        <v>45897.698684571762</v>
      </c>
      <c r="F236" s="1">
        <v>45897</v>
      </c>
      <c r="G236" s="43">
        <v>45945.607694085651</v>
      </c>
      <c r="H236" t="s">
        <v>3088</v>
      </c>
      <c r="I236" t="s">
        <v>2660</v>
      </c>
      <c r="J236" t="s">
        <v>2735</v>
      </c>
      <c r="L236" t="s">
        <v>2336</v>
      </c>
      <c r="M236">
        <v>16898656902</v>
      </c>
      <c r="N236" t="s">
        <v>2746</v>
      </c>
      <c r="O236" s="1">
        <v>45661</v>
      </c>
      <c r="T236" t="s">
        <v>2662</v>
      </c>
      <c r="U236" t="s">
        <v>3264</v>
      </c>
      <c r="V236">
        <v>34</v>
      </c>
      <c r="W236" t="s">
        <v>2671</v>
      </c>
      <c r="X236">
        <v>1</v>
      </c>
      <c r="Y236" t="s">
        <v>2692</v>
      </c>
      <c r="Z236" t="s">
        <v>2684</v>
      </c>
      <c r="AA236">
        <v>16898656902</v>
      </c>
      <c r="AB236" t="s">
        <v>1078</v>
      </c>
      <c r="AC236">
        <v>0</v>
      </c>
      <c r="AD236">
        <v>35</v>
      </c>
      <c r="AE236">
        <v>1689865690235</v>
      </c>
      <c r="AF236" t="s">
        <v>3260</v>
      </c>
      <c r="AG236">
        <v>1</v>
      </c>
      <c r="AH236">
        <v>0</v>
      </c>
    </row>
    <row r="237" spans="1:34">
      <c r="A237">
        <v>2025</v>
      </c>
      <c r="B237" s="1">
        <v>45992</v>
      </c>
      <c r="C237" t="s">
        <v>2657</v>
      </c>
      <c r="D237" t="s">
        <v>3265</v>
      </c>
      <c r="E237" s="43">
        <v>45992.531781388891</v>
      </c>
      <c r="F237" s="1">
        <v>45992</v>
      </c>
      <c r="G237" s="43">
        <v>45993.8304062963</v>
      </c>
      <c r="H237" t="s">
        <v>2686</v>
      </c>
      <c r="I237" t="s">
        <v>2669</v>
      </c>
      <c r="J237" t="s">
        <v>2735</v>
      </c>
      <c r="L237" t="s">
        <v>2408</v>
      </c>
      <c r="M237">
        <v>24383333802</v>
      </c>
      <c r="N237" t="s">
        <v>2746</v>
      </c>
      <c r="O237" s="1">
        <v>45661</v>
      </c>
      <c r="T237" t="s">
        <v>2662</v>
      </c>
      <c r="U237" t="s">
        <v>3266</v>
      </c>
      <c r="V237">
        <v>1</v>
      </c>
      <c r="W237" t="s">
        <v>2664</v>
      </c>
      <c r="X237">
        <v>1</v>
      </c>
      <c r="Y237" t="s">
        <v>2665</v>
      </c>
      <c r="AA237">
        <v>24383333802</v>
      </c>
      <c r="AB237" t="s">
        <v>1342</v>
      </c>
      <c r="AC237">
        <v>0</v>
      </c>
      <c r="AD237">
        <v>49</v>
      </c>
      <c r="AE237">
        <v>2438333380249</v>
      </c>
      <c r="AF237" t="s">
        <v>3267</v>
      </c>
      <c r="AG237">
        <v>1</v>
      </c>
      <c r="AH237">
        <v>1</v>
      </c>
    </row>
    <row r="238" spans="1:34">
      <c r="A238">
        <v>2025</v>
      </c>
      <c r="B238" s="1">
        <v>45992</v>
      </c>
      <c r="C238" t="s">
        <v>2657</v>
      </c>
      <c r="D238" t="s">
        <v>3268</v>
      </c>
      <c r="E238" s="43">
        <v>45992.660655208332</v>
      </c>
      <c r="F238" s="1">
        <v>45992</v>
      </c>
      <c r="G238" s="43">
        <v>45993.515907048612</v>
      </c>
      <c r="H238" t="s">
        <v>2686</v>
      </c>
      <c r="I238" t="s">
        <v>2669</v>
      </c>
      <c r="J238" t="s">
        <v>2735</v>
      </c>
      <c r="L238" t="s">
        <v>2408</v>
      </c>
      <c r="M238">
        <v>24383333802</v>
      </c>
      <c r="N238" t="s">
        <v>2746</v>
      </c>
      <c r="O238" s="1">
        <v>45661</v>
      </c>
      <c r="T238" t="s">
        <v>2662</v>
      </c>
      <c r="U238" t="s">
        <v>3269</v>
      </c>
      <c r="V238">
        <v>1</v>
      </c>
      <c r="W238" t="s">
        <v>2677</v>
      </c>
      <c r="X238">
        <v>1</v>
      </c>
      <c r="Y238" t="s">
        <v>2779</v>
      </c>
      <c r="AA238">
        <v>24383333802</v>
      </c>
      <c r="AB238" t="s">
        <v>1342</v>
      </c>
      <c r="AC238">
        <v>0</v>
      </c>
      <c r="AD238">
        <v>49</v>
      </c>
      <c r="AE238">
        <v>2438333380249</v>
      </c>
      <c r="AF238" t="s">
        <v>3267</v>
      </c>
      <c r="AG238">
        <v>0</v>
      </c>
      <c r="AH238">
        <v>0</v>
      </c>
    </row>
    <row r="239" spans="1:34">
      <c r="A239">
        <v>2025</v>
      </c>
      <c r="B239" s="1">
        <v>45992</v>
      </c>
      <c r="C239" t="s">
        <v>2657</v>
      </c>
      <c r="D239" t="s">
        <v>3270</v>
      </c>
      <c r="E239" s="43">
        <v>45994.679017881943</v>
      </c>
      <c r="F239" s="1">
        <v>45994</v>
      </c>
      <c r="G239" s="43">
        <v>45996.525005243057</v>
      </c>
      <c r="H239" t="s">
        <v>2686</v>
      </c>
      <c r="I239" t="s">
        <v>2669</v>
      </c>
      <c r="J239" t="s">
        <v>2735</v>
      </c>
      <c r="L239" t="s">
        <v>2408</v>
      </c>
      <c r="M239">
        <v>24383333802</v>
      </c>
      <c r="N239" t="s">
        <v>2746</v>
      </c>
      <c r="O239" s="1">
        <v>45661</v>
      </c>
      <c r="T239" t="s">
        <v>2662</v>
      </c>
      <c r="U239" t="s">
        <v>3271</v>
      </c>
      <c r="V239">
        <v>2</v>
      </c>
      <c r="W239" t="s">
        <v>2677</v>
      </c>
      <c r="X239">
        <v>1</v>
      </c>
      <c r="Y239" t="s">
        <v>2760</v>
      </c>
      <c r="AA239">
        <v>24383333802</v>
      </c>
      <c r="AB239" t="s">
        <v>1342</v>
      </c>
      <c r="AC239">
        <v>0</v>
      </c>
      <c r="AD239">
        <v>49</v>
      </c>
      <c r="AE239">
        <v>2438333380249</v>
      </c>
      <c r="AF239" t="s">
        <v>3267</v>
      </c>
      <c r="AG239">
        <v>0</v>
      </c>
      <c r="AH239">
        <v>0</v>
      </c>
    </row>
    <row r="240" spans="1:34">
      <c r="A240">
        <v>2025</v>
      </c>
      <c r="B240" s="1">
        <v>45992</v>
      </c>
      <c r="C240" t="s">
        <v>2657</v>
      </c>
      <c r="D240" t="s">
        <v>3272</v>
      </c>
      <c r="E240" s="43">
        <v>45993.742048564818</v>
      </c>
      <c r="F240" s="1">
        <v>45993</v>
      </c>
      <c r="G240" s="43">
        <v>45994.606722199074</v>
      </c>
      <c r="H240" t="s">
        <v>2686</v>
      </c>
      <c r="I240" t="s">
        <v>2669</v>
      </c>
      <c r="J240" t="s">
        <v>2735</v>
      </c>
      <c r="L240" t="s">
        <v>2408</v>
      </c>
      <c r="M240">
        <v>24383333802</v>
      </c>
      <c r="N240" t="s">
        <v>2746</v>
      </c>
      <c r="O240" s="1">
        <v>45661</v>
      </c>
      <c r="T240" t="s">
        <v>2662</v>
      </c>
      <c r="V240">
        <v>1</v>
      </c>
      <c r="W240" t="s">
        <v>2671</v>
      </c>
      <c r="X240">
        <v>1</v>
      </c>
      <c r="Y240" t="s">
        <v>2672</v>
      </c>
      <c r="AA240">
        <v>24383333802</v>
      </c>
      <c r="AB240" t="s">
        <v>1342</v>
      </c>
      <c r="AC240">
        <v>0</v>
      </c>
      <c r="AD240">
        <v>49</v>
      </c>
      <c r="AE240">
        <v>2438333380249</v>
      </c>
      <c r="AF240" t="s">
        <v>3267</v>
      </c>
      <c r="AG240">
        <v>0</v>
      </c>
      <c r="AH240">
        <v>0</v>
      </c>
    </row>
    <row r="241" spans="1:34">
      <c r="A241">
        <v>2025</v>
      </c>
      <c r="B241" s="1">
        <v>45992</v>
      </c>
      <c r="C241" t="s">
        <v>2657</v>
      </c>
      <c r="D241" t="s">
        <v>3273</v>
      </c>
      <c r="E241" s="43">
        <v>45995.644255891202</v>
      </c>
      <c r="F241" s="1">
        <v>45995</v>
      </c>
      <c r="G241" s="43">
        <v>45996.524560138889</v>
      </c>
      <c r="H241" t="s">
        <v>2686</v>
      </c>
      <c r="I241" t="s">
        <v>2669</v>
      </c>
      <c r="J241" t="s">
        <v>2735</v>
      </c>
      <c r="L241" t="s">
        <v>2408</v>
      </c>
      <c r="M241">
        <v>24383333802</v>
      </c>
      <c r="N241" t="s">
        <v>2746</v>
      </c>
      <c r="O241" s="1">
        <v>45661</v>
      </c>
      <c r="T241" t="s">
        <v>2662</v>
      </c>
      <c r="U241" t="s">
        <v>3274</v>
      </c>
      <c r="V241">
        <v>1</v>
      </c>
      <c r="W241" t="s">
        <v>2671</v>
      </c>
      <c r="X241">
        <v>1</v>
      </c>
      <c r="Y241" t="s">
        <v>2672</v>
      </c>
      <c r="AA241">
        <v>24383333802</v>
      </c>
      <c r="AB241" t="s">
        <v>1342</v>
      </c>
      <c r="AC241">
        <v>0</v>
      </c>
      <c r="AD241">
        <v>49</v>
      </c>
      <c r="AE241">
        <v>2438333380249</v>
      </c>
      <c r="AF241" t="s">
        <v>3267</v>
      </c>
      <c r="AG241">
        <v>0</v>
      </c>
      <c r="AH241">
        <v>0</v>
      </c>
    </row>
    <row r="242" spans="1:34">
      <c r="A242">
        <v>2025</v>
      </c>
      <c r="B242" s="1">
        <v>45992</v>
      </c>
      <c r="C242" t="s">
        <v>2657</v>
      </c>
      <c r="D242" t="s">
        <v>3275</v>
      </c>
      <c r="E242" s="43">
        <v>45995.505990081016</v>
      </c>
      <c r="F242" s="1">
        <v>45995</v>
      </c>
      <c r="G242" s="43">
        <v>45995.643701516201</v>
      </c>
      <c r="H242" t="s">
        <v>2686</v>
      </c>
      <c r="I242" t="s">
        <v>2669</v>
      </c>
      <c r="J242" t="s">
        <v>2735</v>
      </c>
      <c r="L242" t="s">
        <v>2408</v>
      </c>
      <c r="M242">
        <v>24383333802</v>
      </c>
      <c r="N242" t="s">
        <v>2746</v>
      </c>
      <c r="O242" s="1">
        <v>45661</v>
      </c>
      <c r="T242" t="s">
        <v>2662</v>
      </c>
      <c r="U242" t="s">
        <v>3276</v>
      </c>
      <c r="V242">
        <v>0</v>
      </c>
      <c r="W242" t="s">
        <v>2671</v>
      </c>
      <c r="X242">
        <v>1</v>
      </c>
      <c r="Y242" t="s">
        <v>2764</v>
      </c>
      <c r="AA242">
        <v>24383333802</v>
      </c>
      <c r="AB242" t="s">
        <v>1342</v>
      </c>
      <c r="AC242">
        <v>0</v>
      </c>
      <c r="AD242">
        <v>49</v>
      </c>
      <c r="AE242">
        <v>2438333380249</v>
      </c>
      <c r="AF242" t="s">
        <v>3267</v>
      </c>
      <c r="AG242">
        <v>0</v>
      </c>
      <c r="AH242">
        <v>0</v>
      </c>
    </row>
    <row r="243" spans="1:34">
      <c r="A243">
        <v>2025</v>
      </c>
      <c r="B243" s="1">
        <v>45992</v>
      </c>
      <c r="C243" t="s">
        <v>2657</v>
      </c>
      <c r="D243" s="44" t="s">
        <v>3277</v>
      </c>
      <c r="E243" s="43">
        <v>46003.606272662037</v>
      </c>
      <c r="F243" s="1">
        <v>46003</v>
      </c>
      <c r="G243" s="43">
        <v>46003.606272662037</v>
      </c>
      <c r="H243" t="s">
        <v>2686</v>
      </c>
      <c r="I243" t="s">
        <v>2681</v>
      </c>
      <c r="J243" t="s">
        <v>2735</v>
      </c>
      <c r="L243" t="s">
        <v>2408</v>
      </c>
      <c r="M243">
        <v>24383333802</v>
      </c>
      <c r="N243" t="s">
        <v>2746</v>
      </c>
      <c r="O243" s="1">
        <v>45661</v>
      </c>
      <c r="T243" t="s">
        <v>2662</v>
      </c>
      <c r="U243" t="s">
        <v>3278</v>
      </c>
      <c r="V243">
        <v>0</v>
      </c>
      <c r="W243" t="s">
        <v>2671</v>
      </c>
      <c r="X243">
        <v>1</v>
      </c>
      <c r="Y243" t="s">
        <v>2695</v>
      </c>
      <c r="AA243">
        <v>24383333802</v>
      </c>
      <c r="AB243" t="s">
        <v>1342</v>
      </c>
      <c r="AC243">
        <v>0</v>
      </c>
      <c r="AD243">
        <v>50</v>
      </c>
      <c r="AE243">
        <v>2438333380250</v>
      </c>
      <c r="AF243" t="s">
        <v>3267</v>
      </c>
      <c r="AG243">
        <v>0</v>
      </c>
      <c r="AH243">
        <v>0</v>
      </c>
    </row>
    <row r="244" spans="1:34">
      <c r="A244">
        <v>2025</v>
      </c>
      <c r="B244" s="1">
        <v>45992</v>
      </c>
      <c r="C244" t="s">
        <v>2657</v>
      </c>
      <c r="D244" t="s">
        <v>3279</v>
      </c>
      <c r="E244" s="43">
        <v>45999.510899652778</v>
      </c>
      <c r="F244" s="1">
        <v>45999</v>
      </c>
      <c r="G244" s="43">
        <v>45999.811118831021</v>
      </c>
      <c r="H244" t="s">
        <v>2686</v>
      </c>
      <c r="I244" t="s">
        <v>2681</v>
      </c>
      <c r="J244" t="s">
        <v>2735</v>
      </c>
      <c r="L244" t="s">
        <v>2408</v>
      </c>
      <c r="M244">
        <v>24383333802</v>
      </c>
      <c r="N244" t="s">
        <v>2746</v>
      </c>
      <c r="O244" s="1">
        <v>45661</v>
      </c>
      <c r="T244" t="s">
        <v>2662</v>
      </c>
      <c r="U244" t="s">
        <v>3280</v>
      </c>
      <c r="V244">
        <v>0</v>
      </c>
      <c r="W244" t="s">
        <v>2671</v>
      </c>
      <c r="X244">
        <v>1</v>
      </c>
      <c r="Y244" t="s">
        <v>2672</v>
      </c>
      <c r="AA244">
        <v>24383333802</v>
      </c>
      <c r="AB244" t="s">
        <v>1342</v>
      </c>
      <c r="AC244">
        <v>0</v>
      </c>
      <c r="AD244">
        <v>50</v>
      </c>
      <c r="AE244">
        <v>2438333380250</v>
      </c>
      <c r="AF244" t="s">
        <v>3267</v>
      </c>
      <c r="AG244">
        <v>1</v>
      </c>
      <c r="AH244">
        <v>0</v>
      </c>
    </row>
    <row r="245" spans="1:34">
      <c r="A245">
        <v>2025</v>
      </c>
      <c r="B245" s="1">
        <v>45992</v>
      </c>
      <c r="C245" t="s">
        <v>2657</v>
      </c>
      <c r="D245" t="s">
        <v>3281</v>
      </c>
      <c r="E245" s="43">
        <v>46005.574655185184</v>
      </c>
      <c r="F245" s="1">
        <v>46005</v>
      </c>
      <c r="G245" s="43">
        <v>46005.574655185184</v>
      </c>
      <c r="H245" t="s">
        <v>2686</v>
      </c>
      <c r="I245" t="s">
        <v>2681</v>
      </c>
      <c r="J245" t="s">
        <v>2735</v>
      </c>
      <c r="L245" t="s">
        <v>2408</v>
      </c>
      <c r="M245">
        <v>24383333802</v>
      </c>
      <c r="N245" t="s">
        <v>2746</v>
      </c>
      <c r="O245" s="1">
        <v>45661</v>
      </c>
      <c r="T245" t="s">
        <v>2662</v>
      </c>
      <c r="U245" t="s">
        <v>3282</v>
      </c>
      <c r="V245">
        <v>-1</v>
      </c>
      <c r="W245" t="s">
        <v>2671</v>
      </c>
      <c r="X245">
        <v>1</v>
      </c>
      <c r="Y245" t="s">
        <v>2695</v>
      </c>
      <c r="AA245">
        <v>24383333802</v>
      </c>
      <c r="AB245" t="s">
        <v>1342</v>
      </c>
      <c r="AC245">
        <v>0</v>
      </c>
      <c r="AD245">
        <v>50</v>
      </c>
      <c r="AE245">
        <v>2438333380250</v>
      </c>
      <c r="AF245" t="s">
        <v>3267</v>
      </c>
      <c r="AG245">
        <v>0</v>
      </c>
      <c r="AH245">
        <v>0</v>
      </c>
    </row>
    <row r="246" spans="1:34">
      <c r="A246">
        <v>2025</v>
      </c>
      <c r="B246" s="1">
        <v>45992</v>
      </c>
      <c r="C246" t="s">
        <v>2657</v>
      </c>
      <c r="D246" t="s">
        <v>3283</v>
      </c>
      <c r="E246" s="43">
        <v>45999.53787659722</v>
      </c>
      <c r="F246" s="1">
        <v>45999</v>
      </c>
      <c r="G246" s="43">
        <v>46010.56364886574</v>
      </c>
      <c r="H246" t="s">
        <v>2686</v>
      </c>
      <c r="I246" t="s">
        <v>2681</v>
      </c>
      <c r="J246" t="s">
        <v>2735</v>
      </c>
      <c r="L246" t="s">
        <v>2408</v>
      </c>
      <c r="M246">
        <v>24383333802</v>
      </c>
      <c r="N246" t="s">
        <v>2746</v>
      </c>
      <c r="O246" s="1">
        <v>45661</v>
      </c>
      <c r="T246" t="s">
        <v>2662</v>
      </c>
      <c r="U246" t="s">
        <v>3284</v>
      </c>
      <c r="V246">
        <v>9</v>
      </c>
      <c r="W246" t="s">
        <v>2671</v>
      </c>
      <c r="X246">
        <v>1</v>
      </c>
      <c r="Y246" t="s">
        <v>2683</v>
      </c>
      <c r="Z246" t="s">
        <v>2834</v>
      </c>
      <c r="AA246">
        <v>24383333802</v>
      </c>
      <c r="AB246" t="s">
        <v>1342</v>
      </c>
      <c r="AC246">
        <v>0</v>
      </c>
      <c r="AD246">
        <v>50</v>
      </c>
      <c r="AE246">
        <v>2438333380250</v>
      </c>
      <c r="AF246" t="s">
        <v>3267</v>
      </c>
      <c r="AG246">
        <v>0</v>
      </c>
      <c r="AH246">
        <v>0</v>
      </c>
    </row>
    <row r="247" spans="1:34">
      <c r="A247">
        <v>2025</v>
      </c>
      <c r="B247" s="1">
        <v>45992</v>
      </c>
      <c r="C247" t="s">
        <v>2657</v>
      </c>
      <c r="D247" t="s">
        <v>3285</v>
      </c>
      <c r="E247" s="43">
        <v>46006.657968807871</v>
      </c>
      <c r="F247" s="1">
        <v>46006</v>
      </c>
      <c r="G247" s="43">
        <v>46006.720523935182</v>
      </c>
      <c r="H247" t="s">
        <v>2686</v>
      </c>
      <c r="I247" t="s">
        <v>2719</v>
      </c>
      <c r="J247" t="s">
        <v>2735</v>
      </c>
      <c r="L247" t="s">
        <v>2408</v>
      </c>
      <c r="M247">
        <v>24383333802</v>
      </c>
      <c r="N247" t="s">
        <v>2746</v>
      </c>
      <c r="O247" s="1">
        <v>45661</v>
      </c>
      <c r="T247" t="s">
        <v>2662</v>
      </c>
      <c r="U247" t="s">
        <v>3286</v>
      </c>
      <c r="V247">
        <v>0</v>
      </c>
      <c r="W247" t="s">
        <v>2671</v>
      </c>
      <c r="X247">
        <v>1</v>
      </c>
      <c r="Y247" t="s">
        <v>2672</v>
      </c>
      <c r="AA247">
        <v>24383333802</v>
      </c>
      <c r="AB247" t="s">
        <v>1342</v>
      </c>
      <c r="AC247">
        <v>0</v>
      </c>
      <c r="AD247">
        <v>51</v>
      </c>
      <c r="AE247">
        <v>2438333380251</v>
      </c>
      <c r="AF247" t="s">
        <v>3267</v>
      </c>
      <c r="AG247">
        <v>0</v>
      </c>
      <c r="AH247">
        <v>0</v>
      </c>
    </row>
    <row r="248" spans="1:34">
      <c r="A248">
        <v>2025</v>
      </c>
      <c r="B248" s="1">
        <v>45992</v>
      </c>
      <c r="C248" t="s">
        <v>2657</v>
      </c>
      <c r="D248" t="s">
        <v>3287</v>
      </c>
      <c r="E248" s="43">
        <v>46008.580686817128</v>
      </c>
      <c r="F248" s="1">
        <v>46008</v>
      </c>
      <c r="G248" s="43">
        <v>46014.519551840276</v>
      </c>
      <c r="H248" t="s">
        <v>2686</v>
      </c>
      <c r="I248" t="s">
        <v>2719</v>
      </c>
      <c r="J248" t="s">
        <v>2735</v>
      </c>
      <c r="L248" t="s">
        <v>2408</v>
      </c>
      <c r="M248">
        <v>24383333802</v>
      </c>
      <c r="N248" t="s">
        <v>2746</v>
      </c>
      <c r="O248" s="1">
        <v>45661</v>
      </c>
      <c r="T248" t="s">
        <v>2662</v>
      </c>
      <c r="U248" t="s">
        <v>3288</v>
      </c>
      <c r="V248">
        <v>4</v>
      </c>
      <c r="W248" t="s">
        <v>2677</v>
      </c>
      <c r="X248">
        <v>1</v>
      </c>
      <c r="Y248" t="s">
        <v>2779</v>
      </c>
      <c r="AA248">
        <v>24383333802</v>
      </c>
      <c r="AB248" t="s">
        <v>1342</v>
      </c>
      <c r="AC248">
        <v>0</v>
      </c>
      <c r="AD248">
        <v>51</v>
      </c>
      <c r="AE248">
        <v>2438333380251</v>
      </c>
      <c r="AF248" t="s">
        <v>3267</v>
      </c>
      <c r="AG248">
        <v>0</v>
      </c>
      <c r="AH248">
        <v>0</v>
      </c>
    </row>
    <row r="249" spans="1:34">
      <c r="A249">
        <v>2025</v>
      </c>
      <c r="B249" s="1">
        <v>45992</v>
      </c>
      <c r="C249" t="s">
        <v>2657</v>
      </c>
      <c r="D249" t="s">
        <v>3289</v>
      </c>
      <c r="E249" s="43">
        <v>46006.602154699074</v>
      </c>
      <c r="F249" s="1">
        <v>46006</v>
      </c>
      <c r="G249" s="43">
        <v>46013.690762546299</v>
      </c>
      <c r="H249" t="s">
        <v>2686</v>
      </c>
      <c r="I249" t="s">
        <v>2719</v>
      </c>
      <c r="J249" t="s">
        <v>2735</v>
      </c>
      <c r="L249" t="s">
        <v>2408</v>
      </c>
      <c r="M249">
        <v>24383333802</v>
      </c>
      <c r="N249" t="s">
        <v>2746</v>
      </c>
      <c r="O249" s="1">
        <v>45661</v>
      </c>
      <c r="T249" t="s">
        <v>2662</v>
      </c>
      <c r="U249" t="s">
        <v>3290</v>
      </c>
      <c r="V249">
        <v>5</v>
      </c>
      <c r="W249" t="s">
        <v>2677</v>
      </c>
      <c r="X249">
        <v>1</v>
      </c>
      <c r="Y249" t="s">
        <v>2760</v>
      </c>
      <c r="AA249">
        <v>24383333802</v>
      </c>
      <c r="AB249" t="s">
        <v>1342</v>
      </c>
      <c r="AC249">
        <v>0</v>
      </c>
      <c r="AD249">
        <v>51</v>
      </c>
      <c r="AE249">
        <v>2438333380251</v>
      </c>
      <c r="AF249" t="s">
        <v>3267</v>
      </c>
      <c r="AG249">
        <v>1</v>
      </c>
      <c r="AH249">
        <v>0</v>
      </c>
    </row>
    <row r="250" spans="1:34">
      <c r="A250">
        <v>2025</v>
      </c>
      <c r="B250" s="1">
        <v>45992</v>
      </c>
      <c r="C250" t="s">
        <v>2657</v>
      </c>
      <c r="D250" t="s">
        <v>3291</v>
      </c>
      <c r="E250" s="43">
        <v>46013.677397662039</v>
      </c>
      <c r="F250" s="1">
        <v>46013</v>
      </c>
      <c r="G250" s="43">
        <v>46014.519428680556</v>
      </c>
      <c r="H250" t="s">
        <v>2686</v>
      </c>
      <c r="I250" t="s">
        <v>2660</v>
      </c>
      <c r="J250" t="s">
        <v>2735</v>
      </c>
      <c r="L250" t="s">
        <v>2408</v>
      </c>
      <c r="M250">
        <v>24383333802</v>
      </c>
      <c r="N250" t="s">
        <v>2746</v>
      </c>
      <c r="O250" s="1">
        <v>45661</v>
      </c>
      <c r="T250" t="s">
        <v>2662</v>
      </c>
      <c r="U250" t="s">
        <v>3292</v>
      </c>
      <c r="V250">
        <v>1</v>
      </c>
      <c r="W250" t="s">
        <v>2677</v>
      </c>
      <c r="X250">
        <v>1</v>
      </c>
      <c r="Y250" t="s">
        <v>2779</v>
      </c>
      <c r="AA250">
        <v>24383333802</v>
      </c>
      <c r="AB250" t="s">
        <v>1342</v>
      </c>
      <c r="AC250">
        <v>0</v>
      </c>
      <c r="AD250">
        <v>52</v>
      </c>
      <c r="AE250">
        <v>2438333380252</v>
      </c>
      <c r="AF250" t="s">
        <v>3267</v>
      </c>
      <c r="AG250">
        <v>1</v>
      </c>
      <c r="AH250">
        <v>0</v>
      </c>
    </row>
    <row r="251" spans="1:34">
      <c r="A251">
        <v>2026</v>
      </c>
      <c r="B251" s="1">
        <v>46054</v>
      </c>
      <c r="C251" t="s">
        <v>2657</v>
      </c>
      <c r="D251" s="44" t="s">
        <v>3293</v>
      </c>
      <c r="E251" s="43">
        <v>46078.833910543981</v>
      </c>
      <c r="F251" s="1">
        <v>46078</v>
      </c>
      <c r="G251" s="43">
        <v>46083.630642384262</v>
      </c>
      <c r="H251" t="s">
        <v>2725</v>
      </c>
      <c r="I251" t="s">
        <v>2660</v>
      </c>
      <c r="J251" t="s">
        <v>36</v>
      </c>
      <c r="L251" t="s">
        <v>2355</v>
      </c>
      <c r="M251">
        <v>230755558102</v>
      </c>
      <c r="N251" t="s">
        <v>2702</v>
      </c>
      <c r="O251" s="1">
        <v>45294</v>
      </c>
      <c r="T251" t="s">
        <v>2662</v>
      </c>
      <c r="U251" t="s">
        <v>3294</v>
      </c>
      <c r="V251">
        <v>3</v>
      </c>
      <c r="W251" t="s">
        <v>2743</v>
      </c>
      <c r="X251">
        <v>1</v>
      </c>
      <c r="Y251" t="s">
        <v>2721</v>
      </c>
      <c r="AA251">
        <v>230755558102</v>
      </c>
      <c r="AB251" t="s">
        <v>2297</v>
      </c>
      <c r="AC251">
        <v>0</v>
      </c>
      <c r="AD251">
        <v>9</v>
      </c>
      <c r="AE251">
        <v>2307555581029</v>
      </c>
      <c r="AF251" t="s">
        <v>3295</v>
      </c>
      <c r="AG251">
        <v>1</v>
      </c>
      <c r="AH251">
        <v>1</v>
      </c>
    </row>
    <row r="252" spans="1:34">
      <c r="A252">
        <v>2025</v>
      </c>
      <c r="B252" s="1">
        <v>45962</v>
      </c>
      <c r="C252" t="s">
        <v>2657</v>
      </c>
      <c r="D252" t="s">
        <v>3296</v>
      </c>
      <c r="E252" s="43">
        <v>45974.807004201386</v>
      </c>
      <c r="F252" s="1">
        <v>45974</v>
      </c>
      <c r="G252" s="43">
        <v>45974.807004201386</v>
      </c>
      <c r="H252" t="s">
        <v>2802</v>
      </c>
      <c r="I252" t="s">
        <v>2681</v>
      </c>
      <c r="J252" t="s">
        <v>38</v>
      </c>
      <c r="L252" t="s">
        <v>2342</v>
      </c>
      <c r="M252">
        <v>548279192902</v>
      </c>
      <c r="N252" t="s">
        <v>2661</v>
      </c>
      <c r="O252" s="1">
        <v>45324</v>
      </c>
      <c r="T252" t="s">
        <v>2662</v>
      </c>
      <c r="U252" t="s">
        <v>3297</v>
      </c>
      <c r="V252">
        <v>0</v>
      </c>
      <c r="W252" t="s">
        <v>2664</v>
      </c>
      <c r="X252">
        <v>1</v>
      </c>
      <c r="Y252" t="s">
        <v>2665</v>
      </c>
      <c r="AA252">
        <v>690138852002</v>
      </c>
      <c r="AB252" t="s">
        <v>2341</v>
      </c>
      <c r="AC252">
        <v>0</v>
      </c>
      <c r="AD252">
        <v>46</v>
      </c>
      <c r="AE252">
        <v>69013885200246</v>
      </c>
      <c r="AF252" t="s">
        <v>3298</v>
      </c>
      <c r="AG252">
        <v>1</v>
      </c>
      <c r="AH252">
        <v>1</v>
      </c>
    </row>
    <row r="253" spans="1:34">
      <c r="A253">
        <v>2025</v>
      </c>
      <c r="B253" s="1">
        <v>45962</v>
      </c>
      <c r="C253" t="s">
        <v>2657</v>
      </c>
      <c r="D253" s="44" t="s">
        <v>3299</v>
      </c>
      <c r="E253" s="43">
        <v>45978.772554953706</v>
      </c>
      <c r="F253" s="1">
        <v>45978</v>
      </c>
      <c r="G253" s="43">
        <v>46006.677675150466</v>
      </c>
      <c r="H253" t="s">
        <v>2802</v>
      </c>
      <c r="I253" t="s">
        <v>2719</v>
      </c>
      <c r="J253" t="s">
        <v>38</v>
      </c>
      <c r="L253" t="s">
        <v>2342</v>
      </c>
      <c r="M253">
        <v>660765584502</v>
      </c>
      <c r="N253" t="s">
        <v>2702</v>
      </c>
      <c r="O253" s="1">
        <v>45324</v>
      </c>
      <c r="T253" t="s">
        <v>2662</v>
      </c>
      <c r="U253" t="s">
        <v>3300</v>
      </c>
      <c r="V253">
        <v>20</v>
      </c>
      <c r="W253" t="s">
        <v>2985</v>
      </c>
      <c r="X253">
        <v>1</v>
      </c>
      <c r="Y253" t="s">
        <v>2985</v>
      </c>
      <c r="Z253" t="s">
        <v>2684</v>
      </c>
      <c r="AA253">
        <v>690138852002</v>
      </c>
      <c r="AB253" t="s">
        <v>2341</v>
      </c>
      <c r="AC253">
        <v>0</v>
      </c>
      <c r="AD253">
        <v>47</v>
      </c>
      <c r="AE253">
        <v>69013885200247</v>
      </c>
      <c r="AF253" t="s">
        <v>3298</v>
      </c>
      <c r="AG253">
        <v>1</v>
      </c>
      <c r="AH253">
        <v>0</v>
      </c>
    </row>
    <row r="254" spans="1:34">
      <c r="A254">
        <v>2025</v>
      </c>
      <c r="B254" s="1">
        <v>45962</v>
      </c>
      <c r="C254" t="s">
        <v>2657</v>
      </c>
      <c r="D254" t="s">
        <v>3301</v>
      </c>
      <c r="E254" s="43">
        <v>45982.742838402781</v>
      </c>
      <c r="F254" s="1">
        <v>45982</v>
      </c>
      <c r="G254" s="43">
        <v>46037.717016770832</v>
      </c>
      <c r="H254" t="s">
        <v>2802</v>
      </c>
      <c r="I254" t="s">
        <v>2719</v>
      </c>
      <c r="J254" t="s">
        <v>38</v>
      </c>
      <c r="L254" t="s">
        <v>2342</v>
      </c>
      <c r="M254">
        <v>660765584502</v>
      </c>
      <c r="N254" t="s">
        <v>2702</v>
      </c>
      <c r="O254" s="1">
        <v>45324</v>
      </c>
      <c r="T254" t="s">
        <v>2662</v>
      </c>
      <c r="U254" t="s">
        <v>3302</v>
      </c>
      <c r="V254">
        <v>39</v>
      </c>
      <c r="W254" t="s">
        <v>2664</v>
      </c>
      <c r="X254">
        <v>1</v>
      </c>
      <c r="Y254" t="s">
        <v>2665</v>
      </c>
      <c r="AA254">
        <v>690138852002</v>
      </c>
      <c r="AB254" t="s">
        <v>2341</v>
      </c>
      <c r="AC254">
        <v>0</v>
      </c>
      <c r="AD254">
        <v>47</v>
      </c>
      <c r="AE254">
        <v>69013885200247</v>
      </c>
      <c r="AF254" t="s">
        <v>3298</v>
      </c>
      <c r="AG254">
        <v>0</v>
      </c>
      <c r="AH254">
        <v>0</v>
      </c>
    </row>
    <row r="255" spans="1:34">
      <c r="A255">
        <v>2025</v>
      </c>
      <c r="B255" s="1">
        <v>45962</v>
      </c>
      <c r="C255" t="s">
        <v>2657</v>
      </c>
      <c r="D255" t="s">
        <v>3303</v>
      </c>
      <c r="E255" s="43">
        <v>45989.6160594213</v>
      </c>
      <c r="F255" s="1">
        <v>45989</v>
      </c>
      <c r="G255" s="43">
        <v>45993.808497523147</v>
      </c>
      <c r="H255" t="s">
        <v>2802</v>
      </c>
      <c r="I255" t="s">
        <v>2660</v>
      </c>
      <c r="J255" t="s">
        <v>38</v>
      </c>
      <c r="L255" t="s">
        <v>2342</v>
      </c>
      <c r="M255">
        <v>660765584502</v>
      </c>
      <c r="N255" t="s">
        <v>2702</v>
      </c>
      <c r="O255" s="1">
        <v>45324</v>
      </c>
      <c r="T255" t="s">
        <v>2662</v>
      </c>
      <c r="U255" t="s">
        <v>3304</v>
      </c>
      <c r="V255">
        <v>2</v>
      </c>
      <c r="W255" t="s">
        <v>2677</v>
      </c>
      <c r="X255">
        <v>1</v>
      </c>
      <c r="Y255" t="s">
        <v>2807</v>
      </c>
      <c r="AA255">
        <v>690138852002</v>
      </c>
      <c r="AB255" t="s">
        <v>2341</v>
      </c>
      <c r="AC255">
        <v>0</v>
      </c>
      <c r="AD255">
        <v>48</v>
      </c>
      <c r="AE255">
        <v>69013885200248</v>
      </c>
      <c r="AF255" t="s">
        <v>3298</v>
      </c>
      <c r="AG255">
        <v>0</v>
      </c>
      <c r="AH255">
        <v>0</v>
      </c>
    </row>
    <row r="256" spans="1:34">
      <c r="A256">
        <v>2025</v>
      </c>
      <c r="B256" s="1">
        <v>45962</v>
      </c>
      <c r="C256" t="s">
        <v>2657</v>
      </c>
      <c r="D256" t="s">
        <v>3305</v>
      </c>
      <c r="E256" s="43">
        <v>45988.964927326386</v>
      </c>
      <c r="F256" s="1">
        <v>45988</v>
      </c>
      <c r="G256" s="43">
        <v>45992.685308020831</v>
      </c>
      <c r="H256" t="s">
        <v>2802</v>
      </c>
      <c r="I256" t="s">
        <v>2660</v>
      </c>
      <c r="J256" t="s">
        <v>38</v>
      </c>
      <c r="L256" t="s">
        <v>2342</v>
      </c>
      <c r="M256">
        <v>660765584502</v>
      </c>
      <c r="N256" t="s">
        <v>2702</v>
      </c>
      <c r="O256" s="1">
        <v>45324</v>
      </c>
      <c r="T256" t="s">
        <v>2662</v>
      </c>
      <c r="U256" t="s">
        <v>3306</v>
      </c>
      <c r="V256">
        <v>2</v>
      </c>
      <c r="W256" t="s">
        <v>2664</v>
      </c>
      <c r="X256">
        <v>1</v>
      </c>
      <c r="Y256" t="s">
        <v>2760</v>
      </c>
      <c r="AA256">
        <v>690138852002</v>
      </c>
      <c r="AB256" t="s">
        <v>2341</v>
      </c>
      <c r="AC256">
        <v>0</v>
      </c>
      <c r="AD256">
        <v>48</v>
      </c>
      <c r="AE256">
        <v>69013885200248</v>
      </c>
      <c r="AF256" t="s">
        <v>3298</v>
      </c>
      <c r="AG256">
        <v>0</v>
      </c>
      <c r="AH256">
        <v>0</v>
      </c>
    </row>
    <row r="257" spans="1:34">
      <c r="A257">
        <v>2025</v>
      </c>
      <c r="B257" s="1">
        <v>45962</v>
      </c>
      <c r="C257" t="s">
        <v>2657</v>
      </c>
      <c r="D257" t="s">
        <v>3307</v>
      </c>
      <c r="E257" s="43">
        <v>45985.783043171294</v>
      </c>
      <c r="F257" s="1">
        <v>45985</v>
      </c>
      <c r="G257" s="43">
        <v>45985.783043171294</v>
      </c>
      <c r="H257" t="s">
        <v>2802</v>
      </c>
      <c r="I257" t="s">
        <v>2660</v>
      </c>
      <c r="J257" t="s">
        <v>38</v>
      </c>
      <c r="L257" t="s">
        <v>2342</v>
      </c>
      <c r="M257">
        <v>660765584502</v>
      </c>
      <c r="N257" t="s">
        <v>2702</v>
      </c>
      <c r="O257" s="1">
        <v>45324</v>
      </c>
      <c r="T257" t="s">
        <v>2662</v>
      </c>
      <c r="U257" t="s">
        <v>3308</v>
      </c>
      <c r="V257">
        <v>0</v>
      </c>
      <c r="W257" t="s">
        <v>2677</v>
      </c>
      <c r="X257">
        <v>1</v>
      </c>
      <c r="Y257" t="s">
        <v>2807</v>
      </c>
      <c r="AA257">
        <v>690138852002</v>
      </c>
      <c r="AB257" t="s">
        <v>2341</v>
      </c>
      <c r="AC257">
        <v>0</v>
      </c>
      <c r="AD257">
        <v>48</v>
      </c>
      <c r="AE257">
        <v>69013885200248</v>
      </c>
      <c r="AF257" t="s">
        <v>3298</v>
      </c>
      <c r="AG257">
        <v>1</v>
      </c>
      <c r="AH257">
        <v>0</v>
      </c>
    </row>
    <row r="258" spans="1:34">
      <c r="A258">
        <v>2025</v>
      </c>
      <c r="B258" s="1">
        <v>45962</v>
      </c>
      <c r="C258" t="s">
        <v>2657</v>
      </c>
      <c r="D258" t="s">
        <v>3309</v>
      </c>
      <c r="E258" s="43">
        <v>45986.793059143522</v>
      </c>
      <c r="F258" s="1">
        <v>45986</v>
      </c>
      <c r="G258" s="43">
        <v>45992.552919108799</v>
      </c>
      <c r="H258" t="s">
        <v>2802</v>
      </c>
      <c r="I258" t="s">
        <v>2660</v>
      </c>
      <c r="J258" t="s">
        <v>38</v>
      </c>
      <c r="L258" t="s">
        <v>2342</v>
      </c>
      <c r="M258">
        <v>660765584502</v>
      </c>
      <c r="N258" t="s">
        <v>2702</v>
      </c>
      <c r="O258" s="1">
        <v>45324</v>
      </c>
      <c r="T258" t="s">
        <v>2662</v>
      </c>
      <c r="U258" t="s">
        <v>3310</v>
      </c>
      <c r="V258">
        <v>4</v>
      </c>
      <c r="W258" t="s">
        <v>2677</v>
      </c>
      <c r="X258">
        <v>1</v>
      </c>
      <c r="Y258" t="s">
        <v>2807</v>
      </c>
      <c r="AA258">
        <v>690138852002</v>
      </c>
      <c r="AB258" t="s">
        <v>2341</v>
      </c>
      <c r="AC258">
        <v>0</v>
      </c>
      <c r="AD258">
        <v>48</v>
      </c>
      <c r="AE258">
        <v>69013885200248</v>
      </c>
      <c r="AF258" t="s">
        <v>3298</v>
      </c>
      <c r="AG258">
        <v>0</v>
      </c>
      <c r="AH258">
        <v>0</v>
      </c>
    </row>
    <row r="259" spans="1:34">
      <c r="A259">
        <v>2026</v>
      </c>
      <c r="B259" s="1">
        <v>46082</v>
      </c>
      <c r="C259" t="s">
        <v>2657</v>
      </c>
      <c r="D259" s="44" t="s">
        <v>3311</v>
      </c>
      <c r="E259" s="43">
        <v>46084.972225925929</v>
      </c>
      <c r="F259" s="1">
        <v>46084</v>
      </c>
      <c r="G259" s="43">
        <v>46094.881945995374</v>
      </c>
      <c r="H259" t="s">
        <v>2668</v>
      </c>
      <c r="I259" t="s">
        <v>2669</v>
      </c>
      <c r="J259" t="s">
        <v>36</v>
      </c>
      <c r="L259" t="s">
        <v>2472</v>
      </c>
      <c r="M259">
        <v>774839834202</v>
      </c>
      <c r="N259" t="s">
        <v>2702</v>
      </c>
      <c r="O259" s="1">
        <v>46021</v>
      </c>
      <c r="T259" t="s">
        <v>2798</v>
      </c>
      <c r="U259" t="s">
        <v>3312</v>
      </c>
      <c r="V259">
        <v>8</v>
      </c>
      <c r="W259" t="s">
        <v>2677</v>
      </c>
      <c r="X259">
        <v>0</v>
      </c>
      <c r="Y259" t="s">
        <v>2985</v>
      </c>
      <c r="Z259" t="s">
        <v>2684</v>
      </c>
      <c r="AA259">
        <v>774839834202</v>
      </c>
      <c r="AB259" t="s">
        <v>2470</v>
      </c>
      <c r="AC259">
        <v>1</v>
      </c>
      <c r="AD259">
        <v>10</v>
      </c>
      <c r="AE259">
        <v>77483983420210</v>
      </c>
      <c r="AF259" t="s">
        <v>3313</v>
      </c>
      <c r="AG259">
        <v>1</v>
      </c>
      <c r="AH259">
        <v>1</v>
      </c>
    </row>
    <row r="260" spans="1:34">
      <c r="A260">
        <v>2025</v>
      </c>
      <c r="B260" s="1">
        <v>45962</v>
      </c>
      <c r="C260" t="s">
        <v>2657</v>
      </c>
      <c r="D260" t="s">
        <v>3314</v>
      </c>
      <c r="E260" s="43">
        <v>45973.610475694448</v>
      </c>
      <c r="F260" s="1">
        <v>45973</v>
      </c>
      <c r="G260" s="43">
        <v>46079.747289305553</v>
      </c>
      <c r="H260" t="s">
        <v>2802</v>
      </c>
      <c r="I260" t="s">
        <v>2681</v>
      </c>
      <c r="J260" t="s">
        <v>100</v>
      </c>
      <c r="L260" t="s">
        <v>2381</v>
      </c>
      <c r="M260">
        <v>183456830502</v>
      </c>
      <c r="N260" t="s">
        <v>2702</v>
      </c>
      <c r="O260" s="1">
        <v>45661</v>
      </c>
      <c r="T260" t="s">
        <v>2662</v>
      </c>
      <c r="U260" t="s">
        <v>3315</v>
      </c>
      <c r="V260">
        <v>76</v>
      </c>
      <c r="W260" t="s">
        <v>2743</v>
      </c>
      <c r="X260">
        <v>1</v>
      </c>
      <c r="Y260" t="s">
        <v>2699</v>
      </c>
      <c r="AA260">
        <v>183456830502</v>
      </c>
      <c r="AB260" t="s">
        <v>1466</v>
      </c>
      <c r="AC260">
        <v>0</v>
      </c>
      <c r="AD260">
        <v>46</v>
      </c>
      <c r="AE260">
        <v>18345683050246</v>
      </c>
      <c r="AF260" t="s">
        <v>3316</v>
      </c>
      <c r="AG260">
        <v>1</v>
      </c>
      <c r="AH260">
        <v>1</v>
      </c>
    </row>
    <row r="261" spans="1:34">
      <c r="A261">
        <v>2025</v>
      </c>
      <c r="B261" s="1">
        <v>45992</v>
      </c>
      <c r="C261" t="s">
        <v>2657</v>
      </c>
      <c r="D261" t="s">
        <v>3317</v>
      </c>
      <c r="E261" s="43">
        <v>45994.636931273148</v>
      </c>
      <c r="F261" s="1">
        <v>45994</v>
      </c>
      <c r="G261" s="43">
        <v>45995.741843912037</v>
      </c>
      <c r="H261" t="s">
        <v>2686</v>
      </c>
      <c r="I261" t="s">
        <v>2669</v>
      </c>
      <c r="J261" t="s">
        <v>2735</v>
      </c>
      <c r="L261" t="s">
        <v>2336</v>
      </c>
      <c r="M261">
        <v>16898656902</v>
      </c>
      <c r="N261" t="s">
        <v>2746</v>
      </c>
      <c r="O261" s="1">
        <v>45661</v>
      </c>
      <c r="T261" t="s">
        <v>2662</v>
      </c>
      <c r="U261" t="s">
        <v>3318</v>
      </c>
      <c r="V261">
        <v>1</v>
      </c>
      <c r="W261" t="s">
        <v>2677</v>
      </c>
      <c r="X261">
        <v>1</v>
      </c>
      <c r="Y261" t="s">
        <v>2779</v>
      </c>
      <c r="AA261">
        <v>16898656902</v>
      </c>
      <c r="AB261" t="s">
        <v>1078</v>
      </c>
      <c r="AC261">
        <v>0</v>
      </c>
      <c r="AD261">
        <v>49</v>
      </c>
      <c r="AE261">
        <v>1689865690249</v>
      </c>
      <c r="AF261" t="s">
        <v>3319</v>
      </c>
      <c r="AG261">
        <v>1</v>
      </c>
      <c r="AH261">
        <v>1</v>
      </c>
    </row>
    <row r="262" spans="1:34">
      <c r="A262">
        <v>2025</v>
      </c>
      <c r="B262" s="1">
        <v>45992</v>
      </c>
      <c r="C262" t="s">
        <v>2657</v>
      </c>
      <c r="D262" s="44" t="s">
        <v>3320</v>
      </c>
      <c r="E262" s="43">
        <v>46002.529071516205</v>
      </c>
      <c r="F262" s="1">
        <v>46002</v>
      </c>
      <c r="G262" s="43">
        <v>46007.875858877313</v>
      </c>
      <c r="H262" t="s">
        <v>2686</v>
      </c>
      <c r="I262" t="s">
        <v>2681</v>
      </c>
      <c r="J262" t="s">
        <v>2735</v>
      </c>
      <c r="L262" t="s">
        <v>2336</v>
      </c>
      <c r="M262">
        <v>818862028802</v>
      </c>
      <c r="N262" t="s">
        <v>2702</v>
      </c>
      <c r="O262" s="1">
        <v>45673</v>
      </c>
      <c r="T262" t="s">
        <v>2662</v>
      </c>
      <c r="U262" t="s">
        <v>3321</v>
      </c>
      <c r="V262">
        <v>3</v>
      </c>
      <c r="W262" t="s">
        <v>2704</v>
      </c>
      <c r="X262">
        <v>1</v>
      </c>
      <c r="Y262" t="s">
        <v>2717</v>
      </c>
      <c r="AA262">
        <v>16898656902</v>
      </c>
      <c r="AB262" t="s">
        <v>1078</v>
      </c>
      <c r="AC262">
        <v>0</v>
      </c>
      <c r="AD262">
        <v>50</v>
      </c>
      <c r="AE262">
        <v>1689865690250</v>
      </c>
      <c r="AF262" t="s">
        <v>3319</v>
      </c>
      <c r="AG262">
        <v>1</v>
      </c>
      <c r="AH262">
        <v>0</v>
      </c>
    </row>
    <row r="263" spans="1:34">
      <c r="A263">
        <v>2025</v>
      </c>
      <c r="B263" s="1">
        <v>45992</v>
      </c>
      <c r="C263" t="s">
        <v>2657</v>
      </c>
      <c r="D263" t="s">
        <v>3322</v>
      </c>
      <c r="E263" s="43">
        <v>45995.840340150462</v>
      </c>
      <c r="F263" s="1">
        <v>45995</v>
      </c>
      <c r="G263" s="43">
        <v>45999.505093449072</v>
      </c>
      <c r="H263" t="s">
        <v>2686</v>
      </c>
      <c r="I263" t="s">
        <v>2669</v>
      </c>
      <c r="J263" t="s">
        <v>2735</v>
      </c>
      <c r="L263" t="s">
        <v>2408</v>
      </c>
      <c r="M263">
        <v>160165983902</v>
      </c>
      <c r="N263" t="s">
        <v>2746</v>
      </c>
      <c r="O263" s="1">
        <v>45680</v>
      </c>
      <c r="T263" t="s">
        <v>2662</v>
      </c>
      <c r="U263" t="s">
        <v>3323</v>
      </c>
      <c r="V263">
        <v>2</v>
      </c>
      <c r="W263" t="s">
        <v>2664</v>
      </c>
      <c r="X263">
        <v>1</v>
      </c>
      <c r="Y263" t="s">
        <v>2665</v>
      </c>
      <c r="AA263">
        <v>160165983902</v>
      </c>
      <c r="AB263" t="s">
        <v>2221</v>
      </c>
      <c r="AC263">
        <v>0</v>
      </c>
      <c r="AD263">
        <v>49</v>
      </c>
      <c r="AE263">
        <v>16016598390249</v>
      </c>
      <c r="AF263" t="s">
        <v>3324</v>
      </c>
      <c r="AG263">
        <v>1</v>
      </c>
      <c r="AH263">
        <v>1</v>
      </c>
    </row>
    <row r="264" spans="1:34">
      <c r="A264">
        <v>2025</v>
      </c>
      <c r="B264" s="1">
        <v>45962</v>
      </c>
      <c r="C264" t="s">
        <v>2657</v>
      </c>
      <c r="D264" t="s">
        <v>3325</v>
      </c>
      <c r="E264" s="43">
        <v>45965.546375532409</v>
      </c>
      <c r="F264" s="1">
        <v>45965</v>
      </c>
      <c r="G264" s="43">
        <v>45965.546375532409</v>
      </c>
      <c r="H264" t="s">
        <v>2802</v>
      </c>
      <c r="I264" t="s">
        <v>2669</v>
      </c>
      <c r="J264" t="s">
        <v>2735</v>
      </c>
      <c r="L264" t="s">
        <v>2408</v>
      </c>
      <c r="M264">
        <v>24383333802</v>
      </c>
      <c r="N264" t="s">
        <v>2746</v>
      </c>
      <c r="O264" s="1">
        <v>45661</v>
      </c>
      <c r="T264" t="s">
        <v>2662</v>
      </c>
      <c r="U264" t="s">
        <v>3326</v>
      </c>
      <c r="V264">
        <v>0</v>
      </c>
      <c r="W264" t="s">
        <v>2677</v>
      </c>
      <c r="X264">
        <v>1</v>
      </c>
      <c r="Y264" t="s">
        <v>2695</v>
      </c>
      <c r="AA264">
        <v>24383333802</v>
      </c>
      <c r="AB264" t="s">
        <v>1342</v>
      </c>
      <c r="AC264">
        <v>0</v>
      </c>
      <c r="AD264">
        <v>45</v>
      </c>
      <c r="AE264">
        <v>2438333380245</v>
      </c>
      <c r="AF264" t="s">
        <v>3327</v>
      </c>
      <c r="AG264">
        <v>1</v>
      </c>
      <c r="AH264">
        <v>1</v>
      </c>
    </row>
    <row r="265" spans="1:34">
      <c r="A265">
        <v>2025</v>
      </c>
      <c r="B265" s="1">
        <v>45962</v>
      </c>
      <c r="C265" t="s">
        <v>2657</v>
      </c>
      <c r="D265" t="s">
        <v>3328</v>
      </c>
      <c r="E265" s="43">
        <v>45967.70326170139</v>
      </c>
      <c r="F265" s="1">
        <v>45967</v>
      </c>
      <c r="G265" s="43">
        <v>45972.79019890046</v>
      </c>
      <c r="H265" t="s">
        <v>2802</v>
      </c>
      <c r="I265" t="s">
        <v>2669</v>
      </c>
      <c r="J265" t="s">
        <v>2735</v>
      </c>
      <c r="L265" t="s">
        <v>2408</v>
      </c>
      <c r="M265">
        <v>24383333802</v>
      </c>
      <c r="N265" t="s">
        <v>2746</v>
      </c>
      <c r="O265" s="1">
        <v>45661</v>
      </c>
      <c r="T265" t="s">
        <v>2662</v>
      </c>
      <c r="U265" t="s">
        <v>3329</v>
      </c>
      <c r="V265">
        <v>3</v>
      </c>
      <c r="W265" t="s">
        <v>2677</v>
      </c>
      <c r="X265">
        <v>1</v>
      </c>
      <c r="Y265" t="s">
        <v>2779</v>
      </c>
      <c r="AA265">
        <v>24383333802</v>
      </c>
      <c r="AB265" t="s">
        <v>1342</v>
      </c>
      <c r="AC265">
        <v>0</v>
      </c>
      <c r="AD265">
        <v>45</v>
      </c>
      <c r="AE265">
        <v>2438333380245</v>
      </c>
      <c r="AF265" t="s">
        <v>3327</v>
      </c>
      <c r="AG265">
        <v>0</v>
      </c>
      <c r="AH265">
        <v>0</v>
      </c>
    </row>
    <row r="266" spans="1:34">
      <c r="A266">
        <v>2025</v>
      </c>
      <c r="B266" s="1">
        <v>45962</v>
      </c>
      <c r="C266" t="s">
        <v>2657</v>
      </c>
      <c r="D266" s="44" t="s">
        <v>3330</v>
      </c>
      <c r="E266" s="43">
        <v>45966.522875706018</v>
      </c>
      <c r="F266" s="1">
        <v>45966</v>
      </c>
      <c r="G266" s="43">
        <v>45966.522875706018</v>
      </c>
      <c r="H266" t="s">
        <v>2802</v>
      </c>
      <c r="I266" t="s">
        <v>2669</v>
      </c>
      <c r="J266" t="s">
        <v>2735</v>
      </c>
      <c r="L266" t="s">
        <v>2408</v>
      </c>
      <c r="M266">
        <v>24383333802</v>
      </c>
      <c r="N266" t="s">
        <v>2746</v>
      </c>
      <c r="O266" s="1">
        <v>45661</v>
      </c>
      <c r="T266" t="s">
        <v>2662</v>
      </c>
      <c r="U266" t="s">
        <v>3331</v>
      </c>
      <c r="V266">
        <v>0</v>
      </c>
      <c r="W266" t="s">
        <v>2671</v>
      </c>
      <c r="X266">
        <v>1</v>
      </c>
      <c r="Y266" t="s">
        <v>2695</v>
      </c>
      <c r="AA266">
        <v>24383333802</v>
      </c>
      <c r="AB266" t="s">
        <v>1342</v>
      </c>
      <c r="AC266">
        <v>0</v>
      </c>
      <c r="AD266">
        <v>45</v>
      </c>
      <c r="AE266">
        <v>2438333380245</v>
      </c>
      <c r="AF266" t="s">
        <v>3327</v>
      </c>
      <c r="AG266">
        <v>0</v>
      </c>
      <c r="AH266">
        <v>0</v>
      </c>
    </row>
    <row r="267" spans="1:34">
      <c r="A267">
        <v>2025</v>
      </c>
      <c r="B267" s="1">
        <v>45962</v>
      </c>
      <c r="C267" t="s">
        <v>2657</v>
      </c>
      <c r="D267" t="s">
        <v>3332</v>
      </c>
      <c r="E267" s="43">
        <v>45968.754064652778</v>
      </c>
      <c r="F267" s="1">
        <v>45968</v>
      </c>
      <c r="G267" s="43">
        <v>45968.754064652778</v>
      </c>
      <c r="H267" t="s">
        <v>2802</v>
      </c>
      <c r="I267" t="s">
        <v>2669</v>
      </c>
      <c r="J267" t="s">
        <v>2735</v>
      </c>
      <c r="L267" t="s">
        <v>2408</v>
      </c>
      <c r="M267">
        <v>24383333802</v>
      </c>
      <c r="N267" t="s">
        <v>2746</v>
      </c>
      <c r="O267" s="1">
        <v>45661</v>
      </c>
      <c r="T267" t="s">
        <v>2662</v>
      </c>
      <c r="U267" t="s">
        <v>3333</v>
      </c>
      <c r="V267">
        <v>0</v>
      </c>
      <c r="W267" t="s">
        <v>2677</v>
      </c>
      <c r="X267">
        <v>1</v>
      </c>
      <c r="Y267" t="s">
        <v>2695</v>
      </c>
      <c r="AA267">
        <v>24383333802</v>
      </c>
      <c r="AB267" t="s">
        <v>1342</v>
      </c>
      <c r="AC267">
        <v>0</v>
      </c>
      <c r="AD267">
        <v>45</v>
      </c>
      <c r="AE267">
        <v>2438333380245</v>
      </c>
      <c r="AF267" t="s">
        <v>3327</v>
      </c>
      <c r="AG267">
        <v>0</v>
      </c>
      <c r="AH267">
        <v>0</v>
      </c>
    </row>
    <row r="268" spans="1:34">
      <c r="A268">
        <v>2025</v>
      </c>
      <c r="B268" s="1">
        <v>45962</v>
      </c>
      <c r="C268" t="s">
        <v>2657</v>
      </c>
      <c r="D268" t="s">
        <v>3334</v>
      </c>
      <c r="E268" s="43">
        <v>45975.786717083334</v>
      </c>
      <c r="F268" s="1">
        <v>45975</v>
      </c>
      <c r="G268" s="43">
        <v>45985.518806701388</v>
      </c>
      <c r="H268" t="s">
        <v>2802</v>
      </c>
      <c r="I268" t="s">
        <v>2681</v>
      </c>
      <c r="J268" t="s">
        <v>2735</v>
      </c>
      <c r="L268" t="s">
        <v>2408</v>
      </c>
      <c r="M268">
        <v>24383333802</v>
      </c>
      <c r="N268" t="s">
        <v>2746</v>
      </c>
      <c r="O268" s="1">
        <v>45661</v>
      </c>
      <c r="T268" t="s">
        <v>2662</v>
      </c>
      <c r="U268" t="s">
        <v>3335</v>
      </c>
      <c r="V268">
        <v>6</v>
      </c>
      <c r="W268" t="s">
        <v>2677</v>
      </c>
      <c r="X268">
        <v>1</v>
      </c>
      <c r="Y268" t="s">
        <v>2678</v>
      </c>
      <c r="AA268">
        <v>24383333802</v>
      </c>
      <c r="AB268" t="s">
        <v>1342</v>
      </c>
      <c r="AC268">
        <v>0</v>
      </c>
      <c r="AD268">
        <v>46</v>
      </c>
      <c r="AE268">
        <v>2438333380246</v>
      </c>
      <c r="AF268" t="s">
        <v>3327</v>
      </c>
      <c r="AG268">
        <v>0</v>
      </c>
      <c r="AH268">
        <v>0</v>
      </c>
    </row>
    <row r="269" spans="1:34">
      <c r="A269">
        <v>2025</v>
      </c>
      <c r="B269" s="1">
        <v>45962</v>
      </c>
      <c r="C269" t="s">
        <v>2657</v>
      </c>
      <c r="D269" t="s">
        <v>3336</v>
      </c>
      <c r="E269" s="43">
        <v>45975.694443703702</v>
      </c>
      <c r="F269" s="1">
        <v>45975</v>
      </c>
      <c r="G269" s="43">
        <v>45985.529798298609</v>
      </c>
      <c r="H269" t="s">
        <v>2802</v>
      </c>
      <c r="I269" t="s">
        <v>2681</v>
      </c>
      <c r="J269" t="s">
        <v>2735</v>
      </c>
      <c r="L269" t="s">
        <v>2408</v>
      </c>
      <c r="M269">
        <v>24383333802</v>
      </c>
      <c r="N269" t="s">
        <v>2746</v>
      </c>
      <c r="O269" s="1">
        <v>45661</v>
      </c>
      <c r="T269" t="s">
        <v>2662</v>
      </c>
      <c r="U269" t="s">
        <v>3337</v>
      </c>
      <c r="V269">
        <v>6</v>
      </c>
      <c r="W269" t="s">
        <v>2677</v>
      </c>
      <c r="X269">
        <v>1</v>
      </c>
      <c r="Y269" t="s">
        <v>2772</v>
      </c>
      <c r="Z269" t="s">
        <v>2684</v>
      </c>
      <c r="AA269">
        <v>24383333802</v>
      </c>
      <c r="AB269" t="s">
        <v>1342</v>
      </c>
      <c r="AC269">
        <v>0</v>
      </c>
      <c r="AD269">
        <v>46</v>
      </c>
      <c r="AE269">
        <v>2438333380246</v>
      </c>
      <c r="AF269" t="s">
        <v>3327</v>
      </c>
      <c r="AG269">
        <v>0</v>
      </c>
      <c r="AH269">
        <v>0</v>
      </c>
    </row>
    <row r="270" spans="1:34">
      <c r="A270">
        <v>2025</v>
      </c>
      <c r="B270" s="1">
        <v>45962</v>
      </c>
      <c r="C270" t="s">
        <v>2657</v>
      </c>
      <c r="D270" t="s">
        <v>3338</v>
      </c>
      <c r="E270" s="43">
        <v>45974.860205532408</v>
      </c>
      <c r="F270" s="1">
        <v>45974</v>
      </c>
      <c r="G270" s="43">
        <v>45974.860205532408</v>
      </c>
      <c r="H270" t="s">
        <v>2802</v>
      </c>
      <c r="I270" t="s">
        <v>2681</v>
      </c>
      <c r="J270" t="s">
        <v>2735</v>
      </c>
      <c r="L270" t="s">
        <v>2408</v>
      </c>
      <c r="M270">
        <v>24383333802</v>
      </c>
      <c r="N270" t="s">
        <v>2746</v>
      </c>
      <c r="O270" s="1">
        <v>45661</v>
      </c>
      <c r="T270" t="s">
        <v>2662</v>
      </c>
      <c r="U270" t="s">
        <v>3339</v>
      </c>
      <c r="V270">
        <v>0</v>
      </c>
      <c r="W270" t="s">
        <v>2671</v>
      </c>
      <c r="X270">
        <v>1</v>
      </c>
      <c r="Y270" t="s">
        <v>2695</v>
      </c>
      <c r="AA270">
        <v>24383333802</v>
      </c>
      <c r="AB270" t="s">
        <v>1342</v>
      </c>
      <c r="AC270">
        <v>0</v>
      </c>
      <c r="AD270">
        <v>46</v>
      </c>
      <c r="AE270">
        <v>2438333380246</v>
      </c>
      <c r="AF270" t="s">
        <v>3327</v>
      </c>
      <c r="AG270">
        <v>0</v>
      </c>
      <c r="AH270">
        <v>0</v>
      </c>
    </row>
    <row r="271" spans="1:34">
      <c r="A271">
        <v>2025</v>
      </c>
      <c r="B271" s="1">
        <v>45962</v>
      </c>
      <c r="C271" t="s">
        <v>2657</v>
      </c>
      <c r="D271" t="s">
        <v>3340</v>
      </c>
      <c r="E271" s="43">
        <v>45975.692645011572</v>
      </c>
      <c r="F271" s="1">
        <v>45975</v>
      </c>
      <c r="G271" s="43">
        <v>45980.751801516206</v>
      </c>
      <c r="H271" t="s">
        <v>2802</v>
      </c>
      <c r="I271" t="s">
        <v>2681</v>
      </c>
      <c r="J271" t="s">
        <v>2735</v>
      </c>
      <c r="L271" t="s">
        <v>2408</v>
      </c>
      <c r="M271">
        <v>24383333802</v>
      </c>
      <c r="N271" t="s">
        <v>2746</v>
      </c>
      <c r="O271" s="1">
        <v>45661</v>
      </c>
      <c r="T271" t="s">
        <v>2662</v>
      </c>
      <c r="U271" t="s">
        <v>3341</v>
      </c>
      <c r="V271">
        <v>3</v>
      </c>
      <c r="W271" t="s">
        <v>2677</v>
      </c>
      <c r="X271">
        <v>1</v>
      </c>
      <c r="Y271" t="s">
        <v>2779</v>
      </c>
      <c r="AA271">
        <v>24383333802</v>
      </c>
      <c r="AB271" t="s">
        <v>1342</v>
      </c>
      <c r="AC271">
        <v>0</v>
      </c>
      <c r="AD271">
        <v>46</v>
      </c>
      <c r="AE271">
        <v>2438333380246</v>
      </c>
      <c r="AF271" t="s">
        <v>3327</v>
      </c>
      <c r="AG271">
        <v>0</v>
      </c>
      <c r="AH271">
        <v>0</v>
      </c>
    </row>
    <row r="272" spans="1:34">
      <c r="A272">
        <v>2025</v>
      </c>
      <c r="B272" s="1">
        <v>45962</v>
      </c>
      <c r="C272" t="s">
        <v>2657</v>
      </c>
      <c r="D272" t="s">
        <v>3342</v>
      </c>
      <c r="E272" s="43">
        <v>45974.652600590278</v>
      </c>
      <c r="F272" s="1">
        <v>45974</v>
      </c>
      <c r="G272" s="43">
        <v>45975.729462164352</v>
      </c>
      <c r="H272" t="s">
        <v>2802</v>
      </c>
      <c r="I272" t="s">
        <v>2681</v>
      </c>
      <c r="J272" t="s">
        <v>2735</v>
      </c>
      <c r="L272" t="s">
        <v>2408</v>
      </c>
      <c r="M272">
        <v>24383333802</v>
      </c>
      <c r="N272" t="s">
        <v>2746</v>
      </c>
      <c r="O272" s="1">
        <v>45661</v>
      </c>
      <c r="T272" t="s">
        <v>2662</v>
      </c>
      <c r="U272" t="s">
        <v>3343</v>
      </c>
      <c r="V272">
        <v>1</v>
      </c>
      <c r="W272" t="s">
        <v>2677</v>
      </c>
      <c r="X272">
        <v>1</v>
      </c>
      <c r="Y272" t="s">
        <v>2760</v>
      </c>
      <c r="AA272">
        <v>24383333802</v>
      </c>
      <c r="AB272" t="s">
        <v>1342</v>
      </c>
      <c r="AC272">
        <v>0</v>
      </c>
      <c r="AD272">
        <v>46</v>
      </c>
      <c r="AE272">
        <v>2438333380246</v>
      </c>
      <c r="AF272" t="s">
        <v>3327</v>
      </c>
      <c r="AG272">
        <v>0</v>
      </c>
      <c r="AH272">
        <v>0</v>
      </c>
    </row>
    <row r="273" spans="1:34">
      <c r="A273">
        <v>2025</v>
      </c>
      <c r="B273" s="1">
        <v>45962</v>
      </c>
      <c r="C273" t="s">
        <v>2657</v>
      </c>
      <c r="D273" t="s">
        <v>3344</v>
      </c>
      <c r="E273" s="43">
        <v>45972.543819837963</v>
      </c>
      <c r="F273" s="1">
        <v>45972</v>
      </c>
      <c r="G273" s="43">
        <v>45975.686274108797</v>
      </c>
      <c r="H273" t="s">
        <v>2802</v>
      </c>
      <c r="I273" t="s">
        <v>2681</v>
      </c>
      <c r="J273" t="s">
        <v>2735</v>
      </c>
      <c r="L273" t="s">
        <v>2408</v>
      </c>
      <c r="M273">
        <v>24383333802</v>
      </c>
      <c r="N273" t="s">
        <v>2746</v>
      </c>
      <c r="O273" s="1">
        <v>45661</v>
      </c>
      <c r="T273" t="s">
        <v>2662</v>
      </c>
      <c r="U273" t="s">
        <v>3345</v>
      </c>
      <c r="V273">
        <v>3</v>
      </c>
      <c r="W273" t="s">
        <v>2677</v>
      </c>
      <c r="X273">
        <v>1</v>
      </c>
      <c r="Y273" t="s">
        <v>2779</v>
      </c>
      <c r="AA273">
        <v>24383333802</v>
      </c>
      <c r="AB273" t="s">
        <v>1342</v>
      </c>
      <c r="AC273">
        <v>0</v>
      </c>
      <c r="AD273">
        <v>46</v>
      </c>
      <c r="AE273">
        <v>2438333380246</v>
      </c>
      <c r="AF273" t="s">
        <v>3327</v>
      </c>
      <c r="AG273">
        <v>1</v>
      </c>
      <c r="AH273">
        <v>0</v>
      </c>
    </row>
    <row r="274" spans="1:34">
      <c r="A274">
        <v>2025</v>
      </c>
      <c r="B274" s="1">
        <v>45962</v>
      </c>
      <c r="C274" t="s">
        <v>2657</v>
      </c>
      <c r="D274" t="s">
        <v>3346</v>
      </c>
      <c r="E274" s="43">
        <v>45989.678836076389</v>
      </c>
      <c r="F274" s="1">
        <v>45989</v>
      </c>
      <c r="G274" s="43">
        <v>45992.534724201389</v>
      </c>
      <c r="H274" t="s">
        <v>2802</v>
      </c>
      <c r="I274" t="s">
        <v>2660</v>
      </c>
      <c r="J274" t="s">
        <v>2735</v>
      </c>
      <c r="L274" t="s">
        <v>2408</v>
      </c>
      <c r="M274">
        <v>24383333802</v>
      </c>
      <c r="N274" t="s">
        <v>2746</v>
      </c>
      <c r="O274" s="1">
        <v>45661</v>
      </c>
      <c r="T274" t="s">
        <v>2662</v>
      </c>
      <c r="U274" t="s">
        <v>3347</v>
      </c>
      <c r="V274">
        <v>1</v>
      </c>
      <c r="W274" t="s">
        <v>2677</v>
      </c>
      <c r="X274">
        <v>1</v>
      </c>
      <c r="Y274" t="s">
        <v>2760</v>
      </c>
      <c r="AA274">
        <v>24383333802</v>
      </c>
      <c r="AB274" t="s">
        <v>1342</v>
      </c>
      <c r="AC274">
        <v>0</v>
      </c>
      <c r="AD274">
        <v>48</v>
      </c>
      <c r="AE274">
        <v>2438333380248</v>
      </c>
      <c r="AF274" t="s">
        <v>3327</v>
      </c>
      <c r="AG274">
        <v>0</v>
      </c>
      <c r="AH274">
        <v>0</v>
      </c>
    </row>
    <row r="275" spans="1:34">
      <c r="A275">
        <v>2025</v>
      </c>
      <c r="B275" s="1">
        <v>45962</v>
      </c>
      <c r="C275" t="s">
        <v>2657</v>
      </c>
      <c r="D275" t="s">
        <v>3348</v>
      </c>
      <c r="E275" s="43">
        <v>45985.840830972222</v>
      </c>
      <c r="F275" s="1">
        <v>45985</v>
      </c>
      <c r="G275" s="43">
        <v>45986.757533622687</v>
      </c>
      <c r="H275" t="s">
        <v>2802</v>
      </c>
      <c r="I275" t="s">
        <v>2660</v>
      </c>
      <c r="J275" t="s">
        <v>2735</v>
      </c>
      <c r="L275" t="s">
        <v>2408</v>
      </c>
      <c r="M275">
        <v>24383333802</v>
      </c>
      <c r="N275" t="s">
        <v>2746</v>
      </c>
      <c r="O275" s="1">
        <v>45661</v>
      </c>
      <c r="T275" t="s">
        <v>2662</v>
      </c>
      <c r="U275" t="s">
        <v>3349</v>
      </c>
      <c r="V275">
        <v>1</v>
      </c>
      <c r="W275" t="s">
        <v>2664</v>
      </c>
      <c r="X275">
        <v>1</v>
      </c>
      <c r="Y275" t="s">
        <v>2665</v>
      </c>
      <c r="AA275">
        <v>24383333802</v>
      </c>
      <c r="AB275" t="s">
        <v>1342</v>
      </c>
      <c r="AC275">
        <v>0</v>
      </c>
      <c r="AD275">
        <v>48</v>
      </c>
      <c r="AE275">
        <v>2438333380248</v>
      </c>
      <c r="AF275" t="s">
        <v>3327</v>
      </c>
      <c r="AG275">
        <v>1</v>
      </c>
      <c r="AH275">
        <v>0</v>
      </c>
    </row>
    <row r="276" spans="1:34">
      <c r="A276">
        <v>2025</v>
      </c>
      <c r="B276" s="1">
        <v>45962</v>
      </c>
      <c r="C276" t="s">
        <v>2657</v>
      </c>
      <c r="D276" t="s">
        <v>3350</v>
      </c>
      <c r="E276" s="43">
        <v>45987.80539671296</v>
      </c>
      <c r="F276" s="1">
        <v>45987</v>
      </c>
      <c r="G276" s="43">
        <v>45988.515370810186</v>
      </c>
      <c r="H276" t="s">
        <v>2802</v>
      </c>
      <c r="I276" t="s">
        <v>2660</v>
      </c>
      <c r="J276" t="s">
        <v>2735</v>
      </c>
      <c r="L276" t="s">
        <v>2408</v>
      </c>
      <c r="M276">
        <v>24383333802</v>
      </c>
      <c r="N276" t="s">
        <v>2746</v>
      </c>
      <c r="O276" s="1">
        <v>45661</v>
      </c>
      <c r="T276" t="s">
        <v>2662</v>
      </c>
      <c r="U276" t="s">
        <v>3351</v>
      </c>
      <c r="V276">
        <v>1</v>
      </c>
      <c r="W276" t="s">
        <v>2671</v>
      </c>
      <c r="X276">
        <v>1</v>
      </c>
      <c r="Y276" t="s">
        <v>2683</v>
      </c>
      <c r="AA276">
        <v>24383333802</v>
      </c>
      <c r="AB276" t="s">
        <v>1342</v>
      </c>
      <c r="AC276">
        <v>0</v>
      </c>
      <c r="AD276">
        <v>48</v>
      </c>
      <c r="AE276">
        <v>2438333380248</v>
      </c>
      <c r="AF276" t="s">
        <v>3327</v>
      </c>
      <c r="AG276">
        <v>0</v>
      </c>
      <c r="AH276">
        <v>0</v>
      </c>
    </row>
    <row r="277" spans="1:34">
      <c r="A277">
        <v>2026</v>
      </c>
      <c r="B277" s="1">
        <v>46054</v>
      </c>
      <c r="C277" t="s">
        <v>2657</v>
      </c>
      <c r="D277" t="s">
        <v>3352</v>
      </c>
      <c r="E277" s="43">
        <v>46058.832614004627</v>
      </c>
      <c r="F277" s="1">
        <v>46058</v>
      </c>
      <c r="G277" s="43">
        <v>46059.528954525464</v>
      </c>
      <c r="H277" t="s">
        <v>2725</v>
      </c>
      <c r="I277" t="s">
        <v>2669</v>
      </c>
      <c r="J277" t="s">
        <v>38</v>
      </c>
      <c r="L277" t="s">
        <v>2347</v>
      </c>
      <c r="M277">
        <v>128837707402</v>
      </c>
      <c r="N277" t="s">
        <v>2675</v>
      </c>
      <c r="O277" s="1">
        <v>45669</v>
      </c>
      <c r="T277" t="s">
        <v>2662</v>
      </c>
      <c r="U277" t="s">
        <v>3353</v>
      </c>
      <c r="V277">
        <v>1</v>
      </c>
      <c r="W277" t="s">
        <v>2664</v>
      </c>
      <c r="X277">
        <v>1</v>
      </c>
      <c r="Y277" t="s">
        <v>2760</v>
      </c>
      <c r="AA277">
        <v>128837707402</v>
      </c>
      <c r="AB277" t="s">
        <v>390</v>
      </c>
      <c r="AC277">
        <v>0</v>
      </c>
      <c r="AD277">
        <v>6</v>
      </c>
      <c r="AE277">
        <v>1288377074026</v>
      </c>
      <c r="AF277" t="s">
        <v>3354</v>
      </c>
      <c r="AG277">
        <v>0</v>
      </c>
      <c r="AH277">
        <v>0</v>
      </c>
    </row>
    <row r="278" spans="1:34">
      <c r="A278">
        <v>2026</v>
      </c>
      <c r="B278" s="1">
        <v>46054</v>
      </c>
      <c r="C278" t="s">
        <v>2657</v>
      </c>
      <c r="D278" s="44" t="s">
        <v>3355</v>
      </c>
      <c r="E278" s="43">
        <v>46058.693331585651</v>
      </c>
      <c r="F278" s="1">
        <v>46058</v>
      </c>
      <c r="G278" s="43">
        <v>46059.528607777778</v>
      </c>
      <c r="H278" t="s">
        <v>2725</v>
      </c>
      <c r="I278" t="s">
        <v>2669</v>
      </c>
      <c r="J278" t="s">
        <v>38</v>
      </c>
      <c r="L278" t="s">
        <v>2347</v>
      </c>
      <c r="M278">
        <v>128837707402</v>
      </c>
      <c r="N278" t="s">
        <v>2675</v>
      </c>
      <c r="O278" s="1">
        <v>45669</v>
      </c>
      <c r="T278" t="s">
        <v>2662</v>
      </c>
      <c r="U278" t="s">
        <v>3356</v>
      </c>
      <c r="V278">
        <v>1</v>
      </c>
      <c r="W278" t="s">
        <v>2664</v>
      </c>
      <c r="X278">
        <v>1</v>
      </c>
      <c r="Y278" t="s">
        <v>2760</v>
      </c>
      <c r="AA278">
        <v>128837707402</v>
      </c>
      <c r="AB278" t="s">
        <v>390</v>
      </c>
      <c r="AC278">
        <v>0</v>
      </c>
      <c r="AD278">
        <v>6</v>
      </c>
      <c r="AE278">
        <v>1288377074026</v>
      </c>
      <c r="AF278" t="s">
        <v>3354</v>
      </c>
      <c r="AG278">
        <v>1</v>
      </c>
      <c r="AH278">
        <v>1</v>
      </c>
    </row>
    <row r="279" spans="1:34">
      <c r="A279">
        <v>2026</v>
      </c>
      <c r="B279" s="1">
        <v>46054</v>
      </c>
      <c r="C279" t="s">
        <v>2657</v>
      </c>
      <c r="D279" t="s">
        <v>3357</v>
      </c>
      <c r="E279" s="43">
        <v>46059.705577222223</v>
      </c>
      <c r="F279" s="1">
        <v>46059</v>
      </c>
      <c r="G279" s="43">
        <v>46064.577776122685</v>
      </c>
      <c r="H279" t="s">
        <v>2725</v>
      </c>
      <c r="I279" t="s">
        <v>2669</v>
      </c>
      <c r="J279" t="s">
        <v>38</v>
      </c>
      <c r="L279" t="s">
        <v>2347</v>
      </c>
      <c r="M279">
        <v>128837707402</v>
      </c>
      <c r="N279" t="s">
        <v>2675</v>
      </c>
      <c r="O279" s="1">
        <v>45669</v>
      </c>
      <c r="T279" t="s">
        <v>2662</v>
      </c>
      <c r="U279" t="s">
        <v>3358</v>
      </c>
      <c r="V279">
        <v>3</v>
      </c>
      <c r="W279" t="s">
        <v>2664</v>
      </c>
      <c r="X279">
        <v>1</v>
      </c>
      <c r="Y279" t="s">
        <v>2760</v>
      </c>
      <c r="AA279">
        <v>128837707402</v>
      </c>
      <c r="AB279" t="s">
        <v>390</v>
      </c>
      <c r="AC279">
        <v>0</v>
      </c>
      <c r="AD279">
        <v>6</v>
      </c>
      <c r="AE279">
        <v>1288377074026</v>
      </c>
      <c r="AF279" t="s">
        <v>3354</v>
      </c>
      <c r="AG279">
        <v>0</v>
      </c>
      <c r="AH279">
        <v>0</v>
      </c>
    </row>
    <row r="280" spans="1:34">
      <c r="A280">
        <v>2026</v>
      </c>
      <c r="B280" s="1">
        <v>46054</v>
      </c>
      <c r="C280" t="s">
        <v>2657</v>
      </c>
      <c r="D280" t="s">
        <v>3359</v>
      </c>
      <c r="E280" s="43">
        <v>46058.770975752312</v>
      </c>
      <c r="F280" s="1">
        <v>46058</v>
      </c>
      <c r="G280" s="43">
        <v>46058.770975752312</v>
      </c>
      <c r="H280" t="s">
        <v>2725</v>
      </c>
      <c r="I280" t="s">
        <v>2669</v>
      </c>
      <c r="J280" t="s">
        <v>38</v>
      </c>
      <c r="L280" t="s">
        <v>2347</v>
      </c>
      <c r="M280">
        <v>128837707402</v>
      </c>
      <c r="N280" t="s">
        <v>2675</v>
      </c>
      <c r="O280" s="1">
        <v>45669</v>
      </c>
      <c r="T280" t="s">
        <v>2662</v>
      </c>
      <c r="U280" t="s">
        <v>3360</v>
      </c>
      <c r="V280">
        <v>0</v>
      </c>
      <c r="W280" t="s">
        <v>2664</v>
      </c>
      <c r="X280">
        <v>1</v>
      </c>
      <c r="Y280" t="s">
        <v>2695</v>
      </c>
      <c r="AA280">
        <v>128837707402</v>
      </c>
      <c r="AB280" t="s">
        <v>390</v>
      </c>
      <c r="AC280">
        <v>0</v>
      </c>
      <c r="AD280">
        <v>6</v>
      </c>
      <c r="AE280">
        <v>1288377074026</v>
      </c>
      <c r="AF280" t="s">
        <v>3354</v>
      </c>
      <c r="AG280">
        <v>0</v>
      </c>
      <c r="AH280">
        <v>0</v>
      </c>
    </row>
    <row r="281" spans="1:34">
      <c r="A281">
        <v>2026</v>
      </c>
      <c r="B281" s="1">
        <v>46054</v>
      </c>
      <c r="C281" t="s">
        <v>2657</v>
      </c>
      <c r="D281" t="s">
        <v>3361</v>
      </c>
      <c r="E281" s="43">
        <v>46064.552952175924</v>
      </c>
      <c r="F281" s="1">
        <v>46064</v>
      </c>
      <c r="G281" s="43">
        <v>46064.577941238429</v>
      </c>
      <c r="H281" t="s">
        <v>2725</v>
      </c>
      <c r="I281" t="s">
        <v>2681</v>
      </c>
      <c r="J281" t="s">
        <v>38</v>
      </c>
      <c r="L281" t="s">
        <v>2347</v>
      </c>
      <c r="M281">
        <v>128837707402</v>
      </c>
      <c r="N281" t="s">
        <v>2675</v>
      </c>
      <c r="O281" s="1">
        <v>45669</v>
      </c>
      <c r="T281" t="s">
        <v>2662</v>
      </c>
      <c r="U281" t="s">
        <v>3362</v>
      </c>
      <c r="V281">
        <v>0</v>
      </c>
      <c r="X281">
        <v>1</v>
      </c>
      <c r="AA281">
        <v>128837707402</v>
      </c>
      <c r="AB281" t="s">
        <v>390</v>
      </c>
      <c r="AC281">
        <v>0</v>
      </c>
      <c r="AD281">
        <v>7</v>
      </c>
      <c r="AE281">
        <v>1288377074027</v>
      </c>
      <c r="AF281" t="s">
        <v>3354</v>
      </c>
      <c r="AG281">
        <v>1</v>
      </c>
      <c r="AH281">
        <v>0</v>
      </c>
    </row>
    <row r="282" spans="1:34">
      <c r="A282">
        <v>2026</v>
      </c>
      <c r="B282" s="1">
        <v>46082</v>
      </c>
      <c r="C282" t="s">
        <v>2657</v>
      </c>
      <c r="D282" t="s">
        <v>3363</v>
      </c>
      <c r="E282" s="43">
        <v>46084.730572638888</v>
      </c>
      <c r="F282" s="1">
        <v>46084</v>
      </c>
      <c r="G282" s="43">
        <v>46084.730572638888</v>
      </c>
      <c r="H282" t="s">
        <v>2668</v>
      </c>
      <c r="I282" t="s">
        <v>2669</v>
      </c>
      <c r="J282" t="s">
        <v>38</v>
      </c>
      <c r="L282" t="s">
        <v>2381</v>
      </c>
      <c r="M282">
        <v>809933053402</v>
      </c>
      <c r="N282" t="s">
        <v>2702</v>
      </c>
      <c r="O282" s="1">
        <v>45669</v>
      </c>
      <c r="T282" t="s">
        <v>2662</v>
      </c>
      <c r="U282" t="s">
        <v>3364</v>
      </c>
      <c r="V282">
        <v>0</v>
      </c>
      <c r="W282" t="s">
        <v>2704</v>
      </c>
      <c r="X282">
        <v>1</v>
      </c>
      <c r="Y282" t="s">
        <v>2699</v>
      </c>
      <c r="AA282">
        <v>24558652202</v>
      </c>
      <c r="AB282" t="s">
        <v>102</v>
      </c>
      <c r="AC282">
        <v>0</v>
      </c>
      <c r="AD282">
        <v>10</v>
      </c>
      <c r="AE282">
        <v>2455865220210</v>
      </c>
      <c r="AF282" t="s">
        <v>3365</v>
      </c>
      <c r="AG282">
        <v>0</v>
      </c>
      <c r="AH282">
        <v>0</v>
      </c>
    </row>
    <row r="283" spans="1:34">
      <c r="A283">
        <v>2026</v>
      </c>
      <c r="B283" s="1">
        <v>46082</v>
      </c>
      <c r="C283" t="s">
        <v>2657</v>
      </c>
      <c r="D283" t="s">
        <v>3366</v>
      </c>
      <c r="E283" s="43">
        <v>46084.606534386578</v>
      </c>
      <c r="F283" s="1">
        <v>46084</v>
      </c>
      <c r="G283" s="43">
        <v>46093.562164050927</v>
      </c>
      <c r="H283" t="s">
        <v>2668</v>
      </c>
      <c r="I283" t="s">
        <v>2669</v>
      </c>
      <c r="J283" t="s">
        <v>38</v>
      </c>
      <c r="L283" t="s">
        <v>2381</v>
      </c>
      <c r="M283">
        <v>24558652202</v>
      </c>
      <c r="N283" t="s">
        <v>2702</v>
      </c>
      <c r="O283" s="1">
        <v>45669</v>
      </c>
      <c r="T283" t="s">
        <v>2662</v>
      </c>
      <c r="U283" t="s">
        <v>3367</v>
      </c>
      <c r="V283">
        <v>7</v>
      </c>
      <c r="W283" t="s">
        <v>2985</v>
      </c>
      <c r="X283">
        <v>1</v>
      </c>
      <c r="Y283" t="s">
        <v>2985</v>
      </c>
      <c r="AA283">
        <v>24558652202</v>
      </c>
      <c r="AB283" t="s">
        <v>102</v>
      </c>
      <c r="AC283">
        <v>0</v>
      </c>
      <c r="AD283">
        <v>10</v>
      </c>
      <c r="AE283">
        <v>2455865220210</v>
      </c>
      <c r="AF283" t="s">
        <v>3365</v>
      </c>
      <c r="AG283">
        <v>0</v>
      </c>
      <c r="AH283">
        <v>0</v>
      </c>
    </row>
    <row r="284" spans="1:34">
      <c r="A284">
        <v>2026</v>
      </c>
      <c r="B284" s="1">
        <v>46082</v>
      </c>
      <c r="C284" t="s">
        <v>2657</v>
      </c>
      <c r="D284" t="s">
        <v>3368</v>
      </c>
      <c r="E284" s="43">
        <v>46083.876431053242</v>
      </c>
      <c r="F284" s="1">
        <v>46083</v>
      </c>
      <c r="G284" s="43">
        <v>46086.535791979164</v>
      </c>
      <c r="H284" t="s">
        <v>2668</v>
      </c>
      <c r="I284" t="s">
        <v>2669</v>
      </c>
      <c r="J284" t="s">
        <v>38</v>
      </c>
      <c r="L284" t="s">
        <v>2381</v>
      </c>
      <c r="M284">
        <v>24558652202</v>
      </c>
      <c r="N284" t="s">
        <v>2702</v>
      </c>
      <c r="O284" s="1">
        <v>45669</v>
      </c>
      <c r="T284" t="s">
        <v>2662</v>
      </c>
      <c r="U284" t="s">
        <v>3369</v>
      </c>
      <c r="V284">
        <v>3</v>
      </c>
      <c r="W284" t="s">
        <v>2704</v>
      </c>
      <c r="X284">
        <v>1</v>
      </c>
      <c r="Y284" t="s">
        <v>2760</v>
      </c>
      <c r="AA284">
        <v>24558652202</v>
      </c>
      <c r="AB284" t="s">
        <v>102</v>
      </c>
      <c r="AC284">
        <v>0</v>
      </c>
      <c r="AD284">
        <v>10</v>
      </c>
      <c r="AE284">
        <v>2455865220210</v>
      </c>
      <c r="AF284" t="s">
        <v>3365</v>
      </c>
      <c r="AG284">
        <v>0</v>
      </c>
      <c r="AH284">
        <v>0</v>
      </c>
    </row>
    <row r="285" spans="1:34">
      <c r="A285">
        <v>2026</v>
      </c>
      <c r="B285" s="1">
        <v>46082</v>
      </c>
      <c r="C285" t="s">
        <v>2657</v>
      </c>
      <c r="D285" t="s">
        <v>3370</v>
      </c>
      <c r="E285" s="43">
        <v>46087.573467245369</v>
      </c>
      <c r="F285" s="1">
        <v>46087</v>
      </c>
      <c r="G285" s="43">
        <v>46087.573467245369</v>
      </c>
      <c r="H285" t="s">
        <v>2668</v>
      </c>
      <c r="I285" t="s">
        <v>2669</v>
      </c>
      <c r="J285" t="s">
        <v>38</v>
      </c>
      <c r="L285" t="s">
        <v>2381</v>
      </c>
      <c r="M285">
        <v>24558652202</v>
      </c>
      <c r="N285" t="s">
        <v>2702</v>
      </c>
      <c r="O285" s="1">
        <v>45669</v>
      </c>
      <c r="T285" t="s">
        <v>2798</v>
      </c>
      <c r="U285" t="s">
        <v>3371</v>
      </c>
      <c r="V285">
        <v>5</v>
      </c>
      <c r="W285" t="s">
        <v>2704</v>
      </c>
      <c r="X285">
        <v>0</v>
      </c>
      <c r="AA285">
        <v>24558652202</v>
      </c>
      <c r="AB285" t="s">
        <v>102</v>
      </c>
      <c r="AC285">
        <v>0</v>
      </c>
      <c r="AD285">
        <v>10</v>
      </c>
      <c r="AE285">
        <v>2455865220210</v>
      </c>
      <c r="AF285" t="s">
        <v>3365</v>
      </c>
      <c r="AG285">
        <v>0</v>
      </c>
      <c r="AH285">
        <v>0</v>
      </c>
    </row>
    <row r="286" spans="1:34">
      <c r="A286">
        <v>2026</v>
      </c>
      <c r="B286" s="1">
        <v>46082</v>
      </c>
      <c r="C286" t="s">
        <v>2657</v>
      </c>
      <c r="D286" t="s">
        <v>3372</v>
      </c>
      <c r="E286" s="43">
        <v>46083.811682534724</v>
      </c>
      <c r="F286" s="1">
        <v>46083</v>
      </c>
      <c r="G286" s="43">
        <v>46086.535754155091</v>
      </c>
      <c r="H286" t="s">
        <v>2668</v>
      </c>
      <c r="I286" t="s">
        <v>2669</v>
      </c>
      <c r="J286" t="s">
        <v>38</v>
      </c>
      <c r="L286" t="s">
        <v>2381</v>
      </c>
      <c r="M286">
        <v>24558652202</v>
      </c>
      <c r="N286" t="s">
        <v>2702</v>
      </c>
      <c r="O286" s="1">
        <v>45669</v>
      </c>
      <c r="T286" t="s">
        <v>2662</v>
      </c>
      <c r="U286" t="s">
        <v>3373</v>
      </c>
      <c r="V286">
        <v>3</v>
      </c>
      <c r="W286" t="s">
        <v>2704</v>
      </c>
      <c r="X286">
        <v>1</v>
      </c>
      <c r="Y286" t="s">
        <v>2760</v>
      </c>
      <c r="AA286">
        <v>24558652202</v>
      </c>
      <c r="AB286" t="s">
        <v>102</v>
      </c>
      <c r="AC286">
        <v>0</v>
      </c>
      <c r="AD286">
        <v>10</v>
      </c>
      <c r="AE286">
        <v>2455865220210</v>
      </c>
      <c r="AF286" t="s">
        <v>3365</v>
      </c>
      <c r="AG286">
        <v>0</v>
      </c>
      <c r="AH286">
        <v>0</v>
      </c>
    </row>
    <row r="287" spans="1:34">
      <c r="A287">
        <v>2026</v>
      </c>
      <c r="B287" s="1">
        <v>46082</v>
      </c>
      <c r="C287" t="s">
        <v>2657</v>
      </c>
      <c r="D287" t="s">
        <v>3374</v>
      </c>
      <c r="E287" s="43">
        <v>46086.87298388889</v>
      </c>
      <c r="F287" s="1">
        <v>46086</v>
      </c>
      <c r="G287" s="43">
        <v>46093.563242337965</v>
      </c>
      <c r="H287" t="s">
        <v>2668</v>
      </c>
      <c r="I287" t="s">
        <v>2669</v>
      </c>
      <c r="J287" t="s">
        <v>38</v>
      </c>
      <c r="L287" t="s">
        <v>2381</v>
      </c>
      <c r="M287">
        <v>24558652202</v>
      </c>
      <c r="N287" t="s">
        <v>2702</v>
      </c>
      <c r="O287" s="1">
        <v>45669</v>
      </c>
      <c r="T287" t="s">
        <v>2662</v>
      </c>
      <c r="U287" t="s">
        <v>3375</v>
      </c>
      <c r="V287">
        <v>5</v>
      </c>
      <c r="W287" t="s">
        <v>2677</v>
      </c>
      <c r="X287">
        <v>1</v>
      </c>
      <c r="Y287" t="s">
        <v>2760</v>
      </c>
      <c r="AA287">
        <v>24558652202</v>
      </c>
      <c r="AB287" t="s">
        <v>102</v>
      </c>
      <c r="AC287">
        <v>0</v>
      </c>
      <c r="AD287">
        <v>10</v>
      </c>
      <c r="AE287">
        <v>2455865220210</v>
      </c>
      <c r="AF287" t="s">
        <v>3365</v>
      </c>
      <c r="AG287">
        <v>0</v>
      </c>
      <c r="AH287">
        <v>0</v>
      </c>
    </row>
    <row r="288" spans="1:34">
      <c r="A288">
        <v>2026</v>
      </c>
      <c r="B288" s="1">
        <v>46082</v>
      </c>
      <c r="C288" t="s">
        <v>2657</v>
      </c>
      <c r="D288" t="s">
        <v>3376</v>
      </c>
      <c r="E288" s="43">
        <v>46085.566994143519</v>
      </c>
      <c r="F288" s="1">
        <v>46085</v>
      </c>
      <c r="G288" s="43">
        <v>46085.566994143519</v>
      </c>
      <c r="H288" t="s">
        <v>2668</v>
      </c>
      <c r="I288" t="s">
        <v>2669</v>
      </c>
      <c r="J288" t="s">
        <v>38</v>
      </c>
      <c r="L288" t="s">
        <v>2381</v>
      </c>
      <c r="M288">
        <v>727234475902</v>
      </c>
      <c r="N288" t="s">
        <v>2702</v>
      </c>
      <c r="O288" s="1">
        <v>45669</v>
      </c>
      <c r="T288" t="s">
        <v>2798</v>
      </c>
      <c r="U288" t="s">
        <v>3377</v>
      </c>
      <c r="V288">
        <v>7</v>
      </c>
      <c r="X288">
        <v>0</v>
      </c>
      <c r="Y288" t="s">
        <v>2721</v>
      </c>
      <c r="AA288">
        <v>24558652202</v>
      </c>
      <c r="AB288" t="s">
        <v>102</v>
      </c>
      <c r="AC288">
        <v>0</v>
      </c>
      <c r="AD288">
        <v>10</v>
      </c>
      <c r="AE288">
        <v>2455865220210</v>
      </c>
      <c r="AF288" t="s">
        <v>3365</v>
      </c>
      <c r="AG288">
        <v>0</v>
      </c>
      <c r="AH288">
        <v>0</v>
      </c>
    </row>
    <row r="289" spans="1:34">
      <c r="A289">
        <v>2026</v>
      </c>
      <c r="B289" s="1">
        <v>46082</v>
      </c>
      <c r="C289" t="s">
        <v>2657</v>
      </c>
      <c r="D289" s="44" t="s">
        <v>3378</v>
      </c>
      <c r="E289" s="43">
        <v>46083.68894172454</v>
      </c>
      <c r="F289" s="1">
        <v>46083</v>
      </c>
      <c r="G289" s="43">
        <v>46083.68894172454</v>
      </c>
      <c r="H289" t="s">
        <v>2668</v>
      </c>
      <c r="I289" t="s">
        <v>2669</v>
      </c>
      <c r="J289" t="s">
        <v>38</v>
      </c>
      <c r="L289" t="s">
        <v>2381</v>
      </c>
      <c r="M289">
        <v>939067158802</v>
      </c>
      <c r="N289" t="s">
        <v>2702</v>
      </c>
      <c r="O289" s="1">
        <v>45669</v>
      </c>
      <c r="T289" t="s">
        <v>2798</v>
      </c>
      <c r="U289" t="s">
        <v>3379</v>
      </c>
      <c r="V289">
        <v>9</v>
      </c>
      <c r="W289" t="s">
        <v>2671</v>
      </c>
      <c r="X289">
        <v>0</v>
      </c>
      <c r="Y289" t="s">
        <v>2985</v>
      </c>
      <c r="AA289">
        <v>24558652202</v>
      </c>
      <c r="AB289" t="s">
        <v>102</v>
      </c>
      <c r="AC289">
        <v>0</v>
      </c>
      <c r="AD289">
        <v>10</v>
      </c>
      <c r="AE289">
        <v>2455865220210</v>
      </c>
      <c r="AF289" t="s">
        <v>3365</v>
      </c>
      <c r="AG289">
        <v>1</v>
      </c>
      <c r="AH289">
        <v>1</v>
      </c>
    </row>
    <row r="290" spans="1:34">
      <c r="A290">
        <v>2026</v>
      </c>
      <c r="B290" s="1">
        <v>46082</v>
      </c>
      <c r="C290" t="s">
        <v>2657</v>
      </c>
      <c r="D290" t="s">
        <v>3380</v>
      </c>
      <c r="E290" s="43">
        <v>46083.773069641204</v>
      </c>
      <c r="F290" s="1">
        <v>46083</v>
      </c>
      <c r="G290" s="43">
        <v>46091.790419513891</v>
      </c>
      <c r="H290" t="s">
        <v>2668</v>
      </c>
      <c r="I290" t="s">
        <v>2669</v>
      </c>
      <c r="J290" t="s">
        <v>38</v>
      </c>
      <c r="L290" t="s">
        <v>2381</v>
      </c>
      <c r="M290">
        <v>939067158802</v>
      </c>
      <c r="N290" t="s">
        <v>2702</v>
      </c>
      <c r="O290" s="1">
        <v>45669</v>
      </c>
      <c r="T290" t="s">
        <v>2662</v>
      </c>
      <c r="U290" t="s">
        <v>3381</v>
      </c>
      <c r="V290">
        <v>6</v>
      </c>
      <c r="W290" t="s">
        <v>2704</v>
      </c>
      <c r="X290">
        <v>1</v>
      </c>
      <c r="Y290" t="s">
        <v>2721</v>
      </c>
      <c r="AA290">
        <v>24558652202</v>
      </c>
      <c r="AB290" t="s">
        <v>102</v>
      </c>
      <c r="AC290">
        <v>0</v>
      </c>
      <c r="AD290">
        <v>10</v>
      </c>
      <c r="AE290">
        <v>2455865220210</v>
      </c>
      <c r="AF290" t="s">
        <v>3365</v>
      </c>
      <c r="AG290">
        <v>0</v>
      </c>
      <c r="AH290">
        <v>0</v>
      </c>
    </row>
    <row r="291" spans="1:34">
      <c r="A291">
        <v>2026</v>
      </c>
      <c r="B291" s="1">
        <v>46082</v>
      </c>
      <c r="C291" t="s">
        <v>2657</v>
      </c>
      <c r="D291" t="s">
        <v>3382</v>
      </c>
      <c r="E291" s="43">
        <v>46091.624121967594</v>
      </c>
      <c r="F291" s="1">
        <v>46091</v>
      </c>
      <c r="G291" s="43">
        <v>46091.624121967594</v>
      </c>
      <c r="H291" t="s">
        <v>2668</v>
      </c>
      <c r="I291" t="s">
        <v>2681</v>
      </c>
      <c r="J291" t="s">
        <v>38</v>
      </c>
      <c r="L291" t="s">
        <v>2381</v>
      </c>
      <c r="M291">
        <v>809933053402</v>
      </c>
      <c r="N291" t="s">
        <v>2702</v>
      </c>
      <c r="O291" s="1">
        <v>45669</v>
      </c>
      <c r="T291" t="s">
        <v>2662</v>
      </c>
      <c r="U291" t="s">
        <v>3383</v>
      </c>
      <c r="V291">
        <v>0</v>
      </c>
      <c r="X291">
        <v>1</v>
      </c>
      <c r="Y291" t="s">
        <v>2695</v>
      </c>
      <c r="AA291">
        <v>24558652202</v>
      </c>
      <c r="AB291" t="s">
        <v>102</v>
      </c>
      <c r="AC291">
        <v>0</v>
      </c>
      <c r="AD291">
        <v>11</v>
      </c>
      <c r="AE291">
        <v>2455865220211</v>
      </c>
      <c r="AF291" t="s">
        <v>3365</v>
      </c>
      <c r="AG291">
        <v>0</v>
      </c>
      <c r="AH291">
        <v>0</v>
      </c>
    </row>
    <row r="292" spans="1:34">
      <c r="A292">
        <v>2026</v>
      </c>
      <c r="B292" s="1">
        <v>46082</v>
      </c>
      <c r="C292" t="s">
        <v>2657</v>
      </c>
      <c r="D292" t="s">
        <v>3384</v>
      </c>
      <c r="E292" s="43">
        <v>46094.599186041669</v>
      </c>
      <c r="F292" s="1">
        <v>46094</v>
      </c>
      <c r="G292" s="43">
        <v>46094.599186041669</v>
      </c>
      <c r="H292" t="s">
        <v>2668</v>
      </c>
      <c r="I292" t="s">
        <v>2681</v>
      </c>
      <c r="J292" t="s">
        <v>38</v>
      </c>
      <c r="L292" t="s">
        <v>2381</v>
      </c>
      <c r="M292">
        <v>24558652202</v>
      </c>
      <c r="N292" t="s">
        <v>2702</v>
      </c>
      <c r="O292" s="1">
        <v>45669</v>
      </c>
      <c r="T292" t="s">
        <v>2662</v>
      </c>
      <c r="U292" t="s">
        <v>3385</v>
      </c>
      <c r="V292">
        <v>0</v>
      </c>
      <c r="W292" t="s">
        <v>2704</v>
      </c>
      <c r="X292">
        <v>1</v>
      </c>
      <c r="Y292" t="s">
        <v>2721</v>
      </c>
      <c r="AA292">
        <v>24558652202</v>
      </c>
      <c r="AB292" t="s">
        <v>102</v>
      </c>
      <c r="AC292">
        <v>1</v>
      </c>
      <c r="AD292">
        <v>11</v>
      </c>
      <c r="AE292">
        <v>2455865220211</v>
      </c>
      <c r="AF292" t="s">
        <v>3365</v>
      </c>
      <c r="AG292">
        <v>0</v>
      </c>
      <c r="AH292">
        <v>0</v>
      </c>
    </row>
    <row r="293" spans="1:34">
      <c r="A293">
        <v>2026</v>
      </c>
      <c r="B293" s="1">
        <v>46082</v>
      </c>
      <c r="C293" t="s">
        <v>2657</v>
      </c>
      <c r="D293" t="s">
        <v>3386</v>
      </c>
      <c r="E293" s="43">
        <v>46091.691534004633</v>
      </c>
      <c r="F293" s="1">
        <v>46091</v>
      </c>
      <c r="G293" s="43">
        <v>46093.561721689817</v>
      </c>
      <c r="H293" t="s">
        <v>2668</v>
      </c>
      <c r="I293" t="s">
        <v>2681</v>
      </c>
      <c r="J293" t="s">
        <v>38</v>
      </c>
      <c r="L293" t="s">
        <v>2381</v>
      </c>
      <c r="M293">
        <v>24558652202</v>
      </c>
      <c r="N293" t="s">
        <v>2702</v>
      </c>
      <c r="O293" s="1">
        <v>45669</v>
      </c>
      <c r="T293" t="s">
        <v>2662</v>
      </c>
      <c r="U293" t="s">
        <v>3387</v>
      </c>
      <c r="V293">
        <v>2</v>
      </c>
      <c r="W293" t="s">
        <v>2704</v>
      </c>
      <c r="X293">
        <v>1</v>
      </c>
      <c r="Y293" t="s">
        <v>2699</v>
      </c>
      <c r="AA293">
        <v>24558652202</v>
      </c>
      <c r="AB293" t="s">
        <v>102</v>
      </c>
      <c r="AC293">
        <v>0</v>
      </c>
      <c r="AD293">
        <v>11</v>
      </c>
      <c r="AE293">
        <v>2455865220211</v>
      </c>
      <c r="AF293" t="s">
        <v>3365</v>
      </c>
      <c r="AG293">
        <v>0</v>
      </c>
      <c r="AH293">
        <v>0</v>
      </c>
    </row>
    <row r="294" spans="1:34">
      <c r="A294">
        <v>2026</v>
      </c>
      <c r="B294" s="1">
        <v>46082</v>
      </c>
      <c r="C294" t="s">
        <v>2657</v>
      </c>
      <c r="D294" t="s">
        <v>3388</v>
      </c>
      <c r="E294" s="43">
        <v>46093.564471851852</v>
      </c>
      <c r="F294" s="1">
        <v>46093</v>
      </c>
      <c r="G294" s="43">
        <v>46093.564471851852</v>
      </c>
      <c r="H294" t="s">
        <v>2668</v>
      </c>
      <c r="I294" t="s">
        <v>2681</v>
      </c>
      <c r="J294" t="s">
        <v>38</v>
      </c>
      <c r="L294" t="s">
        <v>2381</v>
      </c>
      <c r="M294">
        <v>24558652202</v>
      </c>
      <c r="N294" t="s">
        <v>2702</v>
      </c>
      <c r="O294" s="1">
        <v>45669</v>
      </c>
      <c r="T294" t="s">
        <v>2662</v>
      </c>
      <c r="U294" t="s">
        <v>3389</v>
      </c>
      <c r="V294">
        <v>0</v>
      </c>
      <c r="W294" t="s">
        <v>2664</v>
      </c>
      <c r="X294">
        <v>1</v>
      </c>
      <c r="Y294" t="s">
        <v>2710</v>
      </c>
      <c r="AA294">
        <v>24558652202</v>
      </c>
      <c r="AB294" t="s">
        <v>102</v>
      </c>
      <c r="AC294">
        <v>0</v>
      </c>
      <c r="AD294">
        <v>11</v>
      </c>
      <c r="AE294">
        <v>2455865220211</v>
      </c>
      <c r="AF294" t="s">
        <v>3365</v>
      </c>
      <c r="AG294">
        <v>0</v>
      </c>
      <c r="AH294">
        <v>0</v>
      </c>
    </row>
    <row r="295" spans="1:34">
      <c r="A295">
        <v>2026</v>
      </c>
      <c r="B295" s="1">
        <v>46082</v>
      </c>
      <c r="C295" t="s">
        <v>2657</v>
      </c>
      <c r="D295" t="s">
        <v>3390</v>
      </c>
      <c r="E295" s="43">
        <v>46093.817063229166</v>
      </c>
      <c r="F295" s="1">
        <v>46093</v>
      </c>
      <c r="G295" s="43">
        <v>46094.595030671298</v>
      </c>
      <c r="H295" t="s">
        <v>2668</v>
      </c>
      <c r="I295" t="s">
        <v>2681</v>
      </c>
      <c r="J295" t="s">
        <v>38</v>
      </c>
      <c r="L295" t="s">
        <v>2381</v>
      </c>
      <c r="M295">
        <v>24558652202</v>
      </c>
      <c r="N295" t="s">
        <v>2702</v>
      </c>
      <c r="O295" s="1">
        <v>45669</v>
      </c>
      <c r="T295" t="s">
        <v>2662</v>
      </c>
      <c r="U295" t="s">
        <v>3391</v>
      </c>
      <c r="V295">
        <v>1</v>
      </c>
      <c r="W295" t="s">
        <v>2704</v>
      </c>
      <c r="X295">
        <v>1</v>
      </c>
      <c r="Y295" t="s">
        <v>2721</v>
      </c>
      <c r="AA295">
        <v>24558652202</v>
      </c>
      <c r="AB295" t="s">
        <v>102</v>
      </c>
      <c r="AC295">
        <v>0</v>
      </c>
      <c r="AD295">
        <v>11</v>
      </c>
      <c r="AE295">
        <v>2455865220211</v>
      </c>
      <c r="AF295" t="s">
        <v>3365</v>
      </c>
      <c r="AG295">
        <v>0</v>
      </c>
      <c r="AH295">
        <v>0</v>
      </c>
    </row>
    <row r="296" spans="1:34">
      <c r="A296">
        <v>2026</v>
      </c>
      <c r="B296" s="1">
        <v>46082</v>
      </c>
      <c r="C296" t="s">
        <v>2657</v>
      </c>
      <c r="D296" t="s">
        <v>3392</v>
      </c>
      <c r="E296" s="43">
        <v>46091.704323622682</v>
      </c>
      <c r="F296" s="1">
        <v>46091</v>
      </c>
      <c r="G296" s="43">
        <v>46091.704323622682</v>
      </c>
      <c r="H296" t="s">
        <v>2668</v>
      </c>
      <c r="I296" t="s">
        <v>2681</v>
      </c>
      <c r="J296" t="s">
        <v>38</v>
      </c>
      <c r="L296" t="s">
        <v>2381</v>
      </c>
      <c r="M296">
        <v>727234475902</v>
      </c>
      <c r="N296" t="s">
        <v>2702</v>
      </c>
      <c r="O296" s="1">
        <v>45669</v>
      </c>
      <c r="T296" t="s">
        <v>2662</v>
      </c>
      <c r="U296" t="s">
        <v>3393</v>
      </c>
      <c r="V296">
        <v>0</v>
      </c>
      <c r="X296">
        <v>1</v>
      </c>
      <c r="Y296" t="s">
        <v>2721</v>
      </c>
      <c r="AA296">
        <v>24558652202</v>
      </c>
      <c r="AB296" t="s">
        <v>102</v>
      </c>
      <c r="AC296">
        <v>0</v>
      </c>
      <c r="AD296">
        <v>11</v>
      </c>
      <c r="AE296">
        <v>2455865220211</v>
      </c>
      <c r="AF296" t="s">
        <v>3365</v>
      </c>
      <c r="AG296">
        <v>0</v>
      </c>
      <c r="AH296">
        <v>0</v>
      </c>
    </row>
    <row r="297" spans="1:34">
      <c r="A297">
        <v>2026</v>
      </c>
      <c r="B297" s="1">
        <v>46082</v>
      </c>
      <c r="C297" t="s">
        <v>2657</v>
      </c>
      <c r="D297" s="44" t="s">
        <v>3394</v>
      </c>
      <c r="E297" s="43">
        <v>46090.765861932872</v>
      </c>
      <c r="F297" s="1">
        <v>46090</v>
      </c>
      <c r="G297" s="43">
        <v>46090.765861932872</v>
      </c>
      <c r="H297" t="s">
        <v>2668</v>
      </c>
      <c r="I297" t="s">
        <v>2681</v>
      </c>
      <c r="J297" t="s">
        <v>38</v>
      </c>
      <c r="L297" t="s">
        <v>2381</v>
      </c>
      <c r="M297">
        <v>727234475902</v>
      </c>
      <c r="N297" t="s">
        <v>2702</v>
      </c>
      <c r="O297" s="1">
        <v>45669</v>
      </c>
      <c r="T297" t="s">
        <v>2662</v>
      </c>
      <c r="U297" t="s">
        <v>3395</v>
      </c>
      <c r="V297">
        <v>0</v>
      </c>
      <c r="W297" t="s">
        <v>2704</v>
      </c>
      <c r="X297">
        <v>1</v>
      </c>
      <c r="Y297" t="s">
        <v>2721</v>
      </c>
      <c r="AA297">
        <v>24558652202</v>
      </c>
      <c r="AB297" t="s">
        <v>102</v>
      </c>
      <c r="AC297">
        <v>0</v>
      </c>
      <c r="AD297">
        <v>11</v>
      </c>
      <c r="AE297">
        <v>2455865220211</v>
      </c>
      <c r="AF297" t="s">
        <v>3365</v>
      </c>
      <c r="AG297">
        <v>0</v>
      </c>
      <c r="AH297">
        <v>0</v>
      </c>
    </row>
    <row r="298" spans="1:34">
      <c r="A298">
        <v>2026</v>
      </c>
      <c r="B298" s="1">
        <v>46082</v>
      </c>
      <c r="C298" t="s">
        <v>2657</v>
      </c>
      <c r="D298" t="s">
        <v>3396</v>
      </c>
      <c r="E298" s="43">
        <v>46090.642955625</v>
      </c>
      <c r="F298" s="1">
        <v>46090</v>
      </c>
      <c r="G298" s="43">
        <v>46091.789139583336</v>
      </c>
      <c r="H298" t="s">
        <v>2668</v>
      </c>
      <c r="I298" t="s">
        <v>2681</v>
      </c>
      <c r="J298" t="s">
        <v>38</v>
      </c>
      <c r="L298" t="s">
        <v>2381</v>
      </c>
      <c r="M298">
        <v>939067158802</v>
      </c>
      <c r="N298" t="s">
        <v>2702</v>
      </c>
      <c r="O298" s="1">
        <v>45669</v>
      </c>
      <c r="T298" t="s">
        <v>2662</v>
      </c>
      <c r="U298" t="s">
        <v>3397</v>
      </c>
      <c r="V298">
        <v>1</v>
      </c>
      <c r="W298" t="s">
        <v>2704</v>
      </c>
      <c r="X298">
        <v>1</v>
      </c>
      <c r="Y298" t="s">
        <v>2721</v>
      </c>
      <c r="AA298">
        <v>24558652202</v>
      </c>
      <c r="AB298" t="s">
        <v>102</v>
      </c>
      <c r="AC298">
        <v>0</v>
      </c>
      <c r="AD298">
        <v>11</v>
      </c>
      <c r="AE298">
        <v>2455865220211</v>
      </c>
      <c r="AF298" t="s">
        <v>3365</v>
      </c>
      <c r="AG298">
        <v>1</v>
      </c>
      <c r="AH298">
        <v>0</v>
      </c>
    </row>
    <row r="299" spans="1:34">
      <c r="A299">
        <v>2025</v>
      </c>
      <c r="B299" s="1">
        <v>45931</v>
      </c>
      <c r="C299" t="s">
        <v>2657</v>
      </c>
      <c r="D299" t="s">
        <v>3398</v>
      </c>
      <c r="E299" s="43">
        <v>45958.630879340279</v>
      </c>
      <c r="F299" s="1">
        <v>45958</v>
      </c>
      <c r="G299" s="43">
        <v>45993.781143148146</v>
      </c>
      <c r="H299" t="s">
        <v>2659</v>
      </c>
      <c r="I299" t="s">
        <v>2660</v>
      </c>
      <c r="J299" t="s">
        <v>2735</v>
      </c>
      <c r="L299" t="s">
        <v>2362</v>
      </c>
      <c r="M299">
        <v>45146550802</v>
      </c>
      <c r="N299" t="s">
        <v>2746</v>
      </c>
      <c r="O299" s="1">
        <v>45751</v>
      </c>
      <c r="T299" t="s">
        <v>2662</v>
      </c>
      <c r="U299" t="s">
        <v>3399</v>
      </c>
      <c r="V299">
        <v>25</v>
      </c>
      <c r="W299" t="s">
        <v>2664</v>
      </c>
      <c r="X299">
        <v>1</v>
      </c>
      <c r="Y299" t="s">
        <v>2665</v>
      </c>
      <c r="AA299">
        <v>45146550802</v>
      </c>
      <c r="AB299" t="s">
        <v>2008</v>
      </c>
      <c r="AC299">
        <v>0</v>
      </c>
      <c r="AD299">
        <v>44</v>
      </c>
      <c r="AE299">
        <v>4514655080244</v>
      </c>
      <c r="AF299" t="s">
        <v>3400</v>
      </c>
      <c r="AG299">
        <v>1</v>
      </c>
      <c r="AH299">
        <v>1</v>
      </c>
    </row>
    <row r="300" spans="1:34">
      <c r="A300">
        <v>2025</v>
      </c>
      <c r="B300" s="1">
        <v>45901</v>
      </c>
      <c r="C300" t="s">
        <v>2657</v>
      </c>
      <c r="D300" s="44" t="s">
        <v>3401</v>
      </c>
      <c r="E300" s="43">
        <v>45904.793601168982</v>
      </c>
      <c r="F300" s="1">
        <v>45904</v>
      </c>
      <c r="G300" s="43">
        <v>45904.793601168982</v>
      </c>
      <c r="H300" t="s">
        <v>2734</v>
      </c>
      <c r="I300" t="s">
        <v>2669</v>
      </c>
      <c r="J300" t="s">
        <v>38</v>
      </c>
      <c r="L300" t="s">
        <v>2342</v>
      </c>
      <c r="M300">
        <v>98385811302</v>
      </c>
      <c r="N300" t="s">
        <v>2702</v>
      </c>
      <c r="O300" s="1">
        <v>45294</v>
      </c>
      <c r="T300" t="s">
        <v>2662</v>
      </c>
      <c r="U300" t="s">
        <v>3402</v>
      </c>
      <c r="V300">
        <v>0</v>
      </c>
      <c r="W300" t="s">
        <v>2985</v>
      </c>
      <c r="X300">
        <v>1</v>
      </c>
      <c r="Y300" t="s">
        <v>2764</v>
      </c>
      <c r="AA300">
        <v>98385811302</v>
      </c>
      <c r="AB300" t="s">
        <v>1591</v>
      </c>
      <c r="AC300">
        <v>0</v>
      </c>
      <c r="AD300">
        <v>36</v>
      </c>
      <c r="AE300">
        <v>9838581130236</v>
      </c>
      <c r="AF300" t="s">
        <v>3403</v>
      </c>
      <c r="AG300">
        <v>0</v>
      </c>
      <c r="AH300">
        <v>0</v>
      </c>
    </row>
    <row r="301" spans="1:34">
      <c r="A301">
        <v>2025</v>
      </c>
      <c r="B301" s="1">
        <v>45901</v>
      </c>
      <c r="C301" t="s">
        <v>2657</v>
      </c>
      <c r="D301" t="s">
        <v>3404</v>
      </c>
      <c r="E301" s="43">
        <v>45904.79161601852</v>
      </c>
      <c r="F301" s="1">
        <v>45904</v>
      </c>
      <c r="G301" s="43">
        <v>45936.561439363424</v>
      </c>
      <c r="H301" t="s">
        <v>2734</v>
      </c>
      <c r="I301" t="s">
        <v>2669</v>
      </c>
      <c r="J301" t="s">
        <v>38</v>
      </c>
      <c r="L301" t="s">
        <v>2342</v>
      </c>
      <c r="M301">
        <v>98385811302</v>
      </c>
      <c r="N301" t="s">
        <v>2702</v>
      </c>
      <c r="O301" s="1">
        <v>45294</v>
      </c>
      <c r="T301" t="s">
        <v>2662</v>
      </c>
      <c r="U301" t="s">
        <v>3405</v>
      </c>
      <c r="V301">
        <v>22</v>
      </c>
      <c r="W301" t="s">
        <v>2664</v>
      </c>
      <c r="X301">
        <v>1</v>
      </c>
      <c r="Y301" t="s">
        <v>2757</v>
      </c>
      <c r="AA301">
        <v>98385811302</v>
      </c>
      <c r="AB301" t="s">
        <v>1591</v>
      </c>
      <c r="AC301">
        <v>0</v>
      </c>
      <c r="AD301">
        <v>36</v>
      </c>
      <c r="AE301">
        <v>9838581130236</v>
      </c>
      <c r="AF301" t="s">
        <v>3403</v>
      </c>
      <c r="AG301">
        <v>1</v>
      </c>
      <c r="AH301">
        <v>1</v>
      </c>
    </row>
    <row r="302" spans="1:34">
      <c r="A302">
        <v>2026</v>
      </c>
      <c r="B302" s="1">
        <v>46023</v>
      </c>
      <c r="C302" t="s">
        <v>2657</v>
      </c>
      <c r="D302" t="s">
        <v>3406</v>
      </c>
      <c r="E302" s="43">
        <v>46029.845970856484</v>
      </c>
      <c r="F302" s="1">
        <v>46029</v>
      </c>
      <c r="G302" s="43">
        <v>46031.530637141201</v>
      </c>
      <c r="H302" t="s">
        <v>2701</v>
      </c>
      <c r="I302" t="s">
        <v>2669</v>
      </c>
      <c r="J302" t="s">
        <v>37</v>
      </c>
      <c r="L302" t="s">
        <v>2351</v>
      </c>
      <c r="M302">
        <v>219314571102</v>
      </c>
      <c r="N302" t="s">
        <v>2661</v>
      </c>
      <c r="O302" s="1">
        <v>45835</v>
      </c>
      <c r="T302" t="s">
        <v>2662</v>
      </c>
      <c r="U302" t="s">
        <v>3407</v>
      </c>
      <c r="V302">
        <v>2</v>
      </c>
      <c r="W302" t="s">
        <v>2671</v>
      </c>
      <c r="X302">
        <v>1</v>
      </c>
      <c r="Y302" t="s">
        <v>2672</v>
      </c>
      <c r="AA302">
        <v>551856008602</v>
      </c>
      <c r="AB302" t="s">
        <v>1248</v>
      </c>
      <c r="AC302">
        <v>0</v>
      </c>
      <c r="AD302">
        <v>2</v>
      </c>
      <c r="AE302">
        <v>5518560086022</v>
      </c>
      <c r="AF302" t="s">
        <v>3408</v>
      </c>
      <c r="AG302">
        <v>1</v>
      </c>
      <c r="AH302">
        <v>1</v>
      </c>
    </row>
    <row r="303" spans="1:34">
      <c r="A303">
        <v>2026</v>
      </c>
      <c r="B303" s="1">
        <v>46023</v>
      </c>
      <c r="C303" t="s">
        <v>2657</v>
      </c>
      <c r="D303" t="s">
        <v>3409</v>
      </c>
      <c r="E303" s="43">
        <v>46041.823863414349</v>
      </c>
      <c r="F303" s="1">
        <v>46041</v>
      </c>
      <c r="G303" s="43">
        <v>46044.683078101851</v>
      </c>
      <c r="H303" t="s">
        <v>2701</v>
      </c>
      <c r="I303" t="s">
        <v>2719</v>
      </c>
      <c r="J303" t="s">
        <v>37</v>
      </c>
      <c r="L303" t="s">
        <v>2351</v>
      </c>
      <c r="M303">
        <v>219314571102</v>
      </c>
      <c r="N303" t="s">
        <v>2661</v>
      </c>
      <c r="O303" s="1">
        <v>45835</v>
      </c>
      <c r="T303" t="s">
        <v>2662</v>
      </c>
      <c r="U303" t="s">
        <v>3410</v>
      </c>
      <c r="V303">
        <v>3</v>
      </c>
      <c r="W303" t="s">
        <v>2671</v>
      </c>
      <c r="X303">
        <v>1</v>
      </c>
      <c r="Y303" t="s">
        <v>2683</v>
      </c>
      <c r="AA303">
        <v>551856008602</v>
      </c>
      <c r="AB303" t="s">
        <v>1248</v>
      </c>
      <c r="AC303">
        <v>0</v>
      </c>
      <c r="AD303">
        <v>4</v>
      </c>
      <c r="AE303">
        <v>5518560086024</v>
      </c>
      <c r="AF303" t="s">
        <v>3408</v>
      </c>
      <c r="AG303">
        <v>1</v>
      </c>
      <c r="AH303">
        <v>0</v>
      </c>
    </row>
    <row r="304" spans="1:34">
      <c r="A304">
        <v>2025</v>
      </c>
      <c r="B304" s="1">
        <v>45839</v>
      </c>
      <c r="C304" t="s">
        <v>2657</v>
      </c>
      <c r="D304" s="44" t="s">
        <v>3411</v>
      </c>
      <c r="E304" s="43">
        <v>45855.627701087964</v>
      </c>
      <c r="F304" s="1">
        <v>45855</v>
      </c>
      <c r="G304" s="43">
        <v>45875.636373622685</v>
      </c>
      <c r="H304" t="s">
        <v>2869</v>
      </c>
      <c r="I304" t="s">
        <v>2719</v>
      </c>
      <c r="J304" t="s">
        <v>2735</v>
      </c>
      <c r="L304" t="s">
        <v>2421</v>
      </c>
      <c r="M304">
        <v>55427353102</v>
      </c>
      <c r="N304" t="s">
        <v>2661</v>
      </c>
      <c r="O304" s="1">
        <v>45294</v>
      </c>
      <c r="T304" t="s">
        <v>2662</v>
      </c>
      <c r="U304" t="s">
        <v>3412</v>
      </c>
      <c r="V304">
        <v>14</v>
      </c>
      <c r="W304" t="s">
        <v>2677</v>
      </c>
      <c r="X304">
        <v>1</v>
      </c>
      <c r="Y304" t="s">
        <v>2772</v>
      </c>
      <c r="AA304">
        <v>55427353102</v>
      </c>
      <c r="AB304" t="s">
        <v>1972</v>
      </c>
      <c r="AC304">
        <v>0</v>
      </c>
      <c r="AD304">
        <v>29</v>
      </c>
      <c r="AE304">
        <v>5542735310229</v>
      </c>
      <c r="AF304" t="s">
        <v>3413</v>
      </c>
      <c r="AG304">
        <v>1</v>
      </c>
      <c r="AH304">
        <v>1</v>
      </c>
    </row>
    <row r="305" spans="1:34">
      <c r="A305">
        <v>2025</v>
      </c>
      <c r="B305" s="1">
        <v>45839</v>
      </c>
      <c r="C305" t="s">
        <v>2657</v>
      </c>
      <c r="D305" t="s">
        <v>3414</v>
      </c>
      <c r="E305" s="43">
        <v>45861.676383506943</v>
      </c>
      <c r="F305" s="1">
        <v>45861</v>
      </c>
      <c r="G305" s="43">
        <v>45875.636209837961</v>
      </c>
      <c r="H305" t="s">
        <v>2869</v>
      </c>
      <c r="I305" t="s">
        <v>2660</v>
      </c>
      <c r="J305" t="s">
        <v>2735</v>
      </c>
      <c r="L305" t="s">
        <v>2421</v>
      </c>
      <c r="M305">
        <v>55427353102</v>
      </c>
      <c r="N305" t="s">
        <v>2661</v>
      </c>
      <c r="O305" s="1">
        <v>45294</v>
      </c>
      <c r="T305" t="s">
        <v>2662</v>
      </c>
      <c r="U305" t="s">
        <v>3415</v>
      </c>
      <c r="V305">
        <v>10</v>
      </c>
      <c r="W305" t="s">
        <v>2677</v>
      </c>
      <c r="X305">
        <v>1</v>
      </c>
      <c r="Y305" t="s">
        <v>2772</v>
      </c>
      <c r="AA305">
        <v>55427353102</v>
      </c>
      <c r="AB305" t="s">
        <v>1972</v>
      </c>
      <c r="AC305">
        <v>0</v>
      </c>
      <c r="AD305">
        <v>30</v>
      </c>
      <c r="AE305">
        <v>5542735310230</v>
      </c>
      <c r="AF305" t="s">
        <v>3413</v>
      </c>
      <c r="AG305">
        <v>1</v>
      </c>
      <c r="AH305">
        <v>0</v>
      </c>
    </row>
    <row r="306" spans="1:34">
      <c r="A306">
        <v>2025</v>
      </c>
      <c r="B306" s="1">
        <v>45839</v>
      </c>
      <c r="C306" t="s">
        <v>2657</v>
      </c>
      <c r="D306" t="s">
        <v>3416</v>
      </c>
      <c r="E306" s="43">
        <v>45862.635217708332</v>
      </c>
      <c r="F306" s="1">
        <v>45862</v>
      </c>
      <c r="G306" s="43">
        <v>45888.860761655094</v>
      </c>
      <c r="H306" t="s">
        <v>2869</v>
      </c>
      <c r="I306" t="s">
        <v>2660</v>
      </c>
      <c r="J306" t="s">
        <v>2735</v>
      </c>
      <c r="L306" t="s">
        <v>2421</v>
      </c>
      <c r="M306">
        <v>55427353102</v>
      </c>
      <c r="N306" t="s">
        <v>2661</v>
      </c>
      <c r="O306" s="1">
        <v>45294</v>
      </c>
      <c r="T306" t="s">
        <v>2662</v>
      </c>
      <c r="U306" t="s">
        <v>3417</v>
      </c>
      <c r="V306">
        <v>18</v>
      </c>
      <c r="W306" t="s">
        <v>2677</v>
      </c>
      <c r="X306">
        <v>1</v>
      </c>
      <c r="Y306" t="s">
        <v>2807</v>
      </c>
      <c r="AA306">
        <v>55427353102</v>
      </c>
      <c r="AB306" t="s">
        <v>1972</v>
      </c>
      <c r="AC306">
        <v>0</v>
      </c>
      <c r="AD306">
        <v>30</v>
      </c>
      <c r="AE306">
        <v>5542735310230</v>
      </c>
      <c r="AF306" t="s">
        <v>3413</v>
      </c>
      <c r="AG306">
        <v>0</v>
      </c>
      <c r="AH306">
        <v>0</v>
      </c>
    </row>
    <row r="307" spans="1:34">
      <c r="A307">
        <v>2025</v>
      </c>
      <c r="B307" s="1">
        <v>45839</v>
      </c>
      <c r="C307" t="s">
        <v>2657</v>
      </c>
      <c r="D307" t="s">
        <v>3418</v>
      </c>
      <c r="E307" s="43">
        <v>45866.821403368056</v>
      </c>
      <c r="F307" s="1">
        <v>45866</v>
      </c>
      <c r="G307" s="43">
        <v>45875.636029293979</v>
      </c>
      <c r="H307" t="s">
        <v>2869</v>
      </c>
      <c r="I307" t="s">
        <v>2660</v>
      </c>
      <c r="J307" t="s">
        <v>2735</v>
      </c>
      <c r="L307" t="s">
        <v>2421</v>
      </c>
      <c r="M307">
        <v>55427353102</v>
      </c>
      <c r="N307" t="s">
        <v>2661</v>
      </c>
      <c r="O307" s="1">
        <v>45294</v>
      </c>
      <c r="T307" t="s">
        <v>2662</v>
      </c>
      <c r="U307" t="s">
        <v>3419</v>
      </c>
      <c r="V307">
        <v>7</v>
      </c>
      <c r="W307" t="s">
        <v>2677</v>
      </c>
      <c r="X307">
        <v>1</v>
      </c>
      <c r="Y307" t="s">
        <v>2772</v>
      </c>
      <c r="AA307">
        <v>55427353102</v>
      </c>
      <c r="AB307" t="s">
        <v>1972</v>
      </c>
      <c r="AC307">
        <v>0</v>
      </c>
      <c r="AD307">
        <v>31</v>
      </c>
      <c r="AE307">
        <v>5542735310231</v>
      </c>
      <c r="AF307" t="s">
        <v>3413</v>
      </c>
      <c r="AG307">
        <v>1</v>
      </c>
      <c r="AH307">
        <v>0</v>
      </c>
    </row>
    <row r="308" spans="1:34">
      <c r="A308">
        <v>2025</v>
      </c>
      <c r="B308" s="1">
        <v>45839</v>
      </c>
      <c r="C308" t="s">
        <v>2657</v>
      </c>
      <c r="D308" t="s">
        <v>3420</v>
      </c>
      <c r="E308" s="43">
        <v>45868.609418969907</v>
      </c>
      <c r="F308" s="1">
        <v>45868</v>
      </c>
      <c r="G308" s="43">
        <v>45875.635854560183</v>
      </c>
      <c r="H308" t="s">
        <v>2869</v>
      </c>
      <c r="I308" t="s">
        <v>2697</v>
      </c>
      <c r="J308" t="s">
        <v>2735</v>
      </c>
      <c r="L308" t="s">
        <v>2421</v>
      </c>
      <c r="M308">
        <v>55427353102</v>
      </c>
      <c r="N308" t="s">
        <v>2661</v>
      </c>
      <c r="O308" s="1">
        <v>45294</v>
      </c>
      <c r="T308" t="s">
        <v>2662</v>
      </c>
      <c r="U308" t="s">
        <v>3421</v>
      </c>
      <c r="V308">
        <v>5</v>
      </c>
      <c r="W308" t="s">
        <v>2677</v>
      </c>
      <c r="X308">
        <v>1</v>
      </c>
      <c r="Y308" t="s">
        <v>2779</v>
      </c>
      <c r="AA308">
        <v>55427353102</v>
      </c>
      <c r="AB308" t="s">
        <v>1972</v>
      </c>
      <c r="AC308">
        <v>0</v>
      </c>
      <c r="AD308">
        <v>31</v>
      </c>
      <c r="AE308">
        <v>5542735310231</v>
      </c>
      <c r="AF308" t="s">
        <v>3413</v>
      </c>
      <c r="AG308">
        <v>0</v>
      </c>
      <c r="AH308">
        <v>0</v>
      </c>
    </row>
    <row r="309" spans="1:34">
      <c r="A309">
        <v>2025</v>
      </c>
      <c r="B309" s="1">
        <v>45962</v>
      </c>
      <c r="C309" t="s">
        <v>2657</v>
      </c>
      <c r="D309" t="s">
        <v>3422</v>
      </c>
      <c r="E309" s="43">
        <v>45972.652556574074</v>
      </c>
      <c r="F309" s="1">
        <v>45972</v>
      </c>
      <c r="G309" s="43">
        <v>45972.652556574074</v>
      </c>
      <c r="H309" t="s">
        <v>2802</v>
      </c>
      <c r="I309" t="s">
        <v>2681</v>
      </c>
      <c r="J309" t="s">
        <v>2735</v>
      </c>
      <c r="L309" t="s">
        <v>2362</v>
      </c>
      <c r="M309">
        <v>547494309302</v>
      </c>
      <c r="N309" t="s">
        <v>2746</v>
      </c>
      <c r="O309" s="1">
        <v>44837</v>
      </c>
      <c r="T309" t="s">
        <v>2662</v>
      </c>
      <c r="U309" t="s">
        <v>3423</v>
      </c>
      <c r="V309">
        <v>0</v>
      </c>
      <c r="W309" t="s">
        <v>2671</v>
      </c>
      <c r="X309">
        <v>1</v>
      </c>
      <c r="Y309" t="s">
        <v>2695</v>
      </c>
      <c r="AA309">
        <v>589580604602</v>
      </c>
      <c r="AB309" t="s">
        <v>2070</v>
      </c>
      <c r="AC309">
        <v>0</v>
      </c>
      <c r="AD309">
        <v>46</v>
      </c>
      <c r="AE309">
        <v>58958060460246</v>
      </c>
      <c r="AF309" t="s">
        <v>3424</v>
      </c>
      <c r="AG309">
        <v>1</v>
      </c>
      <c r="AH309">
        <v>1</v>
      </c>
    </row>
    <row r="310" spans="1:34">
      <c r="A310">
        <v>2025</v>
      </c>
      <c r="B310" s="1">
        <v>45962</v>
      </c>
      <c r="C310" t="s">
        <v>2657</v>
      </c>
      <c r="D310" t="s">
        <v>3425</v>
      </c>
      <c r="E310" s="43">
        <v>45988.527599236113</v>
      </c>
      <c r="F310" s="1">
        <v>45988</v>
      </c>
      <c r="G310" s="43">
        <v>45989.731091909722</v>
      </c>
      <c r="H310" t="s">
        <v>2802</v>
      </c>
      <c r="I310" t="s">
        <v>2660</v>
      </c>
      <c r="J310" t="s">
        <v>2735</v>
      </c>
      <c r="L310" t="s">
        <v>2362</v>
      </c>
      <c r="M310">
        <v>547494309302</v>
      </c>
      <c r="N310" t="s">
        <v>2746</v>
      </c>
      <c r="O310" s="1">
        <v>44837</v>
      </c>
      <c r="T310" t="s">
        <v>2662</v>
      </c>
      <c r="U310" t="s">
        <v>3426</v>
      </c>
      <c r="V310">
        <v>1</v>
      </c>
      <c r="W310" t="s">
        <v>2677</v>
      </c>
      <c r="X310">
        <v>1</v>
      </c>
      <c r="Y310" t="s">
        <v>2807</v>
      </c>
      <c r="AA310">
        <v>589580604602</v>
      </c>
      <c r="AB310" t="s">
        <v>2070</v>
      </c>
      <c r="AC310">
        <v>0</v>
      </c>
      <c r="AD310">
        <v>48</v>
      </c>
      <c r="AE310">
        <v>58958060460248</v>
      </c>
      <c r="AF310" t="s">
        <v>3424</v>
      </c>
      <c r="AG310">
        <v>1</v>
      </c>
      <c r="AH310">
        <v>0</v>
      </c>
    </row>
    <row r="311" spans="1:34">
      <c r="A311">
        <v>2025</v>
      </c>
      <c r="B311" s="1">
        <v>45870</v>
      </c>
      <c r="C311" t="s">
        <v>2657</v>
      </c>
      <c r="D311" s="44" t="s">
        <v>3427</v>
      </c>
      <c r="E311" s="43">
        <v>45874.614416215278</v>
      </c>
      <c r="F311" s="1">
        <v>45874</v>
      </c>
      <c r="G311" s="43">
        <v>45875.844417870372</v>
      </c>
      <c r="H311" t="s">
        <v>3088</v>
      </c>
      <c r="I311" t="s">
        <v>2669</v>
      </c>
      <c r="J311" t="s">
        <v>2735</v>
      </c>
      <c r="L311" t="s">
        <v>2408</v>
      </c>
      <c r="M311">
        <v>24386750602</v>
      </c>
      <c r="N311" t="s">
        <v>2746</v>
      </c>
      <c r="O311" s="1">
        <v>45294</v>
      </c>
      <c r="T311" t="s">
        <v>2662</v>
      </c>
      <c r="U311" t="s">
        <v>3428</v>
      </c>
      <c r="V311">
        <v>1</v>
      </c>
      <c r="W311" t="s">
        <v>2743</v>
      </c>
      <c r="X311">
        <v>1</v>
      </c>
      <c r="Y311" t="s">
        <v>2695</v>
      </c>
      <c r="AA311">
        <v>24386750602</v>
      </c>
      <c r="AB311" t="s">
        <v>1847</v>
      </c>
      <c r="AC311">
        <v>0</v>
      </c>
      <c r="AD311">
        <v>32</v>
      </c>
      <c r="AE311">
        <v>2438675060232</v>
      </c>
      <c r="AF311" t="s">
        <v>3429</v>
      </c>
      <c r="AG311">
        <v>1</v>
      </c>
      <c r="AH311">
        <v>1</v>
      </c>
    </row>
    <row r="312" spans="1:34">
      <c r="A312">
        <v>2025</v>
      </c>
      <c r="B312" s="1">
        <v>45870</v>
      </c>
      <c r="C312" t="s">
        <v>2657</v>
      </c>
      <c r="D312" t="s">
        <v>3430</v>
      </c>
      <c r="E312" s="43">
        <v>45877.532503576389</v>
      </c>
      <c r="F312" s="1">
        <v>45877</v>
      </c>
      <c r="G312" s="43">
        <v>45880.662290567132</v>
      </c>
      <c r="H312" t="s">
        <v>3088</v>
      </c>
      <c r="I312" t="s">
        <v>2681</v>
      </c>
      <c r="J312" t="s">
        <v>2735</v>
      </c>
      <c r="L312" t="s">
        <v>2408</v>
      </c>
      <c r="M312">
        <v>24386750602</v>
      </c>
      <c r="N312" t="s">
        <v>2746</v>
      </c>
      <c r="O312" s="1">
        <v>45294</v>
      </c>
      <c r="T312" t="s">
        <v>2662</v>
      </c>
      <c r="U312" t="s">
        <v>3431</v>
      </c>
      <c r="V312">
        <v>1</v>
      </c>
      <c r="W312" t="s">
        <v>2743</v>
      </c>
      <c r="X312">
        <v>1</v>
      </c>
      <c r="Y312" t="s">
        <v>2699</v>
      </c>
      <c r="AA312">
        <v>24386750602</v>
      </c>
      <c r="AB312" t="s">
        <v>1847</v>
      </c>
      <c r="AC312">
        <v>0</v>
      </c>
      <c r="AD312">
        <v>32</v>
      </c>
      <c r="AE312">
        <v>2438675060232</v>
      </c>
      <c r="AF312" t="s">
        <v>3429</v>
      </c>
      <c r="AG312">
        <v>0</v>
      </c>
      <c r="AH312">
        <v>0</v>
      </c>
    </row>
    <row r="313" spans="1:34">
      <c r="A313">
        <v>2025</v>
      </c>
      <c r="B313" s="1">
        <v>45870</v>
      </c>
      <c r="C313" t="s">
        <v>2657</v>
      </c>
      <c r="D313" t="s">
        <v>3432</v>
      </c>
      <c r="E313" s="43">
        <v>45877.748344699074</v>
      </c>
      <c r="F313" s="1">
        <v>45877</v>
      </c>
      <c r="G313" s="43">
        <v>45896.688390578704</v>
      </c>
      <c r="H313" t="s">
        <v>3088</v>
      </c>
      <c r="I313" t="s">
        <v>2681</v>
      </c>
      <c r="J313" t="s">
        <v>2735</v>
      </c>
      <c r="L313" t="s">
        <v>2408</v>
      </c>
      <c r="M313">
        <v>24386750602</v>
      </c>
      <c r="N313" t="s">
        <v>2746</v>
      </c>
      <c r="O313" s="1">
        <v>45294</v>
      </c>
      <c r="T313" t="s">
        <v>2662</v>
      </c>
      <c r="U313" t="s">
        <v>3433</v>
      </c>
      <c r="V313">
        <v>13</v>
      </c>
      <c r="W313" t="s">
        <v>2743</v>
      </c>
      <c r="X313">
        <v>1</v>
      </c>
      <c r="Y313" t="s">
        <v>2699</v>
      </c>
      <c r="AA313">
        <v>24386750602</v>
      </c>
      <c r="AB313" t="s">
        <v>1847</v>
      </c>
      <c r="AC313">
        <v>0</v>
      </c>
      <c r="AD313">
        <v>32</v>
      </c>
      <c r="AE313">
        <v>2438675060232</v>
      </c>
      <c r="AF313" t="s">
        <v>3429</v>
      </c>
      <c r="AG313">
        <v>0</v>
      </c>
      <c r="AH313">
        <v>0</v>
      </c>
    </row>
    <row r="314" spans="1:34">
      <c r="A314">
        <v>2025</v>
      </c>
      <c r="B314" s="1">
        <v>45870</v>
      </c>
      <c r="C314" t="s">
        <v>2657</v>
      </c>
      <c r="D314" t="s">
        <v>3434</v>
      </c>
      <c r="E314" s="43">
        <v>45880.663807488425</v>
      </c>
      <c r="F314" s="1">
        <v>45880</v>
      </c>
      <c r="G314" s="43">
        <v>45902.624885266203</v>
      </c>
      <c r="H314" t="s">
        <v>3088</v>
      </c>
      <c r="I314" t="s">
        <v>2681</v>
      </c>
      <c r="J314" t="s">
        <v>2735</v>
      </c>
      <c r="L314" t="s">
        <v>2408</v>
      </c>
      <c r="M314">
        <v>24386750602</v>
      </c>
      <c r="N314" t="s">
        <v>2746</v>
      </c>
      <c r="O314" s="1">
        <v>45294</v>
      </c>
      <c r="T314" t="s">
        <v>2662</v>
      </c>
      <c r="U314" t="s">
        <v>3435</v>
      </c>
      <c r="V314">
        <v>16</v>
      </c>
      <c r="W314" t="s">
        <v>2743</v>
      </c>
      <c r="X314">
        <v>1</v>
      </c>
      <c r="Y314" t="s">
        <v>2699</v>
      </c>
      <c r="Z314" t="s">
        <v>2834</v>
      </c>
      <c r="AA314">
        <v>24386750602</v>
      </c>
      <c r="AB314" t="s">
        <v>1847</v>
      </c>
      <c r="AC314">
        <v>0</v>
      </c>
      <c r="AD314">
        <v>33</v>
      </c>
      <c r="AE314">
        <v>2438675060233</v>
      </c>
      <c r="AF314" t="s">
        <v>3429</v>
      </c>
      <c r="AG314">
        <v>1</v>
      </c>
      <c r="AH314">
        <v>0</v>
      </c>
    </row>
    <row r="315" spans="1:34">
      <c r="A315">
        <v>2025</v>
      </c>
      <c r="B315" s="1">
        <v>45870</v>
      </c>
      <c r="C315" t="s">
        <v>2657</v>
      </c>
      <c r="D315" t="s">
        <v>3436</v>
      </c>
      <c r="E315" s="43">
        <v>45880.664989131947</v>
      </c>
      <c r="F315" s="1">
        <v>45880</v>
      </c>
      <c r="G315" s="43">
        <v>45889.665499386574</v>
      </c>
      <c r="H315" t="s">
        <v>3088</v>
      </c>
      <c r="I315" t="s">
        <v>2681</v>
      </c>
      <c r="J315" t="s">
        <v>2735</v>
      </c>
      <c r="L315" t="s">
        <v>2408</v>
      </c>
      <c r="M315">
        <v>24386750602</v>
      </c>
      <c r="N315" t="s">
        <v>2746</v>
      </c>
      <c r="O315" s="1">
        <v>45294</v>
      </c>
      <c r="T315" t="s">
        <v>2662</v>
      </c>
      <c r="U315" t="s">
        <v>3437</v>
      </c>
      <c r="V315">
        <v>7</v>
      </c>
      <c r="W315" t="s">
        <v>2743</v>
      </c>
      <c r="X315">
        <v>1</v>
      </c>
      <c r="Y315" t="s">
        <v>2699</v>
      </c>
      <c r="Z315" t="s">
        <v>2834</v>
      </c>
      <c r="AA315">
        <v>24386750602</v>
      </c>
      <c r="AB315" t="s">
        <v>1847</v>
      </c>
      <c r="AC315">
        <v>0</v>
      </c>
      <c r="AD315">
        <v>33</v>
      </c>
      <c r="AE315">
        <v>2438675060233</v>
      </c>
      <c r="AF315" t="s">
        <v>3429</v>
      </c>
      <c r="AG315">
        <v>0</v>
      </c>
      <c r="AH315">
        <v>0</v>
      </c>
    </row>
    <row r="316" spans="1:34">
      <c r="A316">
        <v>2025</v>
      </c>
      <c r="B316" s="1">
        <v>45870</v>
      </c>
      <c r="C316" t="s">
        <v>2657</v>
      </c>
      <c r="D316" s="44" t="s">
        <v>3438</v>
      </c>
      <c r="E316" s="43">
        <v>45881.553199120368</v>
      </c>
      <c r="F316" s="1">
        <v>45881</v>
      </c>
      <c r="G316" s="43">
        <v>45894.656458043981</v>
      </c>
      <c r="H316" t="s">
        <v>3088</v>
      </c>
      <c r="I316" t="s">
        <v>2681</v>
      </c>
      <c r="J316" t="s">
        <v>2735</v>
      </c>
      <c r="L316" t="s">
        <v>2408</v>
      </c>
      <c r="M316">
        <v>24386750602</v>
      </c>
      <c r="N316" t="s">
        <v>2746</v>
      </c>
      <c r="O316" s="1">
        <v>45294</v>
      </c>
      <c r="T316" t="s">
        <v>2662</v>
      </c>
      <c r="U316" t="s">
        <v>3439</v>
      </c>
      <c r="V316">
        <v>9</v>
      </c>
      <c r="W316" t="s">
        <v>2677</v>
      </c>
      <c r="X316">
        <v>1</v>
      </c>
      <c r="Y316" t="s">
        <v>2772</v>
      </c>
      <c r="Z316" t="s">
        <v>2684</v>
      </c>
      <c r="AA316">
        <v>24386750602</v>
      </c>
      <c r="AB316" t="s">
        <v>1847</v>
      </c>
      <c r="AC316">
        <v>0</v>
      </c>
      <c r="AD316">
        <v>33</v>
      </c>
      <c r="AE316">
        <v>2438675060233</v>
      </c>
      <c r="AF316" t="s">
        <v>3429</v>
      </c>
      <c r="AG316">
        <v>0</v>
      </c>
      <c r="AH316">
        <v>0</v>
      </c>
    </row>
    <row r="317" spans="1:34">
      <c r="A317">
        <v>2025</v>
      </c>
      <c r="B317" s="1">
        <v>45870</v>
      </c>
      <c r="C317" t="s">
        <v>2657</v>
      </c>
      <c r="D317" t="s">
        <v>3440</v>
      </c>
      <c r="E317" s="43">
        <v>45880.667686261571</v>
      </c>
      <c r="F317" s="1">
        <v>45880</v>
      </c>
      <c r="G317" s="43">
        <v>45887.657783252318</v>
      </c>
      <c r="H317" t="s">
        <v>3088</v>
      </c>
      <c r="I317" t="s">
        <v>2681</v>
      </c>
      <c r="J317" t="s">
        <v>2735</v>
      </c>
      <c r="L317" t="s">
        <v>2408</v>
      </c>
      <c r="M317">
        <v>24386750602</v>
      </c>
      <c r="N317" t="s">
        <v>2746</v>
      </c>
      <c r="O317" s="1">
        <v>45294</v>
      </c>
      <c r="T317" t="s">
        <v>2662</v>
      </c>
      <c r="U317" t="s">
        <v>3441</v>
      </c>
      <c r="V317">
        <v>5</v>
      </c>
      <c r="W317" t="s">
        <v>2743</v>
      </c>
      <c r="X317">
        <v>1</v>
      </c>
      <c r="Y317" t="s">
        <v>2699</v>
      </c>
      <c r="Z317" t="s">
        <v>2834</v>
      </c>
      <c r="AA317">
        <v>24386750602</v>
      </c>
      <c r="AB317" t="s">
        <v>1847</v>
      </c>
      <c r="AC317">
        <v>0</v>
      </c>
      <c r="AD317">
        <v>33</v>
      </c>
      <c r="AE317">
        <v>2438675060233</v>
      </c>
      <c r="AF317" t="s">
        <v>3429</v>
      </c>
      <c r="AG317">
        <v>0</v>
      </c>
      <c r="AH317">
        <v>0</v>
      </c>
    </row>
    <row r="318" spans="1:34">
      <c r="A318">
        <v>2025</v>
      </c>
      <c r="B318" s="1">
        <v>45870</v>
      </c>
      <c r="C318" t="s">
        <v>2657</v>
      </c>
      <c r="D318" t="s">
        <v>3442</v>
      </c>
      <c r="E318" s="43">
        <v>45880.666088032405</v>
      </c>
      <c r="F318" s="1">
        <v>45880</v>
      </c>
      <c r="G318" s="43">
        <v>45915.806244537038</v>
      </c>
      <c r="H318" t="s">
        <v>3088</v>
      </c>
      <c r="I318" t="s">
        <v>2681</v>
      </c>
      <c r="J318" t="s">
        <v>2735</v>
      </c>
      <c r="L318" t="s">
        <v>2408</v>
      </c>
      <c r="M318">
        <v>24386750602</v>
      </c>
      <c r="N318" t="s">
        <v>2746</v>
      </c>
      <c r="O318" s="1">
        <v>45294</v>
      </c>
      <c r="T318" t="s">
        <v>2662</v>
      </c>
      <c r="U318" t="s">
        <v>3443</v>
      </c>
      <c r="V318">
        <v>25</v>
      </c>
      <c r="W318" t="s">
        <v>2743</v>
      </c>
      <c r="X318">
        <v>1</v>
      </c>
      <c r="Y318" t="s">
        <v>2699</v>
      </c>
      <c r="Z318" t="s">
        <v>2834</v>
      </c>
      <c r="AA318">
        <v>24386750602</v>
      </c>
      <c r="AB318" t="s">
        <v>1847</v>
      </c>
      <c r="AC318">
        <v>0</v>
      </c>
      <c r="AD318">
        <v>33</v>
      </c>
      <c r="AE318">
        <v>2438675060233</v>
      </c>
      <c r="AF318" t="s">
        <v>3429</v>
      </c>
      <c r="AG318">
        <v>0</v>
      </c>
      <c r="AH318">
        <v>0</v>
      </c>
    </row>
    <row r="319" spans="1:34">
      <c r="A319">
        <v>2025</v>
      </c>
      <c r="B319" s="1">
        <v>45870</v>
      </c>
      <c r="C319" t="s">
        <v>2657</v>
      </c>
      <c r="D319" t="s">
        <v>3444</v>
      </c>
      <c r="E319" s="43">
        <v>45880.666719085646</v>
      </c>
      <c r="F319" s="1">
        <v>45880</v>
      </c>
      <c r="G319" s="43">
        <v>45887.655198645836</v>
      </c>
      <c r="H319" t="s">
        <v>3088</v>
      </c>
      <c r="I319" t="s">
        <v>2681</v>
      </c>
      <c r="J319" t="s">
        <v>2735</v>
      </c>
      <c r="L319" t="s">
        <v>2408</v>
      </c>
      <c r="M319">
        <v>24386750602</v>
      </c>
      <c r="N319" t="s">
        <v>2746</v>
      </c>
      <c r="O319" s="1">
        <v>45294</v>
      </c>
      <c r="T319" t="s">
        <v>2662</v>
      </c>
      <c r="U319" t="s">
        <v>3445</v>
      </c>
      <c r="V319">
        <v>5</v>
      </c>
      <c r="W319" t="s">
        <v>2743</v>
      </c>
      <c r="X319">
        <v>1</v>
      </c>
      <c r="Y319" t="s">
        <v>2699</v>
      </c>
      <c r="Z319" t="s">
        <v>2834</v>
      </c>
      <c r="AA319">
        <v>24386750602</v>
      </c>
      <c r="AB319" t="s">
        <v>1847</v>
      </c>
      <c r="AC319">
        <v>0</v>
      </c>
      <c r="AD319">
        <v>33</v>
      </c>
      <c r="AE319">
        <v>2438675060233</v>
      </c>
      <c r="AF319" t="s">
        <v>3429</v>
      </c>
      <c r="AG319">
        <v>0</v>
      </c>
      <c r="AH319">
        <v>0</v>
      </c>
    </row>
    <row r="320" spans="1:34">
      <c r="A320">
        <v>2025</v>
      </c>
      <c r="B320" s="1">
        <v>45870</v>
      </c>
      <c r="C320" t="s">
        <v>2657</v>
      </c>
      <c r="D320" t="s">
        <v>3446</v>
      </c>
      <c r="E320" s="43">
        <v>45880.665483472221</v>
      </c>
      <c r="F320" s="1">
        <v>45880</v>
      </c>
      <c r="G320" s="43">
        <v>45889.665127048611</v>
      </c>
      <c r="H320" t="s">
        <v>3088</v>
      </c>
      <c r="I320" t="s">
        <v>2681</v>
      </c>
      <c r="J320" t="s">
        <v>2735</v>
      </c>
      <c r="L320" t="s">
        <v>2408</v>
      </c>
      <c r="M320">
        <v>24386750602</v>
      </c>
      <c r="N320" t="s">
        <v>2746</v>
      </c>
      <c r="O320" s="1">
        <v>45294</v>
      </c>
      <c r="T320" t="s">
        <v>2662</v>
      </c>
      <c r="U320" t="s">
        <v>3447</v>
      </c>
      <c r="V320">
        <v>7</v>
      </c>
      <c r="W320" t="s">
        <v>2743</v>
      </c>
      <c r="X320">
        <v>1</v>
      </c>
      <c r="Y320" t="s">
        <v>2699</v>
      </c>
      <c r="Z320" t="s">
        <v>2834</v>
      </c>
      <c r="AA320">
        <v>24386750602</v>
      </c>
      <c r="AB320" t="s">
        <v>1847</v>
      </c>
      <c r="AC320">
        <v>0</v>
      </c>
      <c r="AD320">
        <v>33</v>
      </c>
      <c r="AE320">
        <v>2438675060233</v>
      </c>
      <c r="AF320" t="s">
        <v>3429</v>
      </c>
      <c r="AG320">
        <v>0</v>
      </c>
      <c r="AH320">
        <v>0</v>
      </c>
    </row>
    <row r="321" spans="1:34">
      <c r="A321">
        <v>2025</v>
      </c>
      <c r="B321" s="1">
        <v>45870</v>
      </c>
      <c r="C321" t="s">
        <v>2657</v>
      </c>
      <c r="D321" t="s">
        <v>3448</v>
      </c>
      <c r="E321" s="43">
        <v>45880.664493217591</v>
      </c>
      <c r="F321" s="1">
        <v>45880</v>
      </c>
      <c r="G321" s="43">
        <v>45887.536950150461</v>
      </c>
      <c r="H321" t="s">
        <v>3088</v>
      </c>
      <c r="I321" t="s">
        <v>2681</v>
      </c>
      <c r="J321" t="s">
        <v>2735</v>
      </c>
      <c r="L321" t="s">
        <v>2408</v>
      </c>
      <c r="M321">
        <v>24386750602</v>
      </c>
      <c r="N321" t="s">
        <v>2746</v>
      </c>
      <c r="O321" s="1">
        <v>45294</v>
      </c>
      <c r="T321" t="s">
        <v>2662</v>
      </c>
      <c r="U321" t="s">
        <v>3449</v>
      </c>
      <c r="V321">
        <v>5</v>
      </c>
      <c r="W321" t="s">
        <v>2743</v>
      </c>
      <c r="X321">
        <v>1</v>
      </c>
      <c r="Y321" t="s">
        <v>2699</v>
      </c>
      <c r="Z321" t="s">
        <v>2834</v>
      </c>
      <c r="AA321">
        <v>24386750602</v>
      </c>
      <c r="AB321" t="s">
        <v>1847</v>
      </c>
      <c r="AC321">
        <v>0</v>
      </c>
      <c r="AD321">
        <v>33</v>
      </c>
      <c r="AE321">
        <v>2438675060233</v>
      </c>
      <c r="AF321" t="s">
        <v>3429</v>
      </c>
      <c r="AG321">
        <v>0</v>
      </c>
      <c r="AH321">
        <v>0</v>
      </c>
    </row>
    <row r="322" spans="1:34">
      <c r="A322">
        <v>2025</v>
      </c>
      <c r="B322" s="1">
        <v>45870</v>
      </c>
      <c r="C322" t="s">
        <v>2657</v>
      </c>
      <c r="D322" t="s">
        <v>3450</v>
      </c>
      <c r="E322" s="43">
        <v>45880.667183668978</v>
      </c>
      <c r="F322" s="1">
        <v>45880</v>
      </c>
      <c r="G322" s="43">
        <v>45887.65748548611</v>
      </c>
      <c r="H322" t="s">
        <v>3088</v>
      </c>
      <c r="I322" t="s">
        <v>2681</v>
      </c>
      <c r="J322" t="s">
        <v>2735</v>
      </c>
      <c r="L322" t="s">
        <v>2408</v>
      </c>
      <c r="M322">
        <v>24386750602</v>
      </c>
      <c r="N322" t="s">
        <v>2746</v>
      </c>
      <c r="O322" s="1">
        <v>45294</v>
      </c>
      <c r="T322" t="s">
        <v>2662</v>
      </c>
      <c r="U322" t="s">
        <v>3451</v>
      </c>
      <c r="V322">
        <v>5</v>
      </c>
      <c r="W322" t="s">
        <v>2743</v>
      </c>
      <c r="X322">
        <v>1</v>
      </c>
      <c r="Y322" t="s">
        <v>2699</v>
      </c>
      <c r="Z322" t="s">
        <v>2834</v>
      </c>
      <c r="AA322">
        <v>24386750602</v>
      </c>
      <c r="AB322" t="s">
        <v>1847</v>
      </c>
      <c r="AC322">
        <v>0</v>
      </c>
      <c r="AD322">
        <v>33</v>
      </c>
      <c r="AE322">
        <v>2438675060233</v>
      </c>
      <c r="AF322" t="s">
        <v>3429</v>
      </c>
      <c r="AG322">
        <v>0</v>
      </c>
      <c r="AH322">
        <v>0</v>
      </c>
    </row>
    <row r="323" spans="1:34">
      <c r="A323">
        <v>2025</v>
      </c>
      <c r="B323" s="1">
        <v>45870</v>
      </c>
      <c r="C323" t="s">
        <v>2657</v>
      </c>
      <c r="D323" t="s">
        <v>3452</v>
      </c>
      <c r="E323" s="43">
        <v>45884.722815520836</v>
      </c>
      <c r="F323" s="1">
        <v>45884</v>
      </c>
      <c r="G323" s="43">
        <v>45884.722815520836</v>
      </c>
      <c r="H323" t="s">
        <v>3088</v>
      </c>
      <c r="I323" t="s">
        <v>2719</v>
      </c>
      <c r="J323" t="s">
        <v>2735</v>
      </c>
      <c r="L323" t="s">
        <v>2408</v>
      </c>
      <c r="M323">
        <v>24386750602</v>
      </c>
      <c r="N323" t="s">
        <v>2746</v>
      </c>
      <c r="O323" s="1">
        <v>45294</v>
      </c>
      <c r="P323" t="s">
        <v>2743</v>
      </c>
      <c r="T323" t="s">
        <v>2662</v>
      </c>
      <c r="U323" t="s">
        <v>3453</v>
      </c>
      <c r="V323">
        <v>0</v>
      </c>
      <c r="W323" t="s">
        <v>2985</v>
      </c>
      <c r="X323">
        <v>1</v>
      </c>
      <c r="Y323" t="s">
        <v>2695</v>
      </c>
      <c r="AA323">
        <v>24386750602</v>
      </c>
      <c r="AB323" t="s">
        <v>1847</v>
      </c>
      <c r="AC323">
        <v>0</v>
      </c>
      <c r="AD323">
        <v>33</v>
      </c>
      <c r="AE323">
        <v>2438675060233</v>
      </c>
      <c r="AF323" t="s">
        <v>3429</v>
      </c>
      <c r="AG323">
        <v>0</v>
      </c>
      <c r="AH323">
        <v>0</v>
      </c>
    </row>
    <row r="324" spans="1:34">
      <c r="A324">
        <v>2026</v>
      </c>
      <c r="B324" s="1">
        <v>46054</v>
      </c>
      <c r="C324" t="s">
        <v>2657</v>
      </c>
      <c r="D324" t="s">
        <v>3454</v>
      </c>
      <c r="E324" s="43">
        <v>46057.529849340281</v>
      </c>
      <c r="F324" s="1">
        <v>46057</v>
      </c>
      <c r="G324" s="43">
        <v>46065.487335601851</v>
      </c>
      <c r="H324" t="s">
        <v>2725</v>
      </c>
      <c r="I324" t="s">
        <v>2669</v>
      </c>
      <c r="J324" t="s">
        <v>36</v>
      </c>
      <c r="L324" t="s">
        <v>2421</v>
      </c>
      <c r="M324">
        <v>55427353102</v>
      </c>
      <c r="N324" t="s">
        <v>2661</v>
      </c>
      <c r="O324" s="1">
        <v>45294</v>
      </c>
      <c r="T324" t="s">
        <v>2662</v>
      </c>
      <c r="U324" t="s">
        <v>3455</v>
      </c>
      <c r="V324">
        <v>6</v>
      </c>
      <c r="W324" t="s">
        <v>2677</v>
      </c>
      <c r="X324">
        <v>1</v>
      </c>
      <c r="Y324" t="s">
        <v>2760</v>
      </c>
      <c r="AA324">
        <v>55427353102</v>
      </c>
      <c r="AB324" t="s">
        <v>1972</v>
      </c>
      <c r="AC324">
        <v>0</v>
      </c>
      <c r="AD324">
        <v>6</v>
      </c>
      <c r="AE324">
        <v>554273531026</v>
      </c>
      <c r="AF324" t="s">
        <v>3456</v>
      </c>
      <c r="AG324">
        <v>1</v>
      </c>
      <c r="AH324">
        <v>1</v>
      </c>
    </row>
    <row r="325" spans="1:34">
      <c r="A325">
        <v>2026</v>
      </c>
      <c r="B325" s="1">
        <v>46054</v>
      </c>
      <c r="C325" t="s">
        <v>2657</v>
      </c>
      <c r="D325" t="s">
        <v>3457</v>
      </c>
      <c r="E325" s="43">
        <v>46062.889364259259</v>
      </c>
      <c r="F325" s="1">
        <v>46062</v>
      </c>
      <c r="G325" s="43">
        <v>46066.816134155095</v>
      </c>
      <c r="H325" t="s">
        <v>2725</v>
      </c>
      <c r="I325" t="s">
        <v>2681</v>
      </c>
      <c r="J325" t="s">
        <v>36</v>
      </c>
      <c r="L325" t="s">
        <v>2421</v>
      </c>
      <c r="M325">
        <v>55427353102</v>
      </c>
      <c r="N325" t="s">
        <v>2661</v>
      </c>
      <c r="O325" s="1">
        <v>45294</v>
      </c>
      <c r="T325" t="s">
        <v>2662</v>
      </c>
      <c r="U325" t="s">
        <v>3458</v>
      </c>
      <c r="V325">
        <v>4</v>
      </c>
      <c r="W325" t="s">
        <v>2671</v>
      </c>
      <c r="X325">
        <v>1</v>
      </c>
      <c r="Y325" t="s">
        <v>2764</v>
      </c>
      <c r="AA325">
        <v>55427353102</v>
      </c>
      <c r="AB325" t="s">
        <v>1972</v>
      </c>
      <c r="AC325">
        <v>0</v>
      </c>
      <c r="AD325">
        <v>7</v>
      </c>
      <c r="AE325">
        <v>554273531027</v>
      </c>
      <c r="AF325" t="s">
        <v>3456</v>
      </c>
      <c r="AG325">
        <v>1</v>
      </c>
      <c r="AH325">
        <v>0</v>
      </c>
    </row>
    <row r="326" spans="1:34">
      <c r="A326">
        <v>2026</v>
      </c>
      <c r="B326" s="1">
        <v>46054</v>
      </c>
      <c r="C326" t="s">
        <v>2657</v>
      </c>
      <c r="D326" t="s">
        <v>3459</v>
      </c>
      <c r="E326" s="43">
        <v>46073.747624664349</v>
      </c>
      <c r="F326" s="1">
        <v>46073</v>
      </c>
      <c r="G326" s="43">
        <v>46083.501806377317</v>
      </c>
      <c r="H326" t="s">
        <v>2725</v>
      </c>
      <c r="I326" t="s">
        <v>2719</v>
      </c>
      <c r="J326" t="s">
        <v>36</v>
      </c>
      <c r="L326" t="s">
        <v>2421</v>
      </c>
      <c r="M326">
        <v>55427353102</v>
      </c>
      <c r="N326" t="s">
        <v>2661</v>
      </c>
      <c r="O326" s="1">
        <v>45294</v>
      </c>
      <c r="T326" t="s">
        <v>2662</v>
      </c>
      <c r="U326" t="s">
        <v>3460</v>
      </c>
      <c r="V326">
        <v>6</v>
      </c>
      <c r="W326" t="s">
        <v>2677</v>
      </c>
      <c r="X326">
        <v>1</v>
      </c>
      <c r="Y326" t="s">
        <v>2760</v>
      </c>
      <c r="AA326">
        <v>55427353102</v>
      </c>
      <c r="AB326" t="s">
        <v>1972</v>
      </c>
      <c r="AC326">
        <v>0</v>
      </c>
      <c r="AD326">
        <v>8</v>
      </c>
      <c r="AE326">
        <v>554273531028</v>
      </c>
      <c r="AF326" t="s">
        <v>3456</v>
      </c>
      <c r="AG326">
        <v>1</v>
      </c>
      <c r="AH326">
        <v>0</v>
      </c>
    </row>
    <row r="327" spans="1:34">
      <c r="A327">
        <v>2026</v>
      </c>
      <c r="B327" s="1">
        <v>46054</v>
      </c>
      <c r="C327" t="s">
        <v>2657</v>
      </c>
      <c r="D327" t="s">
        <v>3461</v>
      </c>
      <c r="E327" s="43">
        <v>46079.820016192127</v>
      </c>
      <c r="F327" s="1">
        <v>46079</v>
      </c>
      <c r="G327" s="43">
        <v>46090.730197233795</v>
      </c>
      <c r="H327" t="s">
        <v>2725</v>
      </c>
      <c r="I327" t="s">
        <v>2660</v>
      </c>
      <c r="J327" t="s">
        <v>36</v>
      </c>
      <c r="L327" t="s">
        <v>2421</v>
      </c>
      <c r="M327">
        <v>55427353102</v>
      </c>
      <c r="N327" t="s">
        <v>2661</v>
      </c>
      <c r="O327" s="1">
        <v>45294</v>
      </c>
      <c r="T327" t="s">
        <v>2662</v>
      </c>
      <c r="U327" t="s">
        <v>3462</v>
      </c>
      <c r="V327">
        <v>7</v>
      </c>
      <c r="W327" t="s">
        <v>2677</v>
      </c>
      <c r="X327">
        <v>1</v>
      </c>
      <c r="Y327" t="s">
        <v>2760</v>
      </c>
      <c r="AA327">
        <v>55427353102</v>
      </c>
      <c r="AB327" t="s">
        <v>1972</v>
      </c>
      <c r="AC327">
        <v>0</v>
      </c>
      <c r="AD327">
        <v>9</v>
      </c>
      <c r="AE327">
        <v>554273531029</v>
      </c>
      <c r="AF327" t="s">
        <v>3456</v>
      </c>
      <c r="AG327">
        <v>0</v>
      </c>
      <c r="AH327">
        <v>0</v>
      </c>
    </row>
    <row r="328" spans="1:34">
      <c r="A328">
        <v>2026</v>
      </c>
      <c r="B328" s="1">
        <v>46054</v>
      </c>
      <c r="C328" t="s">
        <v>2657</v>
      </c>
      <c r="D328" t="s">
        <v>3463</v>
      </c>
      <c r="E328" s="43">
        <v>46079.831223310182</v>
      </c>
      <c r="F328" s="1">
        <v>46079</v>
      </c>
      <c r="G328" s="43">
        <v>46083.553861527776</v>
      </c>
      <c r="H328" t="s">
        <v>2725</v>
      </c>
      <c r="I328" t="s">
        <v>2660</v>
      </c>
      <c r="J328" t="s">
        <v>36</v>
      </c>
      <c r="L328" t="s">
        <v>2421</v>
      </c>
      <c r="M328">
        <v>55427353102</v>
      </c>
      <c r="N328" t="s">
        <v>2661</v>
      </c>
      <c r="O328" s="1">
        <v>45294</v>
      </c>
      <c r="T328" t="s">
        <v>2662</v>
      </c>
      <c r="U328" t="s">
        <v>3464</v>
      </c>
      <c r="V328">
        <v>2</v>
      </c>
      <c r="W328" t="s">
        <v>2677</v>
      </c>
      <c r="X328">
        <v>1</v>
      </c>
      <c r="Y328" t="s">
        <v>2760</v>
      </c>
      <c r="AA328">
        <v>55427353102</v>
      </c>
      <c r="AB328" t="s">
        <v>1972</v>
      </c>
      <c r="AC328">
        <v>0</v>
      </c>
      <c r="AD328">
        <v>9</v>
      </c>
      <c r="AE328">
        <v>554273531029</v>
      </c>
      <c r="AF328" t="s">
        <v>3456</v>
      </c>
      <c r="AG328">
        <v>0</v>
      </c>
      <c r="AH328">
        <v>0</v>
      </c>
    </row>
    <row r="329" spans="1:34">
      <c r="A329">
        <v>2026</v>
      </c>
      <c r="B329" s="1">
        <v>46054</v>
      </c>
      <c r="C329" t="s">
        <v>2657</v>
      </c>
      <c r="D329" t="s">
        <v>3465</v>
      </c>
      <c r="E329" s="43">
        <v>46079.591559907407</v>
      </c>
      <c r="F329" s="1">
        <v>46079</v>
      </c>
      <c r="G329" s="43">
        <v>46092.826274386571</v>
      </c>
      <c r="H329" t="s">
        <v>2725</v>
      </c>
      <c r="I329" t="s">
        <v>2660</v>
      </c>
      <c r="J329" t="s">
        <v>36</v>
      </c>
      <c r="L329" t="s">
        <v>2421</v>
      </c>
      <c r="M329">
        <v>55427353102</v>
      </c>
      <c r="N329" t="s">
        <v>2661</v>
      </c>
      <c r="O329" s="1">
        <v>45294</v>
      </c>
      <c r="T329" t="s">
        <v>2798</v>
      </c>
      <c r="U329" t="s">
        <v>3466</v>
      </c>
      <c r="V329">
        <v>11</v>
      </c>
      <c r="W329" t="s">
        <v>2677</v>
      </c>
      <c r="X329">
        <v>0</v>
      </c>
      <c r="Y329" t="s">
        <v>2760</v>
      </c>
      <c r="AA329">
        <v>55427353102</v>
      </c>
      <c r="AB329" t="s">
        <v>1972</v>
      </c>
      <c r="AC329">
        <v>0</v>
      </c>
      <c r="AD329">
        <v>9</v>
      </c>
      <c r="AE329">
        <v>554273531029</v>
      </c>
      <c r="AF329" t="s">
        <v>3456</v>
      </c>
      <c r="AG329">
        <v>1</v>
      </c>
      <c r="AH329">
        <v>0</v>
      </c>
    </row>
    <row r="330" spans="1:34">
      <c r="A330">
        <v>2026</v>
      </c>
      <c r="B330" s="1">
        <v>46054</v>
      </c>
      <c r="C330" t="s">
        <v>2657</v>
      </c>
      <c r="D330" s="44" t="s">
        <v>3467</v>
      </c>
      <c r="E330" s="43">
        <v>46079.841128518521</v>
      </c>
      <c r="F330" s="1">
        <v>46079</v>
      </c>
      <c r="G330" s="43">
        <v>46083.712305567133</v>
      </c>
      <c r="H330" t="s">
        <v>2725</v>
      </c>
      <c r="I330" t="s">
        <v>2660</v>
      </c>
      <c r="J330" t="s">
        <v>36</v>
      </c>
      <c r="L330" t="s">
        <v>2421</v>
      </c>
      <c r="M330">
        <v>55427353102</v>
      </c>
      <c r="N330" t="s">
        <v>2661</v>
      </c>
      <c r="O330" s="1">
        <v>45294</v>
      </c>
      <c r="T330" t="s">
        <v>2662</v>
      </c>
      <c r="U330" t="s">
        <v>3468</v>
      </c>
      <c r="V330">
        <v>2</v>
      </c>
      <c r="W330" t="s">
        <v>2677</v>
      </c>
      <c r="X330">
        <v>1</v>
      </c>
      <c r="Y330" t="s">
        <v>2807</v>
      </c>
      <c r="AA330">
        <v>55427353102</v>
      </c>
      <c r="AB330" t="s">
        <v>1972</v>
      </c>
      <c r="AC330">
        <v>0</v>
      </c>
      <c r="AD330">
        <v>9</v>
      </c>
      <c r="AE330">
        <v>554273531029</v>
      </c>
      <c r="AF330" t="s">
        <v>3456</v>
      </c>
      <c r="AG330">
        <v>0</v>
      </c>
      <c r="AH330">
        <v>0</v>
      </c>
    </row>
    <row r="331" spans="1:34">
      <c r="A331">
        <v>2026</v>
      </c>
      <c r="B331" s="1">
        <v>46054</v>
      </c>
      <c r="C331" t="s">
        <v>2657</v>
      </c>
      <c r="D331" t="s">
        <v>3469</v>
      </c>
      <c r="E331" s="43">
        <v>46079.72992164352</v>
      </c>
      <c r="F331" s="1">
        <v>46079</v>
      </c>
      <c r="G331" s="43">
        <v>46083.554964074072</v>
      </c>
      <c r="H331" t="s">
        <v>2725</v>
      </c>
      <c r="I331" t="s">
        <v>2660</v>
      </c>
      <c r="J331" t="s">
        <v>36</v>
      </c>
      <c r="L331" t="s">
        <v>2421</v>
      </c>
      <c r="M331">
        <v>55427353102</v>
      </c>
      <c r="N331" t="s">
        <v>2661</v>
      </c>
      <c r="O331" s="1">
        <v>45294</v>
      </c>
      <c r="T331" t="s">
        <v>2662</v>
      </c>
      <c r="U331" t="s">
        <v>3470</v>
      </c>
      <c r="V331">
        <v>2</v>
      </c>
      <c r="W331" t="s">
        <v>2671</v>
      </c>
      <c r="X331">
        <v>1</v>
      </c>
      <c r="Y331" t="s">
        <v>3471</v>
      </c>
      <c r="AA331">
        <v>55427353102</v>
      </c>
      <c r="AB331" t="s">
        <v>1972</v>
      </c>
      <c r="AC331">
        <v>0</v>
      </c>
      <c r="AD331">
        <v>9</v>
      </c>
      <c r="AE331">
        <v>554273531029</v>
      </c>
      <c r="AF331" t="s">
        <v>3456</v>
      </c>
      <c r="AG331">
        <v>0</v>
      </c>
      <c r="AH331">
        <v>0</v>
      </c>
    </row>
    <row r="332" spans="1:34">
      <c r="A332">
        <v>2025</v>
      </c>
      <c r="B332" s="1">
        <v>45992</v>
      </c>
      <c r="C332" t="s">
        <v>2657</v>
      </c>
      <c r="D332" t="s">
        <v>3472</v>
      </c>
      <c r="E332" s="43">
        <v>45994.727920949073</v>
      </c>
      <c r="F332" s="1">
        <v>45994</v>
      </c>
      <c r="G332" s="43">
        <v>45995.831946863429</v>
      </c>
      <c r="H332" t="s">
        <v>2686</v>
      </c>
      <c r="I332" t="s">
        <v>2669</v>
      </c>
      <c r="J332" t="s">
        <v>37</v>
      </c>
      <c r="L332" t="s">
        <v>2351</v>
      </c>
      <c r="M332">
        <v>327981185502</v>
      </c>
      <c r="N332" t="s">
        <v>2661</v>
      </c>
      <c r="O332" s="1">
        <v>44894</v>
      </c>
      <c r="T332" t="s">
        <v>2662</v>
      </c>
      <c r="U332" t="s">
        <v>3473</v>
      </c>
      <c r="V332">
        <v>1</v>
      </c>
      <c r="W332" t="s">
        <v>2671</v>
      </c>
      <c r="X332">
        <v>1</v>
      </c>
      <c r="Y332" t="s">
        <v>2688</v>
      </c>
      <c r="AA332">
        <v>108483856702</v>
      </c>
      <c r="AB332" t="s">
        <v>1316</v>
      </c>
      <c r="AC332">
        <v>0</v>
      </c>
      <c r="AD332">
        <v>49</v>
      </c>
      <c r="AE332">
        <v>10848385670249</v>
      </c>
      <c r="AF332" t="s">
        <v>3474</v>
      </c>
      <c r="AG332">
        <v>1</v>
      </c>
      <c r="AH332">
        <v>1</v>
      </c>
    </row>
    <row r="333" spans="1:34">
      <c r="A333">
        <v>2025</v>
      </c>
      <c r="B333" s="1">
        <v>45992</v>
      </c>
      <c r="C333" t="s">
        <v>2657</v>
      </c>
      <c r="D333" t="s">
        <v>3475</v>
      </c>
      <c r="E333" s="43">
        <v>45994.744148275466</v>
      </c>
      <c r="F333" s="1">
        <v>45994</v>
      </c>
      <c r="G333" s="43">
        <v>45994.744148275466</v>
      </c>
      <c r="H333" t="s">
        <v>2686</v>
      </c>
      <c r="I333" t="s">
        <v>2669</v>
      </c>
      <c r="J333" t="s">
        <v>37</v>
      </c>
      <c r="L333" t="s">
        <v>2351</v>
      </c>
      <c r="M333">
        <v>592383571202</v>
      </c>
      <c r="N333" t="s">
        <v>2661</v>
      </c>
      <c r="O333" s="1">
        <v>45457</v>
      </c>
      <c r="T333" t="s">
        <v>2662</v>
      </c>
      <c r="U333" t="s">
        <v>3476</v>
      </c>
      <c r="V333">
        <v>0</v>
      </c>
      <c r="X333">
        <v>1</v>
      </c>
      <c r="Y333" t="s">
        <v>2695</v>
      </c>
      <c r="AA333">
        <v>108483856702</v>
      </c>
      <c r="AB333" t="s">
        <v>1316</v>
      </c>
      <c r="AC333">
        <v>0</v>
      </c>
      <c r="AD333">
        <v>49</v>
      </c>
      <c r="AE333">
        <v>10848385670249</v>
      </c>
      <c r="AF333" t="s">
        <v>3474</v>
      </c>
      <c r="AG333">
        <v>0</v>
      </c>
      <c r="AH333">
        <v>0</v>
      </c>
    </row>
    <row r="334" spans="1:34">
      <c r="A334">
        <v>2025</v>
      </c>
      <c r="B334" s="1">
        <v>45992</v>
      </c>
      <c r="C334" t="s">
        <v>2657</v>
      </c>
      <c r="D334" t="s">
        <v>3477</v>
      </c>
      <c r="E334" s="43">
        <v>45994.744272974538</v>
      </c>
      <c r="F334" s="1">
        <v>45994</v>
      </c>
      <c r="G334" s="43">
        <v>45994.744272974538</v>
      </c>
      <c r="H334" t="s">
        <v>2686</v>
      </c>
      <c r="I334" t="s">
        <v>2669</v>
      </c>
      <c r="J334" t="s">
        <v>37</v>
      </c>
      <c r="L334" t="s">
        <v>2351</v>
      </c>
      <c r="M334">
        <v>592383571202</v>
      </c>
      <c r="N334" t="s">
        <v>2661</v>
      </c>
      <c r="O334" s="1">
        <v>45457</v>
      </c>
      <c r="T334" t="s">
        <v>2662</v>
      </c>
      <c r="U334" t="s">
        <v>3476</v>
      </c>
      <c r="V334">
        <v>0</v>
      </c>
      <c r="X334">
        <v>1</v>
      </c>
      <c r="Y334" t="s">
        <v>2695</v>
      </c>
      <c r="AA334">
        <v>108483856702</v>
      </c>
      <c r="AB334" t="s">
        <v>1316</v>
      </c>
      <c r="AC334">
        <v>0</v>
      </c>
      <c r="AD334">
        <v>49</v>
      </c>
      <c r="AE334">
        <v>10848385670249</v>
      </c>
      <c r="AF334" t="s">
        <v>3474</v>
      </c>
      <c r="AG334">
        <v>0</v>
      </c>
      <c r="AH334">
        <v>0</v>
      </c>
    </row>
    <row r="335" spans="1:34">
      <c r="A335">
        <v>2025</v>
      </c>
      <c r="B335" s="1">
        <v>45992</v>
      </c>
      <c r="C335" t="s">
        <v>2657</v>
      </c>
      <c r="D335" t="s">
        <v>3478</v>
      </c>
      <c r="E335" s="43">
        <v>45995.820808888886</v>
      </c>
      <c r="F335" s="1">
        <v>45995</v>
      </c>
      <c r="G335" s="43">
        <v>46000.587381990743</v>
      </c>
      <c r="H335" t="s">
        <v>2686</v>
      </c>
      <c r="I335" t="s">
        <v>2669</v>
      </c>
      <c r="J335" t="s">
        <v>37</v>
      </c>
      <c r="L335" t="s">
        <v>2351</v>
      </c>
      <c r="M335">
        <v>368602630102</v>
      </c>
      <c r="N335" t="s">
        <v>2661</v>
      </c>
      <c r="O335" s="1">
        <v>45457</v>
      </c>
      <c r="T335" t="s">
        <v>2662</v>
      </c>
      <c r="U335" t="s">
        <v>3479</v>
      </c>
      <c r="V335">
        <v>3</v>
      </c>
      <c r="W335" t="s">
        <v>2671</v>
      </c>
      <c r="X335">
        <v>1</v>
      </c>
      <c r="Y335" t="s">
        <v>2721</v>
      </c>
      <c r="AA335">
        <v>108483856702</v>
      </c>
      <c r="AB335" t="s">
        <v>1316</v>
      </c>
      <c r="AC335">
        <v>0</v>
      </c>
      <c r="AD335">
        <v>49</v>
      </c>
      <c r="AE335">
        <v>10848385670249</v>
      </c>
      <c r="AF335" t="s">
        <v>3474</v>
      </c>
      <c r="AG335">
        <v>0</v>
      </c>
      <c r="AH335">
        <v>0</v>
      </c>
    </row>
    <row r="336" spans="1:34">
      <c r="A336">
        <v>2025</v>
      </c>
      <c r="B336" s="1">
        <v>45992</v>
      </c>
      <c r="C336" t="s">
        <v>2657</v>
      </c>
      <c r="D336" t="s">
        <v>3480</v>
      </c>
      <c r="E336" s="43">
        <v>45999.856891319447</v>
      </c>
      <c r="F336" s="1">
        <v>45999</v>
      </c>
      <c r="G336" s="43">
        <v>45999.856891319447</v>
      </c>
      <c r="H336" t="s">
        <v>2686</v>
      </c>
      <c r="I336" t="s">
        <v>2681</v>
      </c>
      <c r="J336" t="s">
        <v>37</v>
      </c>
      <c r="L336" t="s">
        <v>2351</v>
      </c>
      <c r="M336">
        <v>836748983002</v>
      </c>
      <c r="N336" t="s">
        <v>2661</v>
      </c>
      <c r="O336" s="1">
        <v>45457</v>
      </c>
      <c r="T336" t="s">
        <v>2662</v>
      </c>
      <c r="U336" t="s">
        <v>3481</v>
      </c>
      <c r="V336">
        <v>0</v>
      </c>
      <c r="W336" t="s">
        <v>2704</v>
      </c>
      <c r="X336">
        <v>1</v>
      </c>
      <c r="Y336" t="s">
        <v>2695</v>
      </c>
      <c r="AA336">
        <v>108483856702</v>
      </c>
      <c r="AB336" t="s">
        <v>1316</v>
      </c>
      <c r="AC336">
        <v>0</v>
      </c>
      <c r="AD336">
        <v>50</v>
      </c>
      <c r="AE336">
        <v>10848385670250</v>
      </c>
      <c r="AF336" t="s">
        <v>3474</v>
      </c>
      <c r="AG336">
        <v>0</v>
      </c>
      <c r="AH336">
        <v>0</v>
      </c>
    </row>
    <row r="337" spans="1:34">
      <c r="A337">
        <v>2025</v>
      </c>
      <c r="B337" s="1">
        <v>45992</v>
      </c>
      <c r="C337" t="s">
        <v>2657</v>
      </c>
      <c r="D337" t="s">
        <v>3482</v>
      </c>
      <c r="E337" s="43">
        <v>45999.853020671297</v>
      </c>
      <c r="F337" s="1">
        <v>45999</v>
      </c>
      <c r="G337" s="43">
        <v>45999.853020671297</v>
      </c>
      <c r="H337" t="s">
        <v>2686</v>
      </c>
      <c r="I337" t="s">
        <v>2681</v>
      </c>
      <c r="J337" t="s">
        <v>37</v>
      </c>
      <c r="L337" t="s">
        <v>2351</v>
      </c>
      <c r="M337">
        <v>592383571202</v>
      </c>
      <c r="N337" t="s">
        <v>2661</v>
      </c>
      <c r="O337" s="1">
        <v>45457</v>
      </c>
      <c r="T337" t="s">
        <v>2662</v>
      </c>
      <c r="U337" t="s">
        <v>3483</v>
      </c>
      <c r="V337">
        <v>0</v>
      </c>
      <c r="W337" t="s">
        <v>2671</v>
      </c>
      <c r="X337">
        <v>1</v>
      </c>
      <c r="Y337" t="s">
        <v>2672</v>
      </c>
      <c r="AA337">
        <v>108483856702</v>
      </c>
      <c r="AB337" t="s">
        <v>1316</v>
      </c>
      <c r="AC337">
        <v>0</v>
      </c>
      <c r="AD337">
        <v>50</v>
      </c>
      <c r="AE337">
        <v>10848385670250</v>
      </c>
      <c r="AF337" t="s">
        <v>3474</v>
      </c>
      <c r="AG337">
        <v>1</v>
      </c>
      <c r="AH337">
        <v>0</v>
      </c>
    </row>
    <row r="338" spans="1:34">
      <c r="A338">
        <v>2025</v>
      </c>
      <c r="B338" s="1">
        <v>45992</v>
      </c>
      <c r="C338" t="s">
        <v>2657</v>
      </c>
      <c r="D338" t="s">
        <v>3484</v>
      </c>
      <c r="E338" s="43">
        <v>45999.856326053239</v>
      </c>
      <c r="F338" s="1">
        <v>45999</v>
      </c>
      <c r="G338" s="43">
        <v>46000.573586250001</v>
      </c>
      <c r="H338" t="s">
        <v>2686</v>
      </c>
      <c r="I338" t="s">
        <v>2681</v>
      </c>
      <c r="J338" t="s">
        <v>37</v>
      </c>
      <c r="L338" t="s">
        <v>2351</v>
      </c>
      <c r="M338">
        <v>592383571202</v>
      </c>
      <c r="N338" t="s">
        <v>2661</v>
      </c>
      <c r="O338" s="1">
        <v>45457</v>
      </c>
      <c r="T338" t="s">
        <v>2662</v>
      </c>
      <c r="U338" t="s">
        <v>3485</v>
      </c>
      <c r="V338">
        <v>1</v>
      </c>
      <c r="W338" t="s">
        <v>2671</v>
      </c>
      <c r="X338">
        <v>1</v>
      </c>
      <c r="Y338" t="s">
        <v>2764</v>
      </c>
      <c r="AA338">
        <v>108483856702</v>
      </c>
      <c r="AB338" t="s">
        <v>1316</v>
      </c>
      <c r="AC338">
        <v>0</v>
      </c>
      <c r="AD338">
        <v>50</v>
      </c>
      <c r="AE338">
        <v>10848385670250</v>
      </c>
      <c r="AF338" t="s">
        <v>3474</v>
      </c>
      <c r="AG338">
        <v>0</v>
      </c>
      <c r="AH338">
        <v>0</v>
      </c>
    </row>
    <row r="339" spans="1:34">
      <c r="A339">
        <v>2025</v>
      </c>
      <c r="B339" s="1">
        <v>45992</v>
      </c>
      <c r="C339" t="s">
        <v>2657</v>
      </c>
      <c r="D339" t="s">
        <v>3486</v>
      </c>
      <c r="E339" s="43">
        <v>46001.604446030091</v>
      </c>
      <c r="F339" s="1">
        <v>46001</v>
      </c>
      <c r="G339" s="43">
        <v>46001.604446030091</v>
      </c>
      <c r="H339" t="s">
        <v>2686</v>
      </c>
      <c r="I339" t="s">
        <v>2681</v>
      </c>
      <c r="J339" t="s">
        <v>37</v>
      </c>
      <c r="L339" t="s">
        <v>2351</v>
      </c>
      <c r="M339">
        <v>108483856702</v>
      </c>
      <c r="N339" t="s">
        <v>2661</v>
      </c>
      <c r="O339" s="1">
        <v>45457</v>
      </c>
      <c r="T339" t="s">
        <v>2662</v>
      </c>
      <c r="U339" t="s">
        <v>3487</v>
      </c>
      <c r="V339">
        <v>0</v>
      </c>
      <c r="W339" t="s">
        <v>2704</v>
      </c>
      <c r="X339">
        <v>1</v>
      </c>
      <c r="Y339" t="s">
        <v>2695</v>
      </c>
      <c r="AA339">
        <v>108483856702</v>
      </c>
      <c r="AB339" t="s">
        <v>1316</v>
      </c>
      <c r="AC339">
        <v>0</v>
      </c>
      <c r="AD339">
        <v>50</v>
      </c>
      <c r="AE339">
        <v>10848385670250</v>
      </c>
      <c r="AF339" t="s">
        <v>3474</v>
      </c>
      <c r="AG339">
        <v>0</v>
      </c>
      <c r="AH339">
        <v>0</v>
      </c>
    </row>
    <row r="340" spans="1:34">
      <c r="A340">
        <v>2025</v>
      </c>
      <c r="B340" s="1">
        <v>45992</v>
      </c>
      <c r="C340" t="s">
        <v>2657</v>
      </c>
      <c r="D340" t="s">
        <v>3488</v>
      </c>
      <c r="E340" s="43">
        <v>45999.854761423609</v>
      </c>
      <c r="F340" s="1">
        <v>45999</v>
      </c>
      <c r="G340" s="43">
        <v>45999.854761423609</v>
      </c>
      <c r="H340" t="s">
        <v>2686</v>
      </c>
      <c r="I340" t="s">
        <v>2681</v>
      </c>
      <c r="J340" t="s">
        <v>37</v>
      </c>
      <c r="L340" t="s">
        <v>2351</v>
      </c>
      <c r="M340">
        <v>108483856702</v>
      </c>
      <c r="N340" t="s">
        <v>2661</v>
      </c>
      <c r="O340" s="1">
        <v>45457</v>
      </c>
      <c r="T340" t="s">
        <v>2662</v>
      </c>
      <c r="U340" t="s">
        <v>3489</v>
      </c>
      <c r="V340">
        <v>0</v>
      </c>
      <c r="W340" t="s">
        <v>2671</v>
      </c>
      <c r="X340">
        <v>1</v>
      </c>
      <c r="Y340" t="s">
        <v>2695</v>
      </c>
      <c r="AA340">
        <v>108483856702</v>
      </c>
      <c r="AB340" t="s">
        <v>1316</v>
      </c>
      <c r="AC340">
        <v>0</v>
      </c>
      <c r="AD340">
        <v>50</v>
      </c>
      <c r="AE340">
        <v>10848385670250</v>
      </c>
      <c r="AF340" t="s">
        <v>3474</v>
      </c>
      <c r="AG340">
        <v>0</v>
      </c>
      <c r="AH340">
        <v>0</v>
      </c>
    </row>
    <row r="341" spans="1:34">
      <c r="A341">
        <v>2025</v>
      </c>
      <c r="B341" s="1">
        <v>45992</v>
      </c>
      <c r="C341" t="s">
        <v>2657</v>
      </c>
      <c r="D341" t="s">
        <v>3490</v>
      </c>
      <c r="E341" s="43">
        <v>46002.861782071763</v>
      </c>
      <c r="F341" s="1">
        <v>46002</v>
      </c>
      <c r="G341" s="43">
        <v>46002.861782071763</v>
      </c>
      <c r="H341" t="s">
        <v>2686</v>
      </c>
      <c r="I341" t="s">
        <v>2681</v>
      </c>
      <c r="J341" t="s">
        <v>37</v>
      </c>
      <c r="L341" t="s">
        <v>2351</v>
      </c>
      <c r="M341">
        <v>108483856702</v>
      </c>
      <c r="N341" t="s">
        <v>2661</v>
      </c>
      <c r="O341" s="1">
        <v>45457</v>
      </c>
      <c r="T341" t="s">
        <v>2662</v>
      </c>
      <c r="U341" t="s">
        <v>3491</v>
      </c>
      <c r="V341">
        <v>0</v>
      </c>
      <c r="W341" t="s">
        <v>2664</v>
      </c>
      <c r="X341">
        <v>1</v>
      </c>
      <c r="Y341" t="s">
        <v>2695</v>
      </c>
      <c r="AA341">
        <v>108483856702</v>
      </c>
      <c r="AB341" t="s">
        <v>1316</v>
      </c>
      <c r="AC341">
        <v>0</v>
      </c>
      <c r="AD341">
        <v>50</v>
      </c>
      <c r="AE341">
        <v>10848385670250</v>
      </c>
      <c r="AF341" t="s">
        <v>3474</v>
      </c>
      <c r="AG341">
        <v>0</v>
      </c>
      <c r="AH341">
        <v>0</v>
      </c>
    </row>
    <row r="342" spans="1:34">
      <c r="A342">
        <v>2025</v>
      </c>
      <c r="B342" s="1">
        <v>45992</v>
      </c>
      <c r="C342" t="s">
        <v>2657</v>
      </c>
      <c r="D342" t="s">
        <v>3492</v>
      </c>
      <c r="E342" s="43">
        <v>46003.741044733797</v>
      </c>
      <c r="F342" s="1">
        <v>46003</v>
      </c>
      <c r="G342" s="43">
        <v>46003.741044733797</v>
      </c>
      <c r="H342" t="s">
        <v>2686</v>
      </c>
      <c r="I342" t="s">
        <v>2681</v>
      </c>
      <c r="J342" t="s">
        <v>37</v>
      </c>
      <c r="L342" t="s">
        <v>2351</v>
      </c>
      <c r="M342">
        <v>368602630102</v>
      </c>
      <c r="N342" t="s">
        <v>2661</v>
      </c>
      <c r="O342" s="1">
        <v>45457</v>
      </c>
      <c r="T342" t="s">
        <v>2662</v>
      </c>
      <c r="U342" t="s">
        <v>3493</v>
      </c>
      <c r="V342">
        <v>0</v>
      </c>
      <c r="W342" t="s">
        <v>2671</v>
      </c>
      <c r="X342">
        <v>1</v>
      </c>
      <c r="Y342" t="s">
        <v>2695</v>
      </c>
      <c r="AA342">
        <v>108483856702</v>
      </c>
      <c r="AB342" t="s">
        <v>1316</v>
      </c>
      <c r="AC342">
        <v>0</v>
      </c>
      <c r="AD342">
        <v>50</v>
      </c>
      <c r="AE342">
        <v>10848385670250</v>
      </c>
      <c r="AF342" t="s">
        <v>3474</v>
      </c>
      <c r="AG342">
        <v>0</v>
      </c>
      <c r="AH342">
        <v>0</v>
      </c>
    </row>
    <row r="343" spans="1:34">
      <c r="A343">
        <v>2025</v>
      </c>
      <c r="B343" s="1">
        <v>45992</v>
      </c>
      <c r="C343" t="s">
        <v>2657</v>
      </c>
      <c r="D343" t="s">
        <v>3494</v>
      </c>
      <c r="E343" s="43">
        <v>46010.570266458337</v>
      </c>
      <c r="F343" s="1">
        <v>46010</v>
      </c>
      <c r="G343" s="43">
        <v>46010.570266458337</v>
      </c>
      <c r="H343" t="s">
        <v>2686</v>
      </c>
      <c r="I343" t="s">
        <v>2719</v>
      </c>
      <c r="J343" t="s">
        <v>37</v>
      </c>
      <c r="L343" t="s">
        <v>2351</v>
      </c>
      <c r="M343">
        <v>327981185502</v>
      </c>
      <c r="N343" t="s">
        <v>2661</v>
      </c>
      <c r="O343" s="1">
        <v>44894</v>
      </c>
      <c r="T343" t="s">
        <v>2662</v>
      </c>
      <c r="U343" t="s">
        <v>3495</v>
      </c>
      <c r="V343">
        <v>0</v>
      </c>
      <c r="W343" t="s">
        <v>2671</v>
      </c>
      <c r="X343">
        <v>1</v>
      </c>
      <c r="Y343" t="s">
        <v>2683</v>
      </c>
      <c r="AA343">
        <v>108483856702</v>
      </c>
      <c r="AB343" t="s">
        <v>1316</v>
      </c>
      <c r="AC343">
        <v>0</v>
      </c>
      <c r="AD343">
        <v>51</v>
      </c>
      <c r="AE343">
        <v>10848385670251</v>
      </c>
      <c r="AF343" t="s">
        <v>3474</v>
      </c>
      <c r="AG343">
        <v>0</v>
      </c>
      <c r="AH343">
        <v>0</v>
      </c>
    </row>
    <row r="344" spans="1:34">
      <c r="A344">
        <v>2025</v>
      </c>
      <c r="B344" s="1">
        <v>45992</v>
      </c>
      <c r="C344" t="s">
        <v>2657</v>
      </c>
      <c r="D344" s="44" t="s">
        <v>3496</v>
      </c>
      <c r="E344" s="43">
        <v>46008.886848425929</v>
      </c>
      <c r="F344" s="1">
        <v>46008</v>
      </c>
      <c r="G344" s="43">
        <v>46010.569475671298</v>
      </c>
      <c r="H344" t="s">
        <v>2686</v>
      </c>
      <c r="I344" t="s">
        <v>2719</v>
      </c>
      <c r="J344" t="s">
        <v>37</v>
      </c>
      <c r="L344" t="s">
        <v>2351</v>
      </c>
      <c r="M344">
        <v>327981185502</v>
      </c>
      <c r="N344" t="s">
        <v>2661</v>
      </c>
      <c r="O344" s="1">
        <v>44894</v>
      </c>
      <c r="T344" t="s">
        <v>2662</v>
      </c>
      <c r="U344" t="s">
        <v>3497</v>
      </c>
      <c r="V344">
        <v>2</v>
      </c>
      <c r="W344" t="s">
        <v>2704</v>
      </c>
      <c r="X344">
        <v>1</v>
      </c>
      <c r="Y344" t="s">
        <v>2807</v>
      </c>
      <c r="AA344">
        <v>108483856702</v>
      </c>
      <c r="AB344" t="s">
        <v>1316</v>
      </c>
      <c r="AC344">
        <v>0</v>
      </c>
      <c r="AD344">
        <v>51</v>
      </c>
      <c r="AE344">
        <v>10848385670251</v>
      </c>
      <c r="AF344" t="s">
        <v>3474</v>
      </c>
      <c r="AG344">
        <v>0</v>
      </c>
      <c r="AH344">
        <v>0</v>
      </c>
    </row>
    <row r="345" spans="1:34">
      <c r="A345">
        <v>2025</v>
      </c>
      <c r="B345" s="1">
        <v>45992</v>
      </c>
      <c r="C345" t="s">
        <v>2657</v>
      </c>
      <c r="D345" t="s">
        <v>3498</v>
      </c>
      <c r="E345" s="43">
        <v>46008.770824976855</v>
      </c>
      <c r="F345" s="1">
        <v>46008</v>
      </c>
      <c r="G345" s="43">
        <v>46008.770824976855</v>
      </c>
      <c r="H345" t="s">
        <v>2686</v>
      </c>
      <c r="I345" t="s">
        <v>2719</v>
      </c>
      <c r="J345" t="s">
        <v>37</v>
      </c>
      <c r="L345" t="s">
        <v>2351</v>
      </c>
      <c r="M345">
        <v>108483856702</v>
      </c>
      <c r="N345" t="s">
        <v>2661</v>
      </c>
      <c r="O345" s="1">
        <v>45457</v>
      </c>
      <c r="T345" t="s">
        <v>2662</v>
      </c>
      <c r="U345" t="s">
        <v>3499</v>
      </c>
      <c r="V345">
        <v>0</v>
      </c>
      <c r="X345">
        <v>1</v>
      </c>
      <c r="Y345" t="s">
        <v>2695</v>
      </c>
      <c r="AA345">
        <v>108483856702</v>
      </c>
      <c r="AB345" t="s">
        <v>1316</v>
      </c>
      <c r="AC345">
        <v>0</v>
      </c>
      <c r="AD345">
        <v>51</v>
      </c>
      <c r="AE345">
        <v>10848385670251</v>
      </c>
      <c r="AF345" t="s">
        <v>3474</v>
      </c>
      <c r="AG345">
        <v>1</v>
      </c>
      <c r="AH345">
        <v>0</v>
      </c>
    </row>
    <row r="346" spans="1:34">
      <c r="A346">
        <v>2025</v>
      </c>
      <c r="B346" s="1">
        <v>45992</v>
      </c>
      <c r="C346" t="s">
        <v>2657</v>
      </c>
      <c r="D346" t="s">
        <v>3500</v>
      </c>
      <c r="E346" s="43">
        <v>46020.773573611114</v>
      </c>
      <c r="F346" s="1">
        <v>46020</v>
      </c>
      <c r="G346" s="43">
        <v>46020.773573611114</v>
      </c>
      <c r="H346" t="s">
        <v>2686</v>
      </c>
      <c r="I346" t="s">
        <v>2697</v>
      </c>
      <c r="J346" t="s">
        <v>37</v>
      </c>
      <c r="L346" t="s">
        <v>2351</v>
      </c>
      <c r="M346">
        <v>836748983002</v>
      </c>
      <c r="N346" t="s">
        <v>2661</v>
      </c>
      <c r="O346" s="1">
        <v>45457</v>
      </c>
      <c r="T346" t="s">
        <v>2662</v>
      </c>
      <c r="U346" t="s">
        <v>3501</v>
      </c>
      <c r="V346">
        <v>0</v>
      </c>
      <c r="X346">
        <v>1</v>
      </c>
      <c r="Y346" t="s">
        <v>2695</v>
      </c>
      <c r="AA346">
        <v>108483856702</v>
      </c>
      <c r="AB346" t="s">
        <v>1316</v>
      </c>
      <c r="AC346">
        <v>0</v>
      </c>
      <c r="AD346">
        <v>1</v>
      </c>
      <c r="AE346">
        <v>1084838567021</v>
      </c>
      <c r="AF346" t="s">
        <v>3474</v>
      </c>
      <c r="AG346">
        <v>1</v>
      </c>
      <c r="AH346">
        <v>0</v>
      </c>
    </row>
    <row r="347" spans="1:34">
      <c r="A347">
        <v>2025</v>
      </c>
      <c r="B347" s="1">
        <v>45992</v>
      </c>
      <c r="C347" t="s">
        <v>2657</v>
      </c>
      <c r="D347" t="s">
        <v>3502</v>
      </c>
      <c r="E347" s="43">
        <v>46021.694648495373</v>
      </c>
      <c r="F347" s="1">
        <v>46021</v>
      </c>
      <c r="G347" s="43">
        <v>46036.78361564815</v>
      </c>
      <c r="H347" t="s">
        <v>2686</v>
      </c>
      <c r="I347" t="s">
        <v>2697</v>
      </c>
      <c r="J347" t="s">
        <v>37</v>
      </c>
      <c r="L347" t="s">
        <v>2351</v>
      </c>
      <c r="M347">
        <v>327981185502</v>
      </c>
      <c r="N347" t="s">
        <v>2661</v>
      </c>
      <c r="O347" s="1">
        <v>44894</v>
      </c>
      <c r="T347" t="s">
        <v>2662</v>
      </c>
      <c r="U347" t="s">
        <v>3503</v>
      </c>
      <c r="V347">
        <v>11</v>
      </c>
      <c r="W347" t="s">
        <v>2671</v>
      </c>
      <c r="X347">
        <v>1</v>
      </c>
      <c r="Y347" t="s">
        <v>2760</v>
      </c>
      <c r="Z347" t="s">
        <v>2684</v>
      </c>
      <c r="AA347">
        <v>108483856702</v>
      </c>
      <c r="AB347" t="s">
        <v>1316</v>
      </c>
      <c r="AC347">
        <v>0</v>
      </c>
      <c r="AD347">
        <v>1</v>
      </c>
      <c r="AE347">
        <v>1084838567021</v>
      </c>
      <c r="AF347" t="s">
        <v>3474</v>
      </c>
      <c r="AG347">
        <v>0</v>
      </c>
      <c r="AH347">
        <v>0</v>
      </c>
    </row>
    <row r="348" spans="1:34">
      <c r="A348">
        <v>2026</v>
      </c>
      <c r="B348" s="1">
        <v>46082</v>
      </c>
      <c r="C348" t="s">
        <v>2657</v>
      </c>
      <c r="D348" t="s">
        <v>3504</v>
      </c>
      <c r="E348" s="43">
        <v>46084.735705370367</v>
      </c>
      <c r="F348" s="1">
        <v>46084</v>
      </c>
      <c r="G348" s="43">
        <v>46085.548084803238</v>
      </c>
      <c r="H348" t="s">
        <v>2668</v>
      </c>
      <c r="I348" t="s">
        <v>2669</v>
      </c>
      <c r="J348" t="s">
        <v>38</v>
      </c>
      <c r="L348" t="s">
        <v>2342</v>
      </c>
      <c r="M348">
        <v>755841394202</v>
      </c>
      <c r="N348" t="s">
        <v>2702</v>
      </c>
      <c r="O348" s="1">
        <v>45411</v>
      </c>
      <c r="T348" t="s">
        <v>2662</v>
      </c>
      <c r="U348" t="s">
        <v>3505</v>
      </c>
      <c r="V348">
        <v>1</v>
      </c>
      <c r="W348" t="s">
        <v>2671</v>
      </c>
      <c r="X348">
        <v>1</v>
      </c>
      <c r="Y348" t="s">
        <v>2672</v>
      </c>
      <c r="AA348">
        <v>755841394202</v>
      </c>
      <c r="AB348" t="s">
        <v>376</v>
      </c>
      <c r="AC348">
        <v>0</v>
      </c>
      <c r="AD348">
        <v>10</v>
      </c>
      <c r="AE348">
        <v>75584139420210</v>
      </c>
      <c r="AF348" t="s">
        <v>3506</v>
      </c>
      <c r="AG348">
        <v>1</v>
      </c>
      <c r="AH348">
        <v>1</v>
      </c>
    </row>
    <row r="349" spans="1:34">
      <c r="A349">
        <v>2026</v>
      </c>
      <c r="B349" s="1">
        <v>46082</v>
      </c>
      <c r="C349" t="s">
        <v>2657</v>
      </c>
      <c r="D349" t="s">
        <v>3507</v>
      </c>
      <c r="E349" s="43">
        <v>46091.80693204861</v>
      </c>
      <c r="F349" s="1">
        <v>46091</v>
      </c>
      <c r="G349" s="43">
        <v>46091.80693204861</v>
      </c>
      <c r="H349" t="s">
        <v>2668</v>
      </c>
      <c r="I349" t="s">
        <v>2681</v>
      </c>
      <c r="J349" t="s">
        <v>38</v>
      </c>
      <c r="L349" t="s">
        <v>2342</v>
      </c>
      <c r="M349">
        <v>755841394202</v>
      </c>
      <c r="N349" t="s">
        <v>2702</v>
      </c>
      <c r="O349" s="1">
        <v>45411</v>
      </c>
      <c r="T349" t="s">
        <v>2798</v>
      </c>
      <c r="U349" t="s">
        <v>3508</v>
      </c>
      <c r="V349">
        <v>3</v>
      </c>
      <c r="W349" t="s">
        <v>2671</v>
      </c>
      <c r="X349">
        <v>0</v>
      </c>
      <c r="Y349" t="s">
        <v>2727</v>
      </c>
      <c r="AA349">
        <v>755841394202</v>
      </c>
      <c r="AB349" t="s">
        <v>376</v>
      </c>
      <c r="AC349">
        <v>0</v>
      </c>
      <c r="AD349">
        <v>11</v>
      </c>
      <c r="AE349">
        <v>75584139420211</v>
      </c>
      <c r="AF349" t="s">
        <v>3506</v>
      </c>
      <c r="AG349">
        <v>1</v>
      </c>
      <c r="AH349">
        <v>0</v>
      </c>
    </row>
    <row r="350" spans="1:34">
      <c r="A350">
        <v>2026</v>
      </c>
      <c r="B350" s="1">
        <v>46082</v>
      </c>
      <c r="C350" t="s">
        <v>2657</v>
      </c>
      <c r="D350" t="s">
        <v>3509</v>
      </c>
      <c r="E350" s="43">
        <v>46091.810138055553</v>
      </c>
      <c r="F350" s="1">
        <v>46091</v>
      </c>
      <c r="G350" s="43">
        <v>46091.810138055553</v>
      </c>
      <c r="H350" t="s">
        <v>2668</v>
      </c>
      <c r="I350" t="s">
        <v>2681</v>
      </c>
      <c r="J350" t="s">
        <v>38</v>
      </c>
      <c r="L350" t="s">
        <v>2342</v>
      </c>
      <c r="M350">
        <v>755841394202</v>
      </c>
      <c r="N350" t="s">
        <v>2702</v>
      </c>
      <c r="O350" s="1">
        <v>45411</v>
      </c>
      <c r="T350" t="s">
        <v>2798</v>
      </c>
      <c r="U350" t="s">
        <v>3510</v>
      </c>
      <c r="V350">
        <v>3</v>
      </c>
      <c r="W350" t="s">
        <v>2677</v>
      </c>
      <c r="X350">
        <v>0</v>
      </c>
      <c r="Y350" t="s">
        <v>2807</v>
      </c>
      <c r="AA350">
        <v>755841394202</v>
      </c>
      <c r="AB350" t="s">
        <v>376</v>
      </c>
      <c r="AC350">
        <v>0</v>
      </c>
      <c r="AD350">
        <v>11</v>
      </c>
      <c r="AE350">
        <v>75584139420211</v>
      </c>
      <c r="AF350" t="s">
        <v>3506</v>
      </c>
      <c r="AG350">
        <v>0</v>
      </c>
      <c r="AH350">
        <v>0</v>
      </c>
    </row>
    <row r="351" spans="1:34">
      <c r="A351">
        <v>2026</v>
      </c>
      <c r="B351" s="1">
        <v>46082</v>
      </c>
      <c r="C351" t="s">
        <v>2657</v>
      </c>
      <c r="D351" t="s">
        <v>3511</v>
      </c>
      <c r="E351" s="43">
        <v>46092.843348379633</v>
      </c>
      <c r="F351" s="1">
        <v>46092</v>
      </c>
      <c r="G351" s="43">
        <v>46092.843348379633</v>
      </c>
      <c r="H351" t="s">
        <v>2668</v>
      </c>
      <c r="I351" t="s">
        <v>2681</v>
      </c>
      <c r="J351" t="s">
        <v>38</v>
      </c>
      <c r="L351" t="s">
        <v>2342</v>
      </c>
      <c r="M351">
        <v>755841394202</v>
      </c>
      <c r="N351" t="s">
        <v>2702</v>
      </c>
      <c r="O351" s="1">
        <v>45411</v>
      </c>
      <c r="T351" t="s">
        <v>2662</v>
      </c>
      <c r="U351" t="s">
        <v>3512</v>
      </c>
      <c r="V351">
        <v>0</v>
      </c>
      <c r="W351" t="s">
        <v>2671</v>
      </c>
      <c r="X351">
        <v>1</v>
      </c>
      <c r="Y351" t="s">
        <v>2695</v>
      </c>
      <c r="AA351">
        <v>755841394202</v>
      </c>
      <c r="AB351" t="s">
        <v>376</v>
      </c>
      <c r="AC351">
        <v>1</v>
      </c>
      <c r="AD351">
        <v>11</v>
      </c>
      <c r="AE351">
        <v>75584139420211</v>
      </c>
      <c r="AF351" t="s">
        <v>3506</v>
      </c>
      <c r="AG351">
        <v>0</v>
      </c>
      <c r="AH351">
        <v>0</v>
      </c>
    </row>
    <row r="352" spans="1:34">
      <c r="A352">
        <v>2026</v>
      </c>
      <c r="B352" s="1">
        <v>46082</v>
      </c>
      <c r="C352" t="s">
        <v>2657</v>
      </c>
      <c r="D352" t="s">
        <v>3513</v>
      </c>
      <c r="E352" s="43">
        <v>46091.81492986111</v>
      </c>
      <c r="F352" s="1">
        <v>46091</v>
      </c>
      <c r="G352" s="43">
        <v>46091.81492986111</v>
      </c>
      <c r="H352" t="s">
        <v>2668</v>
      </c>
      <c r="I352" t="s">
        <v>2681</v>
      </c>
      <c r="J352" t="s">
        <v>38</v>
      </c>
      <c r="L352" t="s">
        <v>2342</v>
      </c>
      <c r="M352">
        <v>755841394202</v>
      </c>
      <c r="N352" t="s">
        <v>2702</v>
      </c>
      <c r="O352" s="1">
        <v>45411</v>
      </c>
      <c r="T352" t="s">
        <v>2662</v>
      </c>
      <c r="U352" t="s">
        <v>3514</v>
      </c>
      <c r="V352">
        <v>0</v>
      </c>
      <c r="W352" t="s">
        <v>2671</v>
      </c>
      <c r="X352">
        <v>1</v>
      </c>
      <c r="Y352" t="s">
        <v>2695</v>
      </c>
      <c r="AA352">
        <v>755841394202</v>
      </c>
      <c r="AB352" t="s">
        <v>376</v>
      </c>
      <c r="AC352">
        <v>0</v>
      </c>
      <c r="AD352">
        <v>11</v>
      </c>
      <c r="AE352">
        <v>75584139420211</v>
      </c>
      <c r="AF352" t="s">
        <v>3506</v>
      </c>
      <c r="AG352">
        <v>0</v>
      </c>
      <c r="AH352">
        <v>0</v>
      </c>
    </row>
    <row r="353" spans="1:34">
      <c r="A353">
        <v>2026</v>
      </c>
      <c r="B353" s="1">
        <v>46082</v>
      </c>
      <c r="C353" t="s">
        <v>2657</v>
      </c>
      <c r="D353" s="44" t="s">
        <v>3515</v>
      </c>
      <c r="E353" s="43">
        <v>46084.718687534725</v>
      </c>
      <c r="F353" s="1">
        <v>46084</v>
      </c>
      <c r="G353" s="43">
        <v>46085.585517476851</v>
      </c>
      <c r="H353" t="s">
        <v>2668</v>
      </c>
      <c r="I353" t="s">
        <v>2669</v>
      </c>
      <c r="J353" t="s">
        <v>36</v>
      </c>
      <c r="L353" t="s">
        <v>2378</v>
      </c>
      <c r="M353">
        <v>404306596602</v>
      </c>
      <c r="N353" t="s">
        <v>2746</v>
      </c>
      <c r="O353" s="1">
        <v>46093</v>
      </c>
      <c r="T353" t="s">
        <v>2662</v>
      </c>
      <c r="U353" t="s">
        <v>3516</v>
      </c>
      <c r="V353">
        <v>1</v>
      </c>
      <c r="W353" t="s">
        <v>2671</v>
      </c>
      <c r="X353">
        <v>1</v>
      </c>
      <c r="Y353" t="s">
        <v>2672</v>
      </c>
      <c r="AA353">
        <v>1005231704002</v>
      </c>
      <c r="AB353" t="s">
        <v>2534</v>
      </c>
      <c r="AC353">
        <v>0</v>
      </c>
      <c r="AD353">
        <v>10</v>
      </c>
      <c r="AE353">
        <v>100523170400210</v>
      </c>
      <c r="AF353" t="s">
        <v>3517</v>
      </c>
      <c r="AG353">
        <v>0</v>
      </c>
      <c r="AH353">
        <v>0</v>
      </c>
    </row>
    <row r="354" spans="1:34">
      <c r="A354">
        <v>2026</v>
      </c>
      <c r="B354" s="1">
        <v>46082</v>
      </c>
      <c r="C354" t="s">
        <v>2657</v>
      </c>
      <c r="D354" t="s">
        <v>3518</v>
      </c>
      <c r="E354" s="43">
        <v>46084.717230173614</v>
      </c>
      <c r="F354" s="1">
        <v>46084</v>
      </c>
      <c r="G354" s="43">
        <v>46085.582135983794</v>
      </c>
      <c r="H354" t="s">
        <v>2668</v>
      </c>
      <c r="I354" t="s">
        <v>2669</v>
      </c>
      <c r="J354" t="s">
        <v>36</v>
      </c>
      <c r="L354" t="s">
        <v>2378</v>
      </c>
      <c r="M354">
        <v>1005231704002</v>
      </c>
      <c r="N354" t="s">
        <v>2746</v>
      </c>
      <c r="O354" s="1">
        <v>46045</v>
      </c>
      <c r="T354" t="s">
        <v>2662</v>
      </c>
      <c r="U354" t="s">
        <v>3519</v>
      </c>
      <c r="V354">
        <v>1</v>
      </c>
      <c r="W354" t="s">
        <v>2671</v>
      </c>
      <c r="X354">
        <v>1</v>
      </c>
      <c r="Y354" t="s">
        <v>2672</v>
      </c>
      <c r="AA354">
        <v>1005231704002</v>
      </c>
      <c r="AB354" t="s">
        <v>2534</v>
      </c>
      <c r="AC354">
        <v>0</v>
      </c>
      <c r="AD354">
        <v>10</v>
      </c>
      <c r="AE354">
        <v>100523170400210</v>
      </c>
      <c r="AF354" t="s">
        <v>3517</v>
      </c>
      <c r="AG354">
        <v>1</v>
      </c>
      <c r="AH354">
        <v>1</v>
      </c>
    </row>
    <row r="355" spans="1:34">
      <c r="A355">
        <v>2026</v>
      </c>
      <c r="B355" s="1">
        <v>46082</v>
      </c>
      <c r="C355" t="s">
        <v>2657</v>
      </c>
      <c r="D355" t="s">
        <v>3520</v>
      </c>
      <c r="E355" s="43">
        <v>46091.647157106483</v>
      </c>
      <c r="F355" s="1">
        <v>46091</v>
      </c>
      <c r="G355" s="43">
        <v>46092.643724745372</v>
      </c>
      <c r="H355" t="s">
        <v>2668</v>
      </c>
      <c r="I355" t="s">
        <v>2681</v>
      </c>
      <c r="J355" t="s">
        <v>36</v>
      </c>
      <c r="L355" t="s">
        <v>2378</v>
      </c>
      <c r="M355">
        <v>1005231704002</v>
      </c>
      <c r="N355" t="s">
        <v>2746</v>
      </c>
      <c r="O355" s="1">
        <v>46045</v>
      </c>
      <c r="T355" t="s">
        <v>2662</v>
      </c>
      <c r="U355" t="s">
        <v>3521</v>
      </c>
      <c r="V355">
        <v>1</v>
      </c>
      <c r="W355" t="s">
        <v>2677</v>
      </c>
      <c r="X355">
        <v>1</v>
      </c>
      <c r="Y355" t="s">
        <v>2760</v>
      </c>
      <c r="AA355">
        <v>1005231704002</v>
      </c>
      <c r="AB355" t="s">
        <v>2534</v>
      </c>
      <c r="AC355">
        <v>0</v>
      </c>
      <c r="AD355">
        <v>11</v>
      </c>
      <c r="AE355">
        <v>100523170400211</v>
      </c>
      <c r="AF355" t="s">
        <v>3517</v>
      </c>
      <c r="AG355">
        <v>1</v>
      </c>
      <c r="AH355">
        <v>0</v>
      </c>
    </row>
    <row r="356" spans="1:34">
      <c r="A356">
        <v>2026</v>
      </c>
      <c r="B356" s="1">
        <v>46082</v>
      </c>
      <c r="C356" t="s">
        <v>2657</v>
      </c>
      <c r="D356" t="s">
        <v>3522</v>
      </c>
      <c r="E356" s="43">
        <v>46093.660547187501</v>
      </c>
      <c r="F356" s="1">
        <v>46093</v>
      </c>
      <c r="G356" s="43">
        <v>46093.660547187501</v>
      </c>
      <c r="H356" t="s">
        <v>2668</v>
      </c>
      <c r="I356" t="s">
        <v>2681</v>
      </c>
      <c r="J356" t="s">
        <v>36</v>
      </c>
      <c r="L356" t="s">
        <v>2378</v>
      </c>
      <c r="M356">
        <v>1005231704002</v>
      </c>
      <c r="N356" t="s">
        <v>2746</v>
      </c>
      <c r="O356" s="1">
        <v>46045</v>
      </c>
      <c r="T356" t="s">
        <v>2798</v>
      </c>
      <c r="U356" t="s">
        <v>3523</v>
      </c>
      <c r="V356">
        <v>1</v>
      </c>
      <c r="W356" t="s">
        <v>2677</v>
      </c>
      <c r="X356">
        <v>0</v>
      </c>
      <c r="Y356" t="s">
        <v>2760</v>
      </c>
      <c r="AA356">
        <v>1005231704002</v>
      </c>
      <c r="AB356" t="s">
        <v>2534</v>
      </c>
      <c r="AC356">
        <v>1</v>
      </c>
      <c r="AD356">
        <v>11</v>
      </c>
      <c r="AE356">
        <v>100523170400211</v>
      </c>
      <c r="AF356" t="s">
        <v>3517</v>
      </c>
      <c r="AG356">
        <v>0</v>
      </c>
      <c r="AH356">
        <v>0</v>
      </c>
    </row>
    <row r="357" spans="1:34">
      <c r="A357">
        <v>2026</v>
      </c>
      <c r="B357" s="1">
        <v>46023</v>
      </c>
      <c r="C357" t="s">
        <v>2657</v>
      </c>
      <c r="D357" t="s">
        <v>3524</v>
      </c>
      <c r="E357" s="43">
        <v>46031.556267222222</v>
      </c>
      <c r="F357" s="1">
        <v>46031</v>
      </c>
      <c r="G357" s="43">
        <v>46035.771919814812</v>
      </c>
      <c r="H357" t="s">
        <v>2701</v>
      </c>
      <c r="I357" t="s">
        <v>2681</v>
      </c>
      <c r="J357" t="s">
        <v>38</v>
      </c>
      <c r="L357" t="s">
        <v>2355</v>
      </c>
      <c r="M357">
        <v>60238888002</v>
      </c>
      <c r="N357" t="s">
        <v>2702</v>
      </c>
      <c r="O357" s="1">
        <v>45324</v>
      </c>
      <c r="T357" t="s">
        <v>2662</v>
      </c>
      <c r="U357" t="s">
        <v>3525</v>
      </c>
      <c r="V357">
        <v>2</v>
      </c>
      <c r="W357" t="s">
        <v>2704</v>
      </c>
      <c r="X357">
        <v>1</v>
      </c>
      <c r="Y357" t="s">
        <v>2717</v>
      </c>
      <c r="AA357">
        <v>60238888002</v>
      </c>
      <c r="AB357" t="s">
        <v>1024</v>
      </c>
      <c r="AC357">
        <v>0</v>
      </c>
      <c r="AD357">
        <v>2</v>
      </c>
      <c r="AE357">
        <v>602388880022</v>
      </c>
      <c r="AF357" t="s">
        <v>3526</v>
      </c>
      <c r="AG357">
        <v>0</v>
      </c>
      <c r="AH357">
        <v>0</v>
      </c>
    </row>
    <row r="358" spans="1:34">
      <c r="A358">
        <v>2026</v>
      </c>
      <c r="B358" s="1">
        <v>46023</v>
      </c>
      <c r="C358" t="s">
        <v>2657</v>
      </c>
      <c r="D358" t="s">
        <v>3527</v>
      </c>
      <c r="E358" s="43">
        <v>46031.574491319443</v>
      </c>
      <c r="F358" s="1">
        <v>46031</v>
      </c>
      <c r="G358" s="43">
        <v>46043.701382106483</v>
      </c>
      <c r="H358" t="s">
        <v>2701</v>
      </c>
      <c r="I358" t="s">
        <v>2681</v>
      </c>
      <c r="J358" t="s">
        <v>38</v>
      </c>
      <c r="L358" t="s">
        <v>2355</v>
      </c>
      <c r="M358">
        <v>60238888002</v>
      </c>
      <c r="N358" t="s">
        <v>2702</v>
      </c>
      <c r="O358" s="1">
        <v>45324</v>
      </c>
      <c r="T358" t="s">
        <v>2662</v>
      </c>
      <c r="U358" t="s">
        <v>3528</v>
      </c>
      <c r="V358">
        <v>8</v>
      </c>
      <c r="W358" t="s">
        <v>2704</v>
      </c>
      <c r="X358">
        <v>1</v>
      </c>
      <c r="Y358" t="s">
        <v>2721</v>
      </c>
      <c r="AA358">
        <v>60238888002</v>
      </c>
      <c r="AB358" t="s">
        <v>1024</v>
      </c>
      <c r="AC358">
        <v>0</v>
      </c>
      <c r="AD358">
        <v>2</v>
      </c>
      <c r="AE358">
        <v>602388880022</v>
      </c>
      <c r="AF358" t="s">
        <v>3526</v>
      </c>
      <c r="AG358">
        <v>0</v>
      </c>
      <c r="AH358">
        <v>0</v>
      </c>
    </row>
    <row r="359" spans="1:34">
      <c r="A359">
        <v>2026</v>
      </c>
      <c r="B359" s="1">
        <v>46023</v>
      </c>
      <c r="C359" t="s">
        <v>2657</v>
      </c>
      <c r="D359" t="s">
        <v>3529</v>
      </c>
      <c r="E359" s="43">
        <v>46030.611188090275</v>
      </c>
      <c r="F359" s="1">
        <v>46030</v>
      </c>
      <c r="G359" s="43">
        <v>46035.773740439814</v>
      </c>
      <c r="H359" t="s">
        <v>2701</v>
      </c>
      <c r="I359" t="s">
        <v>2681</v>
      </c>
      <c r="J359" t="s">
        <v>38</v>
      </c>
      <c r="L359" t="s">
        <v>2355</v>
      </c>
      <c r="M359">
        <v>60238888002</v>
      </c>
      <c r="N359" t="s">
        <v>2702</v>
      </c>
      <c r="O359" s="1">
        <v>45324</v>
      </c>
      <c r="T359" t="s">
        <v>2662</v>
      </c>
      <c r="U359" t="s">
        <v>3530</v>
      </c>
      <c r="V359">
        <v>3</v>
      </c>
      <c r="X359">
        <v>1</v>
      </c>
      <c r="Y359" t="s">
        <v>2699</v>
      </c>
      <c r="AA359">
        <v>60238888002</v>
      </c>
      <c r="AB359" t="s">
        <v>1024</v>
      </c>
      <c r="AC359">
        <v>0</v>
      </c>
      <c r="AD359">
        <v>2</v>
      </c>
      <c r="AE359">
        <v>602388880022</v>
      </c>
      <c r="AF359" t="s">
        <v>3526</v>
      </c>
      <c r="AG359">
        <v>1</v>
      </c>
      <c r="AH359">
        <v>1</v>
      </c>
    </row>
    <row r="360" spans="1:34">
      <c r="A360">
        <v>2026</v>
      </c>
      <c r="B360" s="1">
        <v>46023</v>
      </c>
      <c r="C360" t="s">
        <v>2657</v>
      </c>
      <c r="D360" t="s">
        <v>3531</v>
      </c>
      <c r="E360" s="43">
        <v>46030.699250995371</v>
      </c>
      <c r="F360" s="1">
        <v>46030</v>
      </c>
      <c r="G360" s="43">
        <v>46030.699250995371</v>
      </c>
      <c r="H360" t="s">
        <v>2701</v>
      </c>
      <c r="I360" t="s">
        <v>2681</v>
      </c>
      <c r="J360" t="s">
        <v>38</v>
      </c>
      <c r="L360" t="s">
        <v>2355</v>
      </c>
      <c r="M360">
        <v>60238888002</v>
      </c>
      <c r="N360" t="s">
        <v>2702</v>
      </c>
      <c r="O360" s="1">
        <v>45324</v>
      </c>
      <c r="T360" t="s">
        <v>2662</v>
      </c>
      <c r="U360" t="s">
        <v>3532</v>
      </c>
      <c r="V360">
        <v>0</v>
      </c>
      <c r="X360">
        <v>1</v>
      </c>
      <c r="Y360" t="s">
        <v>2695</v>
      </c>
      <c r="AA360">
        <v>60238888002</v>
      </c>
      <c r="AB360" t="s">
        <v>1024</v>
      </c>
      <c r="AC360">
        <v>0</v>
      </c>
      <c r="AD360">
        <v>2</v>
      </c>
      <c r="AE360">
        <v>602388880022</v>
      </c>
      <c r="AF360" t="s">
        <v>3526</v>
      </c>
      <c r="AG360">
        <v>0</v>
      </c>
      <c r="AH360">
        <v>0</v>
      </c>
    </row>
    <row r="361" spans="1:34">
      <c r="A361">
        <v>2026</v>
      </c>
      <c r="B361" s="1">
        <v>46023</v>
      </c>
      <c r="C361" t="s">
        <v>2657</v>
      </c>
      <c r="D361" t="s">
        <v>3533</v>
      </c>
      <c r="E361" s="43">
        <v>46030.623246689815</v>
      </c>
      <c r="F361" s="1">
        <v>46030</v>
      </c>
      <c r="G361" s="43">
        <v>46031.589025624999</v>
      </c>
      <c r="H361" t="s">
        <v>2701</v>
      </c>
      <c r="I361" t="s">
        <v>2681</v>
      </c>
      <c r="J361" t="s">
        <v>38</v>
      </c>
      <c r="L361" t="s">
        <v>2355</v>
      </c>
      <c r="M361">
        <v>60238888002</v>
      </c>
      <c r="N361" t="s">
        <v>2702</v>
      </c>
      <c r="O361" s="1">
        <v>45324</v>
      </c>
      <c r="T361" t="s">
        <v>2662</v>
      </c>
      <c r="U361" t="s">
        <v>3534</v>
      </c>
      <c r="V361">
        <v>1</v>
      </c>
      <c r="X361">
        <v>1</v>
      </c>
      <c r="Y361" t="s">
        <v>2710</v>
      </c>
      <c r="AA361">
        <v>60238888002</v>
      </c>
      <c r="AB361" t="s">
        <v>1024</v>
      </c>
      <c r="AC361">
        <v>0</v>
      </c>
      <c r="AD361">
        <v>2</v>
      </c>
      <c r="AE361">
        <v>602388880022</v>
      </c>
      <c r="AF361" t="s">
        <v>3526</v>
      </c>
      <c r="AG361">
        <v>0</v>
      </c>
      <c r="AH361">
        <v>0</v>
      </c>
    </row>
    <row r="362" spans="1:34">
      <c r="A362">
        <v>2026</v>
      </c>
      <c r="B362" s="1">
        <v>46023</v>
      </c>
      <c r="C362" t="s">
        <v>2657</v>
      </c>
      <c r="D362" s="44" t="s">
        <v>3535</v>
      </c>
      <c r="E362" s="43">
        <v>46030.736832118055</v>
      </c>
      <c r="F362" s="1">
        <v>46030</v>
      </c>
      <c r="G362" s="43">
        <v>46031.588994282407</v>
      </c>
      <c r="H362" t="s">
        <v>2701</v>
      </c>
      <c r="I362" t="s">
        <v>2681</v>
      </c>
      <c r="J362" t="s">
        <v>38</v>
      </c>
      <c r="L362" t="s">
        <v>2355</v>
      </c>
      <c r="M362">
        <v>60238888002</v>
      </c>
      <c r="N362" t="s">
        <v>2702</v>
      </c>
      <c r="O362" s="1">
        <v>45324</v>
      </c>
      <c r="T362" t="s">
        <v>2662</v>
      </c>
      <c r="U362" t="s">
        <v>3536</v>
      </c>
      <c r="V362">
        <v>1</v>
      </c>
      <c r="W362" t="s">
        <v>2704</v>
      </c>
      <c r="X362">
        <v>1</v>
      </c>
      <c r="Y362" t="s">
        <v>2710</v>
      </c>
      <c r="AA362">
        <v>60238888002</v>
      </c>
      <c r="AB362" t="s">
        <v>1024</v>
      </c>
      <c r="AC362">
        <v>0</v>
      </c>
      <c r="AD362">
        <v>2</v>
      </c>
      <c r="AE362">
        <v>602388880022</v>
      </c>
      <c r="AF362" t="s">
        <v>3526</v>
      </c>
      <c r="AG362">
        <v>0</v>
      </c>
      <c r="AH362">
        <v>0</v>
      </c>
    </row>
    <row r="363" spans="1:34">
      <c r="A363">
        <v>2026</v>
      </c>
      <c r="B363" s="1">
        <v>46023</v>
      </c>
      <c r="C363" t="s">
        <v>2657</v>
      </c>
      <c r="D363" t="s">
        <v>3537</v>
      </c>
      <c r="E363" s="43">
        <v>46043.628888784719</v>
      </c>
      <c r="F363" s="1">
        <v>46043</v>
      </c>
      <c r="G363" s="43">
        <v>46043.628888784719</v>
      </c>
      <c r="H363" t="s">
        <v>2701</v>
      </c>
      <c r="I363" t="s">
        <v>2719</v>
      </c>
      <c r="J363" t="s">
        <v>38</v>
      </c>
      <c r="L363" t="s">
        <v>2355</v>
      </c>
      <c r="M363">
        <v>60238888002</v>
      </c>
      <c r="N363" t="s">
        <v>2702</v>
      </c>
      <c r="O363" s="1">
        <v>45324</v>
      </c>
      <c r="T363" t="s">
        <v>2662</v>
      </c>
      <c r="U363" t="s">
        <v>3538</v>
      </c>
      <c r="V363">
        <v>0</v>
      </c>
      <c r="W363" t="s">
        <v>2664</v>
      </c>
      <c r="X363">
        <v>1</v>
      </c>
      <c r="Y363" t="s">
        <v>2695</v>
      </c>
      <c r="AA363">
        <v>60238888002</v>
      </c>
      <c r="AB363" t="s">
        <v>1024</v>
      </c>
      <c r="AC363">
        <v>0</v>
      </c>
      <c r="AD363">
        <v>4</v>
      </c>
      <c r="AE363">
        <v>602388880024</v>
      </c>
      <c r="AF363" t="s">
        <v>3526</v>
      </c>
      <c r="AG363">
        <v>1</v>
      </c>
      <c r="AH363">
        <v>0</v>
      </c>
    </row>
    <row r="364" spans="1:34">
      <c r="A364">
        <v>2026</v>
      </c>
      <c r="B364" s="1">
        <v>46023</v>
      </c>
      <c r="C364" t="s">
        <v>2657</v>
      </c>
      <c r="D364" t="s">
        <v>3539</v>
      </c>
      <c r="E364" s="43">
        <v>46029.855245983796</v>
      </c>
      <c r="F364" s="1">
        <v>46029</v>
      </c>
      <c r="G364" s="43">
        <v>46036.851887939818</v>
      </c>
      <c r="H364" t="s">
        <v>2701</v>
      </c>
      <c r="I364" t="s">
        <v>2669</v>
      </c>
      <c r="J364" t="s">
        <v>37</v>
      </c>
      <c r="L364" t="s">
        <v>2369</v>
      </c>
      <c r="M364">
        <v>560201489502</v>
      </c>
      <c r="N364" t="s">
        <v>2661</v>
      </c>
      <c r="O364" s="1">
        <v>45884</v>
      </c>
      <c r="T364" t="s">
        <v>2662</v>
      </c>
      <c r="U364" t="s">
        <v>3540</v>
      </c>
      <c r="V364">
        <v>5</v>
      </c>
      <c r="W364" t="s">
        <v>2704</v>
      </c>
      <c r="X364">
        <v>1</v>
      </c>
      <c r="Y364" t="s">
        <v>2672</v>
      </c>
      <c r="AA364">
        <v>560201489502</v>
      </c>
      <c r="AB364" t="s">
        <v>1032</v>
      </c>
      <c r="AC364">
        <v>0</v>
      </c>
      <c r="AD364">
        <v>2</v>
      </c>
      <c r="AE364">
        <v>5602014895022</v>
      </c>
      <c r="AF364" t="s">
        <v>3541</v>
      </c>
      <c r="AG364">
        <v>0</v>
      </c>
      <c r="AH364">
        <v>0</v>
      </c>
    </row>
    <row r="365" spans="1:34">
      <c r="A365">
        <v>2026</v>
      </c>
      <c r="B365" s="1">
        <v>46023</v>
      </c>
      <c r="C365" t="s">
        <v>2657</v>
      </c>
      <c r="D365" t="s">
        <v>3542</v>
      </c>
      <c r="E365" s="43">
        <v>46029.85320503472</v>
      </c>
      <c r="F365" s="1">
        <v>46029</v>
      </c>
      <c r="G365" s="43">
        <v>46042.534521273148</v>
      </c>
      <c r="H365" t="s">
        <v>2701</v>
      </c>
      <c r="I365" t="s">
        <v>2669</v>
      </c>
      <c r="J365" t="s">
        <v>37</v>
      </c>
      <c r="L365" t="s">
        <v>2369</v>
      </c>
      <c r="M365">
        <v>560201489502</v>
      </c>
      <c r="N365" t="s">
        <v>2661</v>
      </c>
      <c r="O365" s="1">
        <v>45884</v>
      </c>
      <c r="T365" t="s">
        <v>2662</v>
      </c>
      <c r="U365" t="s">
        <v>3543</v>
      </c>
      <c r="V365">
        <v>9</v>
      </c>
      <c r="X365">
        <v>1</v>
      </c>
      <c r="Y365" t="s">
        <v>2721</v>
      </c>
      <c r="AA365">
        <v>560201489502</v>
      </c>
      <c r="AB365" t="s">
        <v>1032</v>
      </c>
      <c r="AC365">
        <v>0</v>
      </c>
      <c r="AD365">
        <v>2</v>
      </c>
      <c r="AE365">
        <v>5602014895022</v>
      </c>
      <c r="AF365" t="s">
        <v>3541</v>
      </c>
      <c r="AG365">
        <v>1</v>
      </c>
      <c r="AH365">
        <v>1</v>
      </c>
    </row>
    <row r="366" spans="1:34">
      <c r="A366">
        <v>2026</v>
      </c>
      <c r="B366" s="1">
        <v>46023</v>
      </c>
      <c r="C366" t="s">
        <v>2657</v>
      </c>
      <c r="D366" t="s">
        <v>3544</v>
      </c>
      <c r="E366" s="43">
        <v>46052.539483807872</v>
      </c>
      <c r="F366" s="1">
        <v>46052</v>
      </c>
      <c r="G366" s="43">
        <v>46052.539483807872</v>
      </c>
      <c r="H366" t="s">
        <v>2701</v>
      </c>
      <c r="I366" t="s">
        <v>2697</v>
      </c>
      <c r="J366" t="s">
        <v>37</v>
      </c>
      <c r="L366" t="s">
        <v>2369</v>
      </c>
      <c r="M366">
        <v>560201489502</v>
      </c>
      <c r="N366" t="s">
        <v>2661</v>
      </c>
      <c r="O366" s="1">
        <v>45884</v>
      </c>
      <c r="T366" t="s">
        <v>2662</v>
      </c>
      <c r="U366" t="s">
        <v>3545</v>
      </c>
      <c r="V366">
        <v>0</v>
      </c>
      <c r="X366">
        <v>1</v>
      </c>
      <c r="Y366" t="s">
        <v>2695</v>
      </c>
      <c r="AA366">
        <v>560201489502</v>
      </c>
      <c r="AB366" t="s">
        <v>1032</v>
      </c>
      <c r="AC366">
        <v>0</v>
      </c>
      <c r="AD366">
        <v>5</v>
      </c>
      <c r="AE366">
        <v>5602014895025</v>
      </c>
      <c r="AF366" t="s">
        <v>3541</v>
      </c>
      <c r="AG366">
        <v>1</v>
      </c>
      <c r="AH366">
        <v>0</v>
      </c>
    </row>
    <row r="367" spans="1:34">
      <c r="A367">
        <v>2026</v>
      </c>
      <c r="B367" s="1">
        <v>46023</v>
      </c>
      <c r="C367" t="s">
        <v>2657</v>
      </c>
      <c r="D367" t="s">
        <v>3546</v>
      </c>
      <c r="E367" s="43">
        <v>46052.558439039349</v>
      </c>
      <c r="F367" s="1">
        <v>46052</v>
      </c>
      <c r="G367" s="43">
        <v>46055.8040734838</v>
      </c>
      <c r="H367" t="s">
        <v>2701</v>
      </c>
      <c r="I367" t="s">
        <v>2697</v>
      </c>
      <c r="J367" t="s">
        <v>37</v>
      </c>
      <c r="L367" t="s">
        <v>2369</v>
      </c>
      <c r="M367">
        <v>560201489502</v>
      </c>
      <c r="N367" t="s">
        <v>2661</v>
      </c>
      <c r="O367" s="1">
        <v>45884</v>
      </c>
      <c r="T367" t="s">
        <v>2662</v>
      </c>
      <c r="U367" t="s">
        <v>3547</v>
      </c>
      <c r="V367">
        <v>1</v>
      </c>
      <c r="W367" t="s">
        <v>2677</v>
      </c>
      <c r="X367">
        <v>1</v>
      </c>
      <c r="Y367" t="s">
        <v>2760</v>
      </c>
      <c r="AA367">
        <v>560201489502</v>
      </c>
      <c r="AB367" t="s">
        <v>1032</v>
      </c>
      <c r="AC367">
        <v>1</v>
      </c>
      <c r="AD367">
        <v>5</v>
      </c>
      <c r="AE367">
        <v>5602014895025</v>
      </c>
      <c r="AF367" t="s">
        <v>3541</v>
      </c>
      <c r="AG367">
        <v>0</v>
      </c>
      <c r="AH367">
        <v>0</v>
      </c>
    </row>
    <row r="368" spans="1:34">
      <c r="A368">
        <v>2025</v>
      </c>
      <c r="B368" s="1">
        <v>45992</v>
      </c>
      <c r="C368" t="s">
        <v>2657</v>
      </c>
      <c r="D368" t="s">
        <v>3548</v>
      </c>
      <c r="E368" s="43">
        <v>45993.781642696762</v>
      </c>
      <c r="F368" s="1">
        <v>45993</v>
      </c>
      <c r="G368" s="43">
        <v>46000.574802951392</v>
      </c>
      <c r="H368" t="s">
        <v>2686</v>
      </c>
      <c r="I368" t="s">
        <v>2669</v>
      </c>
      <c r="J368" t="s">
        <v>2735</v>
      </c>
      <c r="L368" t="s">
        <v>2362</v>
      </c>
      <c r="M368">
        <v>45146550802</v>
      </c>
      <c r="N368" t="s">
        <v>2746</v>
      </c>
      <c r="O368" s="1">
        <v>45751</v>
      </c>
      <c r="T368" t="s">
        <v>2662</v>
      </c>
      <c r="U368" t="s">
        <v>3549</v>
      </c>
      <c r="V368">
        <v>5</v>
      </c>
      <c r="W368" t="s">
        <v>2664</v>
      </c>
      <c r="X368">
        <v>1</v>
      </c>
      <c r="Y368" t="s">
        <v>2665</v>
      </c>
      <c r="AA368">
        <v>45146550802</v>
      </c>
      <c r="AB368" t="s">
        <v>2008</v>
      </c>
      <c r="AC368">
        <v>0</v>
      </c>
      <c r="AD368">
        <v>49</v>
      </c>
      <c r="AE368">
        <v>4514655080249</v>
      </c>
      <c r="AF368" t="s">
        <v>3550</v>
      </c>
      <c r="AG368">
        <v>1</v>
      </c>
      <c r="AH368">
        <v>1</v>
      </c>
    </row>
    <row r="369" spans="1:34">
      <c r="A369">
        <v>2026</v>
      </c>
      <c r="B369" s="1">
        <v>46023</v>
      </c>
      <c r="C369" t="s">
        <v>2657</v>
      </c>
      <c r="D369" t="s">
        <v>3551</v>
      </c>
      <c r="E369" s="43">
        <v>46028.636480925925</v>
      </c>
      <c r="F369" s="1">
        <v>46028</v>
      </c>
      <c r="G369" s="43">
        <v>46044.581218055559</v>
      </c>
      <c r="H369" t="s">
        <v>2701</v>
      </c>
      <c r="I369" t="s">
        <v>2669</v>
      </c>
      <c r="J369" t="s">
        <v>100</v>
      </c>
      <c r="L369" t="s">
        <v>2352</v>
      </c>
      <c r="M369">
        <v>642633814402</v>
      </c>
      <c r="N369" t="s">
        <v>2702</v>
      </c>
      <c r="O369" s="1">
        <v>45669</v>
      </c>
      <c r="T369" t="s">
        <v>2662</v>
      </c>
      <c r="U369" t="s">
        <v>3552</v>
      </c>
      <c r="V369">
        <v>12</v>
      </c>
      <c r="X369">
        <v>1</v>
      </c>
      <c r="Y369" t="s">
        <v>2688</v>
      </c>
      <c r="Z369" t="s">
        <v>2684</v>
      </c>
      <c r="AA369">
        <v>93900917902</v>
      </c>
      <c r="AB369" t="s">
        <v>2018</v>
      </c>
      <c r="AC369">
        <v>0</v>
      </c>
      <c r="AD369">
        <v>2</v>
      </c>
      <c r="AE369">
        <v>939009179022</v>
      </c>
      <c r="AF369" t="s">
        <v>3553</v>
      </c>
      <c r="AG369">
        <v>1</v>
      </c>
      <c r="AH369">
        <v>1</v>
      </c>
    </row>
    <row r="370" spans="1:34">
      <c r="A370">
        <v>2026</v>
      </c>
      <c r="B370" s="1">
        <v>46023</v>
      </c>
      <c r="C370" t="s">
        <v>2657</v>
      </c>
      <c r="D370" t="s">
        <v>3554</v>
      </c>
      <c r="E370" s="43">
        <v>46042.880104108794</v>
      </c>
      <c r="F370" s="1">
        <v>46042</v>
      </c>
      <c r="G370" s="43">
        <v>46050.649876261574</v>
      </c>
      <c r="H370" t="s">
        <v>2701</v>
      </c>
      <c r="I370" t="s">
        <v>2719</v>
      </c>
      <c r="J370" t="s">
        <v>100</v>
      </c>
      <c r="L370" t="s">
        <v>2352</v>
      </c>
      <c r="M370">
        <v>642633814402</v>
      </c>
      <c r="N370" t="s">
        <v>2702</v>
      </c>
      <c r="O370" s="1">
        <v>45669</v>
      </c>
      <c r="T370" t="s">
        <v>2662</v>
      </c>
      <c r="U370" t="s">
        <v>3555</v>
      </c>
      <c r="V370">
        <v>6</v>
      </c>
      <c r="W370" t="s">
        <v>2743</v>
      </c>
      <c r="X370">
        <v>1</v>
      </c>
      <c r="Y370" t="s">
        <v>2688</v>
      </c>
      <c r="AA370">
        <v>93900917902</v>
      </c>
      <c r="AB370" t="s">
        <v>2018</v>
      </c>
      <c r="AC370">
        <v>1</v>
      </c>
      <c r="AD370">
        <v>4</v>
      </c>
      <c r="AE370">
        <v>939009179024</v>
      </c>
      <c r="AF370" t="s">
        <v>3553</v>
      </c>
      <c r="AG370">
        <v>1</v>
      </c>
      <c r="AH370">
        <v>0</v>
      </c>
    </row>
    <row r="371" spans="1:34">
      <c r="A371">
        <v>2025</v>
      </c>
      <c r="B371" s="1">
        <v>45962</v>
      </c>
      <c r="C371" t="s">
        <v>2657</v>
      </c>
      <c r="D371" t="s">
        <v>3556</v>
      </c>
      <c r="E371" s="43">
        <v>45985.597116354169</v>
      </c>
      <c r="F371" s="1">
        <v>45985</v>
      </c>
      <c r="G371" s="43">
        <v>45985.597116354169</v>
      </c>
      <c r="H371" t="s">
        <v>2802</v>
      </c>
      <c r="I371" t="s">
        <v>2660</v>
      </c>
      <c r="J371" t="s">
        <v>37</v>
      </c>
      <c r="L371" t="s">
        <v>2352</v>
      </c>
      <c r="M371">
        <v>282538163102</v>
      </c>
      <c r="N371" t="s">
        <v>2702</v>
      </c>
      <c r="O371" s="1">
        <v>44944</v>
      </c>
      <c r="T371" t="s">
        <v>2662</v>
      </c>
      <c r="U371" t="s">
        <v>3557</v>
      </c>
      <c r="V371">
        <v>0</v>
      </c>
      <c r="W371" t="s">
        <v>2671</v>
      </c>
      <c r="X371">
        <v>1</v>
      </c>
      <c r="Y371" t="s">
        <v>2688</v>
      </c>
      <c r="AA371">
        <v>282538163102</v>
      </c>
      <c r="AB371" t="s">
        <v>2154</v>
      </c>
      <c r="AC371">
        <v>1</v>
      </c>
      <c r="AD371">
        <v>48</v>
      </c>
      <c r="AE371">
        <v>28253816310248</v>
      </c>
      <c r="AF371" t="s">
        <v>3558</v>
      </c>
      <c r="AG371">
        <v>1</v>
      </c>
      <c r="AH371">
        <v>1</v>
      </c>
    </row>
    <row r="372" spans="1:34">
      <c r="A372">
        <v>2025</v>
      </c>
      <c r="B372" s="1">
        <v>45962</v>
      </c>
      <c r="C372" t="s">
        <v>2657</v>
      </c>
      <c r="D372" t="s">
        <v>3559</v>
      </c>
      <c r="E372" s="43">
        <v>45964.831904189814</v>
      </c>
      <c r="F372" s="1">
        <v>45964</v>
      </c>
      <c r="G372" s="43">
        <v>45964.831904189814</v>
      </c>
      <c r="H372" t="s">
        <v>2802</v>
      </c>
      <c r="I372" t="s">
        <v>2669</v>
      </c>
      <c r="J372" t="s">
        <v>38</v>
      </c>
      <c r="L372" t="s">
        <v>2393</v>
      </c>
      <c r="M372">
        <v>13351599302</v>
      </c>
      <c r="N372" t="s">
        <v>2702</v>
      </c>
      <c r="O372" s="1">
        <v>44991</v>
      </c>
      <c r="T372" t="s">
        <v>2662</v>
      </c>
      <c r="U372" t="s">
        <v>3560</v>
      </c>
      <c r="V372">
        <v>0</v>
      </c>
      <c r="W372" t="s">
        <v>2664</v>
      </c>
      <c r="X372">
        <v>1</v>
      </c>
      <c r="Y372" t="s">
        <v>2721</v>
      </c>
      <c r="AA372">
        <v>13351599302</v>
      </c>
      <c r="AB372" t="s">
        <v>1583</v>
      </c>
      <c r="AC372">
        <v>0</v>
      </c>
      <c r="AD372">
        <v>45</v>
      </c>
      <c r="AE372">
        <v>1335159930245</v>
      </c>
      <c r="AF372" t="s">
        <v>3561</v>
      </c>
      <c r="AG372">
        <v>0</v>
      </c>
      <c r="AH372">
        <v>0</v>
      </c>
    </row>
    <row r="373" spans="1:34">
      <c r="A373">
        <v>2025</v>
      </c>
      <c r="B373" s="1">
        <v>45962</v>
      </c>
      <c r="C373" t="s">
        <v>2657</v>
      </c>
      <c r="D373" t="s">
        <v>3562</v>
      </c>
      <c r="E373" s="43">
        <v>45968.821972314814</v>
      </c>
      <c r="F373" s="1">
        <v>45968</v>
      </c>
      <c r="G373" s="43">
        <v>45978.57416423611</v>
      </c>
      <c r="H373" t="s">
        <v>2802</v>
      </c>
      <c r="I373" t="s">
        <v>2669</v>
      </c>
      <c r="J373" t="s">
        <v>38</v>
      </c>
      <c r="L373" t="s">
        <v>2393</v>
      </c>
      <c r="M373">
        <v>13351599302</v>
      </c>
      <c r="N373" t="s">
        <v>2702</v>
      </c>
      <c r="O373" s="1">
        <v>44991</v>
      </c>
      <c r="T373" t="s">
        <v>2662</v>
      </c>
      <c r="U373" t="s">
        <v>3563</v>
      </c>
      <c r="V373">
        <v>6</v>
      </c>
      <c r="W373" t="s">
        <v>2704</v>
      </c>
      <c r="X373">
        <v>1</v>
      </c>
      <c r="Y373" t="s">
        <v>2760</v>
      </c>
      <c r="AA373">
        <v>13351599302</v>
      </c>
      <c r="AB373" t="s">
        <v>1583</v>
      </c>
      <c r="AC373">
        <v>0</v>
      </c>
      <c r="AD373">
        <v>45</v>
      </c>
      <c r="AE373">
        <v>1335159930245</v>
      </c>
      <c r="AF373" t="s">
        <v>3561</v>
      </c>
      <c r="AG373">
        <v>0</v>
      </c>
      <c r="AH373">
        <v>0</v>
      </c>
    </row>
    <row r="374" spans="1:34">
      <c r="A374">
        <v>2025</v>
      </c>
      <c r="B374" s="1">
        <v>45962</v>
      </c>
      <c r="C374" t="s">
        <v>2657</v>
      </c>
      <c r="D374" t="s">
        <v>3564</v>
      </c>
      <c r="E374" s="43">
        <v>45968.823928449077</v>
      </c>
      <c r="F374" s="1">
        <v>45968</v>
      </c>
      <c r="G374" s="43">
        <v>45971.700280694444</v>
      </c>
      <c r="H374" t="s">
        <v>2802</v>
      </c>
      <c r="I374" t="s">
        <v>2669</v>
      </c>
      <c r="J374" t="s">
        <v>38</v>
      </c>
      <c r="L374" t="s">
        <v>2393</v>
      </c>
      <c r="M374">
        <v>13351599302</v>
      </c>
      <c r="N374" t="s">
        <v>2702</v>
      </c>
      <c r="O374" s="1">
        <v>44991</v>
      </c>
      <c r="T374" t="s">
        <v>2662</v>
      </c>
      <c r="U374" t="s">
        <v>3565</v>
      </c>
      <c r="V374">
        <v>1</v>
      </c>
      <c r="W374" t="s">
        <v>2704</v>
      </c>
      <c r="X374">
        <v>1</v>
      </c>
      <c r="Y374" t="s">
        <v>2764</v>
      </c>
      <c r="AA374">
        <v>13351599302</v>
      </c>
      <c r="AB374" t="s">
        <v>1583</v>
      </c>
      <c r="AC374">
        <v>0</v>
      </c>
      <c r="AD374">
        <v>45</v>
      </c>
      <c r="AE374">
        <v>1335159930245</v>
      </c>
      <c r="AF374" t="s">
        <v>3561</v>
      </c>
      <c r="AG374">
        <v>0</v>
      </c>
      <c r="AH374">
        <v>0</v>
      </c>
    </row>
    <row r="375" spans="1:34">
      <c r="A375">
        <v>2025</v>
      </c>
      <c r="B375" s="1">
        <v>45962</v>
      </c>
      <c r="C375" t="s">
        <v>2657</v>
      </c>
      <c r="D375" t="s">
        <v>3566</v>
      </c>
      <c r="E375" s="43">
        <v>45964.606727025464</v>
      </c>
      <c r="F375" s="1">
        <v>45964</v>
      </c>
      <c r="G375" s="43">
        <v>45965.709092233796</v>
      </c>
      <c r="H375" t="s">
        <v>2802</v>
      </c>
      <c r="I375" t="s">
        <v>2669</v>
      </c>
      <c r="J375" t="s">
        <v>38</v>
      </c>
      <c r="L375" t="s">
        <v>2393</v>
      </c>
      <c r="M375">
        <v>13351599302</v>
      </c>
      <c r="N375" t="s">
        <v>2702</v>
      </c>
      <c r="O375" s="1">
        <v>44991</v>
      </c>
      <c r="T375" t="s">
        <v>2662</v>
      </c>
      <c r="U375" t="s">
        <v>3567</v>
      </c>
      <c r="V375">
        <v>1</v>
      </c>
      <c r="W375" t="s">
        <v>2664</v>
      </c>
      <c r="X375">
        <v>1</v>
      </c>
      <c r="Y375" t="s">
        <v>2721</v>
      </c>
      <c r="AA375">
        <v>13351599302</v>
      </c>
      <c r="AB375" t="s">
        <v>1583</v>
      </c>
      <c r="AC375">
        <v>0</v>
      </c>
      <c r="AD375">
        <v>45</v>
      </c>
      <c r="AE375">
        <v>1335159930245</v>
      </c>
      <c r="AF375" t="s">
        <v>3561</v>
      </c>
      <c r="AG375">
        <v>1</v>
      </c>
      <c r="AH375">
        <v>1</v>
      </c>
    </row>
    <row r="376" spans="1:34">
      <c r="A376">
        <v>2025</v>
      </c>
      <c r="B376" s="1">
        <v>45962</v>
      </c>
      <c r="C376" t="s">
        <v>2657</v>
      </c>
      <c r="D376" t="s">
        <v>3568</v>
      </c>
      <c r="E376" s="43">
        <v>45973.770870740744</v>
      </c>
      <c r="F376" s="1">
        <v>45973</v>
      </c>
      <c r="G376" s="43">
        <v>45978.578846886572</v>
      </c>
      <c r="H376" t="s">
        <v>2802</v>
      </c>
      <c r="I376" t="s">
        <v>2681</v>
      </c>
      <c r="J376" t="s">
        <v>38</v>
      </c>
      <c r="L376" t="s">
        <v>2393</v>
      </c>
      <c r="M376">
        <v>13351599302</v>
      </c>
      <c r="N376" t="s">
        <v>2702</v>
      </c>
      <c r="O376" s="1">
        <v>44991</v>
      </c>
      <c r="T376" t="s">
        <v>2662</v>
      </c>
      <c r="U376" t="s">
        <v>3569</v>
      </c>
      <c r="V376">
        <v>3</v>
      </c>
      <c r="W376" t="s">
        <v>2664</v>
      </c>
      <c r="X376">
        <v>1</v>
      </c>
      <c r="Y376" t="s">
        <v>2721</v>
      </c>
      <c r="AA376">
        <v>13351599302</v>
      </c>
      <c r="AB376" t="s">
        <v>1583</v>
      </c>
      <c r="AC376">
        <v>0</v>
      </c>
      <c r="AD376">
        <v>46</v>
      </c>
      <c r="AE376">
        <v>1335159930246</v>
      </c>
      <c r="AF376" t="s">
        <v>3561</v>
      </c>
      <c r="AG376">
        <v>0</v>
      </c>
      <c r="AH376">
        <v>0</v>
      </c>
    </row>
    <row r="377" spans="1:34">
      <c r="A377">
        <v>2025</v>
      </c>
      <c r="B377" s="1">
        <v>45962</v>
      </c>
      <c r="C377" t="s">
        <v>2657</v>
      </c>
      <c r="D377" t="s">
        <v>3570</v>
      </c>
      <c r="E377" s="43">
        <v>45971.717799131948</v>
      </c>
      <c r="F377" s="1">
        <v>45971</v>
      </c>
      <c r="G377" s="43">
        <v>45971.845378240738</v>
      </c>
      <c r="H377" t="s">
        <v>2802</v>
      </c>
      <c r="I377" t="s">
        <v>2681</v>
      </c>
      <c r="J377" t="s">
        <v>38</v>
      </c>
      <c r="L377" t="s">
        <v>2393</v>
      </c>
      <c r="M377">
        <v>13351599302</v>
      </c>
      <c r="N377" t="s">
        <v>2702</v>
      </c>
      <c r="O377" s="1">
        <v>44991</v>
      </c>
      <c r="T377" t="s">
        <v>2662</v>
      </c>
      <c r="U377" t="s">
        <v>3571</v>
      </c>
      <c r="V377">
        <v>0</v>
      </c>
      <c r="W377" t="s">
        <v>2677</v>
      </c>
      <c r="X377">
        <v>1</v>
      </c>
      <c r="Y377" t="s">
        <v>2807</v>
      </c>
      <c r="AA377">
        <v>13351599302</v>
      </c>
      <c r="AB377" t="s">
        <v>1583</v>
      </c>
      <c r="AC377">
        <v>0</v>
      </c>
      <c r="AD377">
        <v>46</v>
      </c>
      <c r="AE377">
        <v>1335159930246</v>
      </c>
      <c r="AF377" t="s">
        <v>3561</v>
      </c>
      <c r="AG377">
        <v>0</v>
      </c>
      <c r="AH377">
        <v>0</v>
      </c>
    </row>
    <row r="378" spans="1:34">
      <c r="A378">
        <v>2025</v>
      </c>
      <c r="B378" s="1">
        <v>45962</v>
      </c>
      <c r="C378" t="s">
        <v>2657</v>
      </c>
      <c r="D378" t="s">
        <v>3572</v>
      </c>
      <c r="E378" s="43">
        <v>45971.703300150461</v>
      </c>
      <c r="F378" s="1">
        <v>45971</v>
      </c>
      <c r="G378" s="43">
        <v>45979.685993576386</v>
      </c>
      <c r="H378" t="s">
        <v>2802</v>
      </c>
      <c r="I378" t="s">
        <v>2681</v>
      </c>
      <c r="J378" t="s">
        <v>38</v>
      </c>
      <c r="L378" t="s">
        <v>2393</v>
      </c>
      <c r="M378">
        <v>13351599302</v>
      </c>
      <c r="N378" t="s">
        <v>2702</v>
      </c>
      <c r="O378" s="1">
        <v>44991</v>
      </c>
      <c r="T378" t="s">
        <v>2662</v>
      </c>
      <c r="U378" t="s">
        <v>3573</v>
      </c>
      <c r="V378">
        <v>6</v>
      </c>
      <c r="W378" t="s">
        <v>2664</v>
      </c>
      <c r="X378">
        <v>1</v>
      </c>
      <c r="Y378" t="s">
        <v>2721</v>
      </c>
      <c r="AA378">
        <v>13351599302</v>
      </c>
      <c r="AB378" t="s">
        <v>1583</v>
      </c>
      <c r="AC378">
        <v>0</v>
      </c>
      <c r="AD378">
        <v>46</v>
      </c>
      <c r="AE378">
        <v>1335159930246</v>
      </c>
      <c r="AF378" t="s">
        <v>3561</v>
      </c>
      <c r="AG378">
        <v>1</v>
      </c>
      <c r="AH378">
        <v>0</v>
      </c>
    </row>
    <row r="379" spans="1:34">
      <c r="A379">
        <v>2025</v>
      </c>
      <c r="B379" s="1">
        <v>45962</v>
      </c>
      <c r="C379" t="s">
        <v>2657</v>
      </c>
      <c r="D379" t="s">
        <v>3574</v>
      </c>
      <c r="E379" s="43">
        <v>45979.571164942128</v>
      </c>
      <c r="F379" s="1">
        <v>45979</v>
      </c>
      <c r="G379" s="43">
        <v>45980.705255578701</v>
      </c>
      <c r="H379" t="s">
        <v>2802</v>
      </c>
      <c r="I379" t="s">
        <v>2719</v>
      </c>
      <c r="J379" t="s">
        <v>38</v>
      </c>
      <c r="L379" t="s">
        <v>2393</v>
      </c>
      <c r="M379">
        <v>13351599302</v>
      </c>
      <c r="N379" t="s">
        <v>2702</v>
      </c>
      <c r="O379" s="1">
        <v>44991</v>
      </c>
      <c r="T379" t="s">
        <v>2662</v>
      </c>
      <c r="U379" t="s">
        <v>3575</v>
      </c>
      <c r="V379">
        <v>1</v>
      </c>
      <c r="W379" t="s">
        <v>2677</v>
      </c>
      <c r="X379">
        <v>1</v>
      </c>
      <c r="Y379" t="s">
        <v>2678</v>
      </c>
      <c r="AA379">
        <v>13351599302</v>
      </c>
      <c r="AB379" t="s">
        <v>1583</v>
      </c>
      <c r="AC379">
        <v>0</v>
      </c>
      <c r="AD379">
        <v>47</v>
      </c>
      <c r="AE379">
        <v>1335159930247</v>
      </c>
      <c r="AF379" t="s">
        <v>3561</v>
      </c>
      <c r="AG379">
        <v>0</v>
      </c>
      <c r="AH379">
        <v>0</v>
      </c>
    </row>
    <row r="380" spans="1:34">
      <c r="A380">
        <v>2025</v>
      </c>
      <c r="B380" s="1">
        <v>45962</v>
      </c>
      <c r="C380" t="s">
        <v>2657</v>
      </c>
      <c r="D380" t="s">
        <v>3576</v>
      </c>
      <c r="E380" s="43">
        <v>45980.702579456018</v>
      </c>
      <c r="F380" s="1">
        <v>45980</v>
      </c>
      <c r="G380" s="43">
        <v>45987.585247395837</v>
      </c>
      <c r="H380" t="s">
        <v>2802</v>
      </c>
      <c r="I380" t="s">
        <v>2719</v>
      </c>
      <c r="J380" t="s">
        <v>38</v>
      </c>
      <c r="L380" t="s">
        <v>2393</v>
      </c>
      <c r="M380">
        <v>13351599302</v>
      </c>
      <c r="N380" t="s">
        <v>2702</v>
      </c>
      <c r="O380" s="1">
        <v>44991</v>
      </c>
      <c r="T380" t="s">
        <v>2662</v>
      </c>
      <c r="U380" t="s">
        <v>3577</v>
      </c>
      <c r="V380">
        <v>5</v>
      </c>
      <c r="W380" t="s">
        <v>2677</v>
      </c>
      <c r="X380">
        <v>1</v>
      </c>
      <c r="Y380" t="s">
        <v>2807</v>
      </c>
      <c r="Z380" t="s">
        <v>2684</v>
      </c>
      <c r="AA380">
        <v>13351599302</v>
      </c>
      <c r="AB380" t="s">
        <v>1583</v>
      </c>
      <c r="AC380">
        <v>0</v>
      </c>
      <c r="AD380">
        <v>47</v>
      </c>
      <c r="AE380">
        <v>1335159930247</v>
      </c>
      <c r="AF380" t="s">
        <v>3561</v>
      </c>
      <c r="AG380">
        <v>0</v>
      </c>
      <c r="AH380">
        <v>0</v>
      </c>
    </row>
    <row r="381" spans="1:34">
      <c r="A381">
        <v>2025</v>
      </c>
      <c r="B381" s="1">
        <v>45962</v>
      </c>
      <c r="C381" t="s">
        <v>2657</v>
      </c>
      <c r="D381" t="s">
        <v>3578</v>
      </c>
      <c r="E381" s="43">
        <v>45978.611226805559</v>
      </c>
      <c r="F381" s="1">
        <v>45978</v>
      </c>
      <c r="G381" s="43">
        <v>45979.613558240744</v>
      </c>
      <c r="H381" t="s">
        <v>2802</v>
      </c>
      <c r="I381" t="s">
        <v>2719</v>
      </c>
      <c r="J381" t="s">
        <v>38</v>
      </c>
      <c r="L381" t="s">
        <v>2393</v>
      </c>
      <c r="M381">
        <v>13351599302</v>
      </c>
      <c r="N381" t="s">
        <v>2702</v>
      </c>
      <c r="O381" s="1">
        <v>44991</v>
      </c>
      <c r="T381" t="s">
        <v>2662</v>
      </c>
      <c r="U381" t="s">
        <v>3579</v>
      </c>
      <c r="V381">
        <v>1</v>
      </c>
      <c r="W381" t="s">
        <v>2677</v>
      </c>
      <c r="X381">
        <v>1</v>
      </c>
      <c r="Y381" t="s">
        <v>2807</v>
      </c>
      <c r="AA381">
        <v>13351599302</v>
      </c>
      <c r="AB381" t="s">
        <v>1583</v>
      </c>
      <c r="AC381">
        <v>0</v>
      </c>
      <c r="AD381">
        <v>47</v>
      </c>
      <c r="AE381">
        <v>1335159930247</v>
      </c>
      <c r="AF381" t="s">
        <v>3561</v>
      </c>
      <c r="AG381">
        <v>1</v>
      </c>
      <c r="AH381">
        <v>0</v>
      </c>
    </row>
    <row r="382" spans="1:34">
      <c r="A382">
        <v>2025</v>
      </c>
      <c r="B382" s="1">
        <v>45962</v>
      </c>
      <c r="C382" t="s">
        <v>2657</v>
      </c>
      <c r="D382" t="s">
        <v>3580</v>
      </c>
      <c r="E382" s="43">
        <v>45986.892310451389</v>
      </c>
      <c r="F382" s="1">
        <v>45986</v>
      </c>
      <c r="G382" s="43">
        <v>45989.797953368055</v>
      </c>
      <c r="H382" t="s">
        <v>2802</v>
      </c>
      <c r="I382" t="s">
        <v>2660</v>
      </c>
      <c r="J382" t="s">
        <v>38</v>
      </c>
      <c r="L382" t="s">
        <v>2393</v>
      </c>
      <c r="M382">
        <v>13351599302</v>
      </c>
      <c r="N382" t="s">
        <v>2702</v>
      </c>
      <c r="O382" s="1">
        <v>44991</v>
      </c>
      <c r="T382" t="s">
        <v>2662</v>
      </c>
      <c r="U382" t="s">
        <v>3581</v>
      </c>
      <c r="V382">
        <v>3</v>
      </c>
      <c r="W382" t="s">
        <v>2704</v>
      </c>
      <c r="X382">
        <v>1</v>
      </c>
      <c r="Y382" t="s">
        <v>2717</v>
      </c>
      <c r="AA382">
        <v>13351599302</v>
      </c>
      <c r="AB382" t="s">
        <v>1583</v>
      </c>
      <c r="AC382">
        <v>0</v>
      </c>
      <c r="AD382">
        <v>48</v>
      </c>
      <c r="AE382">
        <v>1335159930248</v>
      </c>
      <c r="AF382" t="s">
        <v>3561</v>
      </c>
      <c r="AG382">
        <v>1</v>
      </c>
      <c r="AH382">
        <v>0</v>
      </c>
    </row>
    <row r="383" spans="1:34">
      <c r="A383">
        <v>2025</v>
      </c>
      <c r="B383" s="1">
        <v>45962</v>
      </c>
      <c r="C383" t="s">
        <v>2657</v>
      </c>
      <c r="D383" t="s">
        <v>3582</v>
      </c>
      <c r="E383" s="43">
        <v>45987.774346041668</v>
      </c>
      <c r="F383" s="1">
        <v>45987</v>
      </c>
      <c r="G383" s="43">
        <v>45992.584060497684</v>
      </c>
      <c r="H383" t="s">
        <v>2802</v>
      </c>
      <c r="I383" t="s">
        <v>2660</v>
      </c>
      <c r="J383" t="s">
        <v>38</v>
      </c>
      <c r="L383" t="s">
        <v>2393</v>
      </c>
      <c r="M383">
        <v>13351599302</v>
      </c>
      <c r="N383" t="s">
        <v>2702</v>
      </c>
      <c r="O383" s="1">
        <v>44991</v>
      </c>
      <c r="T383" t="s">
        <v>2662</v>
      </c>
      <c r="U383" t="s">
        <v>3583</v>
      </c>
      <c r="V383">
        <v>3</v>
      </c>
      <c r="W383" t="s">
        <v>2677</v>
      </c>
      <c r="X383">
        <v>1</v>
      </c>
      <c r="Y383" t="s">
        <v>2807</v>
      </c>
      <c r="AA383">
        <v>13351599302</v>
      </c>
      <c r="AB383" t="s">
        <v>1583</v>
      </c>
      <c r="AC383">
        <v>0</v>
      </c>
      <c r="AD383">
        <v>48</v>
      </c>
      <c r="AE383">
        <v>1335159930248</v>
      </c>
      <c r="AF383" t="s">
        <v>3561</v>
      </c>
      <c r="AG383">
        <v>0</v>
      </c>
      <c r="AH383">
        <v>0</v>
      </c>
    </row>
    <row r="384" spans="1:34">
      <c r="A384">
        <v>2025</v>
      </c>
      <c r="B384" s="1">
        <v>45962</v>
      </c>
      <c r="C384" t="s">
        <v>2657</v>
      </c>
      <c r="D384" t="s">
        <v>3584</v>
      </c>
      <c r="E384" s="43">
        <v>45988.817346539348</v>
      </c>
      <c r="F384" s="1">
        <v>45988</v>
      </c>
      <c r="G384" s="43">
        <v>45992.584490578702</v>
      </c>
      <c r="H384" t="s">
        <v>2802</v>
      </c>
      <c r="I384" t="s">
        <v>2660</v>
      </c>
      <c r="J384" t="s">
        <v>38</v>
      </c>
      <c r="L384" t="s">
        <v>2393</v>
      </c>
      <c r="M384">
        <v>13351599302</v>
      </c>
      <c r="N384" t="s">
        <v>2702</v>
      </c>
      <c r="O384" s="1">
        <v>44991</v>
      </c>
      <c r="T384" t="s">
        <v>2662</v>
      </c>
      <c r="U384" t="s">
        <v>3585</v>
      </c>
      <c r="V384">
        <v>2</v>
      </c>
      <c r="W384" t="s">
        <v>2664</v>
      </c>
      <c r="X384">
        <v>1</v>
      </c>
      <c r="Y384" t="s">
        <v>2767</v>
      </c>
      <c r="AA384">
        <v>13351599302</v>
      </c>
      <c r="AB384" t="s">
        <v>1583</v>
      </c>
      <c r="AC384">
        <v>0</v>
      </c>
      <c r="AD384">
        <v>48</v>
      </c>
      <c r="AE384">
        <v>1335159930248</v>
      </c>
      <c r="AF384" t="s">
        <v>3561</v>
      </c>
      <c r="AG384">
        <v>0</v>
      </c>
      <c r="AH384">
        <v>0</v>
      </c>
    </row>
    <row r="385" spans="1:34">
      <c r="A385">
        <v>2025</v>
      </c>
      <c r="B385" s="1">
        <v>45962</v>
      </c>
      <c r="C385" t="s">
        <v>2657</v>
      </c>
      <c r="D385" t="s">
        <v>3586</v>
      </c>
      <c r="E385" s="43">
        <v>45989.583031458336</v>
      </c>
      <c r="F385" s="1">
        <v>45989</v>
      </c>
      <c r="G385" s="43">
        <v>45994.833986550926</v>
      </c>
      <c r="H385" t="s">
        <v>2802</v>
      </c>
      <c r="I385" t="s">
        <v>2660</v>
      </c>
      <c r="J385" t="s">
        <v>38</v>
      </c>
      <c r="L385" t="s">
        <v>2393</v>
      </c>
      <c r="M385">
        <v>13351599302</v>
      </c>
      <c r="N385" t="s">
        <v>2702</v>
      </c>
      <c r="O385" s="1">
        <v>44991</v>
      </c>
      <c r="T385" t="s">
        <v>2662</v>
      </c>
      <c r="U385" t="s">
        <v>3587</v>
      </c>
      <c r="V385">
        <v>3</v>
      </c>
      <c r="W385" t="s">
        <v>2677</v>
      </c>
      <c r="X385">
        <v>1</v>
      </c>
      <c r="Y385" t="s">
        <v>2807</v>
      </c>
      <c r="AA385">
        <v>13351599302</v>
      </c>
      <c r="AB385" t="s">
        <v>1583</v>
      </c>
      <c r="AC385">
        <v>0</v>
      </c>
      <c r="AD385">
        <v>48</v>
      </c>
      <c r="AE385">
        <v>1335159930248</v>
      </c>
      <c r="AF385" t="s">
        <v>3561</v>
      </c>
      <c r="AG385">
        <v>0</v>
      </c>
      <c r="AH385">
        <v>0</v>
      </c>
    </row>
    <row r="386" spans="1:34">
      <c r="A386">
        <v>2026</v>
      </c>
      <c r="B386" s="1">
        <v>46054</v>
      </c>
      <c r="C386" t="s">
        <v>2657</v>
      </c>
      <c r="D386" t="s">
        <v>3588</v>
      </c>
      <c r="E386" s="43">
        <v>46080.860188240738</v>
      </c>
      <c r="F386" s="1">
        <v>46080</v>
      </c>
      <c r="G386" s="43">
        <v>46080.860188240738</v>
      </c>
      <c r="H386" t="s">
        <v>2725</v>
      </c>
      <c r="I386" t="s">
        <v>2660</v>
      </c>
      <c r="J386" t="s">
        <v>38</v>
      </c>
      <c r="L386" t="s">
        <v>2342</v>
      </c>
      <c r="M386">
        <v>256525648402</v>
      </c>
      <c r="N386" t="s">
        <v>2702</v>
      </c>
      <c r="O386" s="1">
        <v>45394</v>
      </c>
      <c r="T386" t="s">
        <v>2662</v>
      </c>
      <c r="U386" t="s">
        <v>3589</v>
      </c>
      <c r="V386">
        <v>0</v>
      </c>
      <c r="W386" t="s">
        <v>2664</v>
      </c>
      <c r="X386">
        <v>1</v>
      </c>
      <c r="Y386" t="s">
        <v>2695</v>
      </c>
      <c r="AA386">
        <v>256525648402</v>
      </c>
      <c r="AB386" t="s">
        <v>2307</v>
      </c>
      <c r="AC386">
        <v>1</v>
      </c>
      <c r="AD386">
        <v>9</v>
      </c>
      <c r="AE386">
        <v>2565256484029</v>
      </c>
      <c r="AF386" t="s">
        <v>3590</v>
      </c>
      <c r="AG386">
        <v>1</v>
      </c>
      <c r="AH386">
        <v>1</v>
      </c>
    </row>
    <row r="387" spans="1:34">
      <c r="A387">
        <v>2026</v>
      </c>
      <c r="B387" s="1">
        <v>46023</v>
      </c>
      <c r="C387" t="s">
        <v>2657</v>
      </c>
      <c r="D387" t="s">
        <v>3591</v>
      </c>
      <c r="E387" s="43">
        <v>46029.532653703704</v>
      </c>
      <c r="F387" s="1">
        <v>46029</v>
      </c>
      <c r="G387" s="43">
        <v>46030.630794282406</v>
      </c>
      <c r="H387" t="s">
        <v>2701</v>
      </c>
      <c r="I387" t="s">
        <v>2669</v>
      </c>
      <c r="J387" t="s">
        <v>39</v>
      </c>
      <c r="L387" t="s">
        <v>2336</v>
      </c>
      <c r="M387">
        <v>1126409110002</v>
      </c>
      <c r="N387" t="s">
        <v>2746</v>
      </c>
      <c r="O387" s="1">
        <v>45930</v>
      </c>
      <c r="T387" t="s">
        <v>2662</v>
      </c>
      <c r="U387" t="s">
        <v>3592</v>
      </c>
      <c r="V387">
        <v>1</v>
      </c>
      <c r="W387" t="s">
        <v>2664</v>
      </c>
      <c r="X387">
        <v>1</v>
      </c>
      <c r="Y387" t="s">
        <v>2757</v>
      </c>
      <c r="AA387">
        <v>414165418502</v>
      </c>
      <c r="AB387" t="s">
        <v>1569</v>
      </c>
      <c r="AC387">
        <v>0</v>
      </c>
      <c r="AD387">
        <v>2</v>
      </c>
      <c r="AE387">
        <v>4141654185022</v>
      </c>
      <c r="AF387" t="s">
        <v>3593</v>
      </c>
      <c r="AG387">
        <v>0</v>
      </c>
      <c r="AH387">
        <v>0</v>
      </c>
    </row>
    <row r="388" spans="1:34">
      <c r="A388">
        <v>2026</v>
      </c>
      <c r="B388" s="1">
        <v>46023</v>
      </c>
      <c r="C388" t="s">
        <v>2657</v>
      </c>
      <c r="D388" t="s">
        <v>3594</v>
      </c>
      <c r="E388" s="43">
        <v>46029.529705763889</v>
      </c>
      <c r="F388" s="1">
        <v>46029</v>
      </c>
      <c r="G388" s="43">
        <v>46035.611137291664</v>
      </c>
      <c r="H388" t="s">
        <v>2701</v>
      </c>
      <c r="I388" t="s">
        <v>2669</v>
      </c>
      <c r="J388" t="s">
        <v>39</v>
      </c>
      <c r="L388" t="s">
        <v>2336</v>
      </c>
      <c r="M388">
        <v>1126409110002</v>
      </c>
      <c r="N388" t="s">
        <v>2746</v>
      </c>
      <c r="O388" s="1">
        <v>45930</v>
      </c>
      <c r="T388" t="s">
        <v>2662</v>
      </c>
      <c r="U388" t="s">
        <v>3595</v>
      </c>
      <c r="V388">
        <v>4</v>
      </c>
      <c r="W388" t="s">
        <v>2677</v>
      </c>
      <c r="X388">
        <v>1</v>
      </c>
      <c r="Y388" t="s">
        <v>2779</v>
      </c>
      <c r="AA388">
        <v>414165418502</v>
      </c>
      <c r="AB388" t="s">
        <v>1569</v>
      </c>
      <c r="AC388">
        <v>0</v>
      </c>
      <c r="AD388">
        <v>2</v>
      </c>
      <c r="AE388">
        <v>4141654185022</v>
      </c>
      <c r="AF388" t="s">
        <v>3593</v>
      </c>
      <c r="AG388">
        <v>0</v>
      </c>
      <c r="AH388">
        <v>0</v>
      </c>
    </row>
    <row r="389" spans="1:34">
      <c r="A389">
        <v>2026</v>
      </c>
      <c r="B389" s="1">
        <v>46023</v>
      </c>
      <c r="C389" t="s">
        <v>2657</v>
      </c>
      <c r="D389" t="s">
        <v>3596</v>
      </c>
      <c r="E389" s="43">
        <v>46029.528035706018</v>
      </c>
      <c r="F389" s="1">
        <v>46029</v>
      </c>
      <c r="G389" s="43">
        <v>46030.628798495367</v>
      </c>
      <c r="H389" t="s">
        <v>2701</v>
      </c>
      <c r="I389" t="s">
        <v>2669</v>
      </c>
      <c r="J389" t="s">
        <v>39</v>
      </c>
      <c r="L389" t="s">
        <v>2336</v>
      </c>
      <c r="M389">
        <v>1126409110002</v>
      </c>
      <c r="N389" t="s">
        <v>2746</v>
      </c>
      <c r="O389" s="1">
        <v>45930</v>
      </c>
      <c r="T389" t="s">
        <v>2662</v>
      </c>
      <c r="U389" t="s">
        <v>3597</v>
      </c>
      <c r="V389">
        <v>1</v>
      </c>
      <c r="W389" t="s">
        <v>2677</v>
      </c>
      <c r="X389">
        <v>1</v>
      </c>
      <c r="Y389" t="s">
        <v>2772</v>
      </c>
      <c r="AA389">
        <v>414165418502</v>
      </c>
      <c r="AB389" t="s">
        <v>1569</v>
      </c>
      <c r="AC389">
        <v>0</v>
      </c>
      <c r="AD389">
        <v>2</v>
      </c>
      <c r="AE389">
        <v>4141654185022</v>
      </c>
      <c r="AF389" t="s">
        <v>3593</v>
      </c>
      <c r="AG389">
        <v>1</v>
      </c>
      <c r="AH389">
        <v>1</v>
      </c>
    </row>
    <row r="390" spans="1:34">
      <c r="A390">
        <v>2026</v>
      </c>
      <c r="B390" s="1">
        <v>46023</v>
      </c>
      <c r="C390" t="s">
        <v>2657</v>
      </c>
      <c r="D390" t="s">
        <v>3598</v>
      </c>
      <c r="E390" s="43">
        <v>46034.826474467591</v>
      </c>
      <c r="F390" s="1">
        <v>46034</v>
      </c>
      <c r="G390" s="43">
        <v>46036.635258194445</v>
      </c>
      <c r="H390" t="s">
        <v>2701</v>
      </c>
      <c r="I390" t="s">
        <v>2681</v>
      </c>
      <c r="J390" t="s">
        <v>39</v>
      </c>
      <c r="L390" t="s">
        <v>2336</v>
      </c>
      <c r="M390">
        <v>1126409110002</v>
      </c>
      <c r="N390" t="s">
        <v>2746</v>
      </c>
      <c r="O390" s="1">
        <v>45930</v>
      </c>
      <c r="T390" t="s">
        <v>2662</v>
      </c>
      <c r="U390" t="s">
        <v>3599</v>
      </c>
      <c r="V390">
        <v>2</v>
      </c>
      <c r="W390" t="s">
        <v>2677</v>
      </c>
      <c r="X390">
        <v>1</v>
      </c>
      <c r="Y390" t="s">
        <v>2760</v>
      </c>
      <c r="Z390" t="s">
        <v>2684</v>
      </c>
      <c r="AA390">
        <v>414165418502</v>
      </c>
      <c r="AB390" t="s">
        <v>1569</v>
      </c>
      <c r="AC390">
        <v>0</v>
      </c>
      <c r="AD390">
        <v>3</v>
      </c>
      <c r="AE390">
        <v>4141654185023</v>
      </c>
      <c r="AF390" t="s">
        <v>3593</v>
      </c>
      <c r="AG390">
        <v>1</v>
      </c>
      <c r="AH390">
        <v>0</v>
      </c>
    </row>
    <row r="391" spans="1:34">
      <c r="A391">
        <v>2026</v>
      </c>
      <c r="B391" s="1">
        <v>46023</v>
      </c>
      <c r="C391" t="s">
        <v>2657</v>
      </c>
      <c r="D391" t="s">
        <v>3600</v>
      </c>
      <c r="E391" s="43">
        <v>46037.532399780095</v>
      </c>
      <c r="F391" s="1">
        <v>46037</v>
      </c>
      <c r="G391" s="43">
        <v>46037.532399780095</v>
      </c>
      <c r="H391" t="s">
        <v>2701</v>
      </c>
      <c r="I391" t="s">
        <v>2719</v>
      </c>
      <c r="J391" t="s">
        <v>39</v>
      </c>
      <c r="L391" t="s">
        <v>2336</v>
      </c>
      <c r="M391">
        <v>414165418502</v>
      </c>
      <c r="N391" t="s">
        <v>2746</v>
      </c>
      <c r="O391" s="1">
        <v>45342</v>
      </c>
      <c r="T391" t="s">
        <v>2662</v>
      </c>
      <c r="U391" t="s">
        <v>3601</v>
      </c>
      <c r="V391">
        <v>0</v>
      </c>
      <c r="W391" t="s">
        <v>2677</v>
      </c>
      <c r="X391">
        <v>1</v>
      </c>
      <c r="Y391" t="s">
        <v>2695</v>
      </c>
      <c r="AA391">
        <v>414165418502</v>
      </c>
      <c r="AB391" t="s">
        <v>1569</v>
      </c>
      <c r="AC391">
        <v>0</v>
      </c>
      <c r="AD391">
        <v>3</v>
      </c>
      <c r="AE391">
        <v>4141654185023</v>
      </c>
      <c r="AF391" t="s">
        <v>3593</v>
      </c>
      <c r="AG391">
        <v>0</v>
      </c>
      <c r="AH391">
        <v>0</v>
      </c>
    </row>
    <row r="392" spans="1:34">
      <c r="A392">
        <v>2026</v>
      </c>
      <c r="B392" s="1">
        <v>46023</v>
      </c>
      <c r="C392" t="s">
        <v>2657</v>
      </c>
      <c r="D392" t="s">
        <v>3602</v>
      </c>
      <c r="E392" s="43">
        <v>46037.491092037038</v>
      </c>
      <c r="F392" s="1">
        <v>46037</v>
      </c>
      <c r="G392" s="43">
        <v>46049.641449976851</v>
      </c>
      <c r="H392" t="s">
        <v>2701</v>
      </c>
      <c r="I392" t="s">
        <v>2719</v>
      </c>
      <c r="J392" t="s">
        <v>39</v>
      </c>
      <c r="L392" t="s">
        <v>2336</v>
      </c>
      <c r="M392">
        <v>1126409110002</v>
      </c>
      <c r="N392" t="s">
        <v>2746</v>
      </c>
      <c r="O392" s="1">
        <v>45930</v>
      </c>
      <c r="T392" t="s">
        <v>2662</v>
      </c>
      <c r="U392" t="s">
        <v>3603</v>
      </c>
      <c r="V392">
        <v>8</v>
      </c>
      <c r="W392" t="s">
        <v>2671</v>
      </c>
      <c r="X392">
        <v>1</v>
      </c>
      <c r="Y392" t="s">
        <v>2683</v>
      </c>
      <c r="AA392">
        <v>414165418502</v>
      </c>
      <c r="AB392" t="s">
        <v>1569</v>
      </c>
      <c r="AC392">
        <v>0</v>
      </c>
      <c r="AD392">
        <v>3</v>
      </c>
      <c r="AE392">
        <v>4141654185023</v>
      </c>
      <c r="AF392" t="s">
        <v>3593</v>
      </c>
      <c r="AG392">
        <v>0</v>
      </c>
      <c r="AH392">
        <v>0</v>
      </c>
    </row>
    <row r="393" spans="1:34">
      <c r="A393">
        <v>2026</v>
      </c>
      <c r="B393" s="1">
        <v>46023</v>
      </c>
      <c r="C393" t="s">
        <v>2657</v>
      </c>
      <c r="D393" t="s">
        <v>3604</v>
      </c>
      <c r="E393" s="43">
        <v>46038.519386898151</v>
      </c>
      <c r="F393" s="1">
        <v>46038</v>
      </c>
      <c r="G393" s="43">
        <v>46041.797837488426</v>
      </c>
      <c r="H393" t="s">
        <v>2701</v>
      </c>
      <c r="I393" t="s">
        <v>2719</v>
      </c>
      <c r="J393" t="s">
        <v>39</v>
      </c>
      <c r="L393" t="s">
        <v>2336</v>
      </c>
      <c r="M393">
        <v>1126409110002</v>
      </c>
      <c r="N393" t="s">
        <v>2746</v>
      </c>
      <c r="O393" s="1">
        <v>45930</v>
      </c>
      <c r="T393" t="s">
        <v>2662</v>
      </c>
      <c r="U393" t="s">
        <v>3605</v>
      </c>
      <c r="V393">
        <v>1</v>
      </c>
      <c r="W393" t="s">
        <v>2671</v>
      </c>
      <c r="X393">
        <v>1</v>
      </c>
      <c r="Y393" t="s">
        <v>2692</v>
      </c>
      <c r="Z393" t="s">
        <v>2684</v>
      </c>
      <c r="AA393">
        <v>414165418502</v>
      </c>
      <c r="AB393" t="s">
        <v>1569</v>
      </c>
      <c r="AC393">
        <v>0</v>
      </c>
      <c r="AD393">
        <v>3</v>
      </c>
      <c r="AE393">
        <v>4141654185023</v>
      </c>
      <c r="AF393" t="s">
        <v>3593</v>
      </c>
      <c r="AG393">
        <v>0</v>
      </c>
      <c r="AH393">
        <v>0</v>
      </c>
    </row>
    <row r="394" spans="1:34">
      <c r="A394">
        <v>2026</v>
      </c>
      <c r="B394" s="1">
        <v>46023</v>
      </c>
      <c r="C394" t="s">
        <v>2657</v>
      </c>
      <c r="D394" t="s">
        <v>3606</v>
      </c>
      <c r="E394" s="43">
        <v>46041.729031076386</v>
      </c>
      <c r="F394" s="1">
        <v>46041</v>
      </c>
      <c r="G394" s="43">
        <v>46043.576662766201</v>
      </c>
      <c r="H394" t="s">
        <v>2701</v>
      </c>
      <c r="I394" t="s">
        <v>2719</v>
      </c>
      <c r="J394" t="s">
        <v>39</v>
      </c>
      <c r="L394" t="s">
        <v>2336</v>
      </c>
      <c r="M394">
        <v>414165418502</v>
      </c>
      <c r="N394" t="s">
        <v>2746</v>
      </c>
      <c r="O394" s="1">
        <v>45342</v>
      </c>
      <c r="T394" t="s">
        <v>2662</v>
      </c>
      <c r="U394" t="s">
        <v>3607</v>
      </c>
      <c r="V394">
        <v>2</v>
      </c>
      <c r="W394" t="s">
        <v>2677</v>
      </c>
      <c r="X394">
        <v>1</v>
      </c>
      <c r="Y394" t="s">
        <v>2807</v>
      </c>
      <c r="AA394">
        <v>414165418502</v>
      </c>
      <c r="AB394" t="s">
        <v>1569</v>
      </c>
      <c r="AC394">
        <v>0</v>
      </c>
      <c r="AD394">
        <v>4</v>
      </c>
      <c r="AE394">
        <v>4141654185024</v>
      </c>
      <c r="AF394" t="s">
        <v>3593</v>
      </c>
      <c r="AG394">
        <v>0</v>
      </c>
      <c r="AH394">
        <v>0</v>
      </c>
    </row>
    <row r="395" spans="1:34">
      <c r="A395">
        <v>2026</v>
      </c>
      <c r="B395" s="1">
        <v>46023</v>
      </c>
      <c r="C395" t="s">
        <v>2657</v>
      </c>
      <c r="D395" t="s">
        <v>3608</v>
      </c>
      <c r="E395" s="43">
        <v>46041.545710219907</v>
      </c>
      <c r="F395" s="1">
        <v>46041</v>
      </c>
      <c r="G395" s="43">
        <v>46041.545710219907</v>
      </c>
      <c r="H395" t="s">
        <v>2701</v>
      </c>
      <c r="I395" t="s">
        <v>2719</v>
      </c>
      <c r="J395" t="s">
        <v>39</v>
      </c>
      <c r="L395" t="s">
        <v>2336</v>
      </c>
      <c r="M395">
        <v>414165418502</v>
      </c>
      <c r="N395" t="s">
        <v>2746</v>
      </c>
      <c r="O395" s="1">
        <v>45342</v>
      </c>
      <c r="T395" t="s">
        <v>2662</v>
      </c>
      <c r="U395" t="s">
        <v>3609</v>
      </c>
      <c r="V395">
        <v>0</v>
      </c>
      <c r="W395" t="s">
        <v>2743</v>
      </c>
      <c r="X395">
        <v>1</v>
      </c>
      <c r="Y395" t="s">
        <v>2721</v>
      </c>
      <c r="AA395">
        <v>414165418502</v>
      </c>
      <c r="AB395" t="s">
        <v>1569</v>
      </c>
      <c r="AC395">
        <v>0</v>
      </c>
      <c r="AD395">
        <v>4</v>
      </c>
      <c r="AE395">
        <v>4141654185024</v>
      </c>
      <c r="AF395" t="s">
        <v>3593</v>
      </c>
      <c r="AG395">
        <v>1</v>
      </c>
      <c r="AH395">
        <v>0</v>
      </c>
    </row>
    <row r="396" spans="1:34">
      <c r="A396">
        <v>2026</v>
      </c>
      <c r="B396" s="1">
        <v>46023</v>
      </c>
      <c r="C396" t="s">
        <v>2657</v>
      </c>
      <c r="D396" s="44" t="s">
        <v>3610</v>
      </c>
      <c r="E396" s="43">
        <v>46043.890089004628</v>
      </c>
      <c r="F396" s="1">
        <v>46043</v>
      </c>
      <c r="G396" s="43">
        <v>46050.665738946758</v>
      </c>
      <c r="H396" t="s">
        <v>2701</v>
      </c>
      <c r="I396" t="s">
        <v>2719</v>
      </c>
      <c r="J396" t="s">
        <v>39</v>
      </c>
      <c r="L396" t="s">
        <v>2336</v>
      </c>
      <c r="M396">
        <v>1126409110002</v>
      </c>
      <c r="N396" t="s">
        <v>2746</v>
      </c>
      <c r="O396" s="1">
        <v>45930</v>
      </c>
      <c r="T396" t="s">
        <v>2662</v>
      </c>
      <c r="U396" t="s">
        <v>3611</v>
      </c>
      <c r="V396">
        <v>5</v>
      </c>
      <c r="W396" t="s">
        <v>2671</v>
      </c>
      <c r="X396">
        <v>1</v>
      </c>
      <c r="Y396" t="s">
        <v>2692</v>
      </c>
      <c r="AA396">
        <v>414165418502</v>
      </c>
      <c r="AB396" t="s">
        <v>1569</v>
      </c>
      <c r="AC396">
        <v>0</v>
      </c>
      <c r="AD396">
        <v>4</v>
      </c>
      <c r="AE396">
        <v>4141654185024</v>
      </c>
      <c r="AF396" t="s">
        <v>3593</v>
      </c>
      <c r="AG396">
        <v>0</v>
      </c>
      <c r="AH396">
        <v>0</v>
      </c>
    </row>
    <row r="397" spans="1:34">
      <c r="A397">
        <v>2026</v>
      </c>
      <c r="B397" s="1">
        <v>46023</v>
      </c>
      <c r="C397" t="s">
        <v>2657</v>
      </c>
      <c r="D397" t="s">
        <v>3612</v>
      </c>
      <c r="E397" s="43">
        <v>46044.634981238429</v>
      </c>
      <c r="F397" s="1">
        <v>46044</v>
      </c>
      <c r="G397" s="43">
        <v>46044.687368726853</v>
      </c>
      <c r="H397" t="s">
        <v>2701</v>
      </c>
      <c r="I397" t="s">
        <v>2660</v>
      </c>
      <c r="J397" t="s">
        <v>39</v>
      </c>
      <c r="L397" t="s">
        <v>2336</v>
      </c>
      <c r="M397">
        <v>1126409110002</v>
      </c>
      <c r="N397" t="s">
        <v>2746</v>
      </c>
      <c r="O397" s="1">
        <v>45930</v>
      </c>
      <c r="T397" t="s">
        <v>2662</v>
      </c>
      <c r="U397" t="s">
        <v>3613</v>
      </c>
      <c r="V397">
        <v>0</v>
      </c>
      <c r="W397" t="s">
        <v>2671</v>
      </c>
      <c r="X397">
        <v>1</v>
      </c>
      <c r="Y397" t="s">
        <v>2683</v>
      </c>
      <c r="AA397">
        <v>414165418502</v>
      </c>
      <c r="AB397" t="s">
        <v>1569</v>
      </c>
      <c r="AC397">
        <v>0</v>
      </c>
      <c r="AD397">
        <v>4</v>
      </c>
      <c r="AE397">
        <v>4141654185024</v>
      </c>
      <c r="AF397" t="s">
        <v>3593</v>
      </c>
      <c r="AG397">
        <v>0</v>
      </c>
      <c r="AH397">
        <v>0</v>
      </c>
    </row>
    <row r="398" spans="1:34">
      <c r="A398">
        <v>2026</v>
      </c>
      <c r="B398" s="1">
        <v>46023</v>
      </c>
      <c r="C398" t="s">
        <v>2657</v>
      </c>
      <c r="D398" t="s">
        <v>3614</v>
      </c>
      <c r="E398" s="43">
        <v>46048.598427557874</v>
      </c>
      <c r="F398" s="1">
        <v>46048</v>
      </c>
      <c r="G398" s="43">
        <v>46049.514976932871</v>
      </c>
      <c r="H398" t="s">
        <v>2701</v>
      </c>
      <c r="I398" t="s">
        <v>2660</v>
      </c>
      <c r="J398" t="s">
        <v>39</v>
      </c>
      <c r="L398" t="s">
        <v>2336</v>
      </c>
      <c r="M398">
        <v>1126409110002</v>
      </c>
      <c r="N398" t="s">
        <v>2746</v>
      </c>
      <c r="O398" s="1">
        <v>45930</v>
      </c>
      <c r="T398" t="s">
        <v>2662</v>
      </c>
      <c r="U398" t="s">
        <v>3615</v>
      </c>
      <c r="V398">
        <v>1</v>
      </c>
      <c r="W398" t="s">
        <v>2671</v>
      </c>
      <c r="X398">
        <v>1</v>
      </c>
      <c r="AA398">
        <v>414165418502</v>
      </c>
      <c r="AB398" t="s">
        <v>1569</v>
      </c>
      <c r="AC398">
        <v>0</v>
      </c>
      <c r="AD398">
        <v>5</v>
      </c>
      <c r="AE398">
        <v>4141654185025</v>
      </c>
      <c r="AF398" t="s">
        <v>3593</v>
      </c>
      <c r="AG398">
        <v>1</v>
      </c>
      <c r="AH398">
        <v>0</v>
      </c>
    </row>
    <row r="399" spans="1:34">
      <c r="A399">
        <v>2026</v>
      </c>
      <c r="B399" s="1">
        <v>46023</v>
      </c>
      <c r="C399" t="s">
        <v>2657</v>
      </c>
      <c r="D399" t="s">
        <v>3616</v>
      </c>
      <c r="E399" s="43">
        <v>46049.584655347222</v>
      </c>
      <c r="F399" s="1">
        <v>46049</v>
      </c>
      <c r="G399" s="43">
        <v>46050.652555081018</v>
      </c>
      <c r="H399" t="s">
        <v>2701</v>
      </c>
      <c r="I399" t="s">
        <v>2660</v>
      </c>
      <c r="J399" t="s">
        <v>39</v>
      </c>
      <c r="L399" t="s">
        <v>2336</v>
      </c>
      <c r="M399">
        <v>1126409110002</v>
      </c>
      <c r="N399" t="s">
        <v>2746</v>
      </c>
      <c r="O399" s="1">
        <v>45930</v>
      </c>
      <c r="T399" t="s">
        <v>2662</v>
      </c>
      <c r="U399" t="s">
        <v>3617</v>
      </c>
      <c r="V399">
        <v>1</v>
      </c>
      <c r="W399" t="s">
        <v>2677</v>
      </c>
      <c r="X399">
        <v>1</v>
      </c>
      <c r="Y399" t="s">
        <v>2760</v>
      </c>
      <c r="AA399">
        <v>414165418502</v>
      </c>
      <c r="AB399" t="s">
        <v>1569</v>
      </c>
      <c r="AC399">
        <v>0</v>
      </c>
      <c r="AD399">
        <v>5</v>
      </c>
      <c r="AE399">
        <v>4141654185025</v>
      </c>
      <c r="AF399" t="s">
        <v>3593</v>
      </c>
      <c r="AG399">
        <v>0</v>
      </c>
      <c r="AH399">
        <v>0</v>
      </c>
    </row>
    <row r="400" spans="1:34">
      <c r="A400">
        <v>2026</v>
      </c>
      <c r="B400" s="1">
        <v>46023</v>
      </c>
      <c r="C400" t="s">
        <v>2657</v>
      </c>
      <c r="D400" s="44" t="s">
        <v>3618</v>
      </c>
      <c r="E400" s="43">
        <v>46051.732522465281</v>
      </c>
      <c r="F400" s="1">
        <v>46051</v>
      </c>
      <c r="G400" s="43">
        <v>46057.70089197917</v>
      </c>
      <c r="H400" t="s">
        <v>2701</v>
      </c>
      <c r="I400" t="s">
        <v>2697</v>
      </c>
      <c r="J400" t="s">
        <v>39</v>
      </c>
      <c r="L400" t="s">
        <v>2336</v>
      </c>
      <c r="M400">
        <v>1126409110002</v>
      </c>
      <c r="N400" t="s">
        <v>2746</v>
      </c>
      <c r="O400" s="1">
        <v>45930</v>
      </c>
      <c r="T400" t="s">
        <v>2662</v>
      </c>
      <c r="U400" t="s">
        <v>3619</v>
      </c>
      <c r="V400">
        <v>4</v>
      </c>
      <c r="W400" t="s">
        <v>2671</v>
      </c>
      <c r="X400">
        <v>1</v>
      </c>
      <c r="Y400" t="s">
        <v>2985</v>
      </c>
      <c r="Z400" t="s">
        <v>2684</v>
      </c>
      <c r="AA400">
        <v>414165418502</v>
      </c>
      <c r="AB400" t="s">
        <v>1569</v>
      </c>
      <c r="AC400">
        <v>0</v>
      </c>
      <c r="AD400">
        <v>5</v>
      </c>
      <c r="AE400">
        <v>4141654185025</v>
      </c>
      <c r="AF400" t="s">
        <v>3593</v>
      </c>
      <c r="AG400">
        <v>0</v>
      </c>
      <c r="AH400">
        <v>0</v>
      </c>
    </row>
    <row r="401" spans="1:34">
      <c r="A401">
        <v>2025</v>
      </c>
      <c r="B401" s="1">
        <v>45992</v>
      </c>
      <c r="C401" t="s">
        <v>2657</v>
      </c>
      <c r="D401" s="44" t="s">
        <v>3620</v>
      </c>
      <c r="E401" s="43">
        <v>45999.573939062502</v>
      </c>
      <c r="F401" s="1">
        <v>45999</v>
      </c>
      <c r="G401" s="43">
        <v>46009.882290891204</v>
      </c>
      <c r="H401" t="s">
        <v>2686</v>
      </c>
      <c r="I401" t="s">
        <v>2681</v>
      </c>
      <c r="J401" t="s">
        <v>36</v>
      </c>
      <c r="L401" t="s">
        <v>2352</v>
      </c>
      <c r="M401">
        <v>642633814402</v>
      </c>
      <c r="N401" t="s">
        <v>2702</v>
      </c>
      <c r="O401" s="1">
        <v>45669</v>
      </c>
      <c r="T401" t="s">
        <v>2662</v>
      </c>
      <c r="U401" t="s">
        <v>3621</v>
      </c>
      <c r="V401">
        <v>8</v>
      </c>
      <c r="W401" t="s">
        <v>2677</v>
      </c>
      <c r="X401">
        <v>1</v>
      </c>
      <c r="Y401" t="s">
        <v>2760</v>
      </c>
      <c r="AA401">
        <v>93900917902</v>
      </c>
      <c r="AB401" t="s">
        <v>2018</v>
      </c>
      <c r="AC401">
        <v>0</v>
      </c>
      <c r="AD401">
        <v>50</v>
      </c>
      <c r="AE401">
        <v>9390091790250</v>
      </c>
      <c r="AF401" t="s">
        <v>3622</v>
      </c>
      <c r="AG401">
        <v>1</v>
      </c>
      <c r="AH401">
        <v>1</v>
      </c>
    </row>
    <row r="402" spans="1:34">
      <c r="A402">
        <v>2025</v>
      </c>
      <c r="B402" s="1">
        <v>45839</v>
      </c>
      <c r="C402" t="s">
        <v>2657</v>
      </c>
      <c r="D402" t="s">
        <v>3623</v>
      </c>
      <c r="E402" s="43">
        <v>45859.575128483797</v>
      </c>
      <c r="F402" s="1">
        <v>45859</v>
      </c>
      <c r="G402" s="43">
        <v>45891.558227268521</v>
      </c>
      <c r="H402" t="s">
        <v>2869</v>
      </c>
      <c r="I402" t="s">
        <v>2719</v>
      </c>
      <c r="J402" t="s">
        <v>38</v>
      </c>
      <c r="L402" t="s">
        <v>2364</v>
      </c>
      <c r="M402">
        <v>810505986102</v>
      </c>
      <c r="N402" t="s">
        <v>2661</v>
      </c>
      <c r="O402" s="1">
        <v>45492</v>
      </c>
      <c r="T402" t="s">
        <v>2662</v>
      </c>
      <c r="U402" t="s">
        <v>3624</v>
      </c>
      <c r="V402">
        <v>24</v>
      </c>
      <c r="W402" t="s">
        <v>2671</v>
      </c>
      <c r="X402">
        <v>1</v>
      </c>
      <c r="Y402" t="s">
        <v>2683</v>
      </c>
      <c r="Z402" t="s">
        <v>2684</v>
      </c>
      <c r="AA402">
        <v>625725137302</v>
      </c>
      <c r="AB402" t="s">
        <v>1537</v>
      </c>
      <c r="AC402">
        <v>0</v>
      </c>
      <c r="AD402">
        <v>30</v>
      </c>
      <c r="AE402">
        <v>62572513730230</v>
      </c>
      <c r="AF402" t="s">
        <v>3625</v>
      </c>
      <c r="AG402">
        <v>1</v>
      </c>
      <c r="AH402">
        <v>1</v>
      </c>
    </row>
    <row r="403" spans="1:34">
      <c r="A403">
        <v>2025</v>
      </c>
      <c r="B403" s="1">
        <v>45931</v>
      </c>
      <c r="C403" t="s">
        <v>2657</v>
      </c>
      <c r="D403" t="s">
        <v>3626</v>
      </c>
      <c r="E403" s="43">
        <v>45940.629068379632</v>
      </c>
      <c r="F403" s="1">
        <v>45940</v>
      </c>
      <c r="G403" s="43">
        <v>45973.546356342595</v>
      </c>
      <c r="H403" t="s">
        <v>2659</v>
      </c>
      <c r="I403" t="s">
        <v>2681</v>
      </c>
      <c r="J403" t="s">
        <v>2735</v>
      </c>
      <c r="L403" t="s">
        <v>2421</v>
      </c>
      <c r="M403">
        <v>97596278102</v>
      </c>
      <c r="N403" t="s">
        <v>2661</v>
      </c>
      <c r="O403" s="1">
        <v>45299</v>
      </c>
      <c r="T403" t="s">
        <v>2662</v>
      </c>
      <c r="U403" t="s">
        <v>3627</v>
      </c>
      <c r="V403">
        <v>23</v>
      </c>
      <c r="W403" t="s">
        <v>2677</v>
      </c>
      <c r="X403">
        <v>1</v>
      </c>
      <c r="Y403" t="s">
        <v>2740</v>
      </c>
      <c r="AA403">
        <v>97596278102</v>
      </c>
      <c r="AB403" t="s">
        <v>343</v>
      </c>
      <c r="AC403">
        <v>0</v>
      </c>
      <c r="AD403">
        <v>41</v>
      </c>
      <c r="AE403">
        <v>9759627810241</v>
      </c>
      <c r="AF403" t="s">
        <v>3628</v>
      </c>
      <c r="AG403">
        <v>1</v>
      </c>
      <c r="AH403">
        <v>1</v>
      </c>
    </row>
    <row r="404" spans="1:34">
      <c r="A404">
        <v>2026</v>
      </c>
      <c r="B404" s="1">
        <v>46054</v>
      </c>
      <c r="C404" t="s">
        <v>2657</v>
      </c>
      <c r="D404" s="44" t="s">
        <v>3629</v>
      </c>
      <c r="E404" s="43">
        <v>46072.756226620368</v>
      </c>
      <c r="F404" s="1">
        <v>46072</v>
      </c>
      <c r="G404" s="43">
        <v>46076.554686157404</v>
      </c>
      <c r="H404" t="s">
        <v>2725</v>
      </c>
      <c r="I404" t="s">
        <v>2719</v>
      </c>
      <c r="J404" t="s">
        <v>38</v>
      </c>
      <c r="L404" t="s">
        <v>2379</v>
      </c>
      <c r="M404">
        <v>366470259302</v>
      </c>
      <c r="N404" t="s">
        <v>2675</v>
      </c>
      <c r="O404" s="1">
        <v>45294</v>
      </c>
      <c r="T404" t="s">
        <v>2662</v>
      </c>
      <c r="U404" t="s">
        <v>3630</v>
      </c>
      <c r="V404">
        <v>2</v>
      </c>
      <c r="W404" t="s">
        <v>2664</v>
      </c>
      <c r="X404">
        <v>1</v>
      </c>
      <c r="Y404" t="s">
        <v>2721</v>
      </c>
      <c r="AA404">
        <v>827345792502</v>
      </c>
      <c r="AB404" t="s">
        <v>2415</v>
      </c>
      <c r="AC404">
        <v>0</v>
      </c>
      <c r="AD404">
        <v>8</v>
      </c>
      <c r="AE404">
        <v>8273457925028</v>
      </c>
      <c r="AF404" t="s">
        <v>3631</v>
      </c>
      <c r="AG404">
        <v>1</v>
      </c>
      <c r="AH404">
        <v>1</v>
      </c>
    </row>
    <row r="405" spans="1:34">
      <c r="A405">
        <v>2025</v>
      </c>
      <c r="B405" s="1">
        <v>45839</v>
      </c>
      <c r="C405" t="s">
        <v>2657</v>
      </c>
      <c r="D405" t="s">
        <v>3632</v>
      </c>
      <c r="E405" s="43">
        <v>45856.620456238423</v>
      </c>
      <c r="F405" s="1">
        <v>45856</v>
      </c>
      <c r="G405" s="43">
        <v>45888.86085488426</v>
      </c>
      <c r="H405" t="s">
        <v>2869</v>
      </c>
      <c r="I405" t="s">
        <v>2719</v>
      </c>
      <c r="J405" t="s">
        <v>2735</v>
      </c>
      <c r="L405" t="s">
        <v>2336</v>
      </c>
      <c r="M405">
        <v>902277407302</v>
      </c>
      <c r="N405" t="s">
        <v>2746</v>
      </c>
      <c r="O405" s="1">
        <v>45661</v>
      </c>
      <c r="T405" t="s">
        <v>2662</v>
      </c>
      <c r="U405" t="s">
        <v>3633</v>
      </c>
      <c r="V405">
        <v>22</v>
      </c>
      <c r="W405" t="s">
        <v>2671</v>
      </c>
      <c r="X405">
        <v>1</v>
      </c>
      <c r="Y405" t="s">
        <v>2683</v>
      </c>
      <c r="AA405">
        <v>92771955402</v>
      </c>
      <c r="AB405" t="s">
        <v>645</v>
      </c>
      <c r="AC405">
        <v>0</v>
      </c>
      <c r="AD405">
        <v>29</v>
      </c>
      <c r="AE405">
        <v>9277195540229</v>
      </c>
      <c r="AF405" t="s">
        <v>3634</v>
      </c>
      <c r="AG405">
        <v>1</v>
      </c>
      <c r="AH405">
        <v>1</v>
      </c>
    </row>
    <row r="406" spans="1:34">
      <c r="A406">
        <v>2025</v>
      </c>
      <c r="B406" s="1">
        <v>45992</v>
      </c>
      <c r="C406" t="s">
        <v>2657</v>
      </c>
      <c r="D406" t="s">
        <v>3635</v>
      </c>
      <c r="E406" s="43">
        <v>45993.814275775461</v>
      </c>
      <c r="F406" s="1">
        <v>45993</v>
      </c>
      <c r="G406" s="43">
        <v>46035.558816458331</v>
      </c>
      <c r="H406" t="s">
        <v>2686</v>
      </c>
      <c r="I406" t="s">
        <v>2669</v>
      </c>
      <c r="J406" t="s">
        <v>100</v>
      </c>
      <c r="L406" t="s">
        <v>2347</v>
      </c>
      <c r="M406">
        <v>193343155102</v>
      </c>
      <c r="N406" t="s">
        <v>2675</v>
      </c>
      <c r="O406" s="1">
        <v>45673</v>
      </c>
      <c r="T406" t="s">
        <v>2662</v>
      </c>
      <c r="U406" t="s">
        <v>3636</v>
      </c>
      <c r="V406">
        <v>30</v>
      </c>
      <c r="W406" t="s">
        <v>2743</v>
      </c>
      <c r="X406">
        <v>1</v>
      </c>
      <c r="Y406" t="s">
        <v>2721</v>
      </c>
      <c r="AA406">
        <v>193343155102</v>
      </c>
      <c r="AB406" t="s">
        <v>781</v>
      </c>
      <c r="AC406">
        <v>0</v>
      </c>
      <c r="AD406">
        <v>49</v>
      </c>
      <c r="AE406">
        <v>19334315510249</v>
      </c>
      <c r="AF406" t="s">
        <v>3637</v>
      </c>
      <c r="AG406">
        <v>1</v>
      </c>
      <c r="AH406">
        <v>1</v>
      </c>
    </row>
    <row r="407" spans="1:34">
      <c r="A407">
        <v>2025</v>
      </c>
      <c r="B407" s="1">
        <v>45992</v>
      </c>
      <c r="C407" t="s">
        <v>2657</v>
      </c>
      <c r="D407" t="s">
        <v>3638</v>
      </c>
      <c r="E407" s="43">
        <v>46009.76496443287</v>
      </c>
      <c r="F407" s="1">
        <v>46009</v>
      </c>
      <c r="G407" s="43">
        <v>46020.520831643516</v>
      </c>
      <c r="H407" t="s">
        <v>2686</v>
      </c>
      <c r="I407" t="s">
        <v>2719</v>
      </c>
      <c r="J407" t="s">
        <v>100</v>
      </c>
      <c r="L407" t="s">
        <v>2347</v>
      </c>
      <c r="M407">
        <v>193343155102</v>
      </c>
      <c r="N407" t="s">
        <v>2675</v>
      </c>
      <c r="O407" s="1">
        <v>45673</v>
      </c>
      <c r="T407" t="s">
        <v>2662</v>
      </c>
      <c r="U407" t="s">
        <v>3639</v>
      </c>
      <c r="V407">
        <v>7</v>
      </c>
      <c r="W407" t="s">
        <v>2671</v>
      </c>
      <c r="X407">
        <v>1</v>
      </c>
      <c r="Y407" t="s">
        <v>2764</v>
      </c>
      <c r="AA407">
        <v>193343155102</v>
      </c>
      <c r="AB407" t="s">
        <v>781</v>
      </c>
      <c r="AC407">
        <v>0</v>
      </c>
      <c r="AD407">
        <v>51</v>
      </c>
      <c r="AE407">
        <v>19334315510251</v>
      </c>
      <c r="AF407" t="s">
        <v>3637</v>
      </c>
      <c r="AG407">
        <v>1</v>
      </c>
      <c r="AH407">
        <v>0</v>
      </c>
    </row>
    <row r="408" spans="1:34">
      <c r="A408">
        <v>2025</v>
      </c>
      <c r="B408" s="1">
        <v>45870</v>
      </c>
      <c r="C408" t="s">
        <v>2657</v>
      </c>
      <c r="D408" t="s">
        <v>3640</v>
      </c>
      <c r="E408" s="43">
        <v>45875.721989375001</v>
      </c>
      <c r="F408" s="1">
        <v>45875</v>
      </c>
      <c r="G408" s="43">
        <v>45887.804423657406</v>
      </c>
      <c r="H408" t="s">
        <v>3088</v>
      </c>
      <c r="I408" t="s">
        <v>2669</v>
      </c>
      <c r="J408" t="s">
        <v>38</v>
      </c>
      <c r="L408" t="s">
        <v>2352</v>
      </c>
      <c r="M408">
        <v>642633814402</v>
      </c>
      <c r="N408" t="s">
        <v>2702</v>
      </c>
      <c r="O408" s="1">
        <v>45669</v>
      </c>
      <c r="T408" t="s">
        <v>2662</v>
      </c>
      <c r="U408" t="s">
        <v>3641</v>
      </c>
      <c r="V408">
        <v>8</v>
      </c>
      <c r="W408" t="s">
        <v>2743</v>
      </c>
      <c r="X408">
        <v>1</v>
      </c>
      <c r="Y408" t="s">
        <v>2717</v>
      </c>
      <c r="Z408" t="s">
        <v>2834</v>
      </c>
      <c r="AA408">
        <v>93900917902</v>
      </c>
      <c r="AB408" t="s">
        <v>2018</v>
      </c>
      <c r="AC408">
        <v>0</v>
      </c>
      <c r="AD408">
        <v>32</v>
      </c>
      <c r="AE408">
        <v>9390091790232</v>
      </c>
      <c r="AF408" t="s">
        <v>3642</v>
      </c>
      <c r="AG408">
        <v>1</v>
      </c>
      <c r="AH408">
        <v>1</v>
      </c>
    </row>
    <row r="409" spans="1:34">
      <c r="A409">
        <v>2025</v>
      </c>
      <c r="B409" s="1">
        <v>45870</v>
      </c>
      <c r="C409" t="s">
        <v>2657</v>
      </c>
      <c r="D409" t="s">
        <v>3643</v>
      </c>
      <c r="E409" s="43">
        <v>45898.809891076387</v>
      </c>
      <c r="F409" s="1">
        <v>45898</v>
      </c>
      <c r="G409" s="43">
        <v>45908.820109363427</v>
      </c>
      <c r="H409" t="s">
        <v>3088</v>
      </c>
      <c r="I409" t="s">
        <v>2697</v>
      </c>
      <c r="J409" t="s">
        <v>38</v>
      </c>
      <c r="L409" t="s">
        <v>2352</v>
      </c>
      <c r="M409">
        <v>642633814402</v>
      </c>
      <c r="N409" t="s">
        <v>2702</v>
      </c>
      <c r="O409" s="1">
        <v>45669</v>
      </c>
      <c r="T409" t="s">
        <v>2662</v>
      </c>
      <c r="U409" t="s">
        <v>3644</v>
      </c>
      <c r="V409">
        <v>6</v>
      </c>
      <c r="W409" t="s">
        <v>2743</v>
      </c>
      <c r="X409">
        <v>1</v>
      </c>
      <c r="Y409" t="s">
        <v>2717</v>
      </c>
      <c r="Z409" t="s">
        <v>2684</v>
      </c>
      <c r="AA409">
        <v>93900917902</v>
      </c>
      <c r="AB409" t="s">
        <v>2018</v>
      </c>
      <c r="AC409">
        <v>0</v>
      </c>
      <c r="AD409">
        <v>35</v>
      </c>
      <c r="AE409">
        <v>9390091790235</v>
      </c>
      <c r="AF409" t="s">
        <v>3642</v>
      </c>
      <c r="AG409">
        <v>1</v>
      </c>
      <c r="AH409">
        <v>0</v>
      </c>
    </row>
    <row r="410" spans="1:34">
      <c r="A410">
        <v>2026</v>
      </c>
      <c r="B410" s="1">
        <v>46082</v>
      </c>
      <c r="C410" t="s">
        <v>2657</v>
      </c>
      <c r="D410" t="s">
        <v>3645</v>
      </c>
      <c r="E410" s="43">
        <v>46083.813225543985</v>
      </c>
      <c r="F410" s="1">
        <v>46083</v>
      </c>
      <c r="G410" s="43">
        <v>46090.827670972219</v>
      </c>
      <c r="H410" t="s">
        <v>2668</v>
      </c>
      <c r="I410" t="s">
        <v>2669</v>
      </c>
      <c r="J410" t="s">
        <v>37</v>
      </c>
      <c r="L410" t="s">
        <v>2364</v>
      </c>
      <c r="M410">
        <v>610886576</v>
      </c>
      <c r="N410" t="s">
        <v>2661</v>
      </c>
      <c r="O410" s="1">
        <v>45994</v>
      </c>
      <c r="T410" t="s">
        <v>2662</v>
      </c>
      <c r="U410" t="s">
        <v>3646</v>
      </c>
      <c r="V410">
        <v>5</v>
      </c>
      <c r="W410" t="s">
        <v>2677</v>
      </c>
      <c r="X410">
        <v>1</v>
      </c>
      <c r="Y410" t="s">
        <v>2807</v>
      </c>
      <c r="AA410">
        <v>610886576</v>
      </c>
      <c r="AB410" t="s">
        <v>2595</v>
      </c>
      <c r="AC410">
        <v>0</v>
      </c>
      <c r="AD410">
        <v>10</v>
      </c>
      <c r="AE410">
        <v>61088657610</v>
      </c>
      <c r="AF410" t="s">
        <v>3647</v>
      </c>
      <c r="AG410">
        <v>1</v>
      </c>
      <c r="AH410">
        <v>1</v>
      </c>
    </row>
    <row r="411" spans="1:34">
      <c r="A411">
        <v>2026</v>
      </c>
      <c r="B411" s="1">
        <v>46082</v>
      </c>
      <c r="C411" t="s">
        <v>2657</v>
      </c>
      <c r="D411" t="s">
        <v>3648</v>
      </c>
      <c r="E411" s="43">
        <v>46090.858056296296</v>
      </c>
      <c r="F411" s="1">
        <v>46090</v>
      </c>
      <c r="G411" s="43">
        <v>46090.858056296296</v>
      </c>
      <c r="H411" t="s">
        <v>2668</v>
      </c>
      <c r="I411" t="s">
        <v>2681</v>
      </c>
      <c r="J411" t="s">
        <v>37</v>
      </c>
      <c r="L411" t="s">
        <v>2364</v>
      </c>
      <c r="M411">
        <v>610886576</v>
      </c>
      <c r="N411" t="s">
        <v>2661</v>
      </c>
      <c r="O411" s="1">
        <v>45994</v>
      </c>
      <c r="T411" t="s">
        <v>2798</v>
      </c>
      <c r="U411" t="s">
        <v>3649</v>
      </c>
      <c r="V411">
        <v>4</v>
      </c>
      <c r="W411" t="s">
        <v>2677</v>
      </c>
      <c r="X411">
        <v>0</v>
      </c>
      <c r="Y411" t="s">
        <v>2678</v>
      </c>
      <c r="AA411">
        <v>610886576</v>
      </c>
      <c r="AB411" t="s">
        <v>2595</v>
      </c>
      <c r="AC411">
        <v>0</v>
      </c>
      <c r="AD411">
        <v>11</v>
      </c>
      <c r="AE411">
        <v>61088657611</v>
      </c>
      <c r="AF411" t="s">
        <v>3647</v>
      </c>
      <c r="AG411">
        <v>1</v>
      </c>
      <c r="AH411">
        <v>0</v>
      </c>
    </row>
    <row r="412" spans="1:34">
      <c r="A412">
        <v>2026</v>
      </c>
      <c r="B412" s="1">
        <v>46082</v>
      </c>
      <c r="C412" t="s">
        <v>2657</v>
      </c>
      <c r="D412" t="s">
        <v>3650</v>
      </c>
      <c r="E412" s="43">
        <v>46092.803509166668</v>
      </c>
      <c r="F412" s="1">
        <v>46092</v>
      </c>
      <c r="G412" s="43">
        <v>46092.803509166668</v>
      </c>
      <c r="H412" t="s">
        <v>2668</v>
      </c>
      <c r="I412" t="s">
        <v>2681</v>
      </c>
      <c r="J412" t="s">
        <v>37</v>
      </c>
      <c r="L412" t="s">
        <v>2364</v>
      </c>
      <c r="M412">
        <v>610886576</v>
      </c>
      <c r="N412" t="s">
        <v>2661</v>
      </c>
      <c r="O412" s="1">
        <v>45994</v>
      </c>
      <c r="T412" t="s">
        <v>2798</v>
      </c>
      <c r="U412" t="s">
        <v>3651</v>
      </c>
      <c r="V412">
        <v>2</v>
      </c>
      <c r="W412" t="s">
        <v>2677</v>
      </c>
      <c r="X412">
        <v>0</v>
      </c>
      <c r="Y412" t="s">
        <v>2807</v>
      </c>
      <c r="AA412">
        <v>610886576</v>
      </c>
      <c r="AB412" t="s">
        <v>2595</v>
      </c>
      <c r="AC412">
        <v>1</v>
      </c>
      <c r="AD412">
        <v>11</v>
      </c>
      <c r="AE412">
        <v>61088657611</v>
      </c>
      <c r="AF412" t="s">
        <v>3647</v>
      </c>
      <c r="AG412">
        <v>0</v>
      </c>
      <c r="AH412">
        <v>0</v>
      </c>
    </row>
    <row r="413" spans="1:34">
      <c r="A413">
        <v>2026</v>
      </c>
      <c r="B413" s="1">
        <v>46082</v>
      </c>
      <c r="C413" t="s">
        <v>2657</v>
      </c>
      <c r="D413" t="s">
        <v>3652</v>
      </c>
      <c r="E413" s="43">
        <v>46090.861981539354</v>
      </c>
      <c r="F413" s="1">
        <v>46090</v>
      </c>
      <c r="G413" s="43">
        <v>46092.781811863424</v>
      </c>
      <c r="H413" t="s">
        <v>2668</v>
      </c>
      <c r="I413" t="s">
        <v>2681</v>
      </c>
      <c r="J413" t="s">
        <v>37</v>
      </c>
      <c r="L413" t="s">
        <v>2364</v>
      </c>
      <c r="M413">
        <v>610886576</v>
      </c>
      <c r="N413" t="s">
        <v>2661</v>
      </c>
      <c r="O413" s="1">
        <v>45994</v>
      </c>
      <c r="T413" t="s">
        <v>2662</v>
      </c>
      <c r="U413" t="s">
        <v>3653</v>
      </c>
      <c r="V413">
        <v>2</v>
      </c>
      <c r="W413" t="s">
        <v>2677</v>
      </c>
      <c r="X413">
        <v>1</v>
      </c>
      <c r="Y413" t="s">
        <v>2760</v>
      </c>
      <c r="AA413">
        <v>610886576</v>
      </c>
      <c r="AB413" t="s">
        <v>2595</v>
      </c>
      <c r="AC413">
        <v>0</v>
      </c>
      <c r="AD413">
        <v>11</v>
      </c>
      <c r="AE413">
        <v>61088657611</v>
      </c>
      <c r="AF413" t="s">
        <v>3647</v>
      </c>
      <c r="AG413">
        <v>0</v>
      </c>
      <c r="AH413">
        <v>0</v>
      </c>
    </row>
    <row r="414" spans="1:34">
      <c r="A414">
        <v>2025</v>
      </c>
      <c r="B414" s="1">
        <v>45870</v>
      </c>
      <c r="C414" t="s">
        <v>2657</v>
      </c>
      <c r="D414" t="s">
        <v>3654</v>
      </c>
      <c r="E414" s="43">
        <v>45874.572719004631</v>
      </c>
      <c r="F414" s="1">
        <v>45874</v>
      </c>
      <c r="G414" s="43">
        <v>45887.805581342589</v>
      </c>
      <c r="H414" t="s">
        <v>3088</v>
      </c>
      <c r="I414" t="s">
        <v>2669</v>
      </c>
      <c r="J414" t="s">
        <v>38</v>
      </c>
      <c r="L414" t="s">
        <v>2352</v>
      </c>
      <c r="M414">
        <v>117086860802</v>
      </c>
      <c r="N414" t="s">
        <v>2702</v>
      </c>
      <c r="O414" s="1">
        <v>45294</v>
      </c>
      <c r="T414" t="s">
        <v>2662</v>
      </c>
      <c r="U414" t="s">
        <v>3655</v>
      </c>
      <c r="V414">
        <v>9</v>
      </c>
      <c r="W414" t="s">
        <v>2671</v>
      </c>
      <c r="X414">
        <v>1</v>
      </c>
      <c r="Y414" t="s">
        <v>2683</v>
      </c>
      <c r="AA414">
        <v>117086860802</v>
      </c>
      <c r="AB414" t="s">
        <v>876</v>
      </c>
      <c r="AC414">
        <v>0</v>
      </c>
      <c r="AD414">
        <v>32</v>
      </c>
      <c r="AE414">
        <v>11708686080232</v>
      </c>
      <c r="AF414" t="s">
        <v>3656</v>
      </c>
      <c r="AG414">
        <v>1</v>
      </c>
      <c r="AH414">
        <v>1</v>
      </c>
    </row>
    <row r="415" spans="1:34">
      <c r="A415">
        <v>2025</v>
      </c>
      <c r="B415" s="1">
        <v>45870</v>
      </c>
      <c r="C415" t="s">
        <v>2657</v>
      </c>
      <c r="D415" t="s">
        <v>3657</v>
      </c>
      <c r="E415" s="43">
        <v>45877.862308090276</v>
      </c>
      <c r="F415" s="1">
        <v>45877</v>
      </c>
      <c r="G415" s="43">
        <v>45929.740859155092</v>
      </c>
      <c r="H415" t="s">
        <v>3088</v>
      </c>
      <c r="I415" t="s">
        <v>2681</v>
      </c>
      <c r="J415" t="s">
        <v>38</v>
      </c>
      <c r="L415" t="s">
        <v>2352</v>
      </c>
      <c r="M415">
        <v>117086860802</v>
      </c>
      <c r="N415" t="s">
        <v>2702</v>
      </c>
      <c r="O415" s="1">
        <v>45294</v>
      </c>
      <c r="T415" t="s">
        <v>2662</v>
      </c>
      <c r="U415" t="s">
        <v>3658</v>
      </c>
      <c r="V415">
        <v>36</v>
      </c>
      <c r="W415" t="s">
        <v>2671</v>
      </c>
      <c r="X415">
        <v>1</v>
      </c>
      <c r="Y415" t="s">
        <v>2764</v>
      </c>
      <c r="AA415">
        <v>117086860802</v>
      </c>
      <c r="AB415" t="s">
        <v>876</v>
      </c>
      <c r="AC415">
        <v>0</v>
      </c>
      <c r="AD415">
        <v>32</v>
      </c>
      <c r="AE415">
        <v>11708686080232</v>
      </c>
      <c r="AF415" t="s">
        <v>3656</v>
      </c>
      <c r="AG415">
        <v>0</v>
      </c>
      <c r="AH415">
        <v>0</v>
      </c>
    </row>
    <row r="416" spans="1:34">
      <c r="A416">
        <v>2025</v>
      </c>
      <c r="B416" s="1">
        <v>45870</v>
      </c>
      <c r="C416" t="s">
        <v>2657</v>
      </c>
      <c r="D416" s="44" t="s">
        <v>3659</v>
      </c>
      <c r="E416" s="43">
        <v>45895.733648726855</v>
      </c>
      <c r="F416" s="1">
        <v>45895</v>
      </c>
      <c r="G416" s="43">
        <v>45895.733648726855</v>
      </c>
      <c r="H416" t="s">
        <v>3088</v>
      </c>
      <c r="I416" t="s">
        <v>2660</v>
      </c>
      <c r="J416" t="s">
        <v>38</v>
      </c>
      <c r="L416" t="s">
        <v>2352</v>
      </c>
      <c r="M416">
        <v>117086860802</v>
      </c>
      <c r="N416" t="s">
        <v>2702</v>
      </c>
      <c r="O416" s="1">
        <v>45294</v>
      </c>
      <c r="T416" t="s">
        <v>2662</v>
      </c>
      <c r="U416" t="s">
        <v>3660</v>
      </c>
      <c r="V416">
        <v>0</v>
      </c>
      <c r="W416" t="s">
        <v>2671</v>
      </c>
      <c r="X416">
        <v>1</v>
      </c>
      <c r="Y416" t="s">
        <v>2772</v>
      </c>
      <c r="Z416" t="s">
        <v>2684</v>
      </c>
      <c r="AA416">
        <v>117086860802</v>
      </c>
      <c r="AB416" t="s">
        <v>876</v>
      </c>
      <c r="AC416">
        <v>0</v>
      </c>
      <c r="AD416">
        <v>35</v>
      </c>
      <c r="AE416">
        <v>11708686080235</v>
      </c>
      <c r="AF416" t="s">
        <v>3656</v>
      </c>
      <c r="AG416">
        <v>1</v>
      </c>
      <c r="AH416">
        <v>0</v>
      </c>
    </row>
    <row r="417" spans="1:34">
      <c r="A417">
        <v>2025</v>
      </c>
      <c r="B417" s="1">
        <v>45962</v>
      </c>
      <c r="C417" t="s">
        <v>2657</v>
      </c>
      <c r="D417" t="s">
        <v>3661</v>
      </c>
      <c r="E417" s="43">
        <v>45971.590758020837</v>
      </c>
      <c r="F417" s="1">
        <v>45971</v>
      </c>
      <c r="G417" s="43">
        <v>45973.658398530089</v>
      </c>
      <c r="H417" t="s">
        <v>2802</v>
      </c>
      <c r="I417" t="s">
        <v>2681</v>
      </c>
      <c r="J417" t="s">
        <v>36</v>
      </c>
      <c r="L417" t="s">
        <v>2408</v>
      </c>
      <c r="M417">
        <v>508996769902</v>
      </c>
      <c r="N417" t="s">
        <v>2746</v>
      </c>
      <c r="O417" s="1">
        <v>45669</v>
      </c>
      <c r="T417" t="s">
        <v>2662</v>
      </c>
      <c r="U417" t="s">
        <v>3662</v>
      </c>
      <c r="V417">
        <v>2</v>
      </c>
      <c r="W417" t="s">
        <v>2677</v>
      </c>
      <c r="X417">
        <v>1</v>
      </c>
      <c r="Y417" t="s">
        <v>2807</v>
      </c>
      <c r="AA417">
        <v>508996769902</v>
      </c>
      <c r="AB417" t="s">
        <v>2193</v>
      </c>
      <c r="AC417">
        <v>0</v>
      </c>
      <c r="AD417">
        <v>46</v>
      </c>
      <c r="AE417">
        <v>50899676990246</v>
      </c>
      <c r="AF417" t="s">
        <v>3663</v>
      </c>
      <c r="AG417">
        <v>1</v>
      </c>
      <c r="AH417">
        <v>1</v>
      </c>
    </row>
    <row r="418" spans="1:34">
      <c r="A418">
        <v>2025</v>
      </c>
      <c r="B418" s="1">
        <v>45962</v>
      </c>
      <c r="C418" t="s">
        <v>2657</v>
      </c>
      <c r="D418" s="44" t="s">
        <v>3664</v>
      </c>
      <c r="E418" s="43">
        <v>45978.623362719911</v>
      </c>
      <c r="F418" s="1">
        <v>45978</v>
      </c>
      <c r="G418" s="43">
        <v>45985.478656423613</v>
      </c>
      <c r="H418" t="s">
        <v>2802</v>
      </c>
      <c r="I418" t="s">
        <v>2719</v>
      </c>
      <c r="J418" t="s">
        <v>36</v>
      </c>
      <c r="L418" t="s">
        <v>2408</v>
      </c>
      <c r="M418">
        <v>861076042402</v>
      </c>
      <c r="N418" t="s">
        <v>2746</v>
      </c>
      <c r="O418" s="1">
        <v>45669</v>
      </c>
      <c r="T418" t="s">
        <v>2662</v>
      </c>
      <c r="U418" t="s">
        <v>3665</v>
      </c>
      <c r="V418">
        <v>5</v>
      </c>
      <c r="W418" t="s">
        <v>2677</v>
      </c>
      <c r="X418">
        <v>1</v>
      </c>
      <c r="Y418" t="s">
        <v>2678</v>
      </c>
      <c r="AA418">
        <v>508996769902</v>
      </c>
      <c r="AB418" t="s">
        <v>2193</v>
      </c>
      <c r="AC418">
        <v>0</v>
      </c>
      <c r="AD418">
        <v>47</v>
      </c>
      <c r="AE418">
        <v>50899676990247</v>
      </c>
      <c r="AF418" t="s">
        <v>3663</v>
      </c>
      <c r="AG418">
        <v>1</v>
      </c>
      <c r="AH418">
        <v>0</v>
      </c>
    </row>
    <row r="419" spans="1:34">
      <c r="A419">
        <v>2025</v>
      </c>
      <c r="B419" s="1">
        <v>45962</v>
      </c>
      <c r="C419" t="s">
        <v>2657</v>
      </c>
      <c r="D419" t="s">
        <v>3666</v>
      </c>
      <c r="E419" s="43">
        <v>45978.626644282405</v>
      </c>
      <c r="F419" s="1">
        <v>45978</v>
      </c>
      <c r="G419" s="43">
        <v>45988.980373831022</v>
      </c>
      <c r="H419" t="s">
        <v>2802</v>
      </c>
      <c r="I419" t="s">
        <v>2719</v>
      </c>
      <c r="J419" t="s">
        <v>36</v>
      </c>
      <c r="L419" t="s">
        <v>2408</v>
      </c>
      <c r="M419">
        <v>508996769902</v>
      </c>
      <c r="N419" t="s">
        <v>2746</v>
      </c>
      <c r="O419" s="1">
        <v>45669</v>
      </c>
      <c r="T419" t="s">
        <v>2662</v>
      </c>
      <c r="U419" t="s">
        <v>3667</v>
      </c>
      <c r="V419">
        <v>8</v>
      </c>
      <c r="W419" t="s">
        <v>2677</v>
      </c>
      <c r="X419">
        <v>1</v>
      </c>
      <c r="Y419" t="s">
        <v>2678</v>
      </c>
      <c r="AA419">
        <v>508996769902</v>
      </c>
      <c r="AB419" t="s">
        <v>2193</v>
      </c>
      <c r="AC419">
        <v>0</v>
      </c>
      <c r="AD419">
        <v>47</v>
      </c>
      <c r="AE419">
        <v>50899676990247</v>
      </c>
      <c r="AF419" t="s">
        <v>3663</v>
      </c>
      <c r="AG419">
        <v>0</v>
      </c>
      <c r="AH419">
        <v>0</v>
      </c>
    </row>
    <row r="420" spans="1:34">
      <c r="A420">
        <v>2025</v>
      </c>
      <c r="B420" s="1">
        <v>45962</v>
      </c>
      <c r="C420" t="s">
        <v>2657</v>
      </c>
      <c r="D420" t="s">
        <v>3668</v>
      </c>
      <c r="E420" s="43">
        <v>45987.772091157407</v>
      </c>
      <c r="F420" s="1">
        <v>45987</v>
      </c>
      <c r="G420" s="43">
        <v>45987.772091157407</v>
      </c>
      <c r="H420" t="s">
        <v>2802</v>
      </c>
      <c r="I420" t="s">
        <v>2660</v>
      </c>
      <c r="J420" t="s">
        <v>36</v>
      </c>
      <c r="L420" t="s">
        <v>2408</v>
      </c>
      <c r="M420">
        <v>861076042402</v>
      </c>
      <c r="N420" t="s">
        <v>2746</v>
      </c>
      <c r="O420" s="1">
        <v>45669</v>
      </c>
      <c r="T420" t="s">
        <v>2662</v>
      </c>
      <c r="U420" t="s">
        <v>3669</v>
      </c>
      <c r="V420">
        <v>0</v>
      </c>
      <c r="W420" t="s">
        <v>2677</v>
      </c>
      <c r="X420">
        <v>1</v>
      </c>
      <c r="Y420" t="s">
        <v>2760</v>
      </c>
      <c r="AA420">
        <v>508996769902</v>
      </c>
      <c r="AB420" t="s">
        <v>2193</v>
      </c>
      <c r="AC420">
        <v>0</v>
      </c>
      <c r="AD420">
        <v>48</v>
      </c>
      <c r="AE420">
        <v>50899676990248</v>
      </c>
      <c r="AF420" t="s">
        <v>3663</v>
      </c>
      <c r="AG420">
        <v>0</v>
      </c>
      <c r="AH420">
        <v>0</v>
      </c>
    </row>
    <row r="421" spans="1:34">
      <c r="A421">
        <v>2025</v>
      </c>
      <c r="B421" s="1">
        <v>45962</v>
      </c>
      <c r="C421" t="s">
        <v>2657</v>
      </c>
      <c r="D421" t="s">
        <v>3670</v>
      </c>
      <c r="E421" s="43">
        <v>45986.878834050927</v>
      </c>
      <c r="F421" s="1">
        <v>45986</v>
      </c>
      <c r="G421" s="43">
        <v>45988.980517928241</v>
      </c>
      <c r="H421" t="s">
        <v>2802</v>
      </c>
      <c r="I421" t="s">
        <v>2660</v>
      </c>
      <c r="J421" t="s">
        <v>36</v>
      </c>
      <c r="L421" t="s">
        <v>2408</v>
      </c>
      <c r="M421">
        <v>508996769902</v>
      </c>
      <c r="N421" t="s">
        <v>2746</v>
      </c>
      <c r="O421" s="1">
        <v>45669</v>
      </c>
      <c r="T421" t="s">
        <v>2662</v>
      </c>
      <c r="U421" t="s">
        <v>3671</v>
      </c>
      <c r="V421">
        <v>2</v>
      </c>
      <c r="W421" t="s">
        <v>2677</v>
      </c>
      <c r="X421">
        <v>1</v>
      </c>
      <c r="Y421" t="s">
        <v>2807</v>
      </c>
      <c r="AA421">
        <v>508996769902</v>
      </c>
      <c r="AB421" t="s">
        <v>2193</v>
      </c>
      <c r="AC421">
        <v>0</v>
      </c>
      <c r="AD421">
        <v>48</v>
      </c>
      <c r="AE421">
        <v>50899676990248</v>
      </c>
      <c r="AF421" t="s">
        <v>3663</v>
      </c>
      <c r="AG421">
        <v>1</v>
      </c>
      <c r="AH421">
        <v>0</v>
      </c>
    </row>
    <row r="422" spans="1:34">
      <c r="A422">
        <v>2025</v>
      </c>
      <c r="B422" s="1">
        <v>45962</v>
      </c>
      <c r="C422" t="s">
        <v>2657</v>
      </c>
      <c r="D422" t="s">
        <v>3672</v>
      </c>
      <c r="E422" s="43">
        <v>45989.683027719904</v>
      </c>
      <c r="F422" s="1">
        <v>45989</v>
      </c>
      <c r="G422" s="43">
        <v>45992.500007129631</v>
      </c>
      <c r="H422" t="s">
        <v>2802</v>
      </c>
      <c r="I422" t="s">
        <v>2660</v>
      </c>
      <c r="J422" t="s">
        <v>36</v>
      </c>
      <c r="L422" t="s">
        <v>2408</v>
      </c>
      <c r="M422">
        <v>508996769902</v>
      </c>
      <c r="N422" t="s">
        <v>2746</v>
      </c>
      <c r="O422" s="1">
        <v>45669</v>
      </c>
      <c r="T422" t="s">
        <v>2662</v>
      </c>
      <c r="U422" t="s">
        <v>3673</v>
      </c>
      <c r="V422">
        <v>1</v>
      </c>
      <c r="W422" t="s">
        <v>2677</v>
      </c>
      <c r="X422">
        <v>1</v>
      </c>
      <c r="Y422" t="s">
        <v>2807</v>
      </c>
      <c r="AA422">
        <v>508996769902</v>
      </c>
      <c r="AB422" t="s">
        <v>2193</v>
      </c>
      <c r="AC422">
        <v>0</v>
      </c>
      <c r="AD422">
        <v>48</v>
      </c>
      <c r="AE422">
        <v>50899676990248</v>
      </c>
      <c r="AF422" t="s">
        <v>3663</v>
      </c>
      <c r="AG422">
        <v>0</v>
      </c>
      <c r="AH422">
        <v>0</v>
      </c>
    </row>
    <row r="423" spans="1:34">
      <c r="A423">
        <v>2025</v>
      </c>
      <c r="B423" s="1">
        <v>45931</v>
      </c>
      <c r="C423" t="s">
        <v>2657</v>
      </c>
      <c r="D423" t="s">
        <v>3674</v>
      </c>
      <c r="E423" s="43">
        <v>45944.629494490742</v>
      </c>
      <c r="F423" s="1">
        <v>45944</v>
      </c>
      <c r="G423" s="43">
        <v>45978.525247638892</v>
      </c>
      <c r="H423" t="s">
        <v>2659</v>
      </c>
      <c r="I423" t="s">
        <v>2681</v>
      </c>
      <c r="J423" t="s">
        <v>37</v>
      </c>
      <c r="L423" t="s">
        <v>2364</v>
      </c>
      <c r="M423">
        <v>287289131302</v>
      </c>
      <c r="N423" t="s">
        <v>2661</v>
      </c>
      <c r="O423" s="1">
        <v>45587</v>
      </c>
      <c r="T423" t="s">
        <v>2662</v>
      </c>
      <c r="U423" t="s">
        <v>3675</v>
      </c>
      <c r="V423">
        <v>24</v>
      </c>
      <c r="W423" t="s">
        <v>2677</v>
      </c>
      <c r="X423">
        <v>1</v>
      </c>
      <c r="Y423" t="s">
        <v>2767</v>
      </c>
      <c r="AA423">
        <v>1078200608102</v>
      </c>
      <c r="AB423" t="s">
        <v>1272</v>
      </c>
      <c r="AC423">
        <v>0</v>
      </c>
      <c r="AD423">
        <v>42</v>
      </c>
      <c r="AE423">
        <v>107820060810242</v>
      </c>
      <c r="AF423" t="s">
        <v>3676</v>
      </c>
      <c r="AG423">
        <v>1</v>
      </c>
      <c r="AH423">
        <v>1</v>
      </c>
    </row>
    <row r="424" spans="1:34">
      <c r="A424">
        <v>2025</v>
      </c>
      <c r="B424" s="1">
        <v>45931</v>
      </c>
      <c r="C424" t="s">
        <v>2657</v>
      </c>
      <c r="D424" t="s">
        <v>3677</v>
      </c>
      <c r="E424" s="43">
        <v>45945.577173819445</v>
      </c>
      <c r="F424" s="1">
        <v>45945</v>
      </c>
      <c r="G424" s="43">
        <v>45957.592226180554</v>
      </c>
      <c r="H424" t="s">
        <v>2659</v>
      </c>
      <c r="I424" t="s">
        <v>2719</v>
      </c>
      <c r="J424" t="s">
        <v>37</v>
      </c>
      <c r="L424" t="s">
        <v>2364</v>
      </c>
      <c r="M424">
        <v>1087999910402</v>
      </c>
      <c r="N424" t="s">
        <v>2661</v>
      </c>
      <c r="O424" s="1">
        <v>45863</v>
      </c>
      <c r="T424" t="s">
        <v>2662</v>
      </c>
      <c r="U424" t="s">
        <v>3678</v>
      </c>
      <c r="V424">
        <v>8</v>
      </c>
      <c r="W424" t="s">
        <v>2704</v>
      </c>
      <c r="X424">
        <v>1</v>
      </c>
      <c r="Y424" t="s">
        <v>2710</v>
      </c>
      <c r="Z424" t="s">
        <v>2684</v>
      </c>
      <c r="AA424">
        <v>1078200608102</v>
      </c>
      <c r="AB424" t="s">
        <v>1272</v>
      </c>
      <c r="AC424">
        <v>0</v>
      </c>
      <c r="AD424">
        <v>42</v>
      </c>
      <c r="AE424">
        <v>107820060810242</v>
      </c>
      <c r="AF424" t="s">
        <v>3676</v>
      </c>
      <c r="AG424">
        <v>0</v>
      </c>
      <c r="AH424">
        <v>0</v>
      </c>
    </row>
    <row r="425" spans="1:34">
      <c r="A425">
        <v>2025</v>
      </c>
      <c r="B425" s="1">
        <v>45931</v>
      </c>
      <c r="C425" t="s">
        <v>2657</v>
      </c>
      <c r="D425" t="s">
        <v>3679</v>
      </c>
      <c r="E425" s="43">
        <v>45947.656969108793</v>
      </c>
      <c r="F425" s="1">
        <v>45947</v>
      </c>
      <c r="G425" s="43">
        <v>45968.568602905092</v>
      </c>
      <c r="H425" t="s">
        <v>2659</v>
      </c>
      <c r="I425" t="s">
        <v>2719</v>
      </c>
      <c r="J425" t="s">
        <v>37</v>
      </c>
      <c r="L425" t="s">
        <v>2364</v>
      </c>
      <c r="M425">
        <v>287289131302</v>
      </c>
      <c r="N425" t="s">
        <v>2661</v>
      </c>
      <c r="O425" s="1">
        <v>45587</v>
      </c>
      <c r="T425" t="s">
        <v>2662</v>
      </c>
      <c r="U425" t="s">
        <v>3680</v>
      </c>
      <c r="V425">
        <v>15</v>
      </c>
      <c r="W425" t="s">
        <v>2704</v>
      </c>
      <c r="X425">
        <v>1</v>
      </c>
      <c r="Y425" t="s">
        <v>2710</v>
      </c>
      <c r="AA425">
        <v>1078200608102</v>
      </c>
      <c r="AB425" t="s">
        <v>1272</v>
      </c>
      <c r="AC425">
        <v>0</v>
      </c>
      <c r="AD425">
        <v>42</v>
      </c>
      <c r="AE425">
        <v>107820060810242</v>
      </c>
      <c r="AF425" t="s">
        <v>3676</v>
      </c>
      <c r="AG425">
        <v>0</v>
      </c>
      <c r="AH425">
        <v>0</v>
      </c>
    </row>
    <row r="426" spans="1:34">
      <c r="A426">
        <v>2025</v>
      </c>
      <c r="B426" s="1">
        <v>45931</v>
      </c>
      <c r="C426" t="s">
        <v>2657</v>
      </c>
      <c r="D426" t="s">
        <v>3681</v>
      </c>
      <c r="E426" s="43">
        <v>45958.787907488426</v>
      </c>
      <c r="F426" s="1">
        <v>45958</v>
      </c>
      <c r="G426" s="43">
        <v>45958.787907488426</v>
      </c>
      <c r="H426" t="s">
        <v>2659</v>
      </c>
      <c r="I426" t="s">
        <v>2660</v>
      </c>
      <c r="J426" t="s">
        <v>37</v>
      </c>
      <c r="L426" t="s">
        <v>2364</v>
      </c>
      <c r="M426">
        <v>284153487302</v>
      </c>
      <c r="N426" t="s">
        <v>2661</v>
      </c>
      <c r="O426" s="1">
        <v>45582</v>
      </c>
      <c r="T426" t="s">
        <v>2662</v>
      </c>
      <c r="U426" t="s">
        <v>3682</v>
      </c>
      <c r="V426">
        <v>0</v>
      </c>
      <c r="W426" t="s">
        <v>2704</v>
      </c>
      <c r="X426">
        <v>1</v>
      </c>
      <c r="Y426" t="s">
        <v>2710</v>
      </c>
      <c r="AA426">
        <v>1078200608102</v>
      </c>
      <c r="AB426" t="s">
        <v>1272</v>
      </c>
      <c r="AC426">
        <v>0</v>
      </c>
      <c r="AD426">
        <v>44</v>
      </c>
      <c r="AE426">
        <v>107820060810244</v>
      </c>
      <c r="AF426" t="s">
        <v>3676</v>
      </c>
      <c r="AG426">
        <v>0</v>
      </c>
      <c r="AH426">
        <v>0</v>
      </c>
    </row>
    <row r="427" spans="1:34">
      <c r="A427">
        <v>2025</v>
      </c>
      <c r="B427" s="1">
        <v>45931</v>
      </c>
      <c r="C427" t="s">
        <v>2657</v>
      </c>
      <c r="D427" t="s">
        <v>3683</v>
      </c>
      <c r="E427" s="43">
        <v>45958.665515706016</v>
      </c>
      <c r="F427" s="1">
        <v>45958</v>
      </c>
      <c r="G427" s="43">
        <v>45958.665515706016</v>
      </c>
      <c r="H427" t="s">
        <v>2659</v>
      </c>
      <c r="I427" t="s">
        <v>2660</v>
      </c>
      <c r="J427" t="s">
        <v>37</v>
      </c>
      <c r="L427" t="s">
        <v>2364</v>
      </c>
      <c r="M427">
        <v>287289131302</v>
      </c>
      <c r="N427" t="s">
        <v>2661</v>
      </c>
      <c r="O427" s="1">
        <v>45587</v>
      </c>
      <c r="T427" t="s">
        <v>2662</v>
      </c>
      <c r="U427" t="s">
        <v>3684</v>
      </c>
      <c r="V427">
        <v>0</v>
      </c>
      <c r="W427" t="s">
        <v>2677</v>
      </c>
      <c r="X427">
        <v>1</v>
      </c>
      <c r="Y427" t="s">
        <v>2695</v>
      </c>
      <c r="AA427">
        <v>1078200608102</v>
      </c>
      <c r="AB427" t="s">
        <v>1272</v>
      </c>
      <c r="AC427">
        <v>0</v>
      </c>
      <c r="AD427">
        <v>44</v>
      </c>
      <c r="AE427">
        <v>107820060810244</v>
      </c>
      <c r="AF427" t="s">
        <v>3676</v>
      </c>
      <c r="AG427">
        <v>1</v>
      </c>
      <c r="AH427">
        <v>0</v>
      </c>
    </row>
    <row r="428" spans="1:34">
      <c r="A428">
        <v>2025</v>
      </c>
      <c r="B428" s="1">
        <v>45931</v>
      </c>
      <c r="C428" t="s">
        <v>2657</v>
      </c>
      <c r="D428" t="s">
        <v>3685</v>
      </c>
      <c r="E428" s="43">
        <v>45954.583848495371</v>
      </c>
      <c r="F428" s="1">
        <v>45954</v>
      </c>
      <c r="G428" s="43">
        <v>46006.501636840279</v>
      </c>
      <c r="H428" t="s">
        <v>2659</v>
      </c>
      <c r="I428" t="s">
        <v>2660</v>
      </c>
      <c r="J428" t="s">
        <v>37</v>
      </c>
      <c r="L428" t="s">
        <v>2364</v>
      </c>
      <c r="M428">
        <v>950538002502</v>
      </c>
      <c r="N428" t="s">
        <v>2661</v>
      </c>
      <c r="O428" s="1">
        <v>45861</v>
      </c>
      <c r="T428" t="s">
        <v>2662</v>
      </c>
      <c r="U428" t="s">
        <v>3686</v>
      </c>
      <c r="V428">
        <v>36</v>
      </c>
      <c r="X428">
        <v>1</v>
      </c>
      <c r="Y428" t="s">
        <v>2710</v>
      </c>
      <c r="Z428" t="s">
        <v>2684</v>
      </c>
      <c r="AA428">
        <v>1078200608102</v>
      </c>
      <c r="AB428" t="s">
        <v>1272</v>
      </c>
      <c r="AC428">
        <v>0</v>
      </c>
      <c r="AD428">
        <v>43</v>
      </c>
      <c r="AE428">
        <v>107820060810243</v>
      </c>
      <c r="AF428" t="s">
        <v>3676</v>
      </c>
      <c r="AG428">
        <v>1</v>
      </c>
      <c r="AH428">
        <v>0</v>
      </c>
    </row>
    <row r="429" spans="1:34">
      <c r="A429">
        <v>2025</v>
      </c>
      <c r="B429" s="1">
        <v>45931</v>
      </c>
      <c r="C429" t="s">
        <v>2657</v>
      </c>
      <c r="D429" t="s">
        <v>3687</v>
      </c>
      <c r="E429" s="43">
        <v>45960.847289594909</v>
      </c>
      <c r="F429" s="1">
        <v>45960</v>
      </c>
      <c r="G429" s="43">
        <v>45978.566313252311</v>
      </c>
      <c r="H429" t="s">
        <v>2659</v>
      </c>
      <c r="I429" t="s">
        <v>2697</v>
      </c>
      <c r="J429" t="s">
        <v>37</v>
      </c>
      <c r="L429" t="s">
        <v>2364</v>
      </c>
      <c r="M429">
        <v>287289131302</v>
      </c>
      <c r="N429" t="s">
        <v>2661</v>
      </c>
      <c r="O429" s="1">
        <v>45587</v>
      </c>
      <c r="T429" t="s">
        <v>2662</v>
      </c>
      <c r="U429" t="s">
        <v>3688</v>
      </c>
      <c r="V429">
        <v>12</v>
      </c>
      <c r="W429" t="s">
        <v>2704</v>
      </c>
      <c r="X429">
        <v>1</v>
      </c>
      <c r="Y429" t="s">
        <v>2717</v>
      </c>
      <c r="AA429">
        <v>1078200608102</v>
      </c>
      <c r="AB429" t="s">
        <v>1272</v>
      </c>
      <c r="AC429">
        <v>0</v>
      </c>
      <c r="AD429">
        <v>44</v>
      </c>
      <c r="AE429">
        <v>107820060810244</v>
      </c>
      <c r="AF429" t="s">
        <v>3676</v>
      </c>
      <c r="AG429">
        <v>0</v>
      </c>
      <c r="AH429">
        <v>0</v>
      </c>
    </row>
    <row r="430" spans="1:34">
      <c r="A430">
        <v>2026</v>
      </c>
      <c r="B430" s="1">
        <v>46054</v>
      </c>
      <c r="C430" t="s">
        <v>2657</v>
      </c>
      <c r="D430" t="s">
        <v>3689</v>
      </c>
      <c r="E430" s="43">
        <v>46057.830467650463</v>
      </c>
      <c r="F430" s="1">
        <v>46057</v>
      </c>
      <c r="G430" s="43">
        <v>46058.573488159724</v>
      </c>
      <c r="H430" t="s">
        <v>2725</v>
      </c>
      <c r="I430" t="s">
        <v>2669</v>
      </c>
      <c r="J430" t="s">
        <v>100</v>
      </c>
      <c r="L430" t="s">
        <v>2353</v>
      </c>
      <c r="M430">
        <v>355214089002</v>
      </c>
      <c r="N430" t="s">
        <v>2675</v>
      </c>
      <c r="O430" s="1">
        <v>45661</v>
      </c>
      <c r="T430" t="s">
        <v>2662</v>
      </c>
      <c r="U430" t="s">
        <v>3690</v>
      </c>
      <c r="V430">
        <v>1</v>
      </c>
      <c r="X430">
        <v>1</v>
      </c>
      <c r="Y430" t="s">
        <v>2721</v>
      </c>
      <c r="AA430">
        <v>355214089002</v>
      </c>
      <c r="AB430" t="s">
        <v>101</v>
      </c>
      <c r="AC430">
        <v>0</v>
      </c>
      <c r="AD430">
        <v>6</v>
      </c>
      <c r="AE430">
        <v>3552140890026</v>
      </c>
      <c r="AF430" t="s">
        <v>3691</v>
      </c>
      <c r="AG430">
        <v>0</v>
      </c>
      <c r="AH430">
        <v>0</v>
      </c>
    </row>
    <row r="431" spans="1:34">
      <c r="A431">
        <v>2026</v>
      </c>
      <c r="B431" s="1">
        <v>46054</v>
      </c>
      <c r="C431" t="s">
        <v>2657</v>
      </c>
      <c r="D431" t="s">
        <v>3692</v>
      </c>
      <c r="E431" s="43">
        <v>46057.743444814812</v>
      </c>
      <c r="F431" s="1">
        <v>46057</v>
      </c>
      <c r="G431" s="43">
        <v>46076.85499162037</v>
      </c>
      <c r="H431" t="s">
        <v>2725</v>
      </c>
      <c r="I431" t="s">
        <v>2669</v>
      </c>
      <c r="J431" t="s">
        <v>100</v>
      </c>
      <c r="L431" t="s">
        <v>2353</v>
      </c>
      <c r="M431">
        <v>355214089002</v>
      </c>
      <c r="N431" t="s">
        <v>2675</v>
      </c>
      <c r="O431" s="1">
        <v>45661</v>
      </c>
      <c r="T431" t="s">
        <v>2662</v>
      </c>
      <c r="U431" t="s">
        <v>3693</v>
      </c>
      <c r="V431">
        <v>13</v>
      </c>
      <c r="X431">
        <v>1</v>
      </c>
      <c r="Y431" t="s">
        <v>2721</v>
      </c>
      <c r="AA431">
        <v>355214089002</v>
      </c>
      <c r="AB431" t="s">
        <v>101</v>
      </c>
      <c r="AC431">
        <v>0</v>
      </c>
      <c r="AD431">
        <v>6</v>
      </c>
      <c r="AE431">
        <v>3552140890026</v>
      </c>
      <c r="AF431" t="s">
        <v>3691</v>
      </c>
      <c r="AG431">
        <v>0</v>
      </c>
      <c r="AH431">
        <v>0</v>
      </c>
    </row>
    <row r="432" spans="1:34">
      <c r="A432">
        <v>2026</v>
      </c>
      <c r="B432" s="1">
        <v>46054</v>
      </c>
      <c r="C432" t="s">
        <v>2657</v>
      </c>
      <c r="D432" t="s">
        <v>3694</v>
      </c>
      <c r="E432" s="43">
        <v>46057.568745324075</v>
      </c>
      <c r="F432" s="1">
        <v>46057</v>
      </c>
      <c r="G432" s="43">
        <v>46058.573735335645</v>
      </c>
      <c r="H432" t="s">
        <v>2725</v>
      </c>
      <c r="I432" t="s">
        <v>2669</v>
      </c>
      <c r="J432" t="s">
        <v>100</v>
      </c>
      <c r="L432" t="s">
        <v>2353</v>
      </c>
      <c r="M432">
        <v>1095970973902</v>
      </c>
      <c r="N432" t="s">
        <v>2661</v>
      </c>
      <c r="O432" s="1">
        <v>45817</v>
      </c>
      <c r="T432" t="s">
        <v>2662</v>
      </c>
      <c r="U432" t="s">
        <v>3695</v>
      </c>
      <c r="V432">
        <v>1</v>
      </c>
      <c r="W432" t="s">
        <v>2664</v>
      </c>
      <c r="X432">
        <v>1</v>
      </c>
      <c r="Y432" t="s">
        <v>2779</v>
      </c>
      <c r="AA432">
        <v>355214089002</v>
      </c>
      <c r="AB432" t="s">
        <v>101</v>
      </c>
      <c r="AC432">
        <v>0</v>
      </c>
      <c r="AD432">
        <v>6</v>
      </c>
      <c r="AE432">
        <v>3552140890026</v>
      </c>
      <c r="AF432" t="s">
        <v>3691</v>
      </c>
      <c r="AG432">
        <v>1</v>
      </c>
      <c r="AH432">
        <v>1</v>
      </c>
    </row>
    <row r="433" spans="1:34">
      <c r="A433">
        <v>2026</v>
      </c>
      <c r="B433" s="1">
        <v>46054</v>
      </c>
      <c r="C433" t="s">
        <v>2657</v>
      </c>
      <c r="D433" t="s">
        <v>3696</v>
      </c>
      <c r="E433" s="43">
        <v>46058.858196099536</v>
      </c>
      <c r="F433" s="1">
        <v>46058</v>
      </c>
      <c r="G433" s="43">
        <v>46062.700434270831</v>
      </c>
      <c r="H433" t="s">
        <v>2725</v>
      </c>
      <c r="I433" t="s">
        <v>2669</v>
      </c>
      <c r="J433" t="s">
        <v>100</v>
      </c>
      <c r="L433" t="s">
        <v>2353</v>
      </c>
      <c r="M433">
        <v>1095970973902</v>
      </c>
      <c r="N433" t="s">
        <v>2661</v>
      </c>
      <c r="O433" s="1">
        <v>45817</v>
      </c>
      <c r="T433" t="s">
        <v>2662</v>
      </c>
      <c r="U433" t="s">
        <v>3697</v>
      </c>
      <c r="V433">
        <v>2</v>
      </c>
      <c r="W433" t="s">
        <v>2677</v>
      </c>
      <c r="X433">
        <v>1</v>
      </c>
      <c r="Y433" t="s">
        <v>2779</v>
      </c>
      <c r="AA433">
        <v>355214089002</v>
      </c>
      <c r="AB433" t="s">
        <v>101</v>
      </c>
      <c r="AC433">
        <v>0</v>
      </c>
      <c r="AD433">
        <v>6</v>
      </c>
      <c r="AE433">
        <v>3552140890026</v>
      </c>
      <c r="AF433" t="s">
        <v>3691</v>
      </c>
      <c r="AG433">
        <v>0</v>
      </c>
      <c r="AH433">
        <v>0</v>
      </c>
    </row>
    <row r="434" spans="1:34">
      <c r="A434">
        <v>2026</v>
      </c>
      <c r="B434" s="1">
        <v>46054</v>
      </c>
      <c r="C434" t="s">
        <v>2657</v>
      </c>
      <c r="D434" t="s">
        <v>3698</v>
      </c>
      <c r="E434" s="43">
        <v>46066.811939479165</v>
      </c>
      <c r="F434" s="1">
        <v>46066</v>
      </c>
      <c r="G434" s="43">
        <v>46076.80661939815</v>
      </c>
      <c r="H434" t="s">
        <v>2725</v>
      </c>
      <c r="I434" t="s">
        <v>2681</v>
      </c>
      <c r="J434" t="s">
        <v>100</v>
      </c>
      <c r="L434" t="s">
        <v>2353</v>
      </c>
      <c r="M434">
        <v>355214089002</v>
      </c>
      <c r="N434" t="s">
        <v>2675</v>
      </c>
      <c r="O434" s="1">
        <v>45661</v>
      </c>
      <c r="T434" t="s">
        <v>2662</v>
      </c>
      <c r="U434" t="s">
        <v>3699</v>
      </c>
      <c r="V434">
        <v>6</v>
      </c>
      <c r="X434">
        <v>1</v>
      </c>
      <c r="Y434" t="s">
        <v>2721</v>
      </c>
      <c r="AA434">
        <v>355214089002</v>
      </c>
      <c r="AB434" t="s">
        <v>101</v>
      </c>
      <c r="AC434">
        <v>0</v>
      </c>
      <c r="AD434">
        <v>7</v>
      </c>
      <c r="AE434">
        <v>3552140890027</v>
      </c>
      <c r="AF434" t="s">
        <v>3691</v>
      </c>
      <c r="AG434">
        <v>0</v>
      </c>
      <c r="AH434">
        <v>0</v>
      </c>
    </row>
    <row r="435" spans="1:34">
      <c r="A435">
        <v>2026</v>
      </c>
      <c r="B435" s="1">
        <v>46054</v>
      </c>
      <c r="C435" t="s">
        <v>2657</v>
      </c>
      <c r="D435" t="s">
        <v>3700</v>
      </c>
      <c r="E435" s="43">
        <v>46063.628820208331</v>
      </c>
      <c r="F435" s="1">
        <v>46063</v>
      </c>
      <c r="G435" s="43">
        <v>46064.601720324077</v>
      </c>
      <c r="H435" t="s">
        <v>2725</v>
      </c>
      <c r="I435" t="s">
        <v>2681</v>
      </c>
      <c r="J435" t="s">
        <v>100</v>
      </c>
      <c r="L435" t="s">
        <v>2353</v>
      </c>
      <c r="M435">
        <v>1095970973902</v>
      </c>
      <c r="N435" t="s">
        <v>2661</v>
      </c>
      <c r="O435" s="1">
        <v>45817</v>
      </c>
      <c r="T435" t="s">
        <v>2662</v>
      </c>
      <c r="U435" t="s">
        <v>3701</v>
      </c>
      <c r="V435">
        <v>1</v>
      </c>
      <c r="W435" t="s">
        <v>2985</v>
      </c>
      <c r="X435">
        <v>1</v>
      </c>
      <c r="Y435" t="s">
        <v>2985</v>
      </c>
      <c r="AA435">
        <v>355214089002</v>
      </c>
      <c r="AB435" t="s">
        <v>101</v>
      </c>
      <c r="AC435">
        <v>0</v>
      </c>
      <c r="AD435">
        <v>7</v>
      </c>
      <c r="AE435">
        <v>3552140890027</v>
      </c>
      <c r="AF435" t="s">
        <v>3691</v>
      </c>
      <c r="AG435">
        <v>1</v>
      </c>
      <c r="AH435">
        <v>0</v>
      </c>
    </row>
    <row r="436" spans="1:34">
      <c r="A436">
        <v>2026</v>
      </c>
      <c r="B436" s="1">
        <v>46054</v>
      </c>
      <c r="C436" t="s">
        <v>2657</v>
      </c>
      <c r="D436" t="s">
        <v>3702</v>
      </c>
      <c r="E436" s="43">
        <v>46065.709990682873</v>
      </c>
      <c r="F436" s="1">
        <v>46065</v>
      </c>
      <c r="G436" s="43">
        <v>46066.797760937501</v>
      </c>
      <c r="H436" t="s">
        <v>2725</v>
      </c>
      <c r="I436" t="s">
        <v>2681</v>
      </c>
      <c r="J436" t="s">
        <v>100</v>
      </c>
      <c r="L436" t="s">
        <v>2353</v>
      </c>
      <c r="M436">
        <v>1095970973902</v>
      </c>
      <c r="N436" t="s">
        <v>2661</v>
      </c>
      <c r="O436" s="1">
        <v>45817</v>
      </c>
      <c r="T436" t="s">
        <v>2662</v>
      </c>
      <c r="U436" t="s">
        <v>3703</v>
      </c>
      <c r="V436">
        <v>1</v>
      </c>
      <c r="W436" t="s">
        <v>2677</v>
      </c>
      <c r="X436">
        <v>1</v>
      </c>
      <c r="Y436" t="s">
        <v>2807</v>
      </c>
      <c r="AA436">
        <v>355214089002</v>
      </c>
      <c r="AB436" t="s">
        <v>101</v>
      </c>
      <c r="AC436">
        <v>0</v>
      </c>
      <c r="AD436">
        <v>7</v>
      </c>
      <c r="AE436">
        <v>3552140890027</v>
      </c>
      <c r="AF436" t="s">
        <v>3691</v>
      </c>
      <c r="AG436">
        <v>0</v>
      </c>
      <c r="AH436">
        <v>0</v>
      </c>
    </row>
    <row r="437" spans="1:34">
      <c r="A437">
        <v>2026</v>
      </c>
      <c r="B437" s="1">
        <v>46054</v>
      </c>
      <c r="C437" t="s">
        <v>2657</v>
      </c>
      <c r="D437" t="s">
        <v>3704</v>
      </c>
      <c r="E437" s="43">
        <v>46073.591113657407</v>
      </c>
      <c r="F437" s="1">
        <v>46073</v>
      </c>
      <c r="G437" s="43">
        <v>46076.573067604164</v>
      </c>
      <c r="H437" t="s">
        <v>2725</v>
      </c>
      <c r="I437" t="s">
        <v>2719</v>
      </c>
      <c r="J437" t="s">
        <v>100</v>
      </c>
      <c r="L437" t="s">
        <v>2353</v>
      </c>
      <c r="M437">
        <v>355214089002</v>
      </c>
      <c r="N437" t="s">
        <v>2675</v>
      </c>
      <c r="O437" s="1">
        <v>45661</v>
      </c>
      <c r="T437" t="s">
        <v>2662</v>
      </c>
      <c r="U437" t="s">
        <v>3705</v>
      </c>
      <c r="V437">
        <v>1</v>
      </c>
      <c r="X437">
        <v>1</v>
      </c>
      <c r="Y437" t="s">
        <v>2688</v>
      </c>
      <c r="AA437">
        <v>355214089002</v>
      </c>
      <c r="AB437" t="s">
        <v>101</v>
      </c>
      <c r="AC437">
        <v>0</v>
      </c>
      <c r="AD437">
        <v>8</v>
      </c>
      <c r="AE437">
        <v>3552140890028</v>
      </c>
      <c r="AF437" t="s">
        <v>3691</v>
      </c>
      <c r="AG437">
        <v>1</v>
      </c>
      <c r="AH437">
        <v>0</v>
      </c>
    </row>
    <row r="438" spans="1:34">
      <c r="A438">
        <v>2025</v>
      </c>
      <c r="B438" s="1">
        <v>45931</v>
      </c>
      <c r="C438" t="s">
        <v>2657</v>
      </c>
      <c r="D438" t="s">
        <v>3706</v>
      </c>
      <c r="E438" s="43">
        <v>45953.803680370373</v>
      </c>
      <c r="F438" s="1">
        <v>45953</v>
      </c>
      <c r="G438" s="43">
        <v>45968.816494386578</v>
      </c>
      <c r="H438" t="s">
        <v>2659</v>
      </c>
      <c r="I438" t="s">
        <v>2660</v>
      </c>
      <c r="J438" t="s">
        <v>38</v>
      </c>
      <c r="L438" t="s">
        <v>2352</v>
      </c>
      <c r="M438">
        <v>1084260090102</v>
      </c>
      <c r="N438" t="s">
        <v>2702</v>
      </c>
      <c r="O438" s="1">
        <v>45817</v>
      </c>
      <c r="T438" t="s">
        <v>2662</v>
      </c>
      <c r="U438" t="s">
        <v>3707</v>
      </c>
      <c r="V438">
        <v>11</v>
      </c>
      <c r="W438" t="s">
        <v>2664</v>
      </c>
      <c r="X438">
        <v>1</v>
      </c>
      <c r="Y438" t="s">
        <v>2665</v>
      </c>
      <c r="AA438">
        <v>170004727002</v>
      </c>
      <c r="AB438" t="s">
        <v>2180</v>
      </c>
      <c r="AC438">
        <v>0</v>
      </c>
      <c r="AD438">
        <v>43</v>
      </c>
      <c r="AE438">
        <v>17000472700243</v>
      </c>
      <c r="AF438" t="s">
        <v>3708</v>
      </c>
      <c r="AG438">
        <v>1</v>
      </c>
      <c r="AH438">
        <v>1</v>
      </c>
    </row>
    <row r="439" spans="1:34">
      <c r="A439">
        <v>2025</v>
      </c>
      <c r="B439" s="1">
        <v>45992</v>
      </c>
      <c r="C439" t="s">
        <v>2657</v>
      </c>
      <c r="D439" t="s">
        <v>3709</v>
      </c>
      <c r="E439" s="43">
        <v>46002.871444861114</v>
      </c>
      <c r="F439" s="1">
        <v>46002</v>
      </c>
      <c r="G439" s="43">
        <v>46002.871444861114</v>
      </c>
      <c r="H439" t="s">
        <v>2686</v>
      </c>
      <c r="I439" t="s">
        <v>2681</v>
      </c>
      <c r="J439" t="s">
        <v>37</v>
      </c>
      <c r="L439" t="s">
        <v>2364</v>
      </c>
      <c r="M439">
        <v>284153487302</v>
      </c>
      <c r="N439" t="s">
        <v>2661</v>
      </c>
      <c r="O439" s="1">
        <v>45582</v>
      </c>
      <c r="T439" t="s">
        <v>2662</v>
      </c>
      <c r="U439" t="s">
        <v>3710</v>
      </c>
      <c r="V439">
        <v>0</v>
      </c>
      <c r="W439" t="s">
        <v>2704</v>
      </c>
      <c r="X439">
        <v>1</v>
      </c>
      <c r="Y439" t="s">
        <v>2710</v>
      </c>
      <c r="AA439">
        <v>1078200608102</v>
      </c>
      <c r="AB439" t="s">
        <v>1272</v>
      </c>
      <c r="AC439">
        <v>0</v>
      </c>
      <c r="AD439">
        <v>50</v>
      </c>
      <c r="AE439">
        <v>107820060810250</v>
      </c>
      <c r="AF439" t="s">
        <v>3711</v>
      </c>
      <c r="AG439">
        <v>1</v>
      </c>
      <c r="AH439">
        <v>1</v>
      </c>
    </row>
    <row r="440" spans="1:34">
      <c r="A440">
        <v>2025</v>
      </c>
      <c r="B440" s="1">
        <v>45962</v>
      </c>
      <c r="C440" t="s">
        <v>2657</v>
      </c>
      <c r="D440" t="s">
        <v>3712</v>
      </c>
      <c r="E440" s="43">
        <v>45980.571404513888</v>
      </c>
      <c r="F440" s="1">
        <v>45980</v>
      </c>
      <c r="G440" s="43">
        <v>45980.571404513888</v>
      </c>
      <c r="H440" t="s">
        <v>2802</v>
      </c>
      <c r="I440" t="s">
        <v>2719</v>
      </c>
      <c r="J440" t="s">
        <v>38</v>
      </c>
      <c r="L440" t="s">
        <v>2352</v>
      </c>
      <c r="M440">
        <v>170004727002</v>
      </c>
      <c r="N440" t="s">
        <v>2702</v>
      </c>
      <c r="O440" s="1">
        <v>44971</v>
      </c>
      <c r="T440" t="s">
        <v>2662</v>
      </c>
      <c r="U440" t="s">
        <v>3713</v>
      </c>
      <c r="V440">
        <v>0</v>
      </c>
      <c r="W440" t="s">
        <v>2671</v>
      </c>
      <c r="X440">
        <v>1</v>
      </c>
      <c r="Y440" t="s">
        <v>2695</v>
      </c>
      <c r="AA440">
        <v>170004727002</v>
      </c>
      <c r="AB440" t="s">
        <v>2180</v>
      </c>
      <c r="AC440">
        <v>1</v>
      </c>
      <c r="AD440">
        <v>47</v>
      </c>
      <c r="AE440">
        <v>17000472700247</v>
      </c>
      <c r="AF440" t="s">
        <v>3714</v>
      </c>
      <c r="AG440">
        <v>1</v>
      </c>
      <c r="AH440">
        <v>1</v>
      </c>
    </row>
    <row r="441" spans="1:34">
      <c r="A441">
        <v>2026</v>
      </c>
      <c r="B441" s="1">
        <v>46054</v>
      </c>
      <c r="C441" t="s">
        <v>2657</v>
      </c>
      <c r="D441" t="s">
        <v>3715</v>
      </c>
      <c r="E441" s="43">
        <v>46055.845458657408</v>
      </c>
      <c r="F441" s="1">
        <v>46055</v>
      </c>
      <c r="G441" s="43">
        <v>46057.637766145832</v>
      </c>
      <c r="H441" t="s">
        <v>2725</v>
      </c>
      <c r="I441" t="s">
        <v>2669</v>
      </c>
      <c r="J441" t="s">
        <v>37</v>
      </c>
      <c r="L441" t="s">
        <v>2351</v>
      </c>
      <c r="M441">
        <v>408932491102</v>
      </c>
      <c r="N441" t="s">
        <v>2661</v>
      </c>
      <c r="O441" s="1">
        <v>46020</v>
      </c>
      <c r="T441" t="s">
        <v>2662</v>
      </c>
      <c r="U441" t="s">
        <v>3716</v>
      </c>
      <c r="V441">
        <v>2</v>
      </c>
      <c r="W441" t="s">
        <v>2677</v>
      </c>
      <c r="X441">
        <v>1</v>
      </c>
      <c r="Y441" t="s">
        <v>2760</v>
      </c>
      <c r="AA441">
        <v>408932491102</v>
      </c>
      <c r="AB441" t="s">
        <v>2600</v>
      </c>
      <c r="AC441">
        <v>0</v>
      </c>
      <c r="AD441">
        <v>6</v>
      </c>
      <c r="AE441">
        <v>4089324911026</v>
      </c>
      <c r="AF441" t="s">
        <v>3717</v>
      </c>
      <c r="AG441">
        <v>1</v>
      </c>
      <c r="AH441">
        <v>1</v>
      </c>
    </row>
    <row r="442" spans="1:34">
      <c r="A442">
        <v>2026</v>
      </c>
      <c r="B442" s="1">
        <v>46054</v>
      </c>
      <c r="C442" t="s">
        <v>2657</v>
      </c>
      <c r="D442" t="s">
        <v>3718</v>
      </c>
      <c r="E442" s="43">
        <v>46057.668117731482</v>
      </c>
      <c r="F442" s="1">
        <v>46057</v>
      </c>
      <c r="G442" s="43">
        <v>46073.710527754629</v>
      </c>
      <c r="H442" t="s">
        <v>2725</v>
      </c>
      <c r="I442" t="s">
        <v>2669</v>
      </c>
      <c r="J442" t="s">
        <v>37</v>
      </c>
      <c r="L442" t="s">
        <v>2351</v>
      </c>
      <c r="M442">
        <v>408932491102</v>
      </c>
      <c r="N442" t="s">
        <v>2661</v>
      </c>
      <c r="O442" s="1">
        <v>46020</v>
      </c>
      <c r="T442" t="s">
        <v>2662</v>
      </c>
      <c r="U442" t="s">
        <v>3719</v>
      </c>
      <c r="V442">
        <v>12</v>
      </c>
      <c r="W442" t="s">
        <v>2677</v>
      </c>
      <c r="X442">
        <v>1</v>
      </c>
      <c r="Y442" t="s">
        <v>2760</v>
      </c>
      <c r="AA442">
        <v>408932491102</v>
      </c>
      <c r="AB442" t="s">
        <v>2600</v>
      </c>
      <c r="AC442">
        <v>0</v>
      </c>
      <c r="AD442">
        <v>6</v>
      </c>
      <c r="AE442">
        <v>4089324911026</v>
      </c>
      <c r="AF442" t="s">
        <v>3717</v>
      </c>
      <c r="AG442">
        <v>0</v>
      </c>
      <c r="AH442">
        <v>0</v>
      </c>
    </row>
    <row r="443" spans="1:34">
      <c r="A443">
        <v>2026</v>
      </c>
      <c r="B443" s="1">
        <v>46054</v>
      </c>
      <c r="C443" t="s">
        <v>2657</v>
      </c>
      <c r="D443" t="s">
        <v>3720</v>
      </c>
      <c r="E443" s="43">
        <v>46076.718256840279</v>
      </c>
      <c r="F443" s="1">
        <v>46076</v>
      </c>
      <c r="G443" s="43">
        <v>46078.599146550929</v>
      </c>
      <c r="H443" t="s">
        <v>2725</v>
      </c>
      <c r="I443" t="s">
        <v>2660</v>
      </c>
      <c r="J443" t="s">
        <v>37</v>
      </c>
      <c r="L443" t="s">
        <v>2351</v>
      </c>
      <c r="M443">
        <v>408932491102</v>
      </c>
      <c r="N443" t="s">
        <v>2661</v>
      </c>
      <c r="O443" s="1">
        <v>46020</v>
      </c>
      <c r="T443" t="s">
        <v>2662</v>
      </c>
      <c r="U443" t="s">
        <v>3721</v>
      </c>
      <c r="V443">
        <v>2</v>
      </c>
      <c r="W443" t="s">
        <v>2677</v>
      </c>
      <c r="X443">
        <v>1</v>
      </c>
      <c r="Y443" t="s">
        <v>2760</v>
      </c>
      <c r="AA443">
        <v>408932491102</v>
      </c>
      <c r="AB443" t="s">
        <v>2600</v>
      </c>
      <c r="AC443">
        <v>0</v>
      </c>
      <c r="AD443">
        <v>9</v>
      </c>
      <c r="AE443">
        <v>4089324911029</v>
      </c>
      <c r="AF443" t="s">
        <v>3717</v>
      </c>
      <c r="AG443">
        <v>1</v>
      </c>
      <c r="AH443">
        <v>0</v>
      </c>
    </row>
    <row r="444" spans="1:34">
      <c r="A444">
        <v>2025</v>
      </c>
      <c r="B444" s="1">
        <v>45962</v>
      </c>
      <c r="C444" t="s">
        <v>2657</v>
      </c>
      <c r="D444" s="44" t="s">
        <v>3722</v>
      </c>
      <c r="E444" s="43">
        <v>45965.82000738426</v>
      </c>
      <c r="F444" s="1">
        <v>45965</v>
      </c>
      <c r="G444" s="43">
        <v>45972.82927065972</v>
      </c>
      <c r="H444" t="s">
        <v>2802</v>
      </c>
      <c r="I444" t="s">
        <v>2669</v>
      </c>
      <c r="J444" t="s">
        <v>37</v>
      </c>
      <c r="L444" t="s">
        <v>2421</v>
      </c>
      <c r="M444">
        <v>816067318102</v>
      </c>
      <c r="N444" t="s">
        <v>2661</v>
      </c>
      <c r="O444" s="1">
        <v>45448</v>
      </c>
      <c r="T444" t="s">
        <v>2662</v>
      </c>
      <c r="U444" t="s">
        <v>3723</v>
      </c>
      <c r="V444">
        <v>5</v>
      </c>
      <c r="W444" t="s">
        <v>2671</v>
      </c>
      <c r="X444">
        <v>1</v>
      </c>
      <c r="Y444" t="s">
        <v>2760</v>
      </c>
      <c r="AA444">
        <v>816067318102</v>
      </c>
      <c r="AB444" t="s">
        <v>1643</v>
      </c>
      <c r="AC444">
        <v>0</v>
      </c>
      <c r="AD444">
        <v>45</v>
      </c>
      <c r="AE444">
        <v>81606731810245</v>
      </c>
      <c r="AF444" t="s">
        <v>3724</v>
      </c>
      <c r="AG444">
        <v>1</v>
      </c>
      <c r="AH444">
        <v>1</v>
      </c>
    </row>
    <row r="445" spans="1:34">
      <c r="A445">
        <v>2025</v>
      </c>
      <c r="B445" s="1">
        <v>45962</v>
      </c>
      <c r="C445" t="s">
        <v>2657</v>
      </c>
      <c r="D445" t="s">
        <v>3725</v>
      </c>
      <c r="E445" s="43">
        <v>45968.618453020834</v>
      </c>
      <c r="F445" s="1">
        <v>45968</v>
      </c>
      <c r="G445" s="43">
        <v>45985.536077835648</v>
      </c>
      <c r="H445" t="s">
        <v>2802</v>
      </c>
      <c r="I445" t="s">
        <v>2669</v>
      </c>
      <c r="J445" t="s">
        <v>37</v>
      </c>
      <c r="L445" t="s">
        <v>2421</v>
      </c>
      <c r="M445">
        <v>816067318102</v>
      </c>
      <c r="N445" t="s">
        <v>2661</v>
      </c>
      <c r="O445" s="1">
        <v>45448</v>
      </c>
      <c r="T445" t="s">
        <v>2662</v>
      </c>
      <c r="U445" t="s">
        <v>3726</v>
      </c>
      <c r="V445">
        <v>11</v>
      </c>
      <c r="W445" t="s">
        <v>2671</v>
      </c>
      <c r="X445">
        <v>1</v>
      </c>
      <c r="Y445" t="s">
        <v>2807</v>
      </c>
      <c r="Z445" t="s">
        <v>2684</v>
      </c>
      <c r="AA445">
        <v>816067318102</v>
      </c>
      <c r="AB445" t="s">
        <v>1643</v>
      </c>
      <c r="AC445">
        <v>0</v>
      </c>
      <c r="AD445">
        <v>45</v>
      </c>
      <c r="AE445">
        <v>81606731810245</v>
      </c>
      <c r="AF445" t="s">
        <v>3724</v>
      </c>
      <c r="AG445">
        <v>0</v>
      </c>
      <c r="AH445">
        <v>0</v>
      </c>
    </row>
    <row r="446" spans="1:34">
      <c r="A446">
        <v>2025</v>
      </c>
      <c r="B446" s="1">
        <v>45992</v>
      </c>
      <c r="C446" t="s">
        <v>2657</v>
      </c>
      <c r="D446" t="s">
        <v>3727</v>
      </c>
      <c r="E446" s="43">
        <v>45994.722865995369</v>
      </c>
      <c r="F446" s="1">
        <v>45994</v>
      </c>
      <c r="G446" s="43">
        <v>45994.722865995369</v>
      </c>
      <c r="H446" t="s">
        <v>2686</v>
      </c>
      <c r="I446" t="s">
        <v>2669</v>
      </c>
      <c r="J446" t="s">
        <v>2735</v>
      </c>
      <c r="L446" t="s">
        <v>2378</v>
      </c>
      <c r="M446">
        <v>474741185002</v>
      </c>
      <c r="N446" t="s">
        <v>2746</v>
      </c>
      <c r="O446" s="1">
        <v>45661</v>
      </c>
      <c r="T446" t="s">
        <v>2662</v>
      </c>
      <c r="U446" t="s">
        <v>3728</v>
      </c>
      <c r="V446">
        <v>0</v>
      </c>
      <c r="X446">
        <v>1</v>
      </c>
      <c r="Y446" t="s">
        <v>2695</v>
      </c>
      <c r="AA446">
        <v>474741185002</v>
      </c>
      <c r="AB446" t="s">
        <v>1812</v>
      </c>
      <c r="AC446">
        <v>0</v>
      </c>
      <c r="AD446">
        <v>49</v>
      </c>
      <c r="AE446">
        <v>47474118500249</v>
      </c>
      <c r="AF446" t="s">
        <v>3729</v>
      </c>
      <c r="AG446">
        <v>0</v>
      </c>
      <c r="AH446">
        <v>0</v>
      </c>
    </row>
    <row r="447" spans="1:34">
      <c r="A447">
        <v>2025</v>
      </c>
      <c r="B447" s="1">
        <v>45992</v>
      </c>
      <c r="C447" t="s">
        <v>2657</v>
      </c>
      <c r="D447" t="s">
        <v>3730</v>
      </c>
      <c r="E447" s="43">
        <v>45993.720963541666</v>
      </c>
      <c r="F447" s="1">
        <v>45993</v>
      </c>
      <c r="G447" s="43">
        <v>45994.646096539349</v>
      </c>
      <c r="H447" t="s">
        <v>2686</v>
      </c>
      <c r="I447" t="s">
        <v>2669</v>
      </c>
      <c r="J447" t="s">
        <v>2735</v>
      </c>
      <c r="L447" t="s">
        <v>2378</v>
      </c>
      <c r="M447">
        <v>474741185002</v>
      </c>
      <c r="N447" t="s">
        <v>2746</v>
      </c>
      <c r="O447" s="1">
        <v>45661</v>
      </c>
      <c r="T447" t="s">
        <v>2662</v>
      </c>
      <c r="U447" t="s">
        <v>3731</v>
      </c>
      <c r="V447">
        <v>1</v>
      </c>
      <c r="X447">
        <v>1</v>
      </c>
      <c r="Y447" t="s">
        <v>2688</v>
      </c>
      <c r="AA447">
        <v>474741185002</v>
      </c>
      <c r="AB447" t="s">
        <v>1812</v>
      </c>
      <c r="AC447">
        <v>0</v>
      </c>
      <c r="AD447">
        <v>49</v>
      </c>
      <c r="AE447">
        <v>47474118500249</v>
      </c>
      <c r="AF447" t="s">
        <v>3729</v>
      </c>
      <c r="AG447">
        <v>0</v>
      </c>
      <c r="AH447">
        <v>0</v>
      </c>
    </row>
    <row r="448" spans="1:34">
      <c r="A448">
        <v>2025</v>
      </c>
      <c r="B448" s="1">
        <v>45992</v>
      </c>
      <c r="C448" t="s">
        <v>2657</v>
      </c>
      <c r="D448" t="s">
        <v>3732</v>
      </c>
      <c r="E448" s="43">
        <v>45992.51330702546</v>
      </c>
      <c r="F448" s="1">
        <v>45992</v>
      </c>
      <c r="G448" s="43">
        <v>45992.534763217591</v>
      </c>
      <c r="H448" t="s">
        <v>2686</v>
      </c>
      <c r="I448" t="s">
        <v>2669</v>
      </c>
      <c r="J448" t="s">
        <v>2735</v>
      </c>
      <c r="L448" t="s">
        <v>2378</v>
      </c>
      <c r="M448">
        <v>474741185002</v>
      </c>
      <c r="N448" t="s">
        <v>2746</v>
      </c>
      <c r="O448" s="1">
        <v>45661</v>
      </c>
      <c r="T448" t="s">
        <v>2662</v>
      </c>
      <c r="U448" t="s">
        <v>3733</v>
      </c>
      <c r="V448">
        <v>0</v>
      </c>
      <c r="X448">
        <v>1</v>
      </c>
      <c r="Y448" t="s">
        <v>2688</v>
      </c>
      <c r="AA448">
        <v>474741185002</v>
      </c>
      <c r="AB448" t="s">
        <v>1812</v>
      </c>
      <c r="AC448">
        <v>0</v>
      </c>
      <c r="AD448">
        <v>49</v>
      </c>
      <c r="AE448">
        <v>47474118500249</v>
      </c>
      <c r="AF448" t="s">
        <v>3729</v>
      </c>
      <c r="AG448">
        <v>1</v>
      </c>
      <c r="AH448">
        <v>1</v>
      </c>
    </row>
    <row r="449" spans="1:34">
      <c r="A449">
        <v>2026</v>
      </c>
      <c r="B449" s="1">
        <v>46023</v>
      </c>
      <c r="C449" t="s">
        <v>2657</v>
      </c>
      <c r="D449" t="s">
        <v>3734</v>
      </c>
      <c r="E449" s="43">
        <v>46037.620225729166</v>
      </c>
      <c r="F449" s="1">
        <v>46037</v>
      </c>
      <c r="G449" s="43">
        <v>46055.601940185188</v>
      </c>
      <c r="H449" t="s">
        <v>2701</v>
      </c>
      <c r="I449" t="s">
        <v>2719</v>
      </c>
      <c r="J449" t="s">
        <v>100</v>
      </c>
      <c r="L449" t="s">
        <v>2353</v>
      </c>
      <c r="M449">
        <v>69746651</v>
      </c>
      <c r="N449" t="s">
        <v>2675</v>
      </c>
      <c r="O449" s="1">
        <v>45294</v>
      </c>
      <c r="T449" t="s">
        <v>2662</v>
      </c>
      <c r="U449" t="s">
        <v>3735</v>
      </c>
      <c r="V449">
        <v>12</v>
      </c>
      <c r="W449" t="s">
        <v>2704</v>
      </c>
      <c r="X449">
        <v>1</v>
      </c>
      <c r="Y449" t="s">
        <v>2764</v>
      </c>
      <c r="AA449">
        <v>69746651</v>
      </c>
      <c r="AB449" t="s">
        <v>944</v>
      </c>
      <c r="AC449">
        <v>0</v>
      </c>
      <c r="AD449">
        <v>3</v>
      </c>
      <c r="AE449">
        <v>697466513</v>
      </c>
      <c r="AF449" t="s">
        <v>3736</v>
      </c>
      <c r="AG449">
        <v>1</v>
      </c>
      <c r="AH449">
        <v>1</v>
      </c>
    </row>
    <row r="450" spans="1:34">
      <c r="A450">
        <v>2026</v>
      </c>
      <c r="B450" s="1">
        <v>46023</v>
      </c>
      <c r="C450" t="s">
        <v>2657</v>
      </c>
      <c r="D450" t="s">
        <v>3737</v>
      </c>
      <c r="E450" s="43">
        <v>46027.556222812498</v>
      </c>
      <c r="F450" s="1">
        <v>46027</v>
      </c>
      <c r="G450" s="43">
        <v>46031.731528344906</v>
      </c>
      <c r="H450" t="s">
        <v>2701</v>
      </c>
      <c r="I450" t="s">
        <v>2669</v>
      </c>
      <c r="J450" t="s">
        <v>36</v>
      </c>
      <c r="L450" t="s">
        <v>2421</v>
      </c>
      <c r="M450">
        <v>971539676602</v>
      </c>
      <c r="N450" t="s">
        <v>2661</v>
      </c>
      <c r="O450" s="1">
        <v>45994</v>
      </c>
      <c r="T450" t="s">
        <v>2662</v>
      </c>
      <c r="U450" t="s">
        <v>3738</v>
      </c>
      <c r="V450">
        <v>4</v>
      </c>
      <c r="W450" t="s">
        <v>2671</v>
      </c>
      <c r="X450">
        <v>1</v>
      </c>
      <c r="Y450" t="s">
        <v>2672</v>
      </c>
      <c r="AA450">
        <v>971539676602</v>
      </c>
      <c r="AB450" t="s">
        <v>2474</v>
      </c>
      <c r="AC450">
        <v>0</v>
      </c>
      <c r="AD450">
        <v>2</v>
      </c>
      <c r="AE450">
        <v>9715396766022</v>
      </c>
      <c r="AF450" t="s">
        <v>3739</v>
      </c>
      <c r="AG450">
        <v>1</v>
      </c>
      <c r="AH450">
        <v>1</v>
      </c>
    </row>
    <row r="451" spans="1:34">
      <c r="A451">
        <v>2026</v>
      </c>
      <c r="B451" s="1">
        <v>46023</v>
      </c>
      <c r="C451" t="s">
        <v>2657</v>
      </c>
      <c r="D451" t="s">
        <v>3740</v>
      </c>
      <c r="E451" s="43">
        <v>46036.565670833334</v>
      </c>
      <c r="F451" s="1">
        <v>46036</v>
      </c>
      <c r="G451" s="43">
        <v>46038.496714710651</v>
      </c>
      <c r="H451" t="s">
        <v>2701</v>
      </c>
      <c r="I451" t="s">
        <v>2681</v>
      </c>
      <c r="J451" t="s">
        <v>36</v>
      </c>
      <c r="L451" t="s">
        <v>2421</v>
      </c>
      <c r="M451">
        <v>971539676602</v>
      </c>
      <c r="N451" t="s">
        <v>2661</v>
      </c>
      <c r="O451" s="1">
        <v>45994</v>
      </c>
      <c r="T451" t="s">
        <v>2662</v>
      </c>
      <c r="U451" t="s">
        <v>3741</v>
      </c>
      <c r="V451">
        <v>2</v>
      </c>
      <c r="W451" t="s">
        <v>2671</v>
      </c>
      <c r="X451">
        <v>1</v>
      </c>
      <c r="Y451" t="s">
        <v>2764</v>
      </c>
      <c r="AA451">
        <v>971539676602</v>
      </c>
      <c r="AB451" t="s">
        <v>2474</v>
      </c>
      <c r="AC451">
        <v>0</v>
      </c>
      <c r="AD451">
        <v>3</v>
      </c>
      <c r="AE451">
        <v>9715396766023</v>
      </c>
      <c r="AF451" t="s">
        <v>3739</v>
      </c>
      <c r="AG451">
        <v>1</v>
      </c>
      <c r="AH451">
        <v>0</v>
      </c>
    </row>
    <row r="452" spans="1:34">
      <c r="A452">
        <v>2026</v>
      </c>
      <c r="B452" s="1">
        <v>46023</v>
      </c>
      <c r="C452" t="s">
        <v>2657</v>
      </c>
      <c r="D452" s="44" t="s">
        <v>3742</v>
      </c>
      <c r="E452" s="43">
        <v>46043.555608055554</v>
      </c>
      <c r="F452" s="1">
        <v>46043</v>
      </c>
      <c r="G452" s="43">
        <v>46056.50591284722</v>
      </c>
      <c r="H452" t="s">
        <v>2701</v>
      </c>
      <c r="I452" t="s">
        <v>2719</v>
      </c>
      <c r="J452" t="s">
        <v>36</v>
      </c>
      <c r="L452" t="s">
        <v>2421</v>
      </c>
      <c r="M452">
        <v>971539676602</v>
      </c>
      <c r="N452" t="s">
        <v>2661</v>
      </c>
      <c r="O452" s="1">
        <v>45994</v>
      </c>
      <c r="T452" t="s">
        <v>2662</v>
      </c>
      <c r="U452" t="s">
        <v>3743</v>
      </c>
      <c r="V452">
        <v>9</v>
      </c>
      <c r="W452" t="s">
        <v>2677</v>
      </c>
      <c r="X452">
        <v>1</v>
      </c>
      <c r="Y452" t="s">
        <v>2760</v>
      </c>
      <c r="AA452">
        <v>971539676602</v>
      </c>
      <c r="AB452" t="s">
        <v>2474</v>
      </c>
      <c r="AC452">
        <v>0</v>
      </c>
      <c r="AD452">
        <v>4</v>
      </c>
      <c r="AE452">
        <v>9715396766024</v>
      </c>
      <c r="AF452" t="s">
        <v>3739</v>
      </c>
      <c r="AG452">
        <v>1</v>
      </c>
      <c r="AH452">
        <v>0</v>
      </c>
    </row>
    <row r="453" spans="1:34">
      <c r="A453">
        <v>2026</v>
      </c>
      <c r="B453" s="1">
        <v>46023</v>
      </c>
      <c r="C453" t="s">
        <v>2657</v>
      </c>
      <c r="D453" t="s">
        <v>3744</v>
      </c>
      <c r="E453" s="43">
        <v>46043.918207604169</v>
      </c>
      <c r="F453" s="1">
        <v>46043</v>
      </c>
      <c r="G453" s="43">
        <v>46048.59331984954</v>
      </c>
      <c r="H453" t="s">
        <v>2701</v>
      </c>
      <c r="I453" t="s">
        <v>2719</v>
      </c>
      <c r="J453" t="s">
        <v>36</v>
      </c>
      <c r="L453" t="s">
        <v>2421</v>
      </c>
      <c r="M453">
        <v>971539676602</v>
      </c>
      <c r="N453" t="s">
        <v>2661</v>
      </c>
      <c r="O453" s="1">
        <v>45994</v>
      </c>
      <c r="T453" t="s">
        <v>2662</v>
      </c>
      <c r="U453" t="s">
        <v>3745</v>
      </c>
      <c r="V453">
        <v>3</v>
      </c>
      <c r="W453" t="s">
        <v>2664</v>
      </c>
      <c r="X453">
        <v>1</v>
      </c>
      <c r="Y453" t="s">
        <v>2757</v>
      </c>
      <c r="AA453">
        <v>971539676602</v>
      </c>
      <c r="AB453" t="s">
        <v>2474</v>
      </c>
      <c r="AC453">
        <v>0</v>
      </c>
      <c r="AD453">
        <v>4</v>
      </c>
      <c r="AE453">
        <v>9715396766024</v>
      </c>
      <c r="AF453" t="s">
        <v>3739</v>
      </c>
      <c r="AG453">
        <v>0</v>
      </c>
      <c r="AH453">
        <v>0</v>
      </c>
    </row>
    <row r="454" spans="1:34">
      <c r="A454">
        <v>2026</v>
      </c>
      <c r="B454" s="1">
        <v>46023</v>
      </c>
      <c r="C454" t="s">
        <v>2657</v>
      </c>
      <c r="D454" t="s">
        <v>3746</v>
      </c>
      <c r="E454" s="43">
        <v>46052.550097789353</v>
      </c>
      <c r="F454" s="1">
        <v>46052</v>
      </c>
      <c r="G454" s="43">
        <v>46055.568112789355</v>
      </c>
      <c r="H454" t="s">
        <v>2701</v>
      </c>
      <c r="I454" t="s">
        <v>2697</v>
      </c>
      <c r="J454" t="s">
        <v>36</v>
      </c>
      <c r="L454" t="s">
        <v>2421</v>
      </c>
      <c r="M454">
        <v>971539676602</v>
      </c>
      <c r="N454" t="s">
        <v>2661</v>
      </c>
      <c r="O454" s="1">
        <v>45994</v>
      </c>
      <c r="T454" t="s">
        <v>2662</v>
      </c>
      <c r="U454" t="s">
        <v>3747</v>
      </c>
      <c r="V454">
        <v>1</v>
      </c>
      <c r="W454" t="s">
        <v>2677</v>
      </c>
      <c r="X454">
        <v>1</v>
      </c>
      <c r="Y454" t="s">
        <v>2760</v>
      </c>
      <c r="AA454">
        <v>971539676602</v>
      </c>
      <c r="AB454" t="s">
        <v>2474</v>
      </c>
      <c r="AC454">
        <v>0</v>
      </c>
      <c r="AD454">
        <v>5</v>
      </c>
      <c r="AE454">
        <v>9715396766025</v>
      </c>
      <c r="AF454" t="s">
        <v>3739</v>
      </c>
      <c r="AG454">
        <v>1</v>
      </c>
      <c r="AH454">
        <v>0</v>
      </c>
    </row>
    <row r="455" spans="1:34">
      <c r="A455">
        <v>2026</v>
      </c>
      <c r="B455" s="1">
        <v>46023</v>
      </c>
      <c r="C455" t="s">
        <v>2657</v>
      </c>
      <c r="D455" s="44" t="s">
        <v>3748</v>
      </c>
      <c r="E455" s="43">
        <v>46030.610551736114</v>
      </c>
      <c r="F455" s="1">
        <v>46030</v>
      </c>
      <c r="G455" s="43">
        <v>46036.526838229169</v>
      </c>
      <c r="H455" t="s">
        <v>2701</v>
      </c>
      <c r="I455" t="s">
        <v>2681</v>
      </c>
      <c r="J455" t="s">
        <v>39</v>
      </c>
      <c r="L455" t="s">
        <v>2362</v>
      </c>
      <c r="M455">
        <v>46733383915</v>
      </c>
      <c r="N455" t="s">
        <v>2746</v>
      </c>
      <c r="O455" s="1">
        <v>45145</v>
      </c>
      <c r="T455" t="s">
        <v>2662</v>
      </c>
      <c r="U455" t="s">
        <v>3749</v>
      </c>
      <c r="V455">
        <v>4</v>
      </c>
      <c r="W455" t="s">
        <v>2677</v>
      </c>
      <c r="X455">
        <v>1</v>
      </c>
      <c r="Y455" t="s">
        <v>2767</v>
      </c>
      <c r="AA455">
        <v>46733383915</v>
      </c>
      <c r="AB455" t="s">
        <v>839</v>
      </c>
      <c r="AC455">
        <v>0</v>
      </c>
      <c r="AD455">
        <v>2</v>
      </c>
      <c r="AE455">
        <v>467333839152</v>
      </c>
      <c r="AF455" t="s">
        <v>3750</v>
      </c>
      <c r="AG455">
        <v>1</v>
      </c>
      <c r="AH455">
        <v>1</v>
      </c>
    </row>
    <row r="456" spans="1:34">
      <c r="A456">
        <v>2026</v>
      </c>
      <c r="B456" s="1">
        <v>46023</v>
      </c>
      <c r="C456" t="s">
        <v>2657</v>
      </c>
      <c r="D456" t="s">
        <v>3751</v>
      </c>
      <c r="E456" s="43">
        <v>46030.772057546295</v>
      </c>
      <c r="F456" s="1">
        <v>46030</v>
      </c>
      <c r="G456" s="43">
        <v>46036.526179432869</v>
      </c>
      <c r="H456" t="s">
        <v>2701</v>
      </c>
      <c r="I456" t="s">
        <v>2681</v>
      </c>
      <c r="J456" t="s">
        <v>39</v>
      </c>
      <c r="L456" t="s">
        <v>2362</v>
      </c>
      <c r="M456">
        <v>46733383915</v>
      </c>
      <c r="N456" t="s">
        <v>2746</v>
      </c>
      <c r="O456" s="1">
        <v>45145</v>
      </c>
      <c r="T456" t="s">
        <v>2662</v>
      </c>
      <c r="U456" t="s">
        <v>3752</v>
      </c>
      <c r="V456">
        <v>4</v>
      </c>
      <c r="W456" t="s">
        <v>2671</v>
      </c>
      <c r="X456">
        <v>1</v>
      </c>
      <c r="Y456" t="s">
        <v>2727</v>
      </c>
      <c r="AA456">
        <v>46733383915</v>
      </c>
      <c r="AB456" t="s">
        <v>839</v>
      </c>
      <c r="AC456">
        <v>0</v>
      </c>
      <c r="AD456">
        <v>2</v>
      </c>
      <c r="AE456">
        <v>467333839152</v>
      </c>
      <c r="AF456" t="s">
        <v>3750</v>
      </c>
      <c r="AG456">
        <v>0</v>
      </c>
      <c r="AH456">
        <v>0</v>
      </c>
    </row>
    <row r="457" spans="1:34">
      <c r="A457">
        <v>2026</v>
      </c>
      <c r="B457" s="1">
        <v>46023</v>
      </c>
      <c r="C457" t="s">
        <v>2657</v>
      </c>
      <c r="D457" t="s">
        <v>3753</v>
      </c>
      <c r="E457" s="43">
        <v>46041.850446504628</v>
      </c>
      <c r="F457" s="1">
        <v>46041</v>
      </c>
      <c r="G457" s="43">
        <v>46049.869497037034</v>
      </c>
      <c r="H457" t="s">
        <v>2701</v>
      </c>
      <c r="I457" t="s">
        <v>2719</v>
      </c>
      <c r="J457" t="s">
        <v>39</v>
      </c>
      <c r="L457" t="s">
        <v>2362</v>
      </c>
      <c r="M457">
        <v>46733383915</v>
      </c>
      <c r="N457" t="s">
        <v>2746</v>
      </c>
      <c r="O457" s="1">
        <v>45145</v>
      </c>
      <c r="T457" t="s">
        <v>2662</v>
      </c>
      <c r="U457" t="s">
        <v>3754</v>
      </c>
      <c r="V457">
        <v>6</v>
      </c>
      <c r="W457" t="s">
        <v>2671</v>
      </c>
      <c r="X457">
        <v>1</v>
      </c>
      <c r="Y457" t="s">
        <v>2683</v>
      </c>
      <c r="AA457">
        <v>46733383915</v>
      </c>
      <c r="AB457" t="s">
        <v>839</v>
      </c>
      <c r="AC457">
        <v>0</v>
      </c>
      <c r="AD457">
        <v>4</v>
      </c>
      <c r="AE457">
        <v>467333839154</v>
      </c>
      <c r="AF457" t="s">
        <v>3750</v>
      </c>
      <c r="AG457">
        <v>1</v>
      </c>
      <c r="AH457">
        <v>0</v>
      </c>
    </row>
    <row r="458" spans="1:34">
      <c r="A458">
        <v>2026</v>
      </c>
      <c r="B458" s="1">
        <v>46023</v>
      </c>
      <c r="C458" t="s">
        <v>2657</v>
      </c>
      <c r="D458" t="s">
        <v>3755</v>
      </c>
      <c r="E458" s="43">
        <v>46051.614750046298</v>
      </c>
      <c r="F458" s="1">
        <v>46051</v>
      </c>
      <c r="G458" s="43">
        <v>46073.692017314817</v>
      </c>
      <c r="H458" t="s">
        <v>2701</v>
      </c>
      <c r="I458" t="s">
        <v>2697</v>
      </c>
      <c r="J458" t="s">
        <v>39</v>
      </c>
      <c r="L458" t="s">
        <v>2362</v>
      </c>
      <c r="M458">
        <v>46733383915</v>
      </c>
      <c r="N458" t="s">
        <v>2746</v>
      </c>
      <c r="O458" s="1">
        <v>45145</v>
      </c>
      <c r="T458" t="s">
        <v>2662</v>
      </c>
      <c r="U458" t="s">
        <v>3756</v>
      </c>
      <c r="V458">
        <v>16</v>
      </c>
      <c r="W458" t="s">
        <v>2743</v>
      </c>
      <c r="X458">
        <v>1</v>
      </c>
      <c r="Z458" t="s">
        <v>2834</v>
      </c>
      <c r="AA458">
        <v>46733383915</v>
      </c>
      <c r="AB458" t="s">
        <v>839</v>
      </c>
      <c r="AC458">
        <v>0</v>
      </c>
      <c r="AD458">
        <v>5</v>
      </c>
      <c r="AE458">
        <v>467333839155</v>
      </c>
      <c r="AF458" t="s">
        <v>3750</v>
      </c>
      <c r="AG458">
        <v>1</v>
      </c>
      <c r="AH458">
        <v>0</v>
      </c>
    </row>
    <row r="459" spans="1:34">
      <c r="A459">
        <v>2025</v>
      </c>
      <c r="B459" s="1">
        <v>45931</v>
      </c>
      <c r="C459" t="s">
        <v>2657</v>
      </c>
      <c r="D459" s="44" t="s">
        <v>3757</v>
      </c>
      <c r="E459" s="43">
        <v>45933.600128333332</v>
      </c>
      <c r="F459" s="1">
        <v>45933</v>
      </c>
      <c r="G459" s="43">
        <v>45946.84144596065</v>
      </c>
      <c r="H459" t="s">
        <v>2659</v>
      </c>
      <c r="I459" t="s">
        <v>2669</v>
      </c>
      <c r="J459" t="s">
        <v>38</v>
      </c>
      <c r="L459" t="s">
        <v>2379</v>
      </c>
      <c r="M459">
        <v>627010921602</v>
      </c>
      <c r="N459" t="s">
        <v>2675</v>
      </c>
      <c r="O459" s="1">
        <v>45503</v>
      </c>
      <c r="T459" t="s">
        <v>2662</v>
      </c>
      <c r="U459" t="s">
        <v>3758</v>
      </c>
      <c r="V459">
        <v>9</v>
      </c>
      <c r="W459" t="s">
        <v>2671</v>
      </c>
      <c r="X459">
        <v>1</v>
      </c>
      <c r="Y459" t="s">
        <v>2692</v>
      </c>
      <c r="AA459">
        <v>627010921602</v>
      </c>
      <c r="AB459" t="s">
        <v>1204</v>
      </c>
      <c r="AC459">
        <v>0</v>
      </c>
      <c r="AD459">
        <v>40</v>
      </c>
      <c r="AE459">
        <v>62701092160240</v>
      </c>
      <c r="AF459" t="s">
        <v>3759</v>
      </c>
      <c r="AG459">
        <v>1</v>
      </c>
      <c r="AH459">
        <v>1</v>
      </c>
    </row>
    <row r="460" spans="1:34">
      <c r="A460">
        <v>2025</v>
      </c>
      <c r="B460" s="1">
        <v>45931</v>
      </c>
      <c r="C460" t="s">
        <v>2657</v>
      </c>
      <c r="D460" t="s">
        <v>3760</v>
      </c>
      <c r="E460" s="43">
        <v>45939.887595023145</v>
      </c>
      <c r="F460" s="1">
        <v>45939</v>
      </c>
      <c r="G460" s="43">
        <v>45939.887595023145</v>
      </c>
      <c r="H460" t="s">
        <v>2659</v>
      </c>
      <c r="I460" t="s">
        <v>2681</v>
      </c>
      <c r="J460" t="s">
        <v>38</v>
      </c>
      <c r="L460" t="s">
        <v>2379</v>
      </c>
      <c r="M460">
        <v>627010921602</v>
      </c>
      <c r="N460" t="s">
        <v>2675</v>
      </c>
      <c r="O460" s="1">
        <v>45503</v>
      </c>
      <c r="T460" t="s">
        <v>2662</v>
      </c>
      <c r="U460" t="s">
        <v>3761</v>
      </c>
      <c r="V460">
        <v>0</v>
      </c>
      <c r="W460" t="s">
        <v>2671</v>
      </c>
      <c r="X460">
        <v>1</v>
      </c>
      <c r="Y460" t="s">
        <v>2695</v>
      </c>
      <c r="AA460">
        <v>627010921602</v>
      </c>
      <c r="AB460" t="s">
        <v>1204</v>
      </c>
      <c r="AC460">
        <v>0</v>
      </c>
      <c r="AD460">
        <v>41</v>
      </c>
      <c r="AE460">
        <v>62701092160241</v>
      </c>
      <c r="AF460" t="s">
        <v>3759</v>
      </c>
      <c r="AG460">
        <v>1</v>
      </c>
      <c r="AH460">
        <v>0</v>
      </c>
    </row>
    <row r="461" spans="1:34">
      <c r="A461">
        <v>2025</v>
      </c>
      <c r="B461" s="1">
        <v>45931</v>
      </c>
      <c r="C461" t="s">
        <v>2657</v>
      </c>
      <c r="D461" t="s">
        <v>3762</v>
      </c>
      <c r="E461" s="43">
        <v>45947.689144710646</v>
      </c>
      <c r="F461" s="1">
        <v>45947</v>
      </c>
      <c r="G461" s="43">
        <v>45947.774868993052</v>
      </c>
      <c r="H461" t="s">
        <v>2659</v>
      </c>
      <c r="I461" t="s">
        <v>2719</v>
      </c>
      <c r="J461" t="s">
        <v>38</v>
      </c>
      <c r="L461" t="s">
        <v>2379</v>
      </c>
      <c r="M461">
        <v>627010921602</v>
      </c>
      <c r="N461" t="s">
        <v>2675</v>
      </c>
      <c r="O461" s="1">
        <v>45503</v>
      </c>
      <c r="T461" t="s">
        <v>2662</v>
      </c>
      <c r="U461" t="s">
        <v>3763</v>
      </c>
      <c r="V461">
        <v>0</v>
      </c>
      <c r="W461" t="s">
        <v>2704</v>
      </c>
      <c r="X461">
        <v>1</v>
      </c>
      <c r="Y461" t="s">
        <v>2931</v>
      </c>
      <c r="Z461" t="s">
        <v>2684</v>
      </c>
      <c r="AA461">
        <v>627010921602</v>
      </c>
      <c r="AB461" t="s">
        <v>1204</v>
      </c>
      <c r="AC461">
        <v>0</v>
      </c>
      <c r="AD461">
        <v>42</v>
      </c>
      <c r="AE461">
        <v>62701092160242</v>
      </c>
      <c r="AF461" t="s">
        <v>3759</v>
      </c>
      <c r="AG461">
        <v>1</v>
      </c>
      <c r="AH461">
        <v>0</v>
      </c>
    </row>
    <row r="462" spans="1:34">
      <c r="A462">
        <v>2025</v>
      </c>
      <c r="B462" s="1">
        <v>45931</v>
      </c>
      <c r="C462" t="s">
        <v>2657</v>
      </c>
      <c r="D462" t="s">
        <v>3764</v>
      </c>
      <c r="E462" s="43">
        <v>45952.751870706015</v>
      </c>
      <c r="F462" s="1">
        <v>45952</v>
      </c>
      <c r="G462" s="43">
        <v>45952.751870706015</v>
      </c>
      <c r="H462" t="s">
        <v>2659</v>
      </c>
      <c r="I462" t="s">
        <v>2660</v>
      </c>
      <c r="J462" t="s">
        <v>38</v>
      </c>
      <c r="L462" t="s">
        <v>2379</v>
      </c>
      <c r="M462">
        <v>627010921602</v>
      </c>
      <c r="N462" t="s">
        <v>2675</v>
      </c>
      <c r="O462" s="1">
        <v>45503</v>
      </c>
      <c r="T462" t="s">
        <v>2662</v>
      </c>
      <c r="U462" t="s">
        <v>3765</v>
      </c>
      <c r="V462">
        <v>0</v>
      </c>
      <c r="W462" t="s">
        <v>2671</v>
      </c>
      <c r="X462">
        <v>1</v>
      </c>
      <c r="Y462" t="s">
        <v>2683</v>
      </c>
      <c r="AA462">
        <v>627010921602</v>
      </c>
      <c r="AB462" t="s">
        <v>1204</v>
      </c>
      <c r="AC462">
        <v>0</v>
      </c>
      <c r="AD462">
        <v>43</v>
      </c>
      <c r="AE462">
        <v>62701092160243</v>
      </c>
      <c r="AF462" t="s">
        <v>3759</v>
      </c>
      <c r="AG462">
        <v>0</v>
      </c>
      <c r="AH462">
        <v>0</v>
      </c>
    </row>
    <row r="463" spans="1:34">
      <c r="A463">
        <v>2025</v>
      </c>
      <c r="B463" s="1">
        <v>45931</v>
      </c>
      <c r="C463" t="s">
        <v>2657</v>
      </c>
      <c r="D463" t="s">
        <v>3766</v>
      </c>
      <c r="E463" s="43">
        <v>45952.750655810189</v>
      </c>
      <c r="F463" s="1">
        <v>45952</v>
      </c>
      <c r="G463" s="43">
        <v>45957.554761678242</v>
      </c>
      <c r="H463" t="s">
        <v>2659</v>
      </c>
      <c r="I463" t="s">
        <v>2660</v>
      </c>
      <c r="J463" t="s">
        <v>38</v>
      </c>
      <c r="L463" t="s">
        <v>2379</v>
      </c>
      <c r="M463">
        <v>627010921602</v>
      </c>
      <c r="N463" t="s">
        <v>2675</v>
      </c>
      <c r="O463" s="1">
        <v>45503</v>
      </c>
      <c r="T463" t="s">
        <v>2662</v>
      </c>
      <c r="U463" t="s">
        <v>3767</v>
      </c>
      <c r="V463">
        <v>3</v>
      </c>
      <c r="W463" t="s">
        <v>2671</v>
      </c>
      <c r="X463">
        <v>1</v>
      </c>
      <c r="Y463" t="s">
        <v>2692</v>
      </c>
      <c r="AA463">
        <v>627010921602</v>
      </c>
      <c r="AB463" t="s">
        <v>1204</v>
      </c>
      <c r="AC463">
        <v>0</v>
      </c>
      <c r="AD463">
        <v>43</v>
      </c>
      <c r="AE463">
        <v>62701092160243</v>
      </c>
      <c r="AF463" t="s">
        <v>3759</v>
      </c>
      <c r="AG463">
        <v>1</v>
      </c>
      <c r="AH463">
        <v>0</v>
      </c>
    </row>
    <row r="464" spans="1:34">
      <c r="A464">
        <v>2025</v>
      </c>
      <c r="B464" s="1">
        <v>45931</v>
      </c>
      <c r="C464" t="s">
        <v>2657</v>
      </c>
      <c r="D464" t="s">
        <v>3768</v>
      </c>
      <c r="E464" s="43">
        <v>45960.796881365743</v>
      </c>
      <c r="F464" s="1">
        <v>45960</v>
      </c>
      <c r="G464" s="43">
        <v>45961.615998668982</v>
      </c>
      <c r="H464" t="s">
        <v>2659</v>
      </c>
      <c r="I464" t="s">
        <v>2697</v>
      </c>
      <c r="J464" t="s">
        <v>38</v>
      </c>
      <c r="L464" t="s">
        <v>2379</v>
      </c>
      <c r="M464">
        <v>627010921602</v>
      </c>
      <c r="N464" t="s">
        <v>2675</v>
      </c>
      <c r="O464" s="1">
        <v>45503</v>
      </c>
      <c r="T464" t="s">
        <v>2662</v>
      </c>
      <c r="U464" t="s">
        <v>3769</v>
      </c>
      <c r="V464">
        <v>1</v>
      </c>
      <c r="W464" t="s">
        <v>2677</v>
      </c>
      <c r="X464">
        <v>1</v>
      </c>
      <c r="Y464" t="s">
        <v>2779</v>
      </c>
      <c r="AA464">
        <v>627010921602</v>
      </c>
      <c r="AB464" t="s">
        <v>1204</v>
      </c>
      <c r="AC464">
        <v>0</v>
      </c>
      <c r="AD464">
        <v>44</v>
      </c>
      <c r="AE464">
        <v>62701092160244</v>
      </c>
      <c r="AF464" t="s">
        <v>3759</v>
      </c>
      <c r="AG464">
        <v>0</v>
      </c>
      <c r="AH464">
        <v>0</v>
      </c>
    </row>
    <row r="465" spans="1:34">
      <c r="A465">
        <v>2025</v>
      </c>
      <c r="B465" s="1">
        <v>45931</v>
      </c>
      <c r="C465" t="s">
        <v>2657</v>
      </c>
      <c r="D465" t="s">
        <v>3770</v>
      </c>
      <c r="E465" s="43">
        <v>45960.699635300924</v>
      </c>
      <c r="F465" s="1">
        <v>45960</v>
      </c>
      <c r="G465" s="43">
        <v>45961.618939293985</v>
      </c>
      <c r="H465" t="s">
        <v>2659</v>
      </c>
      <c r="I465" t="s">
        <v>2697</v>
      </c>
      <c r="J465" t="s">
        <v>38</v>
      </c>
      <c r="L465" t="s">
        <v>2379</v>
      </c>
      <c r="M465">
        <v>627010921602</v>
      </c>
      <c r="N465" t="s">
        <v>2675</v>
      </c>
      <c r="O465" s="1">
        <v>45503</v>
      </c>
      <c r="T465" t="s">
        <v>2662</v>
      </c>
      <c r="U465" t="s">
        <v>3771</v>
      </c>
      <c r="V465">
        <v>1</v>
      </c>
      <c r="W465" t="s">
        <v>2671</v>
      </c>
      <c r="X465">
        <v>1</v>
      </c>
      <c r="Y465" t="s">
        <v>2764</v>
      </c>
      <c r="AA465">
        <v>627010921602</v>
      </c>
      <c r="AB465" t="s">
        <v>1204</v>
      </c>
      <c r="AC465">
        <v>0</v>
      </c>
      <c r="AD465">
        <v>44</v>
      </c>
      <c r="AE465">
        <v>62701092160244</v>
      </c>
      <c r="AF465" t="s">
        <v>3759</v>
      </c>
      <c r="AG465">
        <v>1</v>
      </c>
      <c r="AH465">
        <v>0</v>
      </c>
    </row>
    <row r="466" spans="1:34">
      <c r="A466">
        <v>2025</v>
      </c>
      <c r="B466" s="1">
        <v>45962</v>
      </c>
      <c r="C466" t="s">
        <v>2657</v>
      </c>
      <c r="D466" t="s">
        <v>3772</v>
      </c>
      <c r="E466" s="43">
        <v>45964.779380578701</v>
      </c>
      <c r="F466" s="1">
        <v>45964</v>
      </c>
      <c r="G466" s="43">
        <v>45994.83131642361</v>
      </c>
      <c r="H466" t="s">
        <v>2802</v>
      </c>
      <c r="I466" t="s">
        <v>2669</v>
      </c>
      <c r="J466" t="s">
        <v>38</v>
      </c>
      <c r="L466" t="s">
        <v>2342</v>
      </c>
      <c r="M466">
        <v>24674493302</v>
      </c>
      <c r="N466" t="s">
        <v>2702</v>
      </c>
      <c r="O466" s="1">
        <v>45669</v>
      </c>
      <c r="T466" t="s">
        <v>2662</v>
      </c>
      <c r="U466" t="s">
        <v>3773</v>
      </c>
      <c r="V466">
        <v>22</v>
      </c>
      <c r="W466" t="s">
        <v>2664</v>
      </c>
      <c r="X466">
        <v>1</v>
      </c>
      <c r="Y466" t="s">
        <v>2672</v>
      </c>
      <c r="Z466" t="s">
        <v>2834</v>
      </c>
      <c r="AA466">
        <v>24674493302</v>
      </c>
      <c r="AB466" t="s">
        <v>551</v>
      </c>
      <c r="AC466">
        <v>0</v>
      </c>
      <c r="AD466">
        <v>45</v>
      </c>
      <c r="AE466">
        <v>2467449330245</v>
      </c>
      <c r="AF466" t="s">
        <v>3774</v>
      </c>
      <c r="AG466">
        <v>1</v>
      </c>
      <c r="AH466">
        <v>1</v>
      </c>
    </row>
    <row r="467" spans="1:34">
      <c r="A467">
        <v>2025</v>
      </c>
      <c r="B467" s="1">
        <v>45962</v>
      </c>
      <c r="C467" t="s">
        <v>2657</v>
      </c>
      <c r="D467" t="s">
        <v>3775</v>
      </c>
      <c r="E467" s="43">
        <v>45988.908425185182</v>
      </c>
      <c r="F467" s="1">
        <v>45988</v>
      </c>
      <c r="G467" s="43">
        <v>45992.745670509263</v>
      </c>
      <c r="H467" t="s">
        <v>2802</v>
      </c>
      <c r="I467" t="s">
        <v>2660</v>
      </c>
      <c r="J467" t="s">
        <v>38</v>
      </c>
      <c r="L467" t="s">
        <v>2342</v>
      </c>
      <c r="M467">
        <v>24938392802</v>
      </c>
      <c r="N467" t="s">
        <v>2702</v>
      </c>
      <c r="O467" s="1">
        <v>45669</v>
      </c>
      <c r="T467" t="s">
        <v>2662</v>
      </c>
      <c r="U467" t="s">
        <v>3776</v>
      </c>
      <c r="V467">
        <v>2</v>
      </c>
      <c r="W467" t="s">
        <v>2664</v>
      </c>
      <c r="X467">
        <v>1</v>
      </c>
      <c r="AA467">
        <v>24674493302</v>
      </c>
      <c r="AB467" t="s">
        <v>551</v>
      </c>
      <c r="AC467">
        <v>0</v>
      </c>
      <c r="AD467">
        <v>48</v>
      </c>
      <c r="AE467">
        <v>2467449330248</v>
      </c>
      <c r="AF467" t="s">
        <v>3774</v>
      </c>
      <c r="AG467">
        <v>1</v>
      </c>
      <c r="AH467">
        <v>0</v>
      </c>
    </row>
    <row r="468" spans="1:34">
      <c r="A468">
        <v>2025</v>
      </c>
      <c r="B468" s="1">
        <v>45870</v>
      </c>
      <c r="C468" t="s">
        <v>2657</v>
      </c>
      <c r="D468" s="44" t="s">
        <v>3777</v>
      </c>
      <c r="E468" s="43">
        <v>45877.537868078703</v>
      </c>
      <c r="F468" s="1">
        <v>45877</v>
      </c>
      <c r="G468" s="43">
        <v>45888.861600335651</v>
      </c>
      <c r="H468" t="s">
        <v>3088</v>
      </c>
      <c r="I468" t="s">
        <v>2681</v>
      </c>
      <c r="J468" t="s">
        <v>2735</v>
      </c>
      <c r="L468" t="s">
        <v>2421</v>
      </c>
      <c r="M468">
        <v>97596278102</v>
      </c>
      <c r="N468" t="s">
        <v>2661</v>
      </c>
      <c r="O468" s="1">
        <v>45299</v>
      </c>
      <c r="T468" t="s">
        <v>2662</v>
      </c>
      <c r="U468" t="s">
        <v>3778</v>
      </c>
      <c r="V468">
        <v>7</v>
      </c>
      <c r="W468" t="s">
        <v>2677</v>
      </c>
      <c r="X468">
        <v>1</v>
      </c>
      <c r="Y468" t="s">
        <v>2807</v>
      </c>
      <c r="AA468">
        <v>97596278102</v>
      </c>
      <c r="AB468" t="s">
        <v>343</v>
      </c>
      <c r="AC468">
        <v>0</v>
      </c>
      <c r="AD468">
        <v>32</v>
      </c>
      <c r="AE468">
        <v>9759627810232</v>
      </c>
      <c r="AF468" t="s">
        <v>3779</v>
      </c>
      <c r="AG468">
        <v>1</v>
      </c>
      <c r="AH468">
        <v>1</v>
      </c>
    </row>
    <row r="469" spans="1:34">
      <c r="A469">
        <v>2025</v>
      </c>
      <c r="B469" s="1">
        <v>45870</v>
      </c>
      <c r="C469" t="s">
        <v>2657</v>
      </c>
      <c r="D469" t="s">
        <v>3780</v>
      </c>
      <c r="E469" s="43">
        <v>45882.652031747682</v>
      </c>
      <c r="F469" s="1">
        <v>45882</v>
      </c>
      <c r="G469" s="43">
        <v>45888.861915995367</v>
      </c>
      <c r="H469" t="s">
        <v>3088</v>
      </c>
      <c r="I469" t="s">
        <v>2681</v>
      </c>
      <c r="J469" t="s">
        <v>2735</v>
      </c>
      <c r="L469" t="s">
        <v>2421</v>
      </c>
      <c r="M469">
        <v>97596278102</v>
      </c>
      <c r="N469" t="s">
        <v>2661</v>
      </c>
      <c r="O469" s="1">
        <v>45299</v>
      </c>
      <c r="T469" t="s">
        <v>2662</v>
      </c>
      <c r="U469" t="s">
        <v>3781</v>
      </c>
      <c r="V469">
        <v>4</v>
      </c>
      <c r="W469" t="s">
        <v>2677</v>
      </c>
      <c r="X469">
        <v>1</v>
      </c>
      <c r="Y469" t="s">
        <v>2807</v>
      </c>
      <c r="AA469">
        <v>97596278102</v>
      </c>
      <c r="AB469" t="s">
        <v>343</v>
      </c>
      <c r="AC469">
        <v>0</v>
      </c>
      <c r="AD469">
        <v>33</v>
      </c>
      <c r="AE469">
        <v>9759627810233</v>
      </c>
      <c r="AF469" t="s">
        <v>3779</v>
      </c>
      <c r="AG469">
        <v>0</v>
      </c>
      <c r="AH469">
        <v>0</v>
      </c>
    </row>
    <row r="470" spans="1:34">
      <c r="A470">
        <v>2025</v>
      </c>
      <c r="B470" s="1">
        <v>45870</v>
      </c>
      <c r="C470" t="s">
        <v>2657</v>
      </c>
      <c r="D470" t="s">
        <v>3782</v>
      </c>
      <c r="E470" s="43">
        <v>45882.646618506944</v>
      </c>
      <c r="F470" s="1">
        <v>45882</v>
      </c>
      <c r="G470" s="43">
        <v>45888.861805729168</v>
      </c>
      <c r="H470" t="s">
        <v>3088</v>
      </c>
      <c r="I470" t="s">
        <v>2681</v>
      </c>
      <c r="J470" t="s">
        <v>2735</v>
      </c>
      <c r="L470" t="s">
        <v>2421</v>
      </c>
      <c r="M470">
        <v>97596278102</v>
      </c>
      <c r="N470" t="s">
        <v>2661</v>
      </c>
      <c r="O470" s="1">
        <v>45299</v>
      </c>
      <c r="T470" t="s">
        <v>2662</v>
      </c>
      <c r="U470" t="s">
        <v>3783</v>
      </c>
      <c r="V470">
        <v>4</v>
      </c>
      <c r="W470" t="s">
        <v>2677</v>
      </c>
      <c r="X470">
        <v>1</v>
      </c>
      <c r="Y470" t="s">
        <v>2807</v>
      </c>
      <c r="AA470">
        <v>97596278102</v>
      </c>
      <c r="AB470" t="s">
        <v>343</v>
      </c>
      <c r="AC470">
        <v>0</v>
      </c>
      <c r="AD470">
        <v>33</v>
      </c>
      <c r="AE470">
        <v>9759627810233</v>
      </c>
      <c r="AF470" t="s">
        <v>3779</v>
      </c>
      <c r="AG470">
        <v>0</v>
      </c>
      <c r="AH470">
        <v>0</v>
      </c>
    </row>
    <row r="471" spans="1:34">
      <c r="A471">
        <v>2025</v>
      </c>
      <c r="B471" s="1">
        <v>45870</v>
      </c>
      <c r="C471" t="s">
        <v>2657</v>
      </c>
      <c r="D471" t="s">
        <v>3784</v>
      </c>
      <c r="E471" s="43">
        <v>45880.536172511573</v>
      </c>
      <c r="F471" s="1">
        <v>45880</v>
      </c>
      <c r="G471" s="43">
        <v>45896.688838437498</v>
      </c>
      <c r="H471" t="s">
        <v>3088</v>
      </c>
      <c r="I471" t="s">
        <v>2681</v>
      </c>
      <c r="J471" t="s">
        <v>2735</v>
      </c>
      <c r="L471" t="s">
        <v>2421</v>
      </c>
      <c r="M471">
        <v>97596278102</v>
      </c>
      <c r="N471" t="s">
        <v>2661</v>
      </c>
      <c r="O471" s="1">
        <v>45299</v>
      </c>
      <c r="T471" t="s">
        <v>2662</v>
      </c>
      <c r="U471" t="s">
        <v>3785</v>
      </c>
      <c r="V471">
        <v>12</v>
      </c>
      <c r="W471" t="s">
        <v>2677</v>
      </c>
      <c r="X471">
        <v>1</v>
      </c>
      <c r="Y471" t="s">
        <v>2764</v>
      </c>
      <c r="AA471">
        <v>97596278102</v>
      </c>
      <c r="AB471" t="s">
        <v>343</v>
      </c>
      <c r="AC471">
        <v>0</v>
      </c>
      <c r="AD471">
        <v>33</v>
      </c>
      <c r="AE471">
        <v>9759627810233</v>
      </c>
      <c r="AF471" t="s">
        <v>3779</v>
      </c>
      <c r="AG471">
        <v>0</v>
      </c>
      <c r="AH471">
        <v>0</v>
      </c>
    </row>
    <row r="472" spans="1:34">
      <c r="A472">
        <v>2025</v>
      </c>
      <c r="B472" s="1">
        <v>45870</v>
      </c>
      <c r="C472" t="s">
        <v>2657</v>
      </c>
      <c r="D472" t="s">
        <v>3786</v>
      </c>
      <c r="E472" s="43">
        <v>45882.624651921295</v>
      </c>
      <c r="F472" s="1">
        <v>45882</v>
      </c>
      <c r="G472" s="43">
        <v>45888.862000856483</v>
      </c>
      <c r="H472" t="s">
        <v>3088</v>
      </c>
      <c r="I472" t="s">
        <v>2681</v>
      </c>
      <c r="J472" t="s">
        <v>2735</v>
      </c>
      <c r="L472" t="s">
        <v>2421</v>
      </c>
      <c r="M472">
        <v>97596278102</v>
      </c>
      <c r="N472" t="s">
        <v>2661</v>
      </c>
      <c r="O472" s="1">
        <v>45299</v>
      </c>
      <c r="T472" t="s">
        <v>2662</v>
      </c>
      <c r="U472" t="s">
        <v>3787</v>
      </c>
      <c r="V472">
        <v>4</v>
      </c>
      <c r="W472" t="s">
        <v>2677</v>
      </c>
      <c r="X472">
        <v>1</v>
      </c>
      <c r="Y472" t="s">
        <v>2772</v>
      </c>
      <c r="AA472">
        <v>97596278102</v>
      </c>
      <c r="AB472" t="s">
        <v>343</v>
      </c>
      <c r="AC472">
        <v>0</v>
      </c>
      <c r="AD472">
        <v>33</v>
      </c>
      <c r="AE472">
        <v>9759627810233</v>
      </c>
      <c r="AF472" t="s">
        <v>3779</v>
      </c>
      <c r="AG472">
        <v>0</v>
      </c>
      <c r="AH472">
        <v>0</v>
      </c>
    </row>
    <row r="473" spans="1:34">
      <c r="A473">
        <v>2025</v>
      </c>
      <c r="B473" s="1">
        <v>45870</v>
      </c>
      <c r="C473" t="s">
        <v>2657</v>
      </c>
      <c r="D473" t="s">
        <v>3788</v>
      </c>
      <c r="E473" s="43">
        <v>45882.646030138887</v>
      </c>
      <c r="F473" s="1">
        <v>45882</v>
      </c>
      <c r="G473" s="43">
        <v>45889.630655567133</v>
      </c>
      <c r="H473" t="s">
        <v>3088</v>
      </c>
      <c r="I473" t="s">
        <v>2681</v>
      </c>
      <c r="J473" t="s">
        <v>2735</v>
      </c>
      <c r="L473" t="s">
        <v>2421</v>
      </c>
      <c r="M473">
        <v>97596278102</v>
      </c>
      <c r="N473" t="s">
        <v>2661</v>
      </c>
      <c r="O473" s="1">
        <v>45299</v>
      </c>
      <c r="T473" t="s">
        <v>2662</v>
      </c>
      <c r="U473" t="s">
        <v>3789</v>
      </c>
      <c r="V473">
        <v>5</v>
      </c>
      <c r="W473" t="s">
        <v>2677</v>
      </c>
      <c r="X473">
        <v>1</v>
      </c>
      <c r="Y473" t="s">
        <v>2807</v>
      </c>
      <c r="AA473">
        <v>97596278102</v>
      </c>
      <c r="AB473" t="s">
        <v>343</v>
      </c>
      <c r="AC473">
        <v>0</v>
      </c>
      <c r="AD473">
        <v>33</v>
      </c>
      <c r="AE473">
        <v>9759627810233</v>
      </c>
      <c r="AF473" t="s">
        <v>3779</v>
      </c>
      <c r="AG473">
        <v>0</v>
      </c>
      <c r="AH473">
        <v>0</v>
      </c>
    </row>
    <row r="474" spans="1:34">
      <c r="A474">
        <v>2025</v>
      </c>
      <c r="B474" s="1">
        <v>45870</v>
      </c>
      <c r="C474" t="s">
        <v>2657</v>
      </c>
      <c r="D474" t="s">
        <v>3790</v>
      </c>
      <c r="E474" s="43">
        <v>45882.652732557872</v>
      </c>
      <c r="F474" s="1">
        <v>45882</v>
      </c>
      <c r="G474" s="43">
        <v>45889.63075236111</v>
      </c>
      <c r="H474" t="s">
        <v>3088</v>
      </c>
      <c r="I474" t="s">
        <v>2681</v>
      </c>
      <c r="J474" t="s">
        <v>2735</v>
      </c>
      <c r="L474" t="s">
        <v>2421</v>
      </c>
      <c r="M474">
        <v>97596278102</v>
      </c>
      <c r="N474" t="s">
        <v>2661</v>
      </c>
      <c r="O474" s="1">
        <v>45299</v>
      </c>
      <c r="T474" t="s">
        <v>2662</v>
      </c>
      <c r="U474" t="s">
        <v>3791</v>
      </c>
      <c r="V474">
        <v>5</v>
      </c>
      <c r="W474" t="s">
        <v>2677</v>
      </c>
      <c r="X474">
        <v>1</v>
      </c>
      <c r="Y474" t="s">
        <v>2807</v>
      </c>
      <c r="AA474">
        <v>97596278102</v>
      </c>
      <c r="AB474" t="s">
        <v>343</v>
      </c>
      <c r="AC474">
        <v>0</v>
      </c>
      <c r="AD474">
        <v>33</v>
      </c>
      <c r="AE474">
        <v>9759627810233</v>
      </c>
      <c r="AF474" t="s">
        <v>3779</v>
      </c>
      <c r="AG474">
        <v>0</v>
      </c>
      <c r="AH474">
        <v>0</v>
      </c>
    </row>
    <row r="475" spans="1:34">
      <c r="A475">
        <v>2025</v>
      </c>
      <c r="B475" s="1">
        <v>45870</v>
      </c>
      <c r="C475" t="s">
        <v>2657</v>
      </c>
      <c r="D475" s="44" t="s">
        <v>3792</v>
      </c>
      <c r="E475" s="43">
        <v>45882.666654039349</v>
      </c>
      <c r="F475" s="1">
        <v>45882</v>
      </c>
      <c r="G475" s="43">
        <v>45896.688579965281</v>
      </c>
      <c r="H475" t="s">
        <v>3088</v>
      </c>
      <c r="I475" t="s">
        <v>2681</v>
      </c>
      <c r="J475" t="s">
        <v>2735</v>
      </c>
      <c r="L475" t="s">
        <v>2421</v>
      </c>
      <c r="M475">
        <v>97596278102</v>
      </c>
      <c r="N475" t="s">
        <v>2661</v>
      </c>
      <c r="O475" s="1">
        <v>45299</v>
      </c>
      <c r="T475" t="s">
        <v>2662</v>
      </c>
      <c r="U475" t="s">
        <v>3793</v>
      </c>
      <c r="V475">
        <v>10</v>
      </c>
      <c r="W475" t="s">
        <v>2677</v>
      </c>
      <c r="X475">
        <v>1</v>
      </c>
      <c r="Y475" t="s">
        <v>2807</v>
      </c>
      <c r="AA475">
        <v>97596278102</v>
      </c>
      <c r="AB475" t="s">
        <v>343</v>
      </c>
      <c r="AC475">
        <v>0</v>
      </c>
      <c r="AD475">
        <v>33</v>
      </c>
      <c r="AE475">
        <v>9759627810233</v>
      </c>
      <c r="AF475" t="s">
        <v>3779</v>
      </c>
      <c r="AG475">
        <v>0</v>
      </c>
      <c r="AH475">
        <v>0</v>
      </c>
    </row>
    <row r="476" spans="1:34">
      <c r="A476">
        <v>2025</v>
      </c>
      <c r="B476" s="1">
        <v>45870</v>
      </c>
      <c r="C476" t="s">
        <v>2657</v>
      </c>
      <c r="D476" t="s">
        <v>3794</v>
      </c>
      <c r="E476" s="43">
        <v>45883.595643055553</v>
      </c>
      <c r="F476" s="1">
        <v>45883</v>
      </c>
      <c r="G476" s="43">
        <v>45888.862324201385</v>
      </c>
      <c r="H476" t="s">
        <v>3088</v>
      </c>
      <c r="I476" t="s">
        <v>2681</v>
      </c>
      <c r="J476" t="s">
        <v>2735</v>
      </c>
      <c r="L476" t="s">
        <v>2421</v>
      </c>
      <c r="M476">
        <v>97596278102</v>
      </c>
      <c r="N476" t="s">
        <v>2661</v>
      </c>
      <c r="O476" s="1">
        <v>45299</v>
      </c>
      <c r="T476" t="s">
        <v>2662</v>
      </c>
      <c r="U476" t="s">
        <v>3795</v>
      </c>
      <c r="V476">
        <v>3</v>
      </c>
      <c r="W476" t="s">
        <v>2677</v>
      </c>
      <c r="X476">
        <v>1</v>
      </c>
      <c r="Y476" t="s">
        <v>2807</v>
      </c>
      <c r="AA476">
        <v>97596278102</v>
      </c>
      <c r="AB476" t="s">
        <v>343</v>
      </c>
      <c r="AC476">
        <v>0</v>
      </c>
      <c r="AD476">
        <v>33</v>
      </c>
      <c r="AE476">
        <v>9759627810233</v>
      </c>
      <c r="AF476" t="s">
        <v>3779</v>
      </c>
      <c r="AG476">
        <v>0</v>
      </c>
      <c r="AH476">
        <v>0</v>
      </c>
    </row>
    <row r="477" spans="1:34">
      <c r="A477">
        <v>2025</v>
      </c>
      <c r="B477" s="1">
        <v>45870</v>
      </c>
      <c r="C477" t="s">
        <v>2657</v>
      </c>
      <c r="D477" t="s">
        <v>3796</v>
      </c>
      <c r="E477" s="43">
        <v>45880.535704560185</v>
      </c>
      <c r="F477" s="1">
        <v>45880</v>
      </c>
      <c r="G477" s="43">
        <v>45896.68871037037</v>
      </c>
      <c r="H477" t="s">
        <v>3088</v>
      </c>
      <c r="I477" t="s">
        <v>2681</v>
      </c>
      <c r="J477" t="s">
        <v>2735</v>
      </c>
      <c r="L477" t="s">
        <v>2421</v>
      </c>
      <c r="M477">
        <v>97596278102</v>
      </c>
      <c r="N477" t="s">
        <v>2661</v>
      </c>
      <c r="O477" s="1">
        <v>45299</v>
      </c>
      <c r="T477" t="s">
        <v>2662</v>
      </c>
      <c r="U477" t="s">
        <v>3797</v>
      </c>
      <c r="V477">
        <v>12</v>
      </c>
      <c r="W477" t="s">
        <v>2677</v>
      </c>
      <c r="X477">
        <v>1</v>
      </c>
      <c r="Y477" t="s">
        <v>2764</v>
      </c>
      <c r="AA477">
        <v>97596278102</v>
      </c>
      <c r="AB477" t="s">
        <v>343</v>
      </c>
      <c r="AC477">
        <v>0</v>
      </c>
      <c r="AD477">
        <v>33</v>
      </c>
      <c r="AE477">
        <v>9759627810233</v>
      </c>
      <c r="AF477" t="s">
        <v>3779</v>
      </c>
      <c r="AG477">
        <v>1</v>
      </c>
      <c r="AH477">
        <v>0</v>
      </c>
    </row>
    <row r="478" spans="1:34">
      <c r="A478">
        <v>2025</v>
      </c>
      <c r="B478" s="1">
        <v>45870</v>
      </c>
      <c r="C478" t="s">
        <v>2657</v>
      </c>
      <c r="D478" t="s">
        <v>3798</v>
      </c>
      <c r="E478" s="43">
        <v>45890.524549918984</v>
      </c>
      <c r="F478" s="1">
        <v>45890</v>
      </c>
      <c r="G478" s="43">
        <v>45894.519467314814</v>
      </c>
      <c r="H478" t="s">
        <v>3088</v>
      </c>
      <c r="I478" t="s">
        <v>2719</v>
      </c>
      <c r="J478" t="s">
        <v>2735</v>
      </c>
      <c r="L478" t="s">
        <v>2421</v>
      </c>
      <c r="M478">
        <v>97596278102</v>
      </c>
      <c r="N478" t="s">
        <v>2661</v>
      </c>
      <c r="O478" s="1">
        <v>45299</v>
      </c>
      <c r="T478" t="s">
        <v>2662</v>
      </c>
      <c r="U478" t="s">
        <v>3799</v>
      </c>
      <c r="V478">
        <v>2</v>
      </c>
      <c r="W478" t="s">
        <v>2677</v>
      </c>
      <c r="X478">
        <v>1</v>
      </c>
      <c r="Y478" t="s">
        <v>2807</v>
      </c>
      <c r="AA478">
        <v>97596278102</v>
      </c>
      <c r="AB478" t="s">
        <v>343</v>
      </c>
      <c r="AC478">
        <v>0</v>
      </c>
      <c r="AD478">
        <v>34</v>
      </c>
      <c r="AE478">
        <v>9759627810234</v>
      </c>
      <c r="AF478" t="s">
        <v>3779</v>
      </c>
      <c r="AG478">
        <v>0</v>
      </c>
      <c r="AH478">
        <v>0</v>
      </c>
    </row>
    <row r="479" spans="1:34">
      <c r="A479">
        <v>2025</v>
      </c>
      <c r="B479" s="1">
        <v>45870</v>
      </c>
      <c r="C479" t="s">
        <v>2657</v>
      </c>
      <c r="D479" s="44" t="s">
        <v>3800</v>
      </c>
      <c r="E479" s="43">
        <v>45887.822761377312</v>
      </c>
      <c r="F479" s="1">
        <v>45887</v>
      </c>
      <c r="G479" s="43">
        <v>45896.687254085649</v>
      </c>
      <c r="H479" t="s">
        <v>3088</v>
      </c>
      <c r="I479" t="s">
        <v>2719</v>
      </c>
      <c r="J479" t="s">
        <v>2735</v>
      </c>
      <c r="L479" t="s">
        <v>2421</v>
      </c>
      <c r="M479">
        <v>97596278102</v>
      </c>
      <c r="N479" t="s">
        <v>2661</v>
      </c>
      <c r="O479" s="1">
        <v>45299</v>
      </c>
      <c r="T479" t="s">
        <v>2662</v>
      </c>
      <c r="U479" t="s">
        <v>3801</v>
      </c>
      <c r="V479">
        <v>7</v>
      </c>
      <c r="W479" t="s">
        <v>2677</v>
      </c>
      <c r="X479">
        <v>1</v>
      </c>
      <c r="Y479" t="s">
        <v>2807</v>
      </c>
      <c r="AA479">
        <v>97596278102</v>
      </c>
      <c r="AB479" t="s">
        <v>343</v>
      </c>
      <c r="AC479">
        <v>0</v>
      </c>
      <c r="AD479">
        <v>34</v>
      </c>
      <c r="AE479">
        <v>9759627810234</v>
      </c>
      <c r="AF479" t="s">
        <v>3779</v>
      </c>
      <c r="AG479">
        <v>1</v>
      </c>
      <c r="AH479">
        <v>0</v>
      </c>
    </row>
    <row r="480" spans="1:34">
      <c r="A480">
        <v>2025</v>
      </c>
      <c r="B480" s="1">
        <v>45870</v>
      </c>
      <c r="C480" t="s">
        <v>2657</v>
      </c>
      <c r="D480" t="s">
        <v>3802</v>
      </c>
      <c r="E480" s="43">
        <v>45884.769658414349</v>
      </c>
      <c r="F480" s="1">
        <v>45884</v>
      </c>
      <c r="G480" s="43">
        <v>45897.632659814815</v>
      </c>
      <c r="H480" t="s">
        <v>3088</v>
      </c>
      <c r="I480" t="s">
        <v>2719</v>
      </c>
      <c r="J480" t="s">
        <v>2735</v>
      </c>
      <c r="L480" t="s">
        <v>2421</v>
      </c>
      <c r="M480">
        <v>97596278102</v>
      </c>
      <c r="N480" t="s">
        <v>2661</v>
      </c>
      <c r="O480" s="1">
        <v>45299</v>
      </c>
      <c r="T480" t="s">
        <v>2662</v>
      </c>
      <c r="U480" t="s">
        <v>3803</v>
      </c>
      <c r="V480">
        <v>9</v>
      </c>
      <c r="W480" t="s">
        <v>2677</v>
      </c>
      <c r="X480">
        <v>1</v>
      </c>
      <c r="Y480" t="s">
        <v>2807</v>
      </c>
      <c r="Z480" t="s">
        <v>2834</v>
      </c>
      <c r="AA480">
        <v>97596278102</v>
      </c>
      <c r="AB480" t="s">
        <v>343</v>
      </c>
      <c r="AC480">
        <v>0</v>
      </c>
      <c r="AD480">
        <v>33</v>
      </c>
      <c r="AE480">
        <v>9759627810233</v>
      </c>
      <c r="AF480" t="s">
        <v>3779</v>
      </c>
      <c r="AG480">
        <v>0</v>
      </c>
      <c r="AH480">
        <v>0</v>
      </c>
    </row>
    <row r="481" spans="1:34">
      <c r="A481">
        <v>2025</v>
      </c>
      <c r="B481" s="1">
        <v>45870</v>
      </c>
      <c r="C481" t="s">
        <v>2657</v>
      </c>
      <c r="D481" t="s">
        <v>3804</v>
      </c>
      <c r="E481" s="43">
        <v>45884.623473171298</v>
      </c>
      <c r="F481" s="1">
        <v>45884</v>
      </c>
      <c r="G481" s="43">
        <v>45888.862777719907</v>
      </c>
      <c r="H481" t="s">
        <v>3088</v>
      </c>
      <c r="I481" t="s">
        <v>2719</v>
      </c>
      <c r="J481" t="s">
        <v>2735</v>
      </c>
      <c r="L481" t="s">
        <v>2421</v>
      </c>
      <c r="M481">
        <v>97596278102</v>
      </c>
      <c r="N481" t="s">
        <v>2661</v>
      </c>
      <c r="O481" s="1">
        <v>45299</v>
      </c>
      <c r="T481" t="s">
        <v>2662</v>
      </c>
      <c r="U481" t="s">
        <v>3805</v>
      </c>
      <c r="V481">
        <v>2</v>
      </c>
      <c r="W481" t="s">
        <v>2677</v>
      </c>
      <c r="X481">
        <v>1</v>
      </c>
      <c r="Y481" t="s">
        <v>2807</v>
      </c>
      <c r="AA481">
        <v>97596278102</v>
      </c>
      <c r="AB481" t="s">
        <v>343</v>
      </c>
      <c r="AC481">
        <v>0</v>
      </c>
      <c r="AD481">
        <v>33</v>
      </c>
      <c r="AE481">
        <v>9759627810233</v>
      </c>
      <c r="AF481" t="s">
        <v>3779</v>
      </c>
      <c r="AG481">
        <v>0</v>
      </c>
      <c r="AH481">
        <v>0</v>
      </c>
    </row>
    <row r="482" spans="1:34">
      <c r="A482">
        <v>2025</v>
      </c>
      <c r="B482" s="1">
        <v>45870</v>
      </c>
      <c r="C482" t="s">
        <v>2657</v>
      </c>
      <c r="D482" t="s">
        <v>3806</v>
      </c>
      <c r="E482" s="43">
        <v>45894.546277314817</v>
      </c>
      <c r="F482" s="1">
        <v>45894</v>
      </c>
      <c r="G482" s="43">
        <v>45896.614739409721</v>
      </c>
      <c r="H482" t="s">
        <v>3088</v>
      </c>
      <c r="I482" t="s">
        <v>2660</v>
      </c>
      <c r="J482" t="s">
        <v>2735</v>
      </c>
      <c r="L482" t="s">
        <v>2421</v>
      </c>
      <c r="M482">
        <v>97596278102</v>
      </c>
      <c r="N482" t="s">
        <v>2661</v>
      </c>
      <c r="O482" s="1">
        <v>45299</v>
      </c>
      <c r="T482" t="s">
        <v>2662</v>
      </c>
      <c r="U482" t="s">
        <v>3807</v>
      </c>
      <c r="V482">
        <v>2</v>
      </c>
      <c r="W482" t="s">
        <v>2677</v>
      </c>
      <c r="X482">
        <v>1</v>
      </c>
      <c r="Y482" t="s">
        <v>2807</v>
      </c>
      <c r="AA482">
        <v>97596278102</v>
      </c>
      <c r="AB482" t="s">
        <v>343</v>
      </c>
      <c r="AC482">
        <v>0</v>
      </c>
      <c r="AD482">
        <v>35</v>
      </c>
      <c r="AE482">
        <v>9759627810235</v>
      </c>
      <c r="AF482" t="s">
        <v>3779</v>
      </c>
      <c r="AG482">
        <v>1</v>
      </c>
      <c r="AH482">
        <v>0</v>
      </c>
    </row>
    <row r="483" spans="1:34">
      <c r="A483">
        <v>2025</v>
      </c>
      <c r="B483" s="1">
        <v>45870</v>
      </c>
      <c r="C483" t="s">
        <v>2657</v>
      </c>
      <c r="D483" t="s">
        <v>3808</v>
      </c>
      <c r="E483" s="43">
        <v>45898.644994907409</v>
      </c>
      <c r="F483" s="1">
        <v>45898</v>
      </c>
      <c r="G483" s="43">
        <v>45938.509895937503</v>
      </c>
      <c r="H483" t="s">
        <v>3088</v>
      </c>
      <c r="I483" t="s">
        <v>2697</v>
      </c>
      <c r="J483" t="s">
        <v>2735</v>
      </c>
      <c r="L483" t="s">
        <v>2421</v>
      </c>
      <c r="M483">
        <v>97596278102</v>
      </c>
      <c r="N483" t="s">
        <v>2661</v>
      </c>
      <c r="O483" s="1">
        <v>45299</v>
      </c>
      <c r="T483" t="s">
        <v>2662</v>
      </c>
      <c r="U483" t="s">
        <v>3809</v>
      </c>
      <c r="V483">
        <v>28</v>
      </c>
      <c r="W483" t="s">
        <v>2677</v>
      </c>
      <c r="X483">
        <v>1</v>
      </c>
      <c r="Y483" t="s">
        <v>2740</v>
      </c>
      <c r="Z483" t="s">
        <v>2834</v>
      </c>
      <c r="AA483">
        <v>97596278102</v>
      </c>
      <c r="AB483" t="s">
        <v>343</v>
      </c>
      <c r="AC483">
        <v>0</v>
      </c>
      <c r="AD483">
        <v>35</v>
      </c>
      <c r="AE483">
        <v>9759627810235</v>
      </c>
      <c r="AF483" t="s">
        <v>3779</v>
      </c>
      <c r="AG483">
        <v>0</v>
      </c>
      <c r="AH483">
        <v>0</v>
      </c>
    </row>
    <row r="484" spans="1:34">
      <c r="A484">
        <v>2025</v>
      </c>
      <c r="B484" s="1">
        <v>45870</v>
      </c>
      <c r="C484" t="s">
        <v>2657</v>
      </c>
      <c r="D484" t="s">
        <v>3810</v>
      </c>
      <c r="E484" s="43">
        <v>45898.513345624997</v>
      </c>
      <c r="F484" s="1">
        <v>45898</v>
      </c>
      <c r="G484" s="43">
        <v>45903.806269351851</v>
      </c>
      <c r="H484" t="s">
        <v>3088</v>
      </c>
      <c r="I484" t="s">
        <v>2697</v>
      </c>
      <c r="J484" t="s">
        <v>2735</v>
      </c>
      <c r="L484" t="s">
        <v>2421</v>
      </c>
      <c r="M484">
        <v>97596278102</v>
      </c>
      <c r="N484" t="s">
        <v>2661</v>
      </c>
      <c r="O484" s="1">
        <v>45299</v>
      </c>
      <c r="T484" t="s">
        <v>2662</v>
      </c>
      <c r="U484" t="s">
        <v>3811</v>
      </c>
      <c r="V484">
        <v>3</v>
      </c>
      <c r="W484" t="s">
        <v>2671</v>
      </c>
      <c r="X484">
        <v>1</v>
      </c>
      <c r="Y484" t="s">
        <v>2764</v>
      </c>
      <c r="AA484">
        <v>97596278102</v>
      </c>
      <c r="AB484" t="s">
        <v>343</v>
      </c>
      <c r="AC484">
        <v>0</v>
      </c>
      <c r="AD484">
        <v>35</v>
      </c>
      <c r="AE484">
        <v>9759627810235</v>
      </c>
      <c r="AF484" t="s">
        <v>3779</v>
      </c>
      <c r="AG484">
        <v>0</v>
      </c>
      <c r="AH484">
        <v>0</v>
      </c>
    </row>
    <row r="485" spans="1:34">
      <c r="A485">
        <v>2025</v>
      </c>
      <c r="B485" s="1">
        <v>45870</v>
      </c>
      <c r="C485" t="s">
        <v>2657</v>
      </c>
      <c r="D485" t="s">
        <v>3812</v>
      </c>
      <c r="E485" s="43">
        <v>45898.703585185183</v>
      </c>
      <c r="F485" s="1">
        <v>45898</v>
      </c>
      <c r="G485" s="43">
        <v>45898.703585185183</v>
      </c>
      <c r="H485" t="s">
        <v>3088</v>
      </c>
      <c r="I485" t="s">
        <v>2697</v>
      </c>
      <c r="J485" t="s">
        <v>2735</v>
      </c>
      <c r="L485" t="s">
        <v>2421</v>
      </c>
      <c r="M485">
        <v>97596278102</v>
      </c>
      <c r="N485" t="s">
        <v>2661</v>
      </c>
      <c r="O485" s="1">
        <v>45299</v>
      </c>
      <c r="T485" t="s">
        <v>2662</v>
      </c>
      <c r="U485" t="s">
        <v>3813</v>
      </c>
      <c r="V485">
        <v>0</v>
      </c>
      <c r="W485" t="s">
        <v>2985</v>
      </c>
      <c r="X485">
        <v>1</v>
      </c>
      <c r="Y485" t="s">
        <v>2695</v>
      </c>
      <c r="AA485">
        <v>97596278102</v>
      </c>
      <c r="AB485" t="s">
        <v>343</v>
      </c>
      <c r="AC485">
        <v>0</v>
      </c>
      <c r="AD485">
        <v>35</v>
      </c>
      <c r="AE485">
        <v>9759627810235</v>
      </c>
      <c r="AF485" t="s">
        <v>3779</v>
      </c>
      <c r="AG485">
        <v>0</v>
      </c>
      <c r="AH485">
        <v>0</v>
      </c>
    </row>
    <row r="486" spans="1:34">
      <c r="A486">
        <v>2025</v>
      </c>
      <c r="B486" s="1">
        <v>45870</v>
      </c>
      <c r="C486" t="s">
        <v>2657</v>
      </c>
      <c r="D486" t="s">
        <v>3814</v>
      </c>
      <c r="E486" s="43">
        <v>45898.514199826386</v>
      </c>
      <c r="F486" s="1">
        <v>45898</v>
      </c>
      <c r="G486" s="43">
        <v>45898.514199826386</v>
      </c>
      <c r="H486" t="s">
        <v>3088</v>
      </c>
      <c r="I486" t="s">
        <v>2697</v>
      </c>
      <c r="J486" t="s">
        <v>2735</v>
      </c>
      <c r="L486" t="s">
        <v>2421</v>
      </c>
      <c r="M486">
        <v>97596278102</v>
      </c>
      <c r="N486" t="s">
        <v>2661</v>
      </c>
      <c r="O486" s="1">
        <v>45299</v>
      </c>
      <c r="T486" t="s">
        <v>2662</v>
      </c>
      <c r="U486" t="s">
        <v>3815</v>
      </c>
      <c r="V486">
        <v>0</v>
      </c>
      <c r="W486" t="s">
        <v>2677</v>
      </c>
      <c r="X486">
        <v>1</v>
      </c>
      <c r="Y486" t="s">
        <v>2695</v>
      </c>
      <c r="AA486">
        <v>97596278102</v>
      </c>
      <c r="AB486" t="s">
        <v>343</v>
      </c>
      <c r="AC486">
        <v>0</v>
      </c>
      <c r="AD486">
        <v>35</v>
      </c>
      <c r="AE486">
        <v>9759627810235</v>
      </c>
      <c r="AF486" t="s">
        <v>3779</v>
      </c>
      <c r="AG486">
        <v>0</v>
      </c>
      <c r="AH486">
        <v>0</v>
      </c>
    </row>
    <row r="487" spans="1:34">
      <c r="A487">
        <v>2025</v>
      </c>
      <c r="B487" s="1">
        <v>45870</v>
      </c>
      <c r="C487" t="s">
        <v>2657</v>
      </c>
      <c r="D487" s="44" t="s">
        <v>3816</v>
      </c>
      <c r="E487" s="43">
        <v>45898.820281250002</v>
      </c>
      <c r="F487" s="1">
        <v>45898</v>
      </c>
      <c r="G487" s="43">
        <v>45936.563658043982</v>
      </c>
      <c r="H487" t="s">
        <v>3088</v>
      </c>
      <c r="I487" t="s">
        <v>2697</v>
      </c>
      <c r="J487" t="s">
        <v>38</v>
      </c>
      <c r="L487" t="s">
        <v>2355</v>
      </c>
      <c r="M487">
        <v>60238888002</v>
      </c>
      <c r="N487" t="s">
        <v>2702</v>
      </c>
      <c r="O487" s="1">
        <v>45324</v>
      </c>
      <c r="T487" t="s">
        <v>2662</v>
      </c>
      <c r="U487" t="s">
        <v>3817</v>
      </c>
      <c r="V487">
        <v>26</v>
      </c>
      <c r="X487">
        <v>1</v>
      </c>
      <c r="Y487" t="s">
        <v>2710</v>
      </c>
      <c r="AA487">
        <v>60238888002</v>
      </c>
      <c r="AB487" t="s">
        <v>1024</v>
      </c>
      <c r="AC487">
        <v>0</v>
      </c>
      <c r="AD487">
        <v>35</v>
      </c>
      <c r="AE487">
        <v>6023888800235</v>
      </c>
      <c r="AF487" t="s">
        <v>3818</v>
      </c>
      <c r="AG487">
        <v>1</v>
      </c>
      <c r="AH487">
        <v>1</v>
      </c>
    </row>
    <row r="488" spans="1:34">
      <c r="A488">
        <v>2025</v>
      </c>
      <c r="B488" s="1">
        <v>45962</v>
      </c>
      <c r="C488" t="s">
        <v>2657</v>
      </c>
      <c r="D488" s="44" t="s">
        <v>3819</v>
      </c>
      <c r="E488" s="43">
        <v>45968.675787974535</v>
      </c>
      <c r="F488" s="1">
        <v>45968</v>
      </c>
      <c r="G488" s="43">
        <v>45968.675787974535</v>
      </c>
      <c r="H488" t="s">
        <v>2802</v>
      </c>
      <c r="I488" t="s">
        <v>2669</v>
      </c>
      <c r="J488" t="s">
        <v>100</v>
      </c>
      <c r="L488" t="s">
        <v>2353</v>
      </c>
      <c r="M488">
        <v>247227556102</v>
      </c>
      <c r="N488" t="s">
        <v>2702</v>
      </c>
      <c r="O488" s="1">
        <v>45006</v>
      </c>
      <c r="T488" t="s">
        <v>2662</v>
      </c>
      <c r="U488" t="s">
        <v>3820</v>
      </c>
      <c r="V488">
        <v>0</v>
      </c>
      <c r="W488" t="s">
        <v>2664</v>
      </c>
      <c r="X488">
        <v>1</v>
      </c>
      <c r="Y488" t="s">
        <v>2695</v>
      </c>
      <c r="AA488">
        <v>247227556102</v>
      </c>
      <c r="AB488" t="s">
        <v>270</v>
      </c>
      <c r="AC488">
        <v>0</v>
      </c>
      <c r="AD488">
        <v>45</v>
      </c>
      <c r="AE488">
        <v>24722755610245</v>
      </c>
      <c r="AF488" t="s">
        <v>3821</v>
      </c>
      <c r="AG488">
        <v>1</v>
      </c>
      <c r="AH488">
        <v>1</v>
      </c>
    </row>
    <row r="489" spans="1:34">
      <c r="A489">
        <v>2025</v>
      </c>
      <c r="B489" s="1">
        <v>45962</v>
      </c>
      <c r="C489" t="s">
        <v>2657</v>
      </c>
      <c r="D489" t="s">
        <v>3822</v>
      </c>
      <c r="E489" s="43">
        <v>45974.810425763892</v>
      </c>
      <c r="F489" s="1">
        <v>45974</v>
      </c>
      <c r="G489" s="43">
        <v>45974.810425763892</v>
      </c>
      <c r="H489" t="s">
        <v>2802</v>
      </c>
      <c r="I489" t="s">
        <v>2681</v>
      </c>
      <c r="J489" t="s">
        <v>100</v>
      </c>
      <c r="L489" t="s">
        <v>2353</v>
      </c>
      <c r="M489">
        <v>564320905202</v>
      </c>
      <c r="N489" t="s">
        <v>2702</v>
      </c>
      <c r="O489" s="1">
        <v>45384</v>
      </c>
      <c r="T489" t="s">
        <v>2662</v>
      </c>
      <c r="U489" t="s">
        <v>3823</v>
      </c>
      <c r="V489">
        <v>0</v>
      </c>
      <c r="W489" t="s">
        <v>2671</v>
      </c>
      <c r="X489">
        <v>1</v>
      </c>
      <c r="Y489" t="s">
        <v>2692</v>
      </c>
      <c r="AA489">
        <v>247227556102</v>
      </c>
      <c r="AB489" t="s">
        <v>270</v>
      </c>
      <c r="AC489">
        <v>0</v>
      </c>
      <c r="AD489">
        <v>46</v>
      </c>
      <c r="AE489">
        <v>24722755610246</v>
      </c>
      <c r="AF489" t="s">
        <v>3821</v>
      </c>
      <c r="AG489">
        <v>1</v>
      </c>
      <c r="AH489">
        <v>0</v>
      </c>
    </row>
    <row r="490" spans="1:34">
      <c r="A490">
        <v>2025</v>
      </c>
      <c r="B490" s="1">
        <v>45962</v>
      </c>
      <c r="C490" t="s">
        <v>2657</v>
      </c>
      <c r="D490" t="s">
        <v>3824</v>
      </c>
      <c r="E490" s="43">
        <v>45985.638059386576</v>
      </c>
      <c r="F490" s="1">
        <v>45985</v>
      </c>
      <c r="G490" s="43">
        <v>46030.548049502315</v>
      </c>
      <c r="H490" t="s">
        <v>2802</v>
      </c>
      <c r="I490" t="s">
        <v>2660</v>
      </c>
      <c r="J490" t="s">
        <v>100</v>
      </c>
      <c r="L490" t="s">
        <v>2353</v>
      </c>
      <c r="M490">
        <v>247227556102</v>
      </c>
      <c r="N490" t="s">
        <v>2702</v>
      </c>
      <c r="O490" s="1">
        <v>45006</v>
      </c>
      <c r="T490" t="s">
        <v>2662</v>
      </c>
      <c r="U490" t="s">
        <v>3825</v>
      </c>
      <c r="V490">
        <v>33</v>
      </c>
      <c r="W490" t="s">
        <v>2677</v>
      </c>
      <c r="X490">
        <v>1</v>
      </c>
      <c r="Y490" t="s">
        <v>2757</v>
      </c>
      <c r="AA490">
        <v>247227556102</v>
      </c>
      <c r="AB490" t="s">
        <v>270</v>
      </c>
      <c r="AC490">
        <v>0</v>
      </c>
      <c r="AD490">
        <v>48</v>
      </c>
      <c r="AE490">
        <v>24722755610248</v>
      </c>
      <c r="AF490" t="s">
        <v>3821</v>
      </c>
      <c r="AG490">
        <v>1</v>
      </c>
      <c r="AH490">
        <v>0</v>
      </c>
    </row>
    <row r="491" spans="1:34">
      <c r="A491">
        <v>2025</v>
      </c>
      <c r="B491" s="1">
        <v>45931</v>
      </c>
      <c r="C491" t="s">
        <v>2657</v>
      </c>
      <c r="D491" t="s">
        <v>3826</v>
      </c>
      <c r="E491" s="43">
        <v>45958.687628692132</v>
      </c>
      <c r="F491" s="1">
        <v>45958</v>
      </c>
      <c r="G491" s="43">
        <v>45958.687628692132</v>
      </c>
      <c r="H491" t="s">
        <v>2659</v>
      </c>
      <c r="I491" t="s">
        <v>2660</v>
      </c>
      <c r="J491" t="s">
        <v>36</v>
      </c>
      <c r="L491" t="s">
        <v>2355</v>
      </c>
      <c r="M491">
        <v>153775969402</v>
      </c>
      <c r="N491" t="s">
        <v>2702</v>
      </c>
      <c r="O491" s="1">
        <v>45673</v>
      </c>
      <c r="T491" t="s">
        <v>2662</v>
      </c>
      <c r="U491" t="s">
        <v>3827</v>
      </c>
      <c r="V491">
        <v>0</v>
      </c>
      <c r="W491" t="s">
        <v>2677</v>
      </c>
      <c r="X491">
        <v>1</v>
      </c>
      <c r="Y491" t="s">
        <v>2807</v>
      </c>
      <c r="AA491">
        <v>153775969402</v>
      </c>
      <c r="AB491" t="s">
        <v>1002</v>
      </c>
      <c r="AC491">
        <v>0</v>
      </c>
      <c r="AD491">
        <v>44</v>
      </c>
      <c r="AE491">
        <v>15377596940244</v>
      </c>
      <c r="AF491" t="s">
        <v>3828</v>
      </c>
      <c r="AG491">
        <v>0</v>
      </c>
      <c r="AH491">
        <v>0</v>
      </c>
    </row>
    <row r="492" spans="1:34">
      <c r="A492">
        <v>2025</v>
      </c>
      <c r="B492" s="1">
        <v>45931</v>
      </c>
      <c r="C492" t="s">
        <v>2657</v>
      </c>
      <c r="D492" t="s">
        <v>3829</v>
      </c>
      <c r="E492" s="43">
        <v>45958.681061377312</v>
      </c>
      <c r="F492" s="1">
        <v>45958</v>
      </c>
      <c r="G492" s="43">
        <v>45965.877930173614</v>
      </c>
      <c r="H492" t="s">
        <v>2659</v>
      </c>
      <c r="I492" t="s">
        <v>2660</v>
      </c>
      <c r="J492" t="s">
        <v>36</v>
      </c>
      <c r="L492" t="s">
        <v>2355</v>
      </c>
      <c r="M492">
        <v>195492390002</v>
      </c>
      <c r="N492" t="s">
        <v>2702</v>
      </c>
      <c r="O492" s="1">
        <v>45673</v>
      </c>
      <c r="T492" t="s">
        <v>2662</v>
      </c>
      <c r="U492" t="s">
        <v>3830</v>
      </c>
      <c r="V492">
        <v>5</v>
      </c>
      <c r="W492" t="s">
        <v>2677</v>
      </c>
      <c r="X492">
        <v>1</v>
      </c>
      <c r="Y492" t="s">
        <v>2678</v>
      </c>
      <c r="AA492">
        <v>153775969402</v>
      </c>
      <c r="AB492" t="s">
        <v>1002</v>
      </c>
      <c r="AC492">
        <v>0</v>
      </c>
      <c r="AD492">
        <v>44</v>
      </c>
      <c r="AE492">
        <v>15377596940244</v>
      </c>
      <c r="AF492" t="s">
        <v>3828</v>
      </c>
      <c r="AG492">
        <v>1</v>
      </c>
      <c r="AH492">
        <v>0</v>
      </c>
    </row>
    <row r="493" spans="1:34">
      <c r="A493">
        <v>2025</v>
      </c>
      <c r="B493" s="1">
        <v>45931</v>
      </c>
      <c r="C493" t="s">
        <v>2657</v>
      </c>
      <c r="D493" t="s">
        <v>3831</v>
      </c>
      <c r="E493" s="43">
        <v>45952.505004305553</v>
      </c>
      <c r="F493" s="1">
        <v>45952</v>
      </c>
      <c r="G493" s="43">
        <v>45958.722032881946</v>
      </c>
      <c r="H493" t="s">
        <v>2659</v>
      </c>
      <c r="I493" t="s">
        <v>2660</v>
      </c>
      <c r="J493" t="s">
        <v>36</v>
      </c>
      <c r="L493" t="s">
        <v>2355</v>
      </c>
      <c r="M493">
        <v>153775969402</v>
      </c>
      <c r="N493" t="s">
        <v>2702</v>
      </c>
      <c r="O493" s="1">
        <v>45673</v>
      </c>
      <c r="T493" t="s">
        <v>2662</v>
      </c>
      <c r="U493" t="s">
        <v>3832</v>
      </c>
      <c r="V493">
        <v>4</v>
      </c>
      <c r="W493" t="s">
        <v>2671</v>
      </c>
      <c r="X493">
        <v>1</v>
      </c>
      <c r="Y493" t="s">
        <v>2695</v>
      </c>
      <c r="AA493">
        <v>153775969402</v>
      </c>
      <c r="AB493" t="s">
        <v>1002</v>
      </c>
      <c r="AC493">
        <v>0</v>
      </c>
      <c r="AD493">
        <v>43</v>
      </c>
      <c r="AE493">
        <v>15377596940243</v>
      </c>
      <c r="AF493" t="s">
        <v>3828</v>
      </c>
      <c r="AG493">
        <v>1</v>
      </c>
      <c r="AH493">
        <v>1</v>
      </c>
    </row>
    <row r="494" spans="1:34">
      <c r="A494">
        <v>2026</v>
      </c>
      <c r="B494" s="1">
        <v>46023</v>
      </c>
      <c r="C494" t="s">
        <v>2657</v>
      </c>
      <c r="D494" t="s">
        <v>3833</v>
      </c>
      <c r="E494" s="43">
        <v>46029.494424050929</v>
      </c>
      <c r="F494" s="1">
        <v>46029</v>
      </c>
      <c r="G494" s="43">
        <v>46030.628604942132</v>
      </c>
      <c r="H494" t="s">
        <v>2701</v>
      </c>
      <c r="I494" t="s">
        <v>2669</v>
      </c>
      <c r="J494" t="s">
        <v>39</v>
      </c>
      <c r="L494" t="s">
        <v>2336</v>
      </c>
      <c r="M494">
        <v>161445746002</v>
      </c>
      <c r="N494" t="s">
        <v>2746</v>
      </c>
      <c r="O494" s="1">
        <v>45673</v>
      </c>
      <c r="T494" t="s">
        <v>2662</v>
      </c>
      <c r="U494" t="s">
        <v>3834</v>
      </c>
      <c r="V494">
        <v>1</v>
      </c>
      <c r="W494" t="s">
        <v>2677</v>
      </c>
      <c r="X494">
        <v>1</v>
      </c>
      <c r="Y494" t="s">
        <v>2779</v>
      </c>
      <c r="Z494" t="s">
        <v>2684</v>
      </c>
      <c r="AA494">
        <v>11103651302</v>
      </c>
      <c r="AB494" t="s">
        <v>1482</v>
      </c>
      <c r="AC494">
        <v>0</v>
      </c>
      <c r="AD494">
        <v>2</v>
      </c>
      <c r="AE494">
        <v>111036513022</v>
      </c>
      <c r="AF494" t="s">
        <v>3835</v>
      </c>
      <c r="AG494">
        <v>1</v>
      </c>
      <c r="AH494">
        <v>1</v>
      </c>
    </row>
    <row r="495" spans="1:34">
      <c r="A495">
        <v>2026</v>
      </c>
      <c r="B495" s="1">
        <v>46023</v>
      </c>
      <c r="C495" t="s">
        <v>2657</v>
      </c>
      <c r="D495" t="s">
        <v>3836</v>
      </c>
      <c r="E495" s="43">
        <v>46034.61993601852</v>
      </c>
      <c r="F495" s="1">
        <v>46034</v>
      </c>
      <c r="G495" s="43">
        <v>46035.571685451388</v>
      </c>
      <c r="H495" t="s">
        <v>2701</v>
      </c>
      <c r="I495" t="s">
        <v>2681</v>
      </c>
      <c r="J495" t="s">
        <v>39</v>
      </c>
      <c r="L495" t="s">
        <v>2336</v>
      </c>
      <c r="M495">
        <v>161445746002</v>
      </c>
      <c r="N495" t="s">
        <v>2746</v>
      </c>
      <c r="O495" s="1">
        <v>45673</v>
      </c>
      <c r="T495" t="s">
        <v>2662</v>
      </c>
      <c r="U495" t="s">
        <v>3837</v>
      </c>
      <c r="V495">
        <v>1</v>
      </c>
      <c r="W495" t="s">
        <v>2677</v>
      </c>
      <c r="X495">
        <v>1</v>
      </c>
      <c r="Y495" t="s">
        <v>2807</v>
      </c>
      <c r="AA495">
        <v>11103651302</v>
      </c>
      <c r="AB495" t="s">
        <v>1482</v>
      </c>
      <c r="AC495">
        <v>0</v>
      </c>
      <c r="AD495">
        <v>3</v>
      </c>
      <c r="AE495">
        <v>111036513023</v>
      </c>
      <c r="AF495" t="s">
        <v>3835</v>
      </c>
      <c r="AG495">
        <v>1</v>
      </c>
      <c r="AH495">
        <v>0</v>
      </c>
    </row>
    <row r="496" spans="1:34">
      <c r="A496">
        <v>2026</v>
      </c>
      <c r="B496" s="1">
        <v>46023</v>
      </c>
      <c r="C496" t="s">
        <v>2657</v>
      </c>
      <c r="D496" t="s">
        <v>3838</v>
      </c>
      <c r="E496" s="43">
        <v>46048.712410983797</v>
      </c>
      <c r="F496" s="1">
        <v>46048</v>
      </c>
      <c r="G496" s="43">
        <v>46048.712410983797</v>
      </c>
      <c r="H496" t="s">
        <v>2701</v>
      </c>
      <c r="I496" t="s">
        <v>2660</v>
      </c>
      <c r="J496" t="s">
        <v>39</v>
      </c>
      <c r="L496" t="s">
        <v>2336</v>
      </c>
      <c r="M496">
        <v>161445746002</v>
      </c>
      <c r="N496" t="s">
        <v>2746</v>
      </c>
      <c r="O496" s="1">
        <v>45673</v>
      </c>
      <c r="T496" t="s">
        <v>2662</v>
      </c>
      <c r="U496" t="s">
        <v>3839</v>
      </c>
      <c r="V496">
        <v>0</v>
      </c>
      <c r="W496" t="s">
        <v>2671</v>
      </c>
      <c r="X496">
        <v>1</v>
      </c>
      <c r="Y496" t="s">
        <v>2764</v>
      </c>
      <c r="AA496">
        <v>11103651302</v>
      </c>
      <c r="AB496" t="s">
        <v>1482</v>
      </c>
      <c r="AC496">
        <v>0</v>
      </c>
      <c r="AD496">
        <v>5</v>
      </c>
      <c r="AE496">
        <v>111036513025</v>
      </c>
      <c r="AF496" t="s">
        <v>3835</v>
      </c>
      <c r="AG496">
        <v>1</v>
      </c>
      <c r="AH496">
        <v>0</v>
      </c>
    </row>
    <row r="497" spans="1:34">
      <c r="A497">
        <v>2026</v>
      </c>
      <c r="B497" s="1">
        <v>46023</v>
      </c>
      <c r="C497" t="s">
        <v>2657</v>
      </c>
      <c r="D497" t="s">
        <v>3840</v>
      </c>
      <c r="E497" s="43">
        <v>46045.49977761574</v>
      </c>
      <c r="F497" s="1">
        <v>46045</v>
      </c>
      <c r="G497" s="43">
        <v>46051.644870520831</v>
      </c>
      <c r="H497" t="s">
        <v>2701</v>
      </c>
      <c r="I497" t="s">
        <v>2660</v>
      </c>
      <c r="J497" t="s">
        <v>39</v>
      </c>
      <c r="L497" t="s">
        <v>2336</v>
      </c>
      <c r="M497">
        <v>161445746002</v>
      </c>
      <c r="N497" t="s">
        <v>2746</v>
      </c>
      <c r="O497" s="1">
        <v>45673</v>
      </c>
      <c r="T497" t="s">
        <v>2662</v>
      </c>
      <c r="U497" t="s">
        <v>3841</v>
      </c>
      <c r="V497">
        <v>4</v>
      </c>
      <c r="W497" t="s">
        <v>2677</v>
      </c>
      <c r="X497">
        <v>1</v>
      </c>
      <c r="Y497" t="s">
        <v>2678</v>
      </c>
      <c r="AA497">
        <v>11103651302</v>
      </c>
      <c r="AB497" t="s">
        <v>1482</v>
      </c>
      <c r="AC497">
        <v>0</v>
      </c>
      <c r="AD497">
        <v>4</v>
      </c>
      <c r="AE497">
        <v>111036513024</v>
      </c>
      <c r="AF497" t="s">
        <v>3835</v>
      </c>
      <c r="AG497">
        <v>1</v>
      </c>
      <c r="AH497">
        <v>0</v>
      </c>
    </row>
    <row r="498" spans="1:34">
      <c r="A498">
        <v>2026</v>
      </c>
      <c r="B498" s="1">
        <v>46023</v>
      </c>
      <c r="C498" t="s">
        <v>2657</v>
      </c>
      <c r="D498" t="s">
        <v>3842</v>
      </c>
      <c r="E498" s="43">
        <v>46045.773473333335</v>
      </c>
      <c r="F498" s="1">
        <v>46045</v>
      </c>
      <c r="G498" s="43">
        <v>46045.773473333335</v>
      </c>
      <c r="H498" t="s">
        <v>2701</v>
      </c>
      <c r="I498" t="s">
        <v>2660</v>
      </c>
      <c r="J498" t="s">
        <v>39</v>
      </c>
      <c r="L498" t="s">
        <v>2336</v>
      </c>
      <c r="M498">
        <v>161445746002</v>
      </c>
      <c r="N498" t="s">
        <v>2746</v>
      </c>
      <c r="O498" s="1">
        <v>45673</v>
      </c>
      <c r="T498" t="s">
        <v>2662</v>
      </c>
      <c r="U498" t="s">
        <v>3843</v>
      </c>
      <c r="V498">
        <v>0</v>
      </c>
      <c r="W498" t="s">
        <v>2671</v>
      </c>
      <c r="X498">
        <v>1</v>
      </c>
      <c r="Y498" t="s">
        <v>2764</v>
      </c>
      <c r="AA498">
        <v>11103651302</v>
      </c>
      <c r="AB498" t="s">
        <v>1482</v>
      </c>
      <c r="AC498">
        <v>0</v>
      </c>
      <c r="AD498">
        <v>4</v>
      </c>
      <c r="AE498">
        <v>111036513024</v>
      </c>
      <c r="AF498" t="s">
        <v>3835</v>
      </c>
      <c r="AG498">
        <v>0</v>
      </c>
      <c r="AH498">
        <v>0</v>
      </c>
    </row>
    <row r="499" spans="1:34">
      <c r="A499">
        <v>2026</v>
      </c>
      <c r="B499" s="1">
        <v>46082</v>
      </c>
      <c r="C499" t="s">
        <v>2657</v>
      </c>
      <c r="D499" t="s">
        <v>3844</v>
      </c>
      <c r="E499" s="43">
        <v>46084.758128587964</v>
      </c>
      <c r="F499" s="1">
        <v>46084</v>
      </c>
      <c r="G499" s="43">
        <v>46086.706127731479</v>
      </c>
      <c r="H499" t="s">
        <v>2668</v>
      </c>
      <c r="I499" t="s">
        <v>2669</v>
      </c>
      <c r="J499" t="s">
        <v>38</v>
      </c>
      <c r="L499" t="s">
        <v>2347</v>
      </c>
      <c r="M499">
        <v>128837707402</v>
      </c>
      <c r="N499" t="s">
        <v>2675</v>
      </c>
      <c r="O499" s="1">
        <v>45669</v>
      </c>
      <c r="T499" t="s">
        <v>2662</v>
      </c>
      <c r="U499" t="s">
        <v>3845</v>
      </c>
      <c r="V499">
        <v>2</v>
      </c>
      <c r="X499">
        <v>1</v>
      </c>
      <c r="Y499" t="s">
        <v>2717</v>
      </c>
      <c r="AA499">
        <v>128837707402</v>
      </c>
      <c r="AB499" t="s">
        <v>390</v>
      </c>
      <c r="AC499">
        <v>1</v>
      </c>
      <c r="AD499">
        <v>10</v>
      </c>
      <c r="AE499">
        <v>12883770740210</v>
      </c>
      <c r="AF499" t="s">
        <v>3846</v>
      </c>
      <c r="AG499">
        <v>1</v>
      </c>
      <c r="AH499">
        <v>1</v>
      </c>
    </row>
    <row r="500" spans="1:34">
      <c r="A500">
        <v>2025</v>
      </c>
      <c r="B500" s="1">
        <v>45992</v>
      </c>
      <c r="C500" t="s">
        <v>2657</v>
      </c>
      <c r="D500" t="s">
        <v>3847</v>
      </c>
      <c r="E500" s="43">
        <v>46003.738364722223</v>
      </c>
      <c r="F500" s="1">
        <v>46003</v>
      </c>
      <c r="G500" s="43">
        <v>46078.836719340281</v>
      </c>
      <c r="H500" t="s">
        <v>2686</v>
      </c>
      <c r="I500" t="s">
        <v>2681</v>
      </c>
      <c r="J500" t="s">
        <v>100</v>
      </c>
      <c r="L500" t="s">
        <v>2381</v>
      </c>
      <c r="M500">
        <v>183456830502</v>
      </c>
      <c r="N500" t="s">
        <v>2702</v>
      </c>
      <c r="O500" s="1">
        <v>45661</v>
      </c>
      <c r="T500" t="s">
        <v>2798</v>
      </c>
      <c r="U500" t="s">
        <v>3848</v>
      </c>
      <c r="V500">
        <v>65</v>
      </c>
      <c r="W500" t="s">
        <v>2743</v>
      </c>
      <c r="X500">
        <v>0</v>
      </c>
      <c r="Y500" t="s">
        <v>2699</v>
      </c>
      <c r="AA500">
        <v>183456830502</v>
      </c>
      <c r="AB500" t="s">
        <v>1466</v>
      </c>
      <c r="AC500">
        <v>0</v>
      </c>
      <c r="AD500">
        <v>50</v>
      </c>
      <c r="AE500">
        <v>18345683050250</v>
      </c>
      <c r="AF500" t="s">
        <v>3849</v>
      </c>
      <c r="AG500">
        <v>1</v>
      </c>
      <c r="AH500">
        <v>1</v>
      </c>
    </row>
    <row r="501" spans="1:34">
      <c r="A501">
        <v>2025</v>
      </c>
      <c r="B501" s="1">
        <v>45992</v>
      </c>
      <c r="C501" t="s">
        <v>2657</v>
      </c>
      <c r="D501" t="s">
        <v>3850</v>
      </c>
      <c r="E501" s="43">
        <v>46008.64127738426</v>
      </c>
      <c r="F501" s="1">
        <v>46008</v>
      </c>
      <c r="G501" s="43">
        <v>46035.585527662035</v>
      </c>
      <c r="H501" t="s">
        <v>2686</v>
      </c>
      <c r="I501" t="s">
        <v>2719</v>
      </c>
      <c r="J501" t="s">
        <v>100</v>
      </c>
      <c r="L501" t="s">
        <v>2381</v>
      </c>
      <c r="M501">
        <v>183456830502</v>
      </c>
      <c r="N501" t="s">
        <v>2702</v>
      </c>
      <c r="O501" s="1">
        <v>45661</v>
      </c>
      <c r="T501" t="s">
        <v>2662</v>
      </c>
      <c r="U501" t="s">
        <v>3851</v>
      </c>
      <c r="V501">
        <v>19</v>
      </c>
      <c r="W501" t="s">
        <v>2743</v>
      </c>
      <c r="X501">
        <v>1</v>
      </c>
      <c r="Y501" t="s">
        <v>2710</v>
      </c>
      <c r="AA501">
        <v>183456830502</v>
      </c>
      <c r="AB501" t="s">
        <v>1466</v>
      </c>
      <c r="AC501">
        <v>0</v>
      </c>
      <c r="AD501">
        <v>51</v>
      </c>
      <c r="AE501">
        <v>18345683050251</v>
      </c>
      <c r="AF501" t="s">
        <v>3849</v>
      </c>
      <c r="AG501">
        <v>0</v>
      </c>
      <c r="AH501">
        <v>0</v>
      </c>
    </row>
    <row r="502" spans="1:34">
      <c r="A502">
        <v>2025</v>
      </c>
      <c r="B502" s="1">
        <v>45992</v>
      </c>
      <c r="C502" t="s">
        <v>2657</v>
      </c>
      <c r="D502" t="s">
        <v>3852</v>
      </c>
      <c r="E502" s="43">
        <v>46008.640347974535</v>
      </c>
      <c r="F502" s="1">
        <v>46008</v>
      </c>
      <c r="G502" s="43">
        <v>46079.753228958332</v>
      </c>
      <c r="H502" t="s">
        <v>2686</v>
      </c>
      <c r="I502" t="s">
        <v>2719</v>
      </c>
      <c r="J502" t="s">
        <v>100</v>
      </c>
      <c r="L502" t="s">
        <v>2381</v>
      </c>
      <c r="M502">
        <v>183456830502</v>
      </c>
      <c r="N502" t="s">
        <v>2702</v>
      </c>
      <c r="O502" s="1">
        <v>45661</v>
      </c>
      <c r="T502" t="s">
        <v>2662</v>
      </c>
      <c r="U502" t="s">
        <v>3853</v>
      </c>
      <c r="V502">
        <v>51</v>
      </c>
      <c r="W502" t="s">
        <v>2743</v>
      </c>
      <c r="X502">
        <v>1</v>
      </c>
      <c r="Y502" t="s">
        <v>2699</v>
      </c>
      <c r="AA502">
        <v>183456830502</v>
      </c>
      <c r="AB502" t="s">
        <v>1466</v>
      </c>
      <c r="AC502">
        <v>0</v>
      </c>
      <c r="AD502">
        <v>51</v>
      </c>
      <c r="AE502">
        <v>18345683050251</v>
      </c>
      <c r="AF502" t="s">
        <v>3849</v>
      </c>
      <c r="AG502">
        <v>0</v>
      </c>
      <c r="AH502">
        <v>0</v>
      </c>
    </row>
    <row r="503" spans="1:34">
      <c r="A503">
        <v>2025</v>
      </c>
      <c r="B503" s="1">
        <v>45992</v>
      </c>
      <c r="C503" t="s">
        <v>2657</v>
      </c>
      <c r="D503" t="s">
        <v>3854</v>
      </c>
      <c r="E503" s="43">
        <v>46008.562473310187</v>
      </c>
      <c r="F503" s="1">
        <v>46008</v>
      </c>
      <c r="G503" s="43">
        <v>46078.83795228009</v>
      </c>
      <c r="H503" t="s">
        <v>2686</v>
      </c>
      <c r="I503" t="s">
        <v>2719</v>
      </c>
      <c r="J503" t="s">
        <v>100</v>
      </c>
      <c r="L503" t="s">
        <v>2381</v>
      </c>
      <c r="M503">
        <v>183456830502</v>
      </c>
      <c r="N503" t="s">
        <v>2702</v>
      </c>
      <c r="O503" s="1">
        <v>45661</v>
      </c>
      <c r="T503" t="s">
        <v>2798</v>
      </c>
      <c r="U503" t="s">
        <v>3855</v>
      </c>
      <c r="V503">
        <v>62</v>
      </c>
      <c r="W503" t="s">
        <v>2985</v>
      </c>
      <c r="X503">
        <v>0</v>
      </c>
      <c r="Y503" t="s">
        <v>2985</v>
      </c>
      <c r="Z503" t="s">
        <v>2834</v>
      </c>
      <c r="AA503">
        <v>183456830502</v>
      </c>
      <c r="AB503" t="s">
        <v>1466</v>
      </c>
      <c r="AC503">
        <v>0</v>
      </c>
      <c r="AD503">
        <v>51</v>
      </c>
      <c r="AE503">
        <v>18345683050251</v>
      </c>
      <c r="AF503" t="s">
        <v>3849</v>
      </c>
      <c r="AG503">
        <v>1</v>
      </c>
      <c r="AH503">
        <v>0</v>
      </c>
    </row>
    <row r="504" spans="1:34">
      <c r="A504">
        <v>2025</v>
      </c>
      <c r="B504" s="1">
        <v>45992</v>
      </c>
      <c r="C504" t="s">
        <v>2657</v>
      </c>
      <c r="D504" t="s">
        <v>3856</v>
      </c>
      <c r="E504" s="43">
        <v>46008.636483807873</v>
      </c>
      <c r="F504" s="1">
        <v>46008</v>
      </c>
      <c r="G504" s="43">
        <v>46020.830048796299</v>
      </c>
      <c r="H504" t="s">
        <v>2686</v>
      </c>
      <c r="I504" t="s">
        <v>2719</v>
      </c>
      <c r="J504" t="s">
        <v>100</v>
      </c>
      <c r="L504" t="s">
        <v>2381</v>
      </c>
      <c r="M504">
        <v>183456830502</v>
      </c>
      <c r="N504" t="s">
        <v>2702</v>
      </c>
      <c r="O504" s="1">
        <v>45661</v>
      </c>
      <c r="T504" t="s">
        <v>2662</v>
      </c>
      <c r="U504" t="s">
        <v>3857</v>
      </c>
      <c r="V504">
        <v>8</v>
      </c>
      <c r="W504" t="s">
        <v>2743</v>
      </c>
      <c r="X504">
        <v>1</v>
      </c>
      <c r="Y504" t="s">
        <v>2710</v>
      </c>
      <c r="AA504">
        <v>183456830502</v>
      </c>
      <c r="AB504" t="s">
        <v>1466</v>
      </c>
      <c r="AC504">
        <v>0</v>
      </c>
      <c r="AD504">
        <v>51</v>
      </c>
      <c r="AE504">
        <v>18345683050251</v>
      </c>
      <c r="AF504" t="s">
        <v>3849</v>
      </c>
      <c r="AG504">
        <v>0</v>
      </c>
      <c r="AH504">
        <v>0</v>
      </c>
    </row>
    <row r="505" spans="1:34">
      <c r="A505">
        <v>2025</v>
      </c>
      <c r="B505" s="1">
        <v>45992</v>
      </c>
      <c r="C505" t="s">
        <v>2657</v>
      </c>
      <c r="D505" t="s">
        <v>3858</v>
      </c>
      <c r="E505" s="43">
        <v>46021.723835324075</v>
      </c>
      <c r="F505" s="1">
        <v>46021</v>
      </c>
      <c r="G505" s="43">
        <v>46035.586787453707</v>
      </c>
      <c r="H505" t="s">
        <v>2686</v>
      </c>
      <c r="I505" t="s">
        <v>2697</v>
      </c>
      <c r="J505" t="s">
        <v>100</v>
      </c>
      <c r="L505" t="s">
        <v>2381</v>
      </c>
      <c r="M505">
        <v>183456830502</v>
      </c>
      <c r="N505" t="s">
        <v>2702</v>
      </c>
      <c r="O505" s="1">
        <v>45661</v>
      </c>
      <c r="T505" t="s">
        <v>2662</v>
      </c>
      <c r="U505" t="s">
        <v>3859</v>
      </c>
      <c r="V505">
        <v>10</v>
      </c>
      <c r="W505" t="s">
        <v>2743</v>
      </c>
      <c r="X505">
        <v>1</v>
      </c>
      <c r="Y505" t="s">
        <v>2699</v>
      </c>
      <c r="AA505">
        <v>183456830502</v>
      </c>
      <c r="AB505" t="s">
        <v>1466</v>
      </c>
      <c r="AC505">
        <v>0</v>
      </c>
      <c r="AD505">
        <v>1</v>
      </c>
      <c r="AE505">
        <v>1834568305021</v>
      </c>
      <c r="AF505" t="s">
        <v>3849</v>
      </c>
      <c r="AG505">
        <v>1</v>
      </c>
      <c r="AH505">
        <v>0</v>
      </c>
    </row>
    <row r="506" spans="1:34">
      <c r="A506">
        <v>2026</v>
      </c>
      <c r="B506" s="1">
        <v>46054</v>
      </c>
      <c r="C506" t="s">
        <v>2657</v>
      </c>
      <c r="D506" s="44" t="s">
        <v>3860</v>
      </c>
      <c r="E506" s="43">
        <v>46055.793267777779</v>
      </c>
      <c r="F506" s="1">
        <v>46055</v>
      </c>
      <c r="G506" s="43">
        <v>46055.793267777779</v>
      </c>
      <c r="H506" t="s">
        <v>2725</v>
      </c>
      <c r="I506" t="s">
        <v>2669</v>
      </c>
      <c r="J506" t="s">
        <v>37</v>
      </c>
      <c r="L506" t="s">
        <v>2344</v>
      </c>
      <c r="M506">
        <v>191336978502</v>
      </c>
      <c r="N506" t="s">
        <v>2661</v>
      </c>
      <c r="O506" s="1">
        <v>45349</v>
      </c>
      <c r="T506" t="s">
        <v>2662</v>
      </c>
      <c r="U506" t="s">
        <v>3861</v>
      </c>
      <c r="V506">
        <v>0</v>
      </c>
      <c r="W506" t="s">
        <v>2671</v>
      </c>
      <c r="X506">
        <v>1</v>
      </c>
      <c r="Y506" t="s">
        <v>2683</v>
      </c>
      <c r="AA506">
        <v>191336978502</v>
      </c>
      <c r="AB506" t="s">
        <v>768</v>
      </c>
      <c r="AC506">
        <v>0</v>
      </c>
      <c r="AD506">
        <v>6</v>
      </c>
      <c r="AE506">
        <v>1913369785026</v>
      </c>
      <c r="AF506" t="s">
        <v>3862</v>
      </c>
      <c r="AG506">
        <v>1</v>
      </c>
      <c r="AH506">
        <v>1</v>
      </c>
    </row>
    <row r="507" spans="1:34">
      <c r="A507">
        <v>2025</v>
      </c>
      <c r="B507" s="1">
        <v>45931</v>
      </c>
      <c r="C507" t="s">
        <v>2657</v>
      </c>
      <c r="D507" t="s">
        <v>3863</v>
      </c>
      <c r="E507" s="43">
        <v>45931.543199780092</v>
      </c>
      <c r="F507" s="1">
        <v>45931</v>
      </c>
      <c r="G507" s="43">
        <v>45932.699704189814</v>
      </c>
      <c r="H507" t="s">
        <v>2659</v>
      </c>
      <c r="I507" t="s">
        <v>2669</v>
      </c>
      <c r="J507" t="s">
        <v>2735</v>
      </c>
      <c r="L507" t="s">
        <v>2336</v>
      </c>
      <c r="M507">
        <v>902277407302</v>
      </c>
      <c r="N507" t="s">
        <v>2746</v>
      </c>
      <c r="O507" s="1">
        <v>45661</v>
      </c>
      <c r="T507" t="s">
        <v>2662</v>
      </c>
      <c r="U507" t="s">
        <v>3864</v>
      </c>
      <c r="V507">
        <v>1</v>
      </c>
      <c r="W507" t="s">
        <v>2671</v>
      </c>
      <c r="X507">
        <v>1</v>
      </c>
      <c r="Y507" t="s">
        <v>2683</v>
      </c>
      <c r="AA507">
        <v>92771955402</v>
      </c>
      <c r="AB507" t="s">
        <v>645</v>
      </c>
      <c r="AC507">
        <v>0</v>
      </c>
      <c r="AD507">
        <v>40</v>
      </c>
      <c r="AE507">
        <v>9277195540240</v>
      </c>
      <c r="AF507" t="s">
        <v>3865</v>
      </c>
      <c r="AG507">
        <v>1</v>
      </c>
      <c r="AH507">
        <v>1</v>
      </c>
    </row>
    <row r="508" spans="1:34">
      <c r="A508">
        <v>2025</v>
      </c>
      <c r="B508" s="1">
        <v>45931</v>
      </c>
      <c r="C508" t="s">
        <v>2657</v>
      </c>
      <c r="D508" t="s">
        <v>3866</v>
      </c>
      <c r="E508" s="43">
        <v>45932.538187453705</v>
      </c>
      <c r="F508" s="1">
        <v>45932</v>
      </c>
      <c r="G508" s="43">
        <v>45936.618418611113</v>
      </c>
      <c r="H508" t="s">
        <v>2659</v>
      </c>
      <c r="I508" t="s">
        <v>2669</v>
      </c>
      <c r="J508" t="s">
        <v>2735</v>
      </c>
      <c r="L508" t="s">
        <v>2336</v>
      </c>
      <c r="M508">
        <v>902277407302</v>
      </c>
      <c r="N508" t="s">
        <v>2746</v>
      </c>
      <c r="O508" s="1">
        <v>45661</v>
      </c>
      <c r="T508" t="s">
        <v>2662</v>
      </c>
      <c r="U508" t="s">
        <v>3867</v>
      </c>
      <c r="V508">
        <v>2</v>
      </c>
      <c r="W508" t="s">
        <v>2671</v>
      </c>
      <c r="X508">
        <v>1</v>
      </c>
      <c r="Y508" t="s">
        <v>2683</v>
      </c>
      <c r="AA508">
        <v>92771955402</v>
      </c>
      <c r="AB508" t="s">
        <v>645</v>
      </c>
      <c r="AC508">
        <v>0</v>
      </c>
      <c r="AD508">
        <v>40</v>
      </c>
      <c r="AE508">
        <v>9277195540240</v>
      </c>
      <c r="AF508" t="s">
        <v>3865</v>
      </c>
      <c r="AG508">
        <v>0</v>
      </c>
      <c r="AH508">
        <v>0</v>
      </c>
    </row>
    <row r="509" spans="1:34">
      <c r="A509">
        <v>2025</v>
      </c>
      <c r="B509" s="1">
        <v>45931</v>
      </c>
      <c r="C509" t="s">
        <v>2657</v>
      </c>
      <c r="D509" t="s">
        <v>3868</v>
      </c>
      <c r="E509" s="43">
        <v>45950.786169918982</v>
      </c>
      <c r="F509" s="1">
        <v>45950</v>
      </c>
      <c r="G509" s="43">
        <v>45953.701546875003</v>
      </c>
      <c r="H509" t="s">
        <v>2659</v>
      </c>
      <c r="I509" t="s">
        <v>2719</v>
      </c>
      <c r="J509" t="s">
        <v>2735</v>
      </c>
      <c r="L509" t="s">
        <v>2336</v>
      </c>
      <c r="M509">
        <v>902277407302</v>
      </c>
      <c r="N509" t="s">
        <v>2746</v>
      </c>
      <c r="O509" s="1">
        <v>45661</v>
      </c>
      <c r="T509" t="s">
        <v>2662</v>
      </c>
      <c r="U509" t="s">
        <v>3869</v>
      </c>
      <c r="V509">
        <v>3</v>
      </c>
      <c r="W509" t="s">
        <v>2671</v>
      </c>
      <c r="X509">
        <v>1</v>
      </c>
      <c r="Y509" t="s">
        <v>2764</v>
      </c>
      <c r="AA509">
        <v>92771955402</v>
      </c>
      <c r="AB509" t="s">
        <v>645</v>
      </c>
      <c r="AC509">
        <v>0</v>
      </c>
      <c r="AD509">
        <v>43</v>
      </c>
      <c r="AE509">
        <v>9277195540243</v>
      </c>
      <c r="AF509" t="s">
        <v>3865</v>
      </c>
      <c r="AG509">
        <v>1</v>
      </c>
      <c r="AH509">
        <v>0</v>
      </c>
    </row>
    <row r="510" spans="1:34">
      <c r="A510">
        <v>2025</v>
      </c>
      <c r="B510" s="1">
        <v>45931</v>
      </c>
      <c r="C510" t="s">
        <v>2657</v>
      </c>
      <c r="D510" t="s">
        <v>3870</v>
      </c>
      <c r="E510" s="43">
        <v>45957.64794545139</v>
      </c>
      <c r="F510" s="1">
        <v>45957</v>
      </c>
      <c r="G510" s="43">
        <v>45993.747795949072</v>
      </c>
      <c r="H510" t="s">
        <v>2659</v>
      </c>
      <c r="I510" t="s">
        <v>2660</v>
      </c>
      <c r="J510" t="s">
        <v>2735</v>
      </c>
      <c r="L510" t="s">
        <v>2336</v>
      </c>
      <c r="M510">
        <v>902277407302</v>
      </c>
      <c r="N510" t="s">
        <v>2746</v>
      </c>
      <c r="O510" s="1">
        <v>45661</v>
      </c>
      <c r="T510" t="s">
        <v>2662</v>
      </c>
      <c r="U510" t="s">
        <v>3871</v>
      </c>
      <c r="V510">
        <v>26</v>
      </c>
      <c r="W510" t="s">
        <v>2671</v>
      </c>
      <c r="X510">
        <v>1</v>
      </c>
      <c r="Y510" t="s">
        <v>2683</v>
      </c>
      <c r="Z510" t="s">
        <v>2834</v>
      </c>
      <c r="AA510">
        <v>92771955402</v>
      </c>
      <c r="AB510" t="s">
        <v>645</v>
      </c>
      <c r="AC510">
        <v>0</v>
      </c>
      <c r="AD510">
        <v>44</v>
      </c>
      <c r="AE510">
        <v>9277195540244</v>
      </c>
      <c r="AF510" t="s">
        <v>3865</v>
      </c>
      <c r="AG510">
        <v>1</v>
      </c>
      <c r="AH510">
        <v>0</v>
      </c>
    </row>
    <row r="511" spans="1:34">
      <c r="A511">
        <v>2025</v>
      </c>
      <c r="B511" s="1">
        <v>45931</v>
      </c>
      <c r="C511" t="s">
        <v>2657</v>
      </c>
      <c r="D511" t="s">
        <v>3872</v>
      </c>
      <c r="E511" s="43">
        <v>45960.866846377314</v>
      </c>
      <c r="F511" s="1">
        <v>45960</v>
      </c>
      <c r="G511" s="43">
        <v>45961.519983298611</v>
      </c>
      <c r="H511" t="s">
        <v>2659</v>
      </c>
      <c r="I511" t="s">
        <v>2697</v>
      </c>
      <c r="J511" t="s">
        <v>2735</v>
      </c>
      <c r="L511" t="s">
        <v>2336</v>
      </c>
      <c r="M511">
        <v>902277407302</v>
      </c>
      <c r="N511" t="s">
        <v>2746</v>
      </c>
      <c r="O511" s="1">
        <v>45661</v>
      </c>
      <c r="T511" t="s">
        <v>2662</v>
      </c>
      <c r="U511" t="s">
        <v>3873</v>
      </c>
      <c r="V511">
        <v>1</v>
      </c>
      <c r="W511" t="s">
        <v>2664</v>
      </c>
      <c r="X511">
        <v>1</v>
      </c>
      <c r="Y511" t="s">
        <v>2757</v>
      </c>
      <c r="AA511">
        <v>92771955402</v>
      </c>
      <c r="AB511" t="s">
        <v>645</v>
      </c>
      <c r="AC511">
        <v>0</v>
      </c>
      <c r="AD511">
        <v>44</v>
      </c>
      <c r="AE511">
        <v>9277195540244</v>
      </c>
      <c r="AF511" t="s">
        <v>3865</v>
      </c>
      <c r="AG511">
        <v>0</v>
      </c>
      <c r="AH511">
        <v>0</v>
      </c>
    </row>
    <row r="512" spans="1:34">
      <c r="A512">
        <v>2025</v>
      </c>
      <c r="B512" s="1">
        <v>45931</v>
      </c>
      <c r="C512" t="s">
        <v>2657</v>
      </c>
      <c r="D512" t="s">
        <v>3874</v>
      </c>
      <c r="E512" s="43">
        <v>45960.633793043984</v>
      </c>
      <c r="F512" s="1">
        <v>45960</v>
      </c>
      <c r="G512" s="43">
        <v>45966.816900185186</v>
      </c>
      <c r="H512" t="s">
        <v>2659</v>
      </c>
      <c r="I512" t="s">
        <v>2697</v>
      </c>
      <c r="J512" t="s">
        <v>2735</v>
      </c>
      <c r="L512" t="s">
        <v>2336</v>
      </c>
      <c r="M512">
        <v>902277407302</v>
      </c>
      <c r="N512" t="s">
        <v>2746</v>
      </c>
      <c r="O512" s="1">
        <v>45661</v>
      </c>
      <c r="T512" t="s">
        <v>2662</v>
      </c>
      <c r="U512" t="s">
        <v>3875</v>
      </c>
      <c r="V512">
        <v>4</v>
      </c>
      <c r="W512" t="s">
        <v>2671</v>
      </c>
      <c r="X512">
        <v>1</v>
      </c>
      <c r="Y512" t="s">
        <v>2683</v>
      </c>
      <c r="AA512">
        <v>92771955402</v>
      </c>
      <c r="AB512" t="s">
        <v>645</v>
      </c>
      <c r="AC512">
        <v>0</v>
      </c>
      <c r="AD512">
        <v>44</v>
      </c>
      <c r="AE512">
        <v>9277195540244</v>
      </c>
      <c r="AF512" t="s">
        <v>3865</v>
      </c>
      <c r="AG512">
        <v>0</v>
      </c>
      <c r="AH512">
        <v>0</v>
      </c>
    </row>
    <row r="513" spans="1:34">
      <c r="A513">
        <v>2025</v>
      </c>
      <c r="B513" s="1">
        <v>45931</v>
      </c>
      <c r="C513" t="s">
        <v>2657</v>
      </c>
      <c r="D513" t="s">
        <v>3876</v>
      </c>
      <c r="E513" s="43">
        <v>45960.866294560183</v>
      </c>
      <c r="F513" s="1">
        <v>45960</v>
      </c>
      <c r="G513" s="43">
        <v>45961.640315138888</v>
      </c>
      <c r="H513" t="s">
        <v>2659</v>
      </c>
      <c r="I513" t="s">
        <v>2697</v>
      </c>
      <c r="J513" t="s">
        <v>2735</v>
      </c>
      <c r="L513" t="s">
        <v>2336</v>
      </c>
      <c r="M513">
        <v>92771955402</v>
      </c>
      <c r="N513" t="s">
        <v>2746</v>
      </c>
      <c r="O513" s="1">
        <v>45661</v>
      </c>
      <c r="T513" t="s">
        <v>2662</v>
      </c>
      <c r="U513" t="s">
        <v>3877</v>
      </c>
      <c r="V513">
        <v>1</v>
      </c>
      <c r="W513" t="s">
        <v>2664</v>
      </c>
      <c r="X513">
        <v>1</v>
      </c>
      <c r="Y513" t="s">
        <v>2757</v>
      </c>
      <c r="AA513">
        <v>92771955402</v>
      </c>
      <c r="AB513" t="s">
        <v>645</v>
      </c>
      <c r="AC513">
        <v>0</v>
      </c>
      <c r="AD513">
        <v>44</v>
      </c>
      <c r="AE513">
        <v>9277195540244</v>
      </c>
      <c r="AF513" t="s">
        <v>3865</v>
      </c>
      <c r="AG513">
        <v>0</v>
      </c>
      <c r="AH513">
        <v>0</v>
      </c>
    </row>
    <row r="514" spans="1:34">
      <c r="A514">
        <v>2026</v>
      </c>
      <c r="B514" s="1">
        <v>46082</v>
      </c>
      <c r="C514" t="s">
        <v>2657</v>
      </c>
      <c r="D514" t="s">
        <v>3878</v>
      </c>
      <c r="E514" s="43">
        <v>46085.541501921296</v>
      </c>
      <c r="F514" s="1">
        <v>46085</v>
      </c>
      <c r="G514" s="43">
        <v>46086.632728599536</v>
      </c>
      <c r="H514" t="s">
        <v>2668</v>
      </c>
      <c r="I514" t="s">
        <v>2669</v>
      </c>
      <c r="J514" t="s">
        <v>39</v>
      </c>
      <c r="L514" t="s">
        <v>2336</v>
      </c>
      <c r="M514">
        <v>377220202602</v>
      </c>
      <c r="N514" t="s">
        <v>2746</v>
      </c>
      <c r="O514" s="1">
        <v>45661</v>
      </c>
      <c r="T514" t="s">
        <v>2662</v>
      </c>
      <c r="U514" t="s">
        <v>3879</v>
      </c>
      <c r="V514">
        <v>1</v>
      </c>
      <c r="W514" t="s">
        <v>2671</v>
      </c>
      <c r="X514">
        <v>1</v>
      </c>
      <c r="Y514" t="s">
        <v>2672</v>
      </c>
      <c r="AA514">
        <v>127737463602</v>
      </c>
      <c r="AB514" t="s">
        <v>1066</v>
      </c>
      <c r="AC514">
        <v>0</v>
      </c>
      <c r="AD514">
        <v>10</v>
      </c>
      <c r="AE514">
        <v>12773746360210</v>
      </c>
      <c r="AF514" t="s">
        <v>3880</v>
      </c>
      <c r="AG514">
        <v>1</v>
      </c>
      <c r="AH514">
        <v>1</v>
      </c>
    </row>
    <row r="515" spans="1:34">
      <c r="A515">
        <v>2026</v>
      </c>
      <c r="B515" s="1">
        <v>46082</v>
      </c>
      <c r="C515" t="s">
        <v>2657</v>
      </c>
      <c r="D515" t="s">
        <v>3881</v>
      </c>
      <c r="E515" s="43">
        <v>46086.778520983797</v>
      </c>
      <c r="F515" s="1">
        <v>46086</v>
      </c>
      <c r="G515" s="43">
        <v>46092.67874059028</v>
      </c>
      <c r="H515" t="s">
        <v>2668</v>
      </c>
      <c r="I515" t="s">
        <v>2669</v>
      </c>
      <c r="J515" t="s">
        <v>39</v>
      </c>
      <c r="L515" t="s">
        <v>2336</v>
      </c>
      <c r="M515">
        <v>377220202602</v>
      </c>
      <c r="N515" t="s">
        <v>2746</v>
      </c>
      <c r="O515" s="1">
        <v>45661</v>
      </c>
      <c r="T515" t="s">
        <v>2662</v>
      </c>
      <c r="U515" t="s">
        <v>3882</v>
      </c>
      <c r="V515">
        <v>4</v>
      </c>
      <c r="X515">
        <v>1</v>
      </c>
      <c r="Y515" t="s">
        <v>2717</v>
      </c>
      <c r="AA515">
        <v>127737463602</v>
      </c>
      <c r="AB515" t="s">
        <v>1066</v>
      </c>
      <c r="AC515">
        <v>1</v>
      </c>
      <c r="AD515">
        <v>10</v>
      </c>
      <c r="AE515">
        <v>12773746360210</v>
      </c>
      <c r="AF515" t="s">
        <v>3880</v>
      </c>
      <c r="AG515">
        <v>0</v>
      </c>
      <c r="AH515">
        <v>0</v>
      </c>
    </row>
    <row r="516" spans="1:34">
      <c r="A516">
        <v>2026</v>
      </c>
      <c r="B516" s="1">
        <v>46082</v>
      </c>
      <c r="C516" t="s">
        <v>2657</v>
      </c>
      <c r="D516" t="s">
        <v>3883</v>
      </c>
      <c r="E516" s="43">
        <v>46086.77754333333</v>
      </c>
      <c r="F516" s="1">
        <v>46086</v>
      </c>
      <c r="G516" s="43">
        <v>46090.534371168978</v>
      </c>
      <c r="H516" t="s">
        <v>2668</v>
      </c>
      <c r="I516" t="s">
        <v>2669</v>
      </c>
      <c r="J516" t="s">
        <v>39</v>
      </c>
      <c r="L516" t="s">
        <v>2336</v>
      </c>
      <c r="M516">
        <v>127737463602</v>
      </c>
      <c r="N516" t="s">
        <v>2746</v>
      </c>
      <c r="O516" s="1">
        <v>45661</v>
      </c>
      <c r="T516" t="s">
        <v>2662</v>
      </c>
      <c r="U516" t="s">
        <v>3884</v>
      </c>
      <c r="V516">
        <v>2</v>
      </c>
      <c r="X516">
        <v>1</v>
      </c>
      <c r="Y516" t="s">
        <v>2717</v>
      </c>
      <c r="AA516">
        <v>127737463602</v>
      </c>
      <c r="AB516" t="s">
        <v>1066</v>
      </c>
      <c r="AC516">
        <v>0</v>
      </c>
      <c r="AD516">
        <v>10</v>
      </c>
      <c r="AE516">
        <v>12773746360210</v>
      </c>
      <c r="AF516" t="s">
        <v>3880</v>
      </c>
      <c r="AG516">
        <v>0</v>
      </c>
      <c r="AH516">
        <v>0</v>
      </c>
    </row>
    <row r="517" spans="1:34">
      <c r="A517">
        <v>2026</v>
      </c>
      <c r="B517" s="1">
        <v>46082</v>
      </c>
      <c r="C517" t="s">
        <v>2657</v>
      </c>
      <c r="D517" t="s">
        <v>3885</v>
      </c>
      <c r="E517" s="43">
        <v>46086.550871747684</v>
      </c>
      <c r="F517" s="1">
        <v>46086</v>
      </c>
      <c r="G517" s="43">
        <v>46087.797021990744</v>
      </c>
      <c r="H517" t="s">
        <v>2668</v>
      </c>
      <c r="I517" t="s">
        <v>2669</v>
      </c>
      <c r="J517" t="s">
        <v>39</v>
      </c>
      <c r="L517" t="s">
        <v>2353</v>
      </c>
      <c r="M517">
        <v>671124237502</v>
      </c>
      <c r="N517" t="s">
        <v>2675</v>
      </c>
      <c r="O517" s="1">
        <v>46021</v>
      </c>
      <c r="T517" t="s">
        <v>2662</v>
      </c>
      <c r="U517" t="s">
        <v>3886</v>
      </c>
      <c r="V517">
        <v>1</v>
      </c>
      <c r="W517" t="s">
        <v>2671</v>
      </c>
      <c r="X517">
        <v>1</v>
      </c>
      <c r="Y517" t="s">
        <v>2764</v>
      </c>
      <c r="AA517">
        <v>671124237502</v>
      </c>
      <c r="AB517" t="s">
        <v>2443</v>
      </c>
      <c r="AC517">
        <v>1</v>
      </c>
      <c r="AD517">
        <v>10</v>
      </c>
      <c r="AE517">
        <v>67112423750210</v>
      </c>
      <c r="AF517" t="s">
        <v>3887</v>
      </c>
      <c r="AG517">
        <v>1</v>
      </c>
      <c r="AH517">
        <v>1</v>
      </c>
    </row>
    <row r="518" spans="1:34">
      <c r="A518">
        <v>2026</v>
      </c>
      <c r="B518" s="1">
        <v>46054</v>
      </c>
      <c r="C518" t="s">
        <v>2657</v>
      </c>
      <c r="D518" t="s">
        <v>3888</v>
      </c>
      <c r="E518" s="43">
        <v>46077.879340185187</v>
      </c>
      <c r="F518" s="1">
        <v>46077</v>
      </c>
      <c r="G518" s="43">
        <v>46079.80158457176</v>
      </c>
      <c r="H518" t="s">
        <v>2725</v>
      </c>
      <c r="I518" t="s">
        <v>2660</v>
      </c>
      <c r="J518" t="s">
        <v>38</v>
      </c>
      <c r="L518" t="s">
        <v>2379</v>
      </c>
      <c r="M518">
        <v>430279805602</v>
      </c>
      <c r="N518" t="s">
        <v>2675</v>
      </c>
      <c r="O518" s="1">
        <v>45680</v>
      </c>
      <c r="T518" t="s">
        <v>2662</v>
      </c>
      <c r="U518" t="s">
        <v>3889</v>
      </c>
      <c r="V518">
        <v>2</v>
      </c>
      <c r="W518" t="s">
        <v>2985</v>
      </c>
      <c r="X518">
        <v>1</v>
      </c>
      <c r="Y518" t="s">
        <v>2985</v>
      </c>
      <c r="AA518">
        <v>430279805602</v>
      </c>
      <c r="AB518" t="s">
        <v>1049</v>
      </c>
      <c r="AC518">
        <v>1</v>
      </c>
      <c r="AD518">
        <v>9</v>
      </c>
      <c r="AE518">
        <v>4302798056029</v>
      </c>
      <c r="AF518" t="s">
        <v>3890</v>
      </c>
      <c r="AG518">
        <v>1</v>
      </c>
      <c r="AH518">
        <v>1</v>
      </c>
    </row>
    <row r="519" spans="1:34">
      <c r="A519">
        <v>2025</v>
      </c>
      <c r="B519" s="1">
        <v>45992</v>
      </c>
      <c r="C519" t="s">
        <v>2657</v>
      </c>
      <c r="D519" t="s">
        <v>3891</v>
      </c>
      <c r="E519" s="43">
        <v>46000.555386307868</v>
      </c>
      <c r="F519" s="1">
        <v>46000</v>
      </c>
      <c r="G519" s="43">
        <v>46002.539004398146</v>
      </c>
      <c r="H519" t="s">
        <v>2686</v>
      </c>
      <c r="I519" t="s">
        <v>2681</v>
      </c>
      <c r="J519" t="s">
        <v>36</v>
      </c>
      <c r="L519" t="s">
        <v>2393</v>
      </c>
      <c r="M519">
        <v>72695582302</v>
      </c>
      <c r="N519" t="s">
        <v>2702</v>
      </c>
      <c r="O519" s="1">
        <v>45669</v>
      </c>
      <c r="T519" t="s">
        <v>2662</v>
      </c>
      <c r="U519" t="s">
        <v>3892</v>
      </c>
      <c r="V519">
        <v>2</v>
      </c>
      <c r="W519" t="s">
        <v>2664</v>
      </c>
      <c r="X519">
        <v>1</v>
      </c>
      <c r="Y519" t="s">
        <v>2717</v>
      </c>
      <c r="AA519">
        <v>72695582302</v>
      </c>
      <c r="AB519" t="s">
        <v>707</v>
      </c>
      <c r="AC519">
        <v>0</v>
      </c>
      <c r="AD519">
        <v>50</v>
      </c>
      <c r="AE519">
        <v>7269558230250</v>
      </c>
      <c r="AF519" t="s">
        <v>3893</v>
      </c>
      <c r="AG519">
        <v>1</v>
      </c>
      <c r="AH519">
        <v>1</v>
      </c>
    </row>
    <row r="520" spans="1:34">
      <c r="A520">
        <v>2026</v>
      </c>
      <c r="B520" s="1">
        <v>46054</v>
      </c>
      <c r="C520" t="s">
        <v>2657</v>
      </c>
      <c r="D520" t="s">
        <v>3894</v>
      </c>
      <c r="E520" s="43">
        <v>46077.787510138885</v>
      </c>
      <c r="F520" s="1">
        <v>46077</v>
      </c>
      <c r="G520" s="43">
        <v>46079.570452326392</v>
      </c>
      <c r="H520" t="s">
        <v>2725</v>
      </c>
      <c r="I520" t="s">
        <v>2660</v>
      </c>
      <c r="J520" t="s">
        <v>36</v>
      </c>
      <c r="L520" t="s">
        <v>2361</v>
      </c>
      <c r="M520">
        <v>1080652429702</v>
      </c>
      <c r="N520" t="s">
        <v>2746</v>
      </c>
      <c r="O520" s="1">
        <v>46048</v>
      </c>
      <c r="T520" t="s">
        <v>2662</v>
      </c>
      <c r="U520" t="s">
        <v>3895</v>
      </c>
      <c r="V520">
        <v>2</v>
      </c>
      <c r="X520">
        <v>1</v>
      </c>
      <c r="Y520" t="s">
        <v>2688</v>
      </c>
      <c r="AA520">
        <v>128664783802</v>
      </c>
      <c r="AB520" t="s">
        <v>1216</v>
      </c>
      <c r="AC520">
        <v>0</v>
      </c>
      <c r="AD520">
        <v>9</v>
      </c>
      <c r="AE520">
        <v>1286647838029</v>
      </c>
      <c r="AF520" t="s">
        <v>3896</v>
      </c>
      <c r="AG520">
        <v>1</v>
      </c>
      <c r="AH520">
        <v>1</v>
      </c>
    </row>
    <row r="521" spans="1:34">
      <c r="A521">
        <v>2026</v>
      </c>
      <c r="B521" s="1">
        <v>46054</v>
      </c>
      <c r="C521" t="s">
        <v>2657</v>
      </c>
      <c r="D521" t="s">
        <v>3897</v>
      </c>
      <c r="E521" s="43">
        <v>46079.869119456016</v>
      </c>
      <c r="F521" s="1">
        <v>46079</v>
      </c>
      <c r="G521" s="43">
        <v>46093.848577824072</v>
      </c>
      <c r="H521" t="s">
        <v>2725</v>
      </c>
      <c r="I521" t="s">
        <v>2660</v>
      </c>
      <c r="J521" t="s">
        <v>36</v>
      </c>
      <c r="L521" t="s">
        <v>2361</v>
      </c>
      <c r="M521">
        <v>1080652429702</v>
      </c>
      <c r="N521" t="s">
        <v>2746</v>
      </c>
      <c r="O521" s="1">
        <v>46048</v>
      </c>
      <c r="T521" t="s">
        <v>2662</v>
      </c>
      <c r="U521" t="s">
        <v>3898</v>
      </c>
      <c r="V521">
        <v>10</v>
      </c>
      <c r="X521">
        <v>1</v>
      </c>
      <c r="Y521" t="s">
        <v>2717</v>
      </c>
      <c r="AA521">
        <v>128664783802</v>
      </c>
      <c r="AB521" t="s">
        <v>1216</v>
      </c>
      <c r="AC521">
        <v>1</v>
      </c>
      <c r="AD521">
        <v>9</v>
      </c>
      <c r="AE521">
        <v>1286647838029</v>
      </c>
      <c r="AF521" t="s">
        <v>3896</v>
      </c>
      <c r="AG521">
        <v>0</v>
      </c>
      <c r="AH521">
        <v>0</v>
      </c>
    </row>
    <row r="522" spans="1:34">
      <c r="A522">
        <v>2025</v>
      </c>
      <c r="B522" s="1">
        <v>45992</v>
      </c>
      <c r="C522" t="s">
        <v>2657</v>
      </c>
      <c r="D522" t="s">
        <v>3899</v>
      </c>
      <c r="E522" s="43">
        <v>45992.830429907408</v>
      </c>
      <c r="F522" s="1">
        <v>45992</v>
      </c>
      <c r="G522" s="43">
        <v>45996.560157210646</v>
      </c>
      <c r="H522" t="s">
        <v>2686</v>
      </c>
      <c r="I522" t="s">
        <v>2669</v>
      </c>
      <c r="J522" t="s">
        <v>36</v>
      </c>
      <c r="L522" t="s">
        <v>2355</v>
      </c>
      <c r="M522">
        <v>153775969402</v>
      </c>
      <c r="N522" t="s">
        <v>2702</v>
      </c>
      <c r="O522" s="1">
        <v>45673</v>
      </c>
      <c r="T522" t="s">
        <v>2662</v>
      </c>
      <c r="U522" t="s">
        <v>3900</v>
      </c>
      <c r="V522">
        <v>4</v>
      </c>
      <c r="W522" t="s">
        <v>2677</v>
      </c>
      <c r="X522">
        <v>1</v>
      </c>
      <c r="Y522" t="s">
        <v>2931</v>
      </c>
      <c r="AA522">
        <v>153775969402</v>
      </c>
      <c r="AB522" t="s">
        <v>1002</v>
      </c>
      <c r="AC522">
        <v>0</v>
      </c>
      <c r="AD522">
        <v>49</v>
      </c>
      <c r="AE522">
        <v>15377596940249</v>
      </c>
      <c r="AF522" t="s">
        <v>3901</v>
      </c>
      <c r="AG522">
        <v>0</v>
      </c>
      <c r="AH522">
        <v>0</v>
      </c>
    </row>
    <row r="523" spans="1:34">
      <c r="A523">
        <v>2025</v>
      </c>
      <c r="B523" s="1">
        <v>45992</v>
      </c>
      <c r="C523" t="s">
        <v>2657</v>
      </c>
      <c r="D523" t="s">
        <v>3902</v>
      </c>
      <c r="E523" s="43">
        <v>45992.783758738427</v>
      </c>
      <c r="F523" s="1">
        <v>45992</v>
      </c>
      <c r="G523" s="43">
        <v>45994.854043136576</v>
      </c>
      <c r="H523" t="s">
        <v>2686</v>
      </c>
      <c r="I523" t="s">
        <v>2669</v>
      </c>
      <c r="J523" t="s">
        <v>36</v>
      </c>
      <c r="L523" t="s">
        <v>2355</v>
      </c>
      <c r="M523">
        <v>195492390002</v>
      </c>
      <c r="N523" t="s">
        <v>2702</v>
      </c>
      <c r="O523" s="1">
        <v>45673</v>
      </c>
      <c r="T523" t="s">
        <v>2662</v>
      </c>
      <c r="U523" t="s">
        <v>3903</v>
      </c>
      <c r="V523">
        <v>2</v>
      </c>
      <c r="W523" t="s">
        <v>2677</v>
      </c>
      <c r="X523">
        <v>1</v>
      </c>
      <c r="Y523" t="s">
        <v>2807</v>
      </c>
      <c r="AA523">
        <v>153775969402</v>
      </c>
      <c r="AB523" t="s">
        <v>1002</v>
      </c>
      <c r="AC523">
        <v>0</v>
      </c>
      <c r="AD523">
        <v>49</v>
      </c>
      <c r="AE523">
        <v>15377596940249</v>
      </c>
      <c r="AF523" t="s">
        <v>3901</v>
      </c>
      <c r="AG523">
        <v>1</v>
      </c>
      <c r="AH523">
        <v>1</v>
      </c>
    </row>
    <row r="524" spans="1:34">
      <c r="A524">
        <v>2025</v>
      </c>
      <c r="B524" s="1">
        <v>45992</v>
      </c>
      <c r="C524" t="s">
        <v>2657</v>
      </c>
      <c r="D524" t="s">
        <v>3904</v>
      </c>
      <c r="E524" s="43">
        <v>45999.571766701389</v>
      </c>
      <c r="F524" s="1">
        <v>45999</v>
      </c>
      <c r="G524" s="43">
        <v>46006.888022349536</v>
      </c>
      <c r="H524" t="s">
        <v>2686</v>
      </c>
      <c r="I524" t="s">
        <v>2681</v>
      </c>
      <c r="J524" t="s">
        <v>36</v>
      </c>
      <c r="L524" t="s">
        <v>2355</v>
      </c>
      <c r="M524">
        <v>195492390002</v>
      </c>
      <c r="N524" t="s">
        <v>2702</v>
      </c>
      <c r="O524" s="1">
        <v>45673</v>
      </c>
      <c r="T524" t="s">
        <v>2662</v>
      </c>
      <c r="U524" t="s">
        <v>3905</v>
      </c>
      <c r="V524">
        <v>5</v>
      </c>
      <c r="W524" t="s">
        <v>2677</v>
      </c>
      <c r="X524">
        <v>1</v>
      </c>
      <c r="Y524" t="s">
        <v>2760</v>
      </c>
      <c r="AA524">
        <v>153775969402</v>
      </c>
      <c r="AB524" t="s">
        <v>1002</v>
      </c>
      <c r="AC524">
        <v>0</v>
      </c>
      <c r="AD524">
        <v>50</v>
      </c>
      <c r="AE524">
        <v>15377596940250</v>
      </c>
      <c r="AF524" t="s">
        <v>3901</v>
      </c>
      <c r="AG524">
        <v>1</v>
      </c>
      <c r="AH524">
        <v>0</v>
      </c>
    </row>
    <row r="525" spans="1:34">
      <c r="A525">
        <v>2025</v>
      </c>
      <c r="B525" s="1">
        <v>45992</v>
      </c>
      <c r="C525" t="s">
        <v>2657</v>
      </c>
      <c r="D525" t="s">
        <v>3906</v>
      </c>
      <c r="E525" s="43">
        <v>46006.88948096065</v>
      </c>
      <c r="F525" s="1">
        <v>46006</v>
      </c>
      <c r="G525" s="43">
        <v>46020.538653310185</v>
      </c>
      <c r="H525" t="s">
        <v>2686</v>
      </c>
      <c r="I525" t="s">
        <v>2719</v>
      </c>
      <c r="J525" t="s">
        <v>36</v>
      </c>
      <c r="L525" t="s">
        <v>2355</v>
      </c>
      <c r="M525">
        <v>195492390002</v>
      </c>
      <c r="N525" t="s">
        <v>2702</v>
      </c>
      <c r="O525" s="1">
        <v>45673</v>
      </c>
      <c r="T525" t="s">
        <v>2662</v>
      </c>
      <c r="U525" t="s">
        <v>3907</v>
      </c>
      <c r="V525">
        <v>10</v>
      </c>
      <c r="W525" t="s">
        <v>2677</v>
      </c>
      <c r="X525">
        <v>1</v>
      </c>
      <c r="Y525" t="s">
        <v>2807</v>
      </c>
      <c r="AA525">
        <v>153775969402</v>
      </c>
      <c r="AB525" t="s">
        <v>1002</v>
      </c>
      <c r="AC525">
        <v>0</v>
      </c>
      <c r="AD525">
        <v>51</v>
      </c>
      <c r="AE525">
        <v>15377596940251</v>
      </c>
      <c r="AF525" t="s">
        <v>3901</v>
      </c>
      <c r="AG525">
        <v>1</v>
      </c>
      <c r="AH525">
        <v>0</v>
      </c>
    </row>
    <row r="526" spans="1:34">
      <c r="A526">
        <v>2026</v>
      </c>
      <c r="B526" s="1">
        <v>46023</v>
      </c>
      <c r="C526" t="s">
        <v>2657</v>
      </c>
      <c r="D526" t="s">
        <v>3908</v>
      </c>
      <c r="E526" s="43">
        <v>46048.825513692129</v>
      </c>
      <c r="F526" s="1">
        <v>46048</v>
      </c>
      <c r="G526" s="43">
        <v>46072.791598993055</v>
      </c>
      <c r="H526" t="s">
        <v>2701</v>
      </c>
      <c r="I526" t="s">
        <v>2660</v>
      </c>
      <c r="J526" t="s">
        <v>38</v>
      </c>
      <c r="L526" t="s">
        <v>2342</v>
      </c>
      <c r="M526">
        <v>21230697402</v>
      </c>
      <c r="N526" t="s">
        <v>2702</v>
      </c>
      <c r="O526" s="1">
        <v>44960</v>
      </c>
      <c r="T526" t="s">
        <v>2662</v>
      </c>
      <c r="U526" t="s">
        <v>3909</v>
      </c>
      <c r="V526">
        <v>18</v>
      </c>
      <c r="W526" t="s">
        <v>2677</v>
      </c>
      <c r="X526">
        <v>1</v>
      </c>
      <c r="Y526" t="s">
        <v>2807</v>
      </c>
      <c r="Z526" t="s">
        <v>2684</v>
      </c>
      <c r="AA526">
        <v>481703768002</v>
      </c>
      <c r="AB526" t="s">
        <v>258</v>
      </c>
      <c r="AC526">
        <v>0</v>
      </c>
      <c r="AD526">
        <v>5</v>
      </c>
      <c r="AE526">
        <v>4817037680025</v>
      </c>
      <c r="AF526" t="s">
        <v>3910</v>
      </c>
      <c r="AG526">
        <v>1</v>
      </c>
      <c r="AH526">
        <v>1</v>
      </c>
    </row>
    <row r="527" spans="1:34">
      <c r="A527">
        <v>2026</v>
      </c>
      <c r="B527" s="1">
        <v>46054</v>
      </c>
      <c r="C527" t="s">
        <v>2657</v>
      </c>
      <c r="D527" t="s">
        <v>3911</v>
      </c>
      <c r="E527" s="43">
        <v>46063.644222187497</v>
      </c>
      <c r="F527" s="1">
        <v>46063</v>
      </c>
      <c r="G527" s="43">
        <v>46065.586479108795</v>
      </c>
      <c r="H527" t="s">
        <v>2725</v>
      </c>
      <c r="I527" t="s">
        <v>2681</v>
      </c>
      <c r="J527" t="s">
        <v>37</v>
      </c>
      <c r="L527" t="s">
        <v>2364</v>
      </c>
      <c r="M527">
        <v>7763660815</v>
      </c>
      <c r="N527" t="s">
        <v>2661</v>
      </c>
      <c r="O527" s="1">
        <v>45661</v>
      </c>
      <c r="T527" t="s">
        <v>2662</v>
      </c>
      <c r="U527" t="s">
        <v>3912</v>
      </c>
      <c r="V527">
        <v>2</v>
      </c>
      <c r="W527" t="s">
        <v>2664</v>
      </c>
      <c r="X527">
        <v>1</v>
      </c>
      <c r="Y527" t="s">
        <v>2665</v>
      </c>
      <c r="AA527">
        <v>7763660815</v>
      </c>
      <c r="AB527" t="s">
        <v>895</v>
      </c>
      <c r="AC527">
        <v>1</v>
      </c>
      <c r="AD527">
        <v>7</v>
      </c>
      <c r="AE527">
        <v>77636608157</v>
      </c>
      <c r="AF527" t="s">
        <v>3913</v>
      </c>
      <c r="AG527">
        <v>1</v>
      </c>
      <c r="AH527">
        <v>1</v>
      </c>
    </row>
    <row r="528" spans="1:34">
      <c r="A528">
        <v>2025</v>
      </c>
      <c r="B528" s="1">
        <v>45962</v>
      </c>
      <c r="C528" t="s">
        <v>2657</v>
      </c>
      <c r="D528" t="s">
        <v>3914</v>
      </c>
      <c r="E528" s="43">
        <v>45987.700969398145</v>
      </c>
      <c r="F528" s="1">
        <v>45987</v>
      </c>
      <c r="G528" s="43">
        <v>46008.771210150466</v>
      </c>
      <c r="H528" t="s">
        <v>2802</v>
      </c>
      <c r="I528" t="s">
        <v>2660</v>
      </c>
      <c r="J528" t="s">
        <v>37</v>
      </c>
      <c r="L528" t="s">
        <v>2393</v>
      </c>
      <c r="M528">
        <v>642643854302</v>
      </c>
      <c r="N528" t="s">
        <v>2702</v>
      </c>
      <c r="O528" s="1">
        <v>45084</v>
      </c>
      <c r="T528" t="s">
        <v>2662</v>
      </c>
      <c r="U528" t="s">
        <v>3915</v>
      </c>
      <c r="V528">
        <v>15</v>
      </c>
      <c r="W528" t="s">
        <v>2704</v>
      </c>
      <c r="X528">
        <v>1</v>
      </c>
      <c r="Y528" t="s">
        <v>2807</v>
      </c>
      <c r="AA528">
        <v>642643854302</v>
      </c>
      <c r="AB528" t="s">
        <v>1455</v>
      </c>
      <c r="AC528">
        <v>0</v>
      </c>
      <c r="AD528">
        <v>48</v>
      </c>
      <c r="AE528">
        <v>64264385430248</v>
      </c>
      <c r="AF528" t="s">
        <v>3916</v>
      </c>
      <c r="AG528">
        <v>1</v>
      </c>
      <c r="AH528">
        <v>1</v>
      </c>
    </row>
    <row r="529" spans="1:34">
      <c r="A529">
        <v>2026</v>
      </c>
      <c r="B529" s="1">
        <v>46023</v>
      </c>
      <c r="C529" t="s">
        <v>2657</v>
      </c>
      <c r="D529" s="44" t="s">
        <v>3917</v>
      </c>
      <c r="E529" s="43">
        <v>46037.746602523148</v>
      </c>
      <c r="F529" s="1">
        <v>46037</v>
      </c>
      <c r="G529" s="43">
        <v>46043.736558032404</v>
      </c>
      <c r="H529" t="s">
        <v>2701</v>
      </c>
      <c r="I529" t="s">
        <v>2719</v>
      </c>
      <c r="J529" t="s">
        <v>37</v>
      </c>
      <c r="L529" t="s">
        <v>2351</v>
      </c>
      <c r="M529">
        <v>666400200602</v>
      </c>
      <c r="N529" t="s">
        <v>2661</v>
      </c>
      <c r="O529" s="1">
        <v>46021</v>
      </c>
      <c r="T529" t="s">
        <v>2662</v>
      </c>
      <c r="U529" t="s">
        <v>3918</v>
      </c>
      <c r="V529">
        <v>4</v>
      </c>
      <c r="W529" t="s">
        <v>2671</v>
      </c>
      <c r="X529">
        <v>1</v>
      </c>
      <c r="Y529" t="s">
        <v>2760</v>
      </c>
      <c r="AA529">
        <v>666400200602</v>
      </c>
      <c r="AB529" t="s">
        <v>2396</v>
      </c>
      <c r="AC529">
        <v>1</v>
      </c>
      <c r="AD529">
        <v>3</v>
      </c>
      <c r="AE529">
        <v>6664002006023</v>
      </c>
      <c r="AF529" t="s">
        <v>3919</v>
      </c>
      <c r="AG529">
        <v>1</v>
      </c>
      <c r="AH529">
        <v>1</v>
      </c>
    </row>
    <row r="530" spans="1:34">
      <c r="A530">
        <v>2025</v>
      </c>
      <c r="B530" s="1">
        <v>45962</v>
      </c>
      <c r="C530" t="s">
        <v>2657</v>
      </c>
      <c r="D530" t="s">
        <v>3920</v>
      </c>
      <c r="E530" s="43">
        <v>45972.71039537037</v>
      </c>
      <c r="F530" s="1">
        <v>45972</v>
      </c>
      <c r="G530" s="43">
        <v>45973.566248946758</v>
      </c>
      <c r="H530" t="s">
        <v>2802</v>
      </c>
      <c r="I530" t="s">
        <v>2681</v>
      </c>
      <c r="J530" t="s">
        <v>2735</v>
      </c>
      <c r="L530" t="s">
        <v>2362</v>
      </c>
      <c r="M530">
        <v>361885515402</v>
      </c>
      <c r="N530" t="s">
        <v>2746</v>
      </c>
      <c r="O530" s="1">
        <v>45669</v>
      </c>
      <c r="T530" t="s">
        <v>2662</v>
      </c>
      <c r="U530" t="s">
        <v>3921</v>
      </c>
      <c r="V530">
        <v>1</v>
      </c>
      <c r="W530" t="s">
        <v>2677</v>
      </c>
      <c r="X530">
        <v>1</v>
      </c>
      <c r="Y530" t="s">
        <v>3237</v>
      </c>
      <c r="AA530">
        <v>361885515402</v>
      </c>
      <c r="AB530" t="s">
        <v>1603</v>
      </c>
      <c r="AC530">
        <v>0</v>
      </c>
      <c r="AD530">
        <v>46</v>
      </c>
      <c r="AE530">
        <v>36188551540246</v>
      </c>
      <c r="AF530" t="s">
        <v>3922</v>
      </c>
      <c r="AG530">
        <v>1</v>
      </c>
      <c r="AH530">
        <v>1</v>
      </c>
    </row>
    <row r="531" spans="1:34">
      <c r="A531">
        <v>2025</v>
      </c>
      <c r="B531" s="1">
        <v>45962</v>
      </c>
      <c r="C531" t="s">
        <v>2657</v>
      </c>
      <c r="D531" t="s">
        <v>3923</v>
      </c>
      <c r="E531" s="43">
        <v>45975.551985115744</v>
      </c>
      <c r="F531" s="1">
        <v>45975</v>
      </c>
      <c r="G531" s="43">
        <v>45975.659002812499</v>
      </c>
      <c r="H531" t="s">
        <v>2802</v>
      </c>
      <c r="I531" t="s">
        <v>2681</v>
      </c>
      <c r="J531" t="s">
        <v>2735</v>
      </c>
      <c r="L531" t="s">
        <v>2362</v>
      </c>
      <c r="M531">
        <v>361885515402</v>
      </c>
      <c r="N531" t="s">
        <v>2746</v>
      </c>
      <c r="O531" s="1">
        <v>45669</v>
      </c>
      <c r="T531" t="s">
        <v>2662</v>
      </c>
      <c r="U531" t="s">
        <v>3924</v>
      </c>
      <c r="V531">
        <v>0</v>
      </c>
      <c r="W531" t="s">
        <v>2743</v>
      </c>
      <c r="X531">
        <v>1</v>
      </c>
      <c r="Y531" t="s">
        <v>2688</v>
      </c>
      <c r="AA531">
        <v>361885515402</v>
      </c>
      <c r="AB531" t="s">
        <v>1603</v>
      </c>
      <c r="AC531">
        <v>0</v>
      </c>
      <c r="AD531">
        <v>46</v>
      </c>
      <c r="AE531">
        <v>36188551540246</v>
      </c>
      <c r="AF531" t="s">
        <v>3922</v>
      </c>
      <c r="AG531">
        <v>0</v>
      </c>
      <c r="AH531">
        <v>0</v>
      </c>
    </row>
    <row r="532" spans="1:34">
      <c r="A532">
        <v>2025</v>
      </c>
      <c r="B532" s="1">
        <v>45962</v>
      </c>
      <c r="C532" t="s">
        <v>2657</v>
      </c>
      <c r="D532" t="s">
        <v>3925</v>
      </c>
      <c r="E532" s="43">
        <v>45978.506236469904</v>
      </c>
      <c r="F532" s="1">
        <v>45978</v>
      </c>
      <c r="G532" s="43">
        <v>45978.850753553241</v>
      </c>
      <c r="H532" t="s">
        <v>2802</v>
      </c>
      <c r="I532" t="s">
        <v>2719</v>
      </c>
      <c r="J532" t="s">
        <v>2735</v>
      </c>
      <c r="L532" t="s">
        <v>2362</v>
      </c>
      <c r="M532">
        <v>361885515402</v>
      </c>
      <c r="N532" t="s">
        <v>2746</v>
      </c>
      <c r="O532" s="1">
        <v>45669</v>
      </c>
      <c r="T532" t="s">
        <v>2662</v>
      </c>
      <c r="U532" t="s">
        <v>3926</v>
      </c>
      <c r="V532">
        <v>0</v>
      </c>
      <c r="W532" t="s">
        <v>2677</v>
      </c>
      <c r="X532">
        <v>1</v>
      </c>
      <c r="Y532" t="s">
        <v>2807</v>
      </c>
      <c r="AA532">
        <v>361885515402</v>
      </c>
      <c r="AB532" t="s">
        <v>1603</v>
      </c>
      <c r="AC532">
        <v>0</v>
      </c>
      <c r="AD532">
        <v>47</v>
      </c>
      <c r="AE532">
        <v>36188551540247</v>
      </c>
      <c r="AF532" t="s">
        <v>3922</v>
      </c>
      <c r="AG532">
        <v>1</v>
      </c>
      <c r="AH532">
        <v>0</v>
      </c>
    </row>
    <row r="533" spans="1:34">
      <c r="A533">
        <v>2026</v>
      </c>
      <c r="B533" s="1">
        <v>46023</v>
      </c>
      <c r="C533" t="s">
        <v>2657</v>
      </c>
      <c r="D533" s="44" t="s">
        <v>3927</v>
      </c>
      <c r="E533" s="43">
        <v>46049.700222928244</v>
      </c>
      <c r="F533" s="1">
        <v>46049</v>
      </c>
      <c r="G533" s="43">
        <v>46051.861091909719</v>
      </c>
      <c r="H533" t="s">
        <v>2701</v>
      </c>
      <c r="I533" t="s">
        <v>2660</v>
      </c>
      <c r="J533" t="s">
        <v>38</v>
      </c>
      <c r="L533" t="s">
        <v>2379</v>
      </c>
      <c r="M533">
        <v>475342556402</v>
      </c>
      <c r="N533" t="s">
        <v>2675</v>
      </c>
      <c r="O533" s="1">
        <v>45294</v>
      </c>
      <c r="T533" t="s">
        <v>2662</v>
      </c>
      <c r="U533" t="s">
        <v>3928</v>
      </c>
      <c r="V533">
        <v>2</v>
      </c>
      <c r="W533" t="s">
        <v>2664</v>
      </c>
      <c r="X533">
        <v>1</v>
      </c>
      <c r="Y533" t="s">
        <v>2717</v>
      </c>
      <c r="AA533">
        <v>475342556402</v>
      </c>
      <c r="AB533" t="s">
        <v>1415</v>
      </c>
      <c r="AC533">
        <v>1</v>
      </c>
      <c r="AD533">
        <v>5</v>
      </c>
      <c r="AE533">
        <v>4753425564025</v>
      </c>
      <c r="AF533" t="s">
        <v>3929</v>
      </c>
      <c r="AG533">
        <v>1</v>
      </c>
      <c r="AH533">
        <v>1</v>
      </c>
    </row>
    <row r="534" spans="1:34">
      <c r="A534">
        <v>2025</v>
      </c>
      <c r="B534" s="1">
        <v>45901</v>
      </c>
      <c r="C534" t="s">
        <v>2657</v>
      </c>
      <c r="D534" t="s">
        <v>3930</v>
      </c>
      <c r="E534" s="43">
        <v>45903.87924908565</v>
      </c>
      <c r="F534" s="1">
        <v>45903</v>
      </c>
      <c r="G534" s="43">
        <v>45936.552752812502</v>
      </c>
      <c r="H534" t="s">
        <v>2734</v>
      </c>
      <c r="I534" t="s">
        <v>2669</v>
      </c>
      <c r="J534" t="s">
        <v>38</v>
      </c>
      <c r="L534" t="s">
        <v>2355</v>
      </c>
      <c r="M534">
        <v>133844711902</v>
      </c>
      <c r="N534" t="s">
        <v>2702</v>
      </c>
      <c r="O534" s="1">
        <v>44844</v>
      </c>
      <c r="T534" t="s">
        <v>2662</v>
      </c>
      <c r="U534" t="s">
        <v>3931</v>
      </c>
      <c r="V534">
        <v>23</v>
      </c>
      <c r="W534" t="s">
        <v>2704</v>
      </c>
      <c r="X534">
        <v>1</v>
      </c>
      <c r="Y534" t="s">
        <v>2931</v>
      </c>
      <c r="AA534">
        <v>133844711902</v>
      </c>
      <c r="AB534" t="s">
        <v>2283</v>
      </c>
      <c r="AC534">
        <v>0</v>
      </c>
      <c r="AD534">
        <v>36</v>
      </c>
      <c r="AE534">
        <v>13384471190236</v>
      </c>
      <c r="AF534" t="s">
        <v>3932</v>
      </c>
      <c r="AG534">
        <v>1</v>
      </c>
      <c r="AH534">
        <v>1</v>
      </c>
    </row>
    <row r="535" spans="1:34">
      <c r="A535">
        <v>2026</v>
      </c>
      <c r="B535" s="1">
        <v>46054</v>
      </c>
      <c r="C535" t="s">
        <v>2657</v>
      </c>
      <c r="D535" t="s">
        <v>3933</v>
      </c>
      <c r="E535" s="43">
        <v>46078.74454659722</v>
      </c>
      <c r="F535" s="1">
        <v>46078</v>
      </c>
      <c r="G535" s="43">
        <v>46078.744751284721</v>
      </c>
      <c r="H535" t="s">
        <v>2725</v>
      </c>
      <c r="I535" t="s">
        <v>2660</v>
      </c>
      <c r="J535" t="s">
        <v>100</v>
      </c>
      <c r="L535" t="s">
        <v>2353</v>
      </c>
      <c r="M535">
        <v>316851710302</v>
      </c>
      <c r="N535" t="s">
        <v>2675</v>
      </c>
      <c r="O535" s="1">
        <v>45294</v>
      </c>
      <c r="T535" t="s">
        <v>2798</v>
      </c>
      <c r="U535" t="s">
        <v>3934</v>
      </c>
      <c r="V535">
        <v>12</v>
      </c>
      <c r="W535" t="s">
        <v>2743</v>
      </c>
      <c r="X535">
        <v>0</v>
      </c>
      <c r="Y535" t="s">
        <v>2760</v>
      </c>
      <c r="AA535">
        <v>316851710302</v>
      </c>
      <c r="AB535" t="s">
        <v>1494</v>
      </c>
      <c r="AC535">
        <v>0</v>
      </c>
      <c r="AD535">
        <v>9</v>
      </c>
      <c r="AE535">
        <v>3168517103029</v>
      </c>
      <c r="AF535" t="s">
        <v>3935</v>
      </c>
      <c r="AG535">
        <v>0</v>
      </c>
      <c r="AH535">
        <v>0</v>
      </c>
    </row>
    <row r="536" spans="1:34">
      <c r="A536">
        <v>2026</v>
      </c>
      <c r="B536" s="1">
        <v>46054</v>
      </c>
      <c r="C536" t="s">
        <v>2657</v>
      </c>
      <c r="D536" t="s">
        <v>3936</v>
      </c>
      <c r="E536" s="43">
        <v>46078.577206967595</v>
      </c>
      <c r="F536" s="1">
        <v>46078</v>
      </c>
      <c r="G536" s="43">
        <v>46078.577206967595</v>
      </c>
      <c r="H536" t="s">
        <v>2725</v>
      </c>
      <c r="I536" t="s">
        <v>2660</v>
      </c>
      <c r="J536" t="s">
        <v>100</v>
      </c>
      <c r="L536" t="s">
        <v>2353</v>
      </c>
      <c r="M536">
        <v>316851710302</v>
      </c>
      <c r="N536" t="s">
        <v>2675</v>
      </c>
      <c r="O536" s="1">
        <v>45294</v>
      </c>
      <c r="T536" t="s">
        <v>2798</v>
      </c>
      <c r="U536" t="s">
        <v>3937</v>
      </c>
      <c r="V536">
        <v>12</v>
      </c>
      <c r="X536">
        <v>0</v>
      </c>
      <c r="Y536" t="s">
        <v>2688</v>
      </c>
      <c r="AA536">
        <v>316851710302</v>
      </c>
      <c r="AB536" t="s">
        <v>1494</v>
      </c>
      <c r="AC536">
        <v>0</v>
      </c>
      <c r="AD536">
        <v>9</v>
      </c>
      <c r="AE536">
        <v>3168517103029</v>
      </c>
      <c r="AF536" t="s">
        <v>3935</v>
      </c>
      <c r="AG536">
        <v>1</v>
      </c>
      <c r="AH536">
        <v>1</v>
      </c>
    </row>
    <row r="537" spans="1:34">
      <c r="A537">
        <v>2025</v>
      </c>
      <c r="B537" s="1">
        <v>45962</v>
      </c>
      <c r="C537" t="s">
        <v>2657</v>
      </c>
      <c r="D537" t="s">
        <v>3938</v>
      </c>
      <c r="E537" s="43">
        <v>45974.811496574075</v>
      </c>
      <c r="F537" s="1">
        <v>45974</v>
      </c>
      <c r="G537" s="43">
        <v>45974.811496574075</v>
      </c>
      <c r="H537" t="s">
        <v>2802</v>
      </c>
      <c r="I537" t="s">
        <v>2681</v>
      </c>
      <c r="J537" t="s">
        <v>2735</v>
      </c>
      <c r="L537" t="s">
        <v>2362</v>
      </c>
      <c r="M537">
        <v>25248213105</v>
      </c>
      <c r="N537" t="s">
        <v>2746</v>
      </c>
      <c r="O537" s="1">
        <v>45294</v>
      </c>
      <c r="T537" t="s">
        <v>2662</v>
      </c>
      <c r="U537" t="s">
        <v>3939</v>
      </c>
      <c r="V537">
        <v>0</v>
      </c>
      <c r="W537" t="s">
        <v>2671</v>
      </c>
      <c r="X537">
        <v>1</v>
      </c>
      <c r="Y537" t="s">
        <v>2695</v>
      </c>
      <c r="AA537">
        <v>25248213105</v>
      </c>
      <c r="AB537" t="s">
        <v>1611</v>
      </c>
      <c r="AC537">
        <v>0</v>
      </c>
      <c r="AD537">
        <v>46</v>
      </c>
      <c r="AE537">
        <v>2524821310546</v>
      </c>
      <c r="AF537" t="s">
        <v>3940</v>
      </c>
      <c r="AG537">
        <v>0</v>
      </c>
      <c r="AH537">
        <v>0</v>
      </c>
    </row>
    <row r="538" spans="1:34">
      <c r="A538">
        <v>2025</v>
      </c>
      <c r="B538" s="1">
        <v>45962</v>
      </c>
      <c r="C538" t="s">
        <v>2657</v>
      </c>
      <c r="D538" t="s">
        <v>3941</v>
      </c>
      <c r="E538" s="43">
        <v>45972.783465902779</v>
      </c>
      <c r="F538" s="1">
        <v>45972</v>
      </c>
      <c r="G538" s="43">
        <v>45973.547621180558</v>
      </c>
      <c r="H538" t="s">
        <v>2802</v>
      </c>
      <c r="I538" t="s">
        <v>2681</v>
      </c>
      <c r="J538" t="s">
        <v>2735</v>
      </c>
      <c r="L538" t="s">
        <v>2362</v>
      </c>
      <c r="M538">
        <v>25248213105</v>
      </c>
      <c r="N538" t="s">
        <v>2746</v>
      </c>
      <c r="O538" s="1">
        <v>45294</v>
      </c>
      <c r="T538" t="s">
        <v>2662</v>
      </c>
      <c r="U538" t="s">
        <v>3942</v>
      </c>
      <c r="V538">
        <v>1</v>
      </c>
      <c r="W538" t="s">
        <v>2671</v>
      </c>
      <c r="X538">
        <v>1</v>
      </c>
      <c r="Y538" t="s">
        <v>2695</v>
      </c>
      <c r="AA538">
        <v>25248213105</v>
      </c>
      <c r="AB538" t="s">
        <v>1611</v>
      </c>
      <c r="AC538">
        <v>0</v>
      </c>
      <c r="AD538">
        <v>46</v>
      </c>
      <c r="AE538">
        <v>2524821310546</v>
      </c>
      <c r="AF538" t="s">
        <v>3940</v>
      </c>
      <c r="AG538">
        <v>1</v>
      </c>
      <c r="AH538">
        <v>1</v>
      </c>
    </row>
    <row r="539" spans="1:34">
      <c r="A539">
        <v>2025</v>
      </c>
      <c r="B539" s="1">
        <v>45962</v>
      </c>
      <c r="C539" t="s">
        <v>2657</v>
      </c>
      <c r="D539" s="44" t="s">
        <v>3943</v>
      </c>
      <c r="E539" s="43">
        <v>45980.507129120371</v>
      </c>
      <c r="F539" s="1">
        <v>45980</v>
      </c>
      <c r="G539" s="43">
        <v>45980.601910613426</v>
      </c>
      <c r="H539" t="s">
        <v>2802</v>
      </c>
      <c r="I539" t="s">
        <v>2719</v>
      </c>
      <c r="J539" t="s">
        <v>2735</v>
      </c>
      <c r="L539" t="s">
        <v>2362</v>
      </c>
      <c r="M539">
        <v>25248213105</v>
      </c>
      <c r="N539" t="s">
        <v>2746</v>
      </c>
      <c r="O539" s="1">
        <v>45294</v>
      </c>
      <c r="T539" t="s">
        <v>2662</v>
      </c>
      <c r="U539" t="s">
        <v>3944</v>
      </c>
      <c r="V539">
        <v>0</v>
      </c>
      <c r="W539" t="s">
        <v>2671</v>
      </c>
      <c r="X539">
        <v>1</v>
      </c>
      <c r="Y539" t="s">
        <v>2683</v>
      </c>
      <c r="AA539">
        <v>25248213105</v>
      </c>
      <c r="AB539" t="s">
        <v>1611</v>
      </c>
      <c r="AC539">
        <v>0</v>
      </c>
      <c r="AD539">
        <v>47</v>
      </c>
      <c r="AE539">
        <v>2524821310547</v>
      </c>
      <c r="AF539" t="s">
        <v>3940</v>
      </c>
      <c r="AG539">
        <v>1</v>
      </c>
      <c r="AH539">
        <v>0</v>
      </c>
    </row>
    <row r="540" spans="1:34">
      <c r="A540">
        <v>2025</v>
      </c>
      <c r="B540" s="1">
        <v>45962</v>
      </c>
      <c r="C540" t="s">
        <v>2657</v>
      </c>
      <c r="D540" t="s">
        <v>3945</v>
      </c>
      <c r="E540" s="43">
        <v>45985.512046319447</v>
      </c>
      <c r="F540" s="1">
        <v>45985</v>
      </c>
      <c r="G540" s="43">
        <v>45985.706781342589</v>
      </c>
      <c r="H540" t="s">
        <v>2802</v>
      </c>
      <c r="I540" t="s">
        <v>2660</v>
      </c>
      <c r="J540" t="s">
        <v>2735</v>
      </c>
      <c r="L540" t="s">
        <v>2362</v>
      </c>
      <c r="M540">
        <v>25248213105</v>
      </c>
      <c r="N540" t="s">
        <v>2746</v>
      </c>
      <c r="O540" s="1">
        <v>45294</v>
      </c>
      <c r="T540" t="s">
        <v>2662</v>
      </c>
      <c r="U540" t="s">
        <v>3946</v>
      </c>
      <c r="V540">
        <v>0</v>
      </c>
      <c r="W540" t="s">
        <v>2671</v>
      </c>
      <c r="X540">
        <v>1</v>
      </c>
      <c r="Y540" t="s">
        <v>2764</v>
      </c>
      <c r="AA540">
        <v>25248213105</v>
      </c>
      <c r="AB540" t="s">
        <v>1611</v>
      </c>
      <c r="AC540">
        <v>0</v>
      </c>
      <c r="AD540">
        <v>48</v>
      </c>
      <c r="AE540">
        <v>2524821310548</v>
      </c>
      <c r="AF540" t="s">
        <v>3940</v>
      </c>
      <c r="AG540">
        <v>1</v>
      </c>
      <c r="AH540">
        <v>0</v>
      </c>
    </row>
    <row r="541" spans="1:34">
      <c r="A541">
        <v>2026</v>
      </c>
      <c r="B541" s="1">
        <v>46023</v>
      </c>
      <c r="C541" t="s">
        <v>2657</v>
      </c>
      <c r="D541" t="s">
        <v>3947</v>
      </c>
      <c r="E541" s="43">
        <v>46034.540366620371</v>
      </c>
      <c r="F541" s="1">
        <v>46034</v>
      </c>
      <c r="G541" s="43">
        <v>46035.553412349538</v>
      </c>
      <c r="H541" t="s">
        <v>2701</v>
      </c>
      <c r="I541" t="s">
        <v>2681</v>
      </c>
      <c r="J541" t="s">
        <v>39</v>
      </c>
      <c r="L541" t="s">
        <v>2408</v>
      </c>
      <c r="M541">
        <v>861076042402</v>
      </c>
      <c r="N541" t="s">
        <v>2746</v>
      </c>
      <c r="O541" s="1">
        <v>45669</v>
      </c>
      <c r="T541" t="s">
        <v>2662</v>
      </c>
      <c r="U541" t="s">
        <v>3948</v>
      </c>
      <c r="V541">
        <v>1</v>
      </c>
      <c r="W541" t="s">
        <v>2677</v>
      </c>
      <c r="X541">
        <v>1</v>
      </c>
      <c r="Y541" t="s">
        <v>2760</v>
      </c>
      <c r="AA541">
        <v>508996769902</v>
      </c>
      <c r="AB541" t="s">
        <v>2193</v>
      </c>
      <c r="AC541">
        <v>0</v>
      </c>
      <c r="AD541">
        <v>3</v>
      </c>
      <c r="AE541">
        <v>5089967699023</v>
      </c>
      <c r="AF541" t="s">
        <v>3949</v>
      </c>
      <c r="AG541">
        <v>1</v>
      </c>
      <c r="AH541">
        <v>1</v>
      </c>
    </row>
    <row r="542" spans="1:34">
      <c r="A542">
        <v>2026</v>
      </c>
      <c r="B542" s="1">
        <v>46023</v>
      </c>
      <c r="C542" t="s">
        <v>2657</v>
      </c>
      <c r="D542" t="s">
        <v>3950</v>
      </c>
      <c r="E542" s="43">
        <v>46037.658627986108</v>
      </c>
      <c r="F542" s="1">
        <v>46037</v>
      </c>
      <c r="G542" s="43">
        <v>46042.786325023146</v>
      </c>
      <c r="H542" t="s">
        <v>2701</v>
      </c>
      <c r="I542" t="s">
        <v>2719</v>
      </c>
      <c r="J542" t="s">
        <v>39</v>
      </c>
      <c r="L542" t="s">
        <v>2408</v>
      </c>
      <c r="M542">
        <v>861076042402</v>
      </c>
      <c r="N542" t="s">
        <v>2746</v>
      </c>
      <c r="O542" s="1">
        <v>45669</v>
      </c>
      <c r="T542" t="s">
        <v>2662</v>
      </c>
      <c r="U542" t="s">
        <v>3951</v>
      </c>
      <c r="V542">
        <v>3</v>
      </c>
      <c r="W542" t="s">
        <v>2677</v>
      </c>
      <c r="X542">
        <v>1</v>
      </c>
      <c r="Y542" t="s">
        <v>2678</v>
      </c>
      <c r="AA542">
        <v>508996769902</v>
      </c>
      <c r="AB542" t="s">
        <v>2193</v>
      </c>
      <c r="AC542">
        <v>0</v>
      </c>
      <c r="AD542">
        <v>3</v>
      </c>
      <c r="AE542">
        <v>5089967699023</v>
      </c>
      <c r="AF542" t="s">
        <v>3949</v>
      </c>
      <c r="AG542">
        <v>0</v>
      </c>
      <c r="AH542">
        <v>0</v>
      </c>
    </row>
    <row r="543" spans="1:34">
      <c r="A543">
        <v>2026</v>
      </c>
      <c r="B543" s="1">
        <v>46023</v>
      </c>
      <c r="C543" t="s">
        <v>2657</v>
      </c>
      <c r="D543" t="s">
        <v>3952</v>
      </c>
      <c r="E543" s="43">
        <v>46038.67683462963</v>
      </c>
      <c r="F543" s="1">
        <v>46038</v>
      </c>
      <c r="G543" s="43">
        <v>46044.811922939814</v>
      </c>
      <c r="H543" t="s">
        <v>2701</v>
      </c>
      <c r="I543" t="s">
        <v>2719</v>
      </c>
      <c r="J543" t="s">
        <v>39</v>
      </c>
      <c r="L543" t="s">
        <v>2408</v>
      </c>
      <c r="M543">
        <v>861076042402</v>
      </c>
      <c r="N543" t="s">
        <v>2746</v>
      </c>
      <c r="O543" s="1">
        <v>45669</v>
      </c>
      <c r="T543" t="s">
        <v>2662</v>
      </c>
      <c r="U543" t="s">
        <v>3953</v>
      </c>
      <c r="V543">
        <v>4</v>
      </c>
      <c r="W543" t="s">
        <v>2677</v>
      </c>
      <c r="X543">
        <v>1</v>
      </c>
      <c r="Y543" t="s">
        <v>2760</v>
      </c>
      <c r="AA543">
        <v>508996769902</v>
      </c>
      <c r="AB543" t="s">
        <v>2193</v>
      </c>
      <c r="AC543">
        <v>0</v>
      </c>
      <c r="AD543">
        <v>3</v>
      </c>
      <c r="AE543">
        <v>5089967699023</v>
      </c>
      <c r="AF543" t="s">
        <v>3949</v>
      </c>
      <c r="AG543">
        <v>0</v>
      </c>
      <c r="AH543">
        <v>0</v>
      </c>
    </row>
    <row r="544" spans="1:34">
      <c r="A544">
        <v>2026</v>
      </c>
      <c r="B544" s="1">
        <v>46023</v>
      </c>
      <c r="C544" t="s">
        <v>2657</v>
      </c>
      <c r="D544" s="44" t="s">
        <v>3954</v>
      </c>
      <c r="E544" s="43">
        <v>46043.803923912033</v>
      </c>
      <c r="F544" s="1">
        <v>46043</v>
      </c>
      <c r="G544" s="43">
        <v>46044.687689513892</v>
      </c>
      <c r="H544" t="s">
        <v>2701</v>
      </c>
      <c r="I544" t="s">
        <v>2719</v>
      </c>
      <c r="J544" t="s">
        <v>39</v>
      </c>
      <c r="L544" t="s">
        <v>2408</v>
      </c>
      <c r="M544">
        <v>861076042402</v>
      </c>
      <c r="N544" t="s">
        <v>2746</v>
      </c>
      <c r="O544" s="1">
        <v>45669</v>
      </c>
      <c r="T544" t="s">
        <v>2662</v>
      </c>
      <c r="U544" t="s">
        <v>3955</v>
      </c>
      <c r="V544">
        <v>1</v>
      </c>
      <c r="W544" t="s">
        <v>2677</v>
      </c>
      <c r="X544">
        <v>1</v>
      </c>
      <c r="Y544" t="s">
        <v>2807</v>
      </c>
      <c r="AA544">
        <v>508996769902</v>
      </c>
      <c r="AB544" t="s">
        <v>2193</v>
      </c>
      <c r="AC544">
        <v>0</v>
      </c>
      <c r="AD544">
        <v>4</v>
      </c>
      <c r="AE544">
        <v>5089967699024</v>
      </c>
      <c r="AF544" t="s">
        <v>3949</v>
      </c>
      <c r="AG544">
        <v>1</v>
      </c>
      <c r="AH544">
        <v>0</v>
      </c>
    </row>
    <row r="545" spans="1:35">
      <c r="A545">
        <v>2026</v>
      </c>
      <c r="B545" s="1">
        <v>46023</v>
      </c>
      <c r="C545" t="s">
        <v>2657</v>
      </c>
      <c r="D545" t="s">
        <v>3956</v>
      </c>
      <c r="E545" s="43">
        <v>46045.075001192126</v>
      </c>
      <c r="F545" s="1">
        <v>46045</v>
      </c>
      <c r="G545" s="43">
        <v>46045.658369375</v>
      </c>
      <c r="H545" t="s">
        <v>2701</v>
      </c>
      <c r="I545" t="s">
        <v>2660</v>
      </c>
      <c r="J545" t="s">
        <v>39</v>
      </c>
      <c r="L545" t="s">
        <v>2408</v>
      </c>
      <c r="M545">
        <v>861076042402</v>
      </c>
      <c r="N545" t="s">
        <v>2746</v>
      </c>
      <c r="O545" s="1">
        <v>45669</v>
      </c>
      <c r="T545" t="s">
        <v>2662</v>
      </c>
      <c r="U545" t="s">
        <v>3957</v>
      </c>
      <c r="V545">
        <v>0</v>
      </c>
      <c r="W545" t="s">
        <v>2671</v>
      </c>
      <c r="X545">
        <v>1</v>
      </c>
      <c r="Y545" t="s">
        <v>2721</v>
      </c>
      <c r="AA545">
        <v>508996769902</v>
      </c>
      <c r="AB545" t="s">
        <v>2193</v>
      </c>
      <c r="AC545">
        <v>0</v>
      </c>
      <c r="AD545">
        <v>4</v>
      </c>
      <c r="AE545">
        <v>5089967699024</v>
      </c>
      <c r="AF545" t="s">
        <v>3949</v>
      </c>
      <c r="AG545">
        <v>0</v>
      </c>
      <c r="AH545">
        <v>0</v>
      </c>
    </row>
    <row r="546" spans="1:35">
      <c r="A546">
        <v>2025</v>
      </c>
      <c r="B546" s="1">
        <v>45992</v>
      </c>
      <c r="C546" t="s">
        <v>2657</v>
      </c>
      <c r="D546" t="s">
        <v>3958</v>
      </c>
      <c r="E546" s="43">
        <v>45994.771401099541</v>
      </c>
      <c r="F546" s="1">
        <v>45994</v>
      </c>
      <c r="G546" s="43">
        <v>45996.557743541664</v>
      </c>
      <c r="H546" t="s">
        <v>2686</v>
      </c>
      <c r="I546" t="s">
        <v>2669</v>
      </c>
      <c r="J546" t="s">
        <v>36</v>
      </c>
      <c r="L546" t="s">
        <v>2421</v>
      </c>
      <c r="M546">
        <v>587254988202</v>
      </c>
      <c r="N546" t="s">
        <v>2661</v>
      </c>
      <c r="O546" s="1">
        <v>45349</v>
      </c>
      <c r="T546" t="s">
        <v>2662</v>
      </c>
      <c r="U546" t="s">
        <v>3959</v>
      </c>
      <c r="V546">
        <v>2</v>
      </c>
      <c r="W546" t="s">
        <v>2677</v>
      </c>
      <c r="X546">
        <v>1</v>
      </c>
      <c r="Y546" t="s">
        <v>2779</v>
      </c>
      <c r="Z546" t="s">
        <v>2684</v>
      </c>
      <c r="AA546">
        <v>358205651902</v>
      </c>
      <c r="AB546" t="s">
        <v>1408</v>
      </c>
      <c r="AC546">
        <v>0</v>
      </c>
      <c r="AD546">
        <v>49</v>
      </c>
      <c r="AE546">
        <v>35820565190249</v>
      </c>
      <c r="AF546" t="s">
        <v>3960</v>
      </c>
      <c r="AG546">
        <v>1</v>
      </c>
      <c r="AH546">
        <v>1</v>
      </c>
    </row>
    <row r="547" spans="1:35">
      <c r="A547">
        <v>2026</v>
      </c>
      <c r="B547" s="1">
        <v>46082</v>
      </c>
      <c r="C547" t="s">
        <v>2657</v>
      </c>
      <c r="D547" t="s">
        <v>3961</v>
      </c>
      <c r="E547" s="43">
        <v>46094.776420138885</v>
      </c>
      <c r="F547" s="1">
        <v>46094</v>
      </c>
      <c r="G547" s="43">
        <v>46094.776420138885</v>
      </c>
      <c r="H547" t="s">
        <v>2668</v>
      </c>
      <c r="I547" t="s">
        <v>2681</v>
      </c>
      <c r="J547" t="s">
        <v>37</v>
      </c>
      <c r="L547" t="s">
        <v>2351</v>
      </c>
      <c r="M547">
        <v>619747148002</v>
      </c>
      <c r="N547" t="s">
        <v>2661</v>
      </c>
      <c r="O547" s="1">
        <v>45661</v>
      </c>
      <c r="T547" t="s">
        <v>2798</v>
      </c>
      <c r="U547" t="s">
        <v>3962</v>
      </c>
      <c r="V547">
        <v>0</v>
      </c>
      <c r="W547" t="s">
        <v>2677</v>
      </c>
      <c r="X547">
        <v>0</v>
      </c>
      <c r="Y547" t="s">
        <v>2760</v>
      </c>
      <c r="AA547">
        <v>619747148002</v>
      </c>
      <c r="AB547" t="s">
        <v>828</v>
      </c>
      <c r="AC547">
        <v>1</v>
      </c>
      <c r="AD547">
        <v>11</v>
      </c>
      <c r="AE547">
        <v>61974714800211</v>
      </c>
      <c r="AF547" t="s">
        <v>3963</v>
      </c>
      <c r="AG547">
        <v>1</v>
      </c>
      <c r="AH547">
        <v>1</v>
      </c>
      <c r="AI547" t="s">
        <v>3001</v>
      </c>
    </row>
    <row r="548" spans="1:35">
      <c r="A548">
        <v>2026</v>
      </c>
      <c r="B548" s="1">
        <v>46082</v>
      </c>
      <c r="C548" t="s">
        <v>2657</v>
      </c>
      <c r="D548" t="s">
        <v>3964</v>
      </c>
      <c r="E548" s="43">
        <v>46084.53133810185</v>
      </c>
      <c r="F548" s="1">
        <v>46084</v>
      </c>
      <c r="G548" s="43">
        <v>46085.629036585648</v>
      </c>
      <c r="H548" t="s">
        <v>2668</v>
      </c>
      <c r="I548" t="s">
        <v>2669</v>
      </c>
      <c r="J548" t="s">
        <v>39</v>
      </c>
      <c r="L548" t="s">
        <v>2408</v>
      </c>
      <c r="M548">
        <v>1069577391202</v>
      </c>
      <c r="N548" t="s">
        <v>2746</v>
      </c>
      <c r="O548" s="1">
        <v>46049</v>
      </c>
      <c r="T548" t="s">
        <v>2662</v>
      </c>
      <c r="U548" t="s">
        <v>3965</v>
      </c>
      <c r="V548">
        <v>1</v>
      </c>
      <c r="W548" t="s">
        <v>2671</v>
      </c>
      <c r="X548">
        <v>1</v>
      </c>
      <c r="Y548" t="s">
        <v>2764</v>
      </c>
      <c r="AA548">
        <v>1069577391202</v>
      </c>
      <c r="AB548" t="s">
        <v>2478</v>
      </c>
      <c r="AC548">
        <v>0</v>
      </c>
      <c r="AD548">
        <v>10</v>
      </c>
      <c r="AE548">
        <v>106957739120210</v>
      </c>
      <c r="AF548" t="s">
        <v>3966</v>
      </c>
      <c r="AG548">
        <v>1</v>
      </c>
      <c r="AH548">
        <v>1</v>
      </c>
    </row>
    <row r="549" spans="1:35">
      <c r="A549">
        <v>2026</v>
      </c>
      <c r="B549" s="1">
        <v>46082</v>
      </c>
      <c r="C549" t="s">
        <v>2657</v>
      </c>
      <c r="D549" t="s">
        <v>3967</v>
      </c>
      <c r="E549" s="43">
        <v>46084.646995902775</v>
      </c>
      <c r="F549" s="1">
        <v>46084</v>
      </c>
      <c r="G549" s="43">
        <v>46085.628756817132</v>
      </c>
      <c r="H549" t="s">
        <v>2668</v>
      </c>
      <c r="I549" t="s">
        <v>2669</v>
      </c>
      <c r="J549" t="s">
        <v>39</v>
      </c>
      <c r="L549" t="s">
        <v>2408</v>
      </c>
      <c r="M549">
        <v>1069577391202</v>
      </c>
      <c r="N549" t="s">
        <v>2746</v>
      </c>
      <c r="O549" s="1">
        <v>46049</v>
      </c>
      <c r="T549" t="s">
        <v>2662</v>
      </c>
      <c r="U549" t="s">
        <v>3968</v>
      </c>
      <c r="V549">
        <v>1</v>
      </c>
      <c r="W549" t="s">
        <v>2671</v>
      </c>
      <c r="X549">
        <v>1</v>
      </c>
      <c r="Y549" t="s">
        <v>2672</v>
      </c>
      <c r="AA549">
        <v>1069577391202</v>
      </c>
      <c r="AB549" t="s">
        <v>2478</v>
      </c>
      <c r="AC549">
        <v>0</v>
      </c>
      <c r="AD549">
        <v>10</v>
      </c>
      <c r="AE549">
        <v>106957739120210</v>
      </c>
      <c r="AF549" t="s">
        <v>3966</v>
      </c>
      <c r="AG549">
        <v>0</v>
      </c>
      <c r="AH549">
        <v>0</v>
      </c>
      <c r="AI549" t="s">
        <v>3001</v>
      </c>
    </row>
    <row r="550" spans="1:35">
      <c r="A550">
        <v>2026</v>
      </c>
      <c r="B550" s="1">
        <v>46082</v>
      </c>
      <c r="C550" t="s">
        <v>2657</v>
      </c>
      <c r="D550" t="s">
        <v>3969</v>
      </c>
      <c r="E550" s="43">
        <v>46093.705148113426</v>
      </c>
      <c r="F550" s="1">
        <v>46093</v>
      </c>
      <c r="G550" s="43">
        <v>46093.705148113426</v>
      </c>
      <c r="H550" t="s">
        <v>2668</v>
      </c>
      <c r="I550" t="s">
        <v>2681</v>
      </c>
      <c r="J550" t="s">
        <v>39</v>
      </c>
      <c r="L550" t="s">
        <v>2408</v>
      </c>
      <c r="M550">
        <v>1069577391202</v>
      </c>
      <c r="N550" t="s">
        <v>2746</v>
      </c>
      <c r="O550" s="1">
        <v>46049</v>
      </c>
      <c r="T550" t="s">
        <v>2798</v>
      </c>
      <c r="U550" t="s">
        <v>3970</v>
      </c>
      <c r="V550">
        <v>1</v>
      </c>
      <c r="W550" t="s">
        <v>2671</v>
      </c>
      <c r="X550">
        <v>0</v>
      </c>
      <c r="Y550" t="s">
        <v>2692</v>
      </c>
      <c r="AA550">
        <v>1069577391202</v>
      </c>
      <c r="AB550" t="s">
        <v>2478</v>
      </c>
      <c r="AC550">
        <v>1</v>
      </c>
      <c r="AD550">
        <v>11</v>
      </c>
      <c r="AE550">
        <v>106957739120211</v>
      </c>
      <c r="AF550" t="s">
        <v>3966</v>
      </c>
      <c r="AG550">
        <v>0</v>
      </c>
      <c r="AH550">
        <v>0</v>
      </c>
    </row>
    <row r="551" spans="1:35">
      <c r="A551">
        <v>2026</v>
      </c>
      <c r="B551" s="1">
        <v>46082</v>
      </c>
      <c r="C551" t="s">
        <v>2657</v>
      </c>
      <c r="D551" s="44" t="s">
        <v>3971</v>
      </c>
      <c r="E551" s="43">
        <v>46090.673575937501</v>
      </c>
      <c r="F551" s="1">
        <v>46090</v>
      </c>
      <c r="G551" s="43">
        <v>46091.596271481481</v>
      </c>
      <c r="H551" t="s">
        <v>2668</v>
      </c>
      <c r="I551" t="s">
        <v>2681</v>
      </c>
      <c r="J551" t="s">
        <v>39</v>
      </c>
      <c r="L551" t="s">
        <v>2408</v>
      </c>
      <c r="M551">
        <v>1069577391202</v>
      </c>
      <c r="N551" t="s">
        <v>2746</v>
      </c>
      <c r="O551" s="1">
        <v>46049</v>
      </c>
      <c r="T551" t="s">
        <v>2662</v>
      </c>
      <c r="U551" t="s">
        <v>3972</v>
      </c>
      <c r="V551">
        <v>1</v>
      </c>
      <c r="W551" t="s">
        <v>2677</v>
      </c>
      <c r="X551">
        <v>1</v>
      </c>
      <c r="Y551" t="s">
        <v>2807</v>
      </c>
      <c r="AA551">
        <v>1069577391202</v>
      </c>
      <c r="AB551" t="s">
        <v>2478</v>
      </c>
      <c r="AC551">
        <v>0</v>
      </c>
      <c r="AD551">
        <v>11</v>
      </c>
      <c r="AE551">
        <v>106957739120211</v>
      </c>
      <c r="AF551" t="s">
        <v>3966</v>
      </c>
      <c r="AG551">
        <v>1</v>
      </c>
      <c r="AH551">
        <v>0</v>
      </c>
    </row>
    <row r="552" spans="1:35">
      <c r="A552">
        <v>2026</v>
      </c>
      <c r="B552" s="1">
        <v>46082</v>
      </c>
      <c r="C552" t="s">
        <v>2657</v>
      </c>
      <c r="D552" t="s">
        <v>3973</v>
      </c>
      <c r="E552" s="43">
        <v>46093.701005625</v>
      </c>
      <c r="F552" s="1">
        <v>46093</v>
      </c>
      <c r="G552" s="43">
        <v>46093.701005625</v>
      </c>
      <c r="H552" t="s">
        <v>2668</v>
      </c>
      <c r="I552" t="s">
        <v>2681</v>
      </c>
      <c r="J552" t="s">
        <v>39</v>
      </c>
      <c r="L552" t="s">
        <v>2408</v>
      </c>
      <c r="M552">
        <v>1069577391202</v>
      </c>
      <c r="N552" t="s">
        <v>2746</v>
      </c>
      <c r="O552" s="1">
        <v>46049</v>
      </c>
      <c r="T552" t="s">
        <v>2798</v>
      </c>
      <c r="U552" t="s">
        <v>3974</v>
      </c>
      <c r="V552">
        <v>1</v>
      </c>
      <c r="W552" t="s">
        <v>2671</v>
      </c>
      <c r="X552">
        <v>0</v>
      </c>
      <c r="Y552" t="s">
        <v>2683</v>
      </c>
      <c r="Z552" t="s">
        <v>2834</v>
      </c>
      <c r="AA552">
        <v>1069577391202</v>
      </c>
      <c r="AB552" t="s">
        <v>2478</v>
      </c>
      <c r="AC552">
        <v>0</v>
      </c>
      <c r="AD552">
        <v>11</v>
      </c>
      <c r="AE552">
        <v>106957739120211</v>
      </c>
      <c r="AF552" t="s">
        <v>3966</v>
      </c>
      <c r="AG552">
        <v>0</v>
      </c>
      <c r="AH552">
        <v>0</v>
      </c>
    </row>
    <row r="553" spans="1:35">
      <c r="A553">
        <v>2026</v>
      </c>
      <c r="B553" s="1">
        <v>46082</v>
      </c>
      <c r="C553" t="s">
        <v>2657</v>
      </c>
      <c r="D553" t="s">
        <v>3975</v>
      </c>
      <c r="E553" s="43">
        <v>46091.597734386574</v>
      </c>
      <c r="F553" s="1">
        <v>46091</v>
      </c>
      <c r="G553" s="43">
        <v>46092.583284363427</v>
      </c>
      <c r="H553" t="s">
        <v>2668</v>
      </c>
      <c r="I553" t="s">
        <v>2681</v>
      </c>
      <c r="J553" t="s">
        <v>39</v>
      </c>
      <c r="L553" t="s">
        <v>2408</v>
      </c>
      <c r="M553">
        <v>1069577391202</v>
      </c>
      <c r="N553" t="s">
        <v>2746</v>
      </c>
      <c r="O553" s="1">
        <v>46049</v>
      </c>
      <c r="T553" t="s">
        <v>2662</v>
      </c>
      <c r="U553" t="s">
        <v>3976</v>
      </c>
      <c r="V553">
        <v>1</v>
      </c>
      <c r="W553" t="s">
        <v>2677</v>
      </c>
      <c r="X553">
        <v>1</v>
      </c>
      <c r="Y553" t="s">
        <v>2807</v>
      </c>
      <c r="AA553">
        <v>1069577391202</v>
      </c>
      <c r="AB553" t="s">
        <v>2478</v>
      </c>
      <c r="AC553">
        <v>0</v>
      </c>
      <c r="AD553">
        <v>11</v>
      </c>
      <c r="AE553">
        <v>106957739120211</v>
      </c>
      <c r="AF553" t="s">
        <v>3966</v>
      </c>
      <c r="AG553">
        <v>0</v>
      </c>
      <c r="AH553">
        <v>0</v>
      </c>
    </row>
    <row r="554" spans="1:35">
      <c r="A554">
        <v>2025</v>
      </c>
      <c r="B554" s="1">
        <v>45931</v>
      </c>
      <c r="C554" t="s">
        <v>2657</v>
      </c>
      <c r="D554" t="s">
        <v>3977</v>
      </c>
      <c r="E554" s="43">
        <v>45937.802516469907</v>
      </c>
      <c r="F554" s="1">
        <v>45937</v>
      </c>
      <c r="G554" s="43">
        <v>45938.720824942131</v>
      </c>
      <c r="H554" t="s">
        <v>2659</v>
      </c>
      <c r="I554" t="s">
        <v>2669</v>
      </c>
      <c r="J554" t="s">
        <v>2735</v>
      </c>
      <c r="L554" t="s">
        <v>2336</v>
      </c>
      <c r="M554">
        <v>16116314302</v>
      </c>
      <c r="N554" t="s">
        <v>2746</v>
      </c>
      <c r="O554" s="1">
        <v>45358</v>
      </c>
      <c r="T554" t="s">
        <v>2662</v>
      </c>
      <c r="U554" t="s">
        <v>3978</v>
      </c>
      <c r="V554">
        <v>1</v>
      </c>
      <c r="W554" t="s">
        <v>2677</v>
      </c>
      <c r="X554">
        <v>1</v>
      </c>
      <c r="Y554" t="s">
        <v>2772</v>
      </c>
      <c r="Z554" t="s">
        <v>2684</v>
      </c>
      <c r="AA554">
        <v>16116314302</v>
      </c>
      <c r="AB554" t="s">
        <v>1654</v>
      </c>
      <c r="AC554">
        <v>0</v>
      </c>
      <c r="AD554">
        <v>41</v>
      </c>
      <c r="AE554">
        <v>1611631430241</v>
      </c>
      <c r="AF554" t="s">
        <v>3979</v>
      </c>
      <c r="AG554">
        <v>0</v>
      </c>
      <c r="AH554">
        <v>0</v>
      </c>
    </row>
    <row r="555" spans="1:35">
      <c r="A555">
        <v>2025</v>
      </c>
      <c r="B555" s="1">
        <v>45931</v>
      </c>
      <c r="C555" t="s">
        <v>2657</v>
      </c>
      <c r="D555" s="44" t="s">
        <v>3980</v>
      </c>
      <c r="E555" s="43">
        <v>45936.51028855324</v>
      </c>
      <c r="F555" s="1">
        <v>45936</v>
      </c>
      <c r="G555" s="43">
        <v>45940.63021851852</v>
      </c>
      <c r="H555" t="s">
        <v>2659</v>
      </c>
      <c r="I555" t="s">
        <v>2669</v>
      </c>
      <c r="J555" t="s">
        <v>2735</v>
      </c>
      <c r="L555" t="s">
        <v>2336</v>
      </c>
      <c r="M555">
        <v>16116314302</v>
      </c>
      <c r="N555" t="s">
        <v>2746</v>
      </c>
      <c r="O555" s="1">
        <v>45358</v>
      </c>
      <c r="T555" t="s">
        <v>2662</v>
      </c>
      <c r="U555" t="s">
        <v>3981</v>
      </c>
      <c r="V555">
        <v>4</v>
      </c>
      <c r="W555" t="s">
        <v>2743</v>
      </c>
      <c r="X555">
        <v>1</v>
      </c>
      <c r="Y555" t="s">
        <v>2695</v>
      </c>
      <c r="AA555">
        <v>16116314302</v>
      </c>
      <c r="AB555" t="s">
        <v>1654</v>
      </c>
      <c r="AC555">
        <v>0</v>
      </c>
      <c r="AD555">
        <v>41</v>
      </c>
      <c r="AE555">
        <v>1611631430241</v>
      </c>
      <c r="AF555" t="s">
        <v>3979</v>
      </c>
      <c r="AG555">
        <v>1</v>
      </c>
      <c r="AH555">
        <v>1</v>
      </c>
    </row>
    <row r="556" spans="1:35">
      <c r="A556">
        <v>2025</v>
      </c>
      <c r="B556" s="1">
        <v>45931</v>
      </c>
      <c r="C556" t="s">
        <v>2657</v>
      </c>
      <c r="D556" t="s">
        <v>3982</v>
      </c>
      <c r="E556" s="43">
        <v>45938.858484143515</v>
      </c>
      <c r="F556" s="1">
        <v>45938</v>
      </c>
      <c r="G556" s="43">
        <v>45940.524564259256</v>
      </c>
      <c r="H556" t="s">
        <v>2659</v>
      </c>
      <c r="I556" t="s">
        <v>2681</v>
      </c>
      <c r="J556" t="s">
        <v>2735</v>
      </c>
      <c r="L556" t="s">
        <v>2336</v>
      </c>
      <c r="M556">
        <v>16116314302</v>
      </c>
      <c r="N556" t="s">
        <v>2746</v>
      </c>
      <c r="O556" s="1">
        <v>45358</v>
      </c>
      <c r="T556" t="s">
        <v>2662</v>
      </c>
      <c r="U556" t="s">
        <v>3983</v>
      </c>
      <c r="V556">
        <v>2</v>
      </c>
      <c r="W556" t="s">
        <v>2743</v>
      </c>
      <c r="X556">
        <v>1</v>
      </c>
      <c r="Y556" t="s">
        <v>2764</v>
      </c>
      <c r="AA556">
        <v>16116314302</v>
      </c>
      <c r="AB556" t="s">
        <v>1654</v>
      </c>
      <c r="AC556">
        <v>0</v>
      </c>
      <c r="AD556">
        <v>41</v>
      </c>
      <c r="AE556">
        <v>1611631430241</v>
      </c>
      <c r="AF556" t="s">
        <v>3979</v>
      </c>
      <c r="AG556">
        <v>0</v>
      </c>
      <c r="AH556">
        <v>0</v>
      </c>
    </row>
    <row r="557" spans="1:35">
      <c r="A557">
        <v>2025</v>
      </c>
      <c r="B557" s="1">
        <v>45931</v>
      </c>
      <c r="C557" t="s">
        <v>2657</v>
      </c>
      <c r="D557" t="s">
        <v>3984</v>
      </c>
      <c r="E557" s="43">
        <v>45938.862586736112</v>
      </c>
      <c r="F557" s="1">
        <v>45938</v>
      </c>
      <c r="G557" s="43">
        <v>45940.630366053243</v>
      </c>
      <c r="H557" t="s">
        <v>2659</v>
      </c>
      <c r="I557" t="s">
        <v>2681</v>
      </c>
      <c r="J557" t="s">
        <v>2735</v>
      </c>
      <c r="L557" t="s">
        <v>2336</v>
      </c>
      <c r="M557">
        <v>16116314302</v>
      </c>
      <c r="N557" t="s">
        <v>2746</v>
      </c>
      <c r="O557" s="1">
        <v>45358</v>
      </c>
      <c r="T557" t="s">
        <v>2662</v>
      </c>
      <c r="U557" t="s">
        <v>3985</v>
      </c>
      <c r="V557">
        <v>2</v>
      </c>
      <c r="W557" t="s">
        <v>2743</v>
      </c>
      <c r="X557">
        <v>1</v>
      </c>
      <c r="Y557" t="s">
        <v>2695</v>
      </c>
      <c r="AA557">
        <v>16116314302</v>
      </c>
      <c r="AB557" t="s">
        <v>1654</v>
      </c>
      <c r="AC557">
        <v>0</v>
      </c>
      <c r="AD557">
        <v>41</v>
      </c>
      <c r="AE557">
        <v>1611631430241</v>
      </c>
      <c r="AF557" t="s">
        <v>3979</v>
      </c>
      <c r="AG557">
        <v>0</v>
      </c>
      <c r="AH557">
        <v>0</v>
      </c>
    </row>
    <row r="558" spans="1:35">
      <c r="A558">
        <v>2025</v>
      </c>
      <c r="B558" s="1">
        <v>45931</v>
      </c>
      <c r="C558" t="s">
        <v>2657</v>
      </c>
      <c r="D558" s="44" t="s">
        <v>3986</v>
      </c>
      <c r="E558" s="43">
        <v>45938.864539328701</v>
      </c>
      <c r="F558" s="1">
        <v>45938</v>
      </c>
      <c r="G558" s="43">
        <v>45952.599473182869</v>
      </c>
      <c r="H558" t="s">
        <v>2659</v>
      </c>
      <c r="I558" t="s">
        <v>2681</v>
      </c>
      <c r="J558" t="s">
        <v>2735</v>
      </c>
      <c r="L558" t="s">
        <v>2336</v>
      </c>
      <c r="M558">
        <v>16116314302</v>
      </c>
      <c r="N558" t="s">
        <v>2746</v>
      </c>
      <c r="O558" s="1">
        <v>45358</v>
      </c>
      <c r="T558" t="s">
        <v>2662</v>
      </c>
      <c r="U558" t="s">
        <v>3987</v>
      </c>
      <c r="V558">
        <v>10</v>
      </c>
      <c r="W558" t="s">
        <v>2677</v>
      </c>
      <c r="X558">
        <v>1</v>
      </c>
      <c r="Y558" t="s">
        <v>2772</v>
      </c>
      <c r="AA558">
        <v>16116314302</v>
      </c>
      <c r="AB558" t="s">
        <v>1654</v>
      </c>
      <c r="AC558">
        <v>0</v>
      </c>
      <c r="AD558">
        <v>41</v>
      </c>
      <c r="AE558">
        <v>1611631430241</v>
      </c>
      <c r="AF558" t="s">
        <v>3979</v>
      </c>
      <c r="AG558">
        <v>0</v>
      </c>
      <c r="AH558">
        <v>0</v>
      </c>
    </row>
    <row r="559" spans="1:35">
      <c r="A559">
        <v>2025</v>
      </c>
      <c r="B559" s="1">
        <v>45931</v>
      </c>
      <c r="C559" t="s">
        <v>2657</v>
      </c>
      <c r="D559" t="s">
        <v>3988</v>
      </c>
      <c r="E559" s="43">
        <v>45957.473588576388</v>
      </c>
      <c r="F559" s="1">
        <v>45957</v>
      </c>
      <c r="G559" s="43">
        <v>45964.593302384259</v>
      </c>
      <c r="H559" t="s">
        <v>2659</v>
      </c>
      <c r="I559" t="s">
        <v>2660</v>
      </c>
      <c r="J559" t="s">
        <v>2735</v>
      </c>
      <c r="L559" t="s">
        <v>2336</v>
      </c>
      <c r="M559">
        <v>16116314302</v>
      </c>
      <c r="N559" t="s">
        <v>2746</v>
      </c>
      <c r="O559" s="1">
        <v>45358</v>
      </c>
      <c r="T559" t="s">
        <v>2662</v>
      </c>
      <c r="U559" t="s">
        <v>3989</v>
      </c>
      <c r="V559">
        <v>5</v>
      </c>
      <c r="W559" t="s">
        <v>2677</v>
      </c>
      <c r="X559">
        <v>1</v>
      </c>
      <c r="Y559" t="s">
        <v>2727</v>
      </c>
      <c r="AA559">
        <v>16116314302</v>
      </c>
      <c r="AB559" t="s">
        <v>1654</v>
      </c>
      <c r="AC559">
        <v>0</v>
      </c>
      <c r="AD559">
        <v>44</v>
      </c>
      <c r="AE559">
        <v>1611631430244</v>
      </c>
      <c r="AF559" t="s">
        <v>3979</v>
      </c>
      <c r="AG559">
        <v>1</v>
      </c>
      <c r="AH559">
        <v>0</v>
      </c>
    </row>
    <row r="560" spans="1:35">
      <c r="A560">
        <v>2025</v>
      </c>
      <c r="B560" s="1">
        <v>45931</v>
      </c>
      <c r="C560" t="s">
        <v>2657</v>
      </c>
      <c r="D560" t="s">
        <v>3990</v>
      </c>
      <c r="E560" s="43">
        <v>45952.595575798608</v>
      </c>
      <c r="F560" s="1">
        <v>45952</v>
      </c>
      <c r="G560" s="43">
        <v>45952.615032222224</v>
      </c>
      <c r="H560" t="s">
        <v>2659</v>
      </c>
      <c r="I560" t="s">
        <v>2660</v>
      </c>
      <c r="J560" t="s">
        <v>2735</v>
      </c>
      <c r="L560" t="s">
        <v>2336</v>
      </c>
      <c r="M560">
        <v>16116314302</v>
      </c>
      <c r="N560" t="s">
        <v>2746</v>
      </c>
      <c r="O560" s="1">
        <v>45358</v>
      </c>
      <c r="T560" t="s">
        <v>2662</v>
      </c>
      <c r="U560" t="s">
        <v>3991</v>
      </c>
      <c r="V560">
        <v>0</v>
      </c>
      <c r="W560" t="s">
        <v>2743</v>
      </c>
      <c r="X560">
        <v>1</v>
      </c>
      <c r="Y560" t="s">
        <v>2695</v>
      </c>
      <c r="AA560">
        <v>16116314302</v>
      </c>
      <c r="AB560" t="s">
        <v>1654</v>
      </c>
      <c r="AC560">
        <v>0</v>
      </c>
      <c r="AD560">
        <v>43</v>
      </c>
      <c r="AE560">
        <v>1611631430243</v>
      </c>
      <c r="AF560" t="s">
        <v>3979</v>
      </c>
      <c r="AG560">
        <v>1</v>
      </c>
      <c r="AH560">
        <v>0</v>
      </c>
    </row>
    <row r="561" spans="1:35">
      <c r="A561">
        <v>2025</v>
      </c>
      <c r="B561" s="1">
        <v>45931</v>
      </c>
      <c r="C561" t="s">
        <v>2657</v>
      </c>
      <c r="D561" t="s">
        <v>3992</v>
      </c>
      <c r="E561" s="43">
        <v>45960.576762141201</v>
      </c>
      <c r="F561" s="1">
        <v>45960</v>
      </c>
      <c r="G561" s="43">
        <v>45968.491538923612</v>
      </c>
      <c r="H561" t="s">
        <v>2659</v>
      </c>
      <c r="I561" t="s">
        <v>2697</v>
      </c>
      <c r="J561" t="s">
        <v>2735</v>
      </c>
      <c r="L561" t="s">
        <v>2336</v>
      </c>
      <c r="M561">
        <v>16116314302</v>
      </c>
      <c r="N561" t="s">
        <v>2746</v>
      </c>
      <c r="O561" s="1">
        <v>45358</v>
      </c>
      <c r="T561" t="s">
        <v>2662</v>
      </c>
      <c r="U561" t="s">
        <v>3993</v>
      </c>
      <c r="V561">
        <v>6</v>
      </c>
      <c r="W561" t="s">
        <v>2664</v>
      </c>
      <c r="X561">
        <v>1</v>
      </c>
      <c r="Y561" t="s">
        <v>3994</v>
      </c>
      <c r="AA561">
        <v>16116314302</v>
      </c>
      <c r="AB561" t="s">
        <v>1654</v>
      </c>
      <c r="AC561">
        <v>0</v>
      </c>
      <c r="AD561">
        <v>44</v>
      </c>
      <c r="AE561">
        <v>1611631430244</v>
      </c>
      <c r="AF561" t="s">
        <v>3979</v>
      </c>
      <c r="AG561">
        <v>0</v>
      </c>
      <c r="AH561">
        <v>0</v>
      </c>
    </row>
    <row r="562" spans="1:35">
      <c r="A562">
        <v>2026</v>
      </c>
      <c r="B562" s="1">
        <v>46082</v>
      </c>
      <c r="C562" t="s">
        <v>2657</v>
      </c>
      <c r="D562" t="s">
        <v>3995</v>
      </c>
      <c r="E562" s="43">
        <v>46086.796388078707</v>
      </c>
      <c r="F562" s="1">
        <v>46086</v>
      </c>
      <c r="G562" s="43">
        <v>46090.847914953702</v>
      </c>
      <c r="H562" t="s">
        <v>2668</v>
      </c>
      <c r="I562" t="s">
        <v>2669</v>
      </c>
      <c r="J562" t="s">
        <v>37</v>
      </c>
      <c r="L562" t="s">
        <v>2364</v>
      </c>
      <c r="M562">
        <v>291732783002</v>
      </c>
      <c r="N562" t="s">
        <v>2661</v>
      </c>
      <c r="O562" s="1">
        <v>45593</v>
      </c>
      <c r="T562" t="s">
        <v>2662</v>
      </c>
      <c r="U562" t="s">
        <v>3996</v>
      </c>
      <c r="V562">
        <v>2</v>
      </c>
      <c r="X562">
        <v>1</v>
      </c>
      <c r="Y562" t="s">
        <v>2688</v>
      </c>
      <c r="AA562">
        <v>434163431202</v>
      </c>
      <c r="AB562" t="s">
        <v>1258</v>
      </c>
      <c r="AC562">
        <v>1</v>
      </c>
      <c r="AD562">
        <v>10</v>
      </c>
      <c r="AE562">
        <v>43416343120210</v>
      </c>
      <c r="AF562" t="s">
        <v>3997</v>
      </c>
      <c r="AG562">
        <v>1</v>
      </c>
      <c r="AH562">
        <v>1</v>
      </c>
    </row>
    <row r="563" spans="1:35">
      <c r="A563">
        <v>2026</v>
      </c>
      <c r="B563" s="1">
        <v>46023</v>
      </c>
      <c r="C563" t="s">
        <v>2657</v>
      </c>
      <c r="D563" t="s">
        <v>3998</v>
      </c>
      <c r="E563" s="43">
        <v>46029.506436238429</v>
      </c>
      <c r="F563" s="1">
        <v>46029</v>
      </c>
      <c r="G563" s="43">
        <v>46030.630990254627</v>
      </c>
      <c r="H563" t="s">
        <v>2701</v>
      </c>
      <c r="I563" t="s">
        <v>2669</v>
      </c>
      <c r="J563" t="s">
        <v>39</v>
      </c>
      <c r="L563" t="s">
        <v>2408</v>
      </c>
      <c r="M563">
        <v>10369153302</v>
      </c>
      <c r="N563" t="s">
        <v>2746</v>
      </c>
      <c r="O563" s="1">
        <v>45751</v>
      </c>
      <c r="T563" t="s">
        <v>2662</v>
      </c>
      <c r="U563" t="s">
        <v>3999</v>
      </c>
      <c r="V563">
        <v>1</v>
      </c>
      <c r="W563" t="s">
        <v>2671</v>
      </c>
      <c r="X563">
        <v>1</v>
      </c>
      <c r="Y563" t="s">
        <v>2721</v>
      </c>
      <c r="AA563">
        <v>10369153302</v>
      </c>
      <c r="AB563" t="s">
        <v>329</v>
      </c>
      <c r="AC563">
        <v>0</v>
      </c>
      <c r="AD563">
        <v>2</v>
      </c>
      <c r="AE563">
        <v>103691533022</v>
      </c>
      <c r="AF563" t="s">
        <v>4000</v>
      </c>
      <c r="AG563">
        <v>0</v>
      </c>
      <c r="AH563">
        <v>0</v>
      </c>
    </row>
    <row r="564" spans="1:35">
      <c r="A564">
        <v>2026</v>
      </c>
      <c r="B564" s="1">
        <v>46023</v>
      </c>
      <c r="C564" t="s">
        <v>2657</v>
      </c>
      <c r="D564" t="s">
        <v>4001</v>
      </c>
      <c r="E564" s="43">
        <v>46029.500872291668</v>
      </c>
      <c r="F564" s="1">
        <v>46029</v>
      </c>
      <c r="G564" s="43">
        <v>46029.500872291668</v>
      </c>
      <c r="H564" t="s">
        <v>2701</v>
      </c>
      <c r="I564" t="s">
        <v>2669</v>
      </c>
      <c r="J564" t="s">
        <v>39</v>
      </c>
      <c r="L564" t="s">
        <v>2408</v>
      </c>
      <c r="M564">
        <v>10369153302</v>
      </c>
      <c r="N564" t="s">
        <v>2746</v>
      </c>
      <c r="O564" s="1">
        <v>45751</v>
      </c>
      <c r="T564" t="s">
        <v>2662</v>
      </c>
      <c r="U564" t="s">
        <v>4002</v>
      </c>
      <c r="V564">
        <v>0</v>
      </c>
      <c r="W564" t="s">
        <v>2677</v>
      </c>
      <c r="X564">
        <v>1</v>
      </c>
      <c r="Y564" t="s">
        <v>3237</v>
      </c>
      <c r="AA564">
        <v>10369153302</v>
      </c>
      <c r="AB564" t="s">
        <v>329</v>
      </c>
      <c r="AC564">
        <v>0</v>
      </c>
      <c r="AD564">
        <v>2</v>
      </c>
      <c r="AE564">
        <v>103691533022</v>
      </c>
      <c r="AF564" t="s">
        <v>4000</v>
      </c>
      <c r="AG564">
        <v>1</v>
      </c>
      <c r="AH564">
        <v>1</v>
      </c>
    </row>
    <row r="565" spans="1:35">
      <c r="A565">
        <v>2026</v>
      </c>
      <c r="B565" s="1">
        <v>46023</v>
      </c>
      <c r="C565" t="s">
        <v>2657</v>
      </c>
      <c r="D565" t="s">
        <v>4003</v>
      </c>
      <c r="E565" s="43">
        <v>46031.537105856478</v>
      </c>
      <c r="F565" s="1">
        <v>46031</v>
      </c>
      <c r="G565" s="43">
        <v>46031.621797905093</v>
      </c>
      <c r="H565" t="s">
        <v>2701</v>
      </c>
      <c r="I565" t="s">
        <v>2681</v>
      </c>
      <c r="J565" t="s">
        <v>39</v>
      </c>
      <c r="L565" t="s">
        <v>2408</v>
      </c>
      <c r="M565">
        <v>10369153302</v>
      </c>
      <c r="N565" t="s">
        <v>2746</v>
      </c>
      <c r="O565" s="1">
        <v>45751</v>
      </c>
      <c r="T565" t="s">
        <v>2662</v>
      </c>
      <c r="U565" t="s">
        <v>4004</v>
      </c>
      <c r="V565">
        <v>0</v>
      </c>
      <c r="W565" t="s">
        <v>2743</v>
      </c>
      <c r="X565">
        <v>1</v>
      </c>
      <c r="Y565" t="s">
        <v>2717</v>
      </c>
      <c r="AA565">
        <v>10369153302</v>
      </c>
      <c r="AB565" t="s">
        <v>329</v>
      </c>
      <c r="AC565">
        <v>0</v>
      </c>
      <c r="AD565">
        <v>2</v>
      </c>
      <c r="AE565">
        <v>103691533022</v>
      </c>
      <c r="AF565" t="s">
        <v>4000</v>
      </c>
      <c r="AG565">
        <v>0</v>
      </c>
      <c r="AH565">
        <v>0</v>
      </c>
    </row>
    <row r="566" spans="1:35">
      <c r="A566">
        <v>2026</v>
      </c>
      <c r="B566" s="1">
        <v>46023</v>
      </c>
      <c r="C566" t="s">
        <v>2657</v>
      </c>
      <c r="D566" t="s">
        <v>4005</v>
      </c>
      <c r="E566" s="43">
        <v>46031.59970770833</v>
      </c>
      <c r="F566" s="1">
        <v>46031</v>
      </c>
      <c r="G566" s="43">
        <v>46035.534105381943</v>
      </c>
      <c r="H566" t="s">
        <v>2701</v>
      </c>
      <c r="I566" t="s">
        <v>2681</v>
      </c>
      <c r="J566" t="s">
        <v>39</v>
      </c>
      <c r="L566" t="s">
        <v>2408</v>
      </c>
      <c r="M566">
        <v>10369153302</v>
      </c>
      <c r="N566" t="s">
        <v>2746</v>
      </c>
      <c r="O566" s="1">
        <v>45751</v>
      </c>
      <c r="T566" t="s">
        <v>2662</v>
      </c>
      <c r="U566" t="s">
        <v>4006</v>
      </c>
      <c r="V566">
        <v>2</v>
      </c>
      <c r="W566" t="s">
        <v>2677</v>
      </c>
      <c r="X566">
        <v>1</v>
      </c>
      <c r="Y566" t="s">
        <v>2772</v>
      </c>
      <c r="AA566">
        <v>10369153302</v>
      </c>
      <c r="AB566" t="s">
        <v>329</v>
      </c>
      <c r="AC566">
        <v>0</v>
      </c>
      <c r="AD566">
        <v>2</v>
      </c>
      <c r="AE566">
        <v>103691533022</v>
      </c>
      <c r="AF566" t="s">
        <v>4000</v>
      </c>
      <c r="AG566">
        <v>0</v>
      </c>
      <c r="AH566">
        <v>0</v>
      </c>
    </row>
    <row r="567" spans="1:35">
      <c r="A567">
        <v>2026</v>
      </c>
      <c r="B567" s="1">
        <v>46023</v>
      </c>
      <c r="C567" t="s">
        <v>2657</v>
      </c>
      <c r="D567" t="s">
        <v>4007</v>
      </c>
      <c r="E567" s="43">
        <v>46030.756570833335</v>
      </c>
      <c r="F567" s="1">
        <v>46030</v>
      </c>
      <c r="G567" s="43">
        <v>46036.684505462959</v>
      </c>
      <c r="H567" t="s">
        <v>2701</v>
      </c>
      <c r="I567" t="s">
        <v>2681</v>
      </c>
      <c r="J567" t="s">
        <v>39</v>
      </c>
      <c r="L567" t="s">
        <v>2408</v>
      </c>
      <c r="M567">
        <v>10369153302</v>
      </c>
      <c r="N567" t="s">
        <v>2746</v>
      </c>
      <c r="O567" s="1">
        <v>45751</v>
      </c>
      <c r="T567" t="s">
        <v>2662</v>
      </c>
      <c r="U567" t="s">
        <v>4008</v>
      </c>
      <c r="V567">
        <v>4</v>
      </c>
      <c r="W567" t="s">
        <v>2677</v>
      </c>
      <c r="X567">
        <v>1</v>
      </c>
      <c r="Y567" t="s">
        <v>2760</v>
      </c>
      <c r="AA567">
        <v>10369153302</v>
      </c>
      <c r="AB567" t="s">
        <v>329</v>
      </c>
      <c r="AC567">
        <v>0</v>
      </c>
      <c r="AD567">
        <v>2</v>
      </c>
      <c r="AE567">
        <v>103691533022</v>
      </c>
      <c r="AF567" t="s">
        <v>4000</v>
      </c>
      <c r="AG567">
        <v>0</v>
      </c>
      <c r="AH567">
        <v>0</v>
      </c>
    </row>
    <row r="568" spans="1:35">
      <c r="A568">
        <v>2026</v>
      </c>
      <c r="B568" s="1">
        <v>46023</v>
      </c>
      <c r="C568" t="s">
        <v>2657</v>
      </c>
      <c r="D568" t="s">
        <v>4009</v>
      </c>
      <c r="E568" s="43">
        <v>46035.800118587962</v>
      </c>
      <c r="F568" s="1">
        <v>46035</v>
      </c>
      <c r="G568" s="43">
        <v>46036.781965451388</v>
      </c>
      <c r="H568" t="s">
        <v>2701</v>
      </c>
      <c r="I568" t="s">
        <v>2681</v>
      </c>
      <c r="J568" t="s">
        <v>39</v>
      </c>
      <c r="L568" t="s">
        <v>2408</v>
      </c>
      <c r="M568">
        <v>639050652002</v>
      </c>
      <c r="N568" t="s">
        <v>2746</v>
      </c>
      <c r="O568" s="1">
        <v>45751</v>
      </c>
      <c r="T568" t="s">
        <v>2662</v>
      </c>
      <c r="U568" t="s">
        <v>4010</v>
      </c>
      <c r="V568">
        <v>1</v>
      </c>
      <c r="W568" t="s">
        <v>2743</v>
      </c>
      <c r="X568">
        <v>1</v>
      </c>
      <c r="Y568" t="s">
        <v>2717</v>
      </c>
      <c r="Z568" t="s">
        <v>2684</v>
      </c>
      <c r="AA568">
        <v>10369153302</v>
      </c>
      <c r="AB568" t="s">
        <v>329</v>
      </c>
      <c r="AC568">
        <v>0</v>
      </c>
      <c r="AD568">
        <v>3</v>
      </c>
      <c r="AE568">
        <v>103691533023</v>
      </c>
      <c r="AF568" t="s">
        <v>4000</v>
      </c>
      <c r="AG568">
        <v>1</v>
      </c>
      <c r="AH568">
        <v>0</v>
      </c>
    </row>
    <row r="569" spans="1:35">
      <c r="A569">
        <v>2026</v>
      </c>
      <c r="B569" s="1">
        <v>46023</v>
      </c>
      <c r="C569" t="s">
        <v>2657</v>
      </c>
      <c r="D569" t="s">
        <v>4011</v>
      </c>
      <c r="E569" s="43">
        <v>46042.611726759256</v>
      </c>
      <c r="F569" s="1">
        <v>46042</v>
      </c>
      <c r="G569" s="43">
        <v>46043.536225729164</v>
      </c>
      <c r="H569" t="s">
        <v>2701</v>
      </c>
      <c r="I569" t="s">
        <v>2719</v>
      </c>
      <c r="J569" t="s">
        <v>39</v>
      </c>
      <c r="L569" t="s">
        <v>2408</v>
      </c>
      <c r="M569">
        <v>10369153302</v>
      </c>
      <c r="N569" t="s">
        <v>2746</v>
      </c>
      <c r="O569" s="1">
        <v>45751</v>
      </c>
      <c r="T569" t="s">
        <v>2662</v>
      </c>
      <c r="U569" t="s">
        <v>4012</v>
      </c>
      <c r="V569">
        <v>1</v>
      </c>
      <c r="W569" t="s">
        <v>2671</v>
      </c>
      <c r="X569">
        <v>1</v>
      </c>
      <c r="Y569" t="s">
        <v>2672</v>
      </c>
      <c r="AA569">
        <v>10369153302</v>
      </c>
      <c r="AB569" t="s">
        <v>329</v>
      </c>
      <c r="AC569">
        <v>0</v>
      </c>
      <c r="AD569">
        <v>4</v>
      </c>
      <c r="AE569">
        <v>103691533024</v>
      </c>
      <c r="AF569" t="s">
        <v>4000</v>
      </c>
      <c r="AG569">
        <v>1</v>
      </c>
      <c r="AH569">
        <v>0</v>
      </c>
    </row>
    <row r="570" spans="1:35">
      <c r="A570">
        <v>2026</v>
      </c>
      <c r="B570" s="1">
        <v>46023</v>
      </c>
      <c r="C570" t="s">
        <v>2657</v>
      </c>
      <c r="D570" s="44" t="s">
        <v>4013</v>
      </c>
      <c r="E570" s="43">
        <v>46042.789777615741</v>
      </c>
      <c r="F570" s="1">
        <v>46042</v>
      </c>
      <c r="G570" s="43">
        <v>46043.662600532407</v>
      </c>
      <c r="H570" t="s">
        <v>2701</v>
      </c>
      <c r="I570" t="s">
        <v>2719</v>
      </c>
      <c r="J570" t="s">
        <v>39</v>
      </c>
      <c r="L570" t="s">
        <v>2408</v>
      </c>
      <c r="M570">
        <v>10369153302</v>
      </c>
      <c r="N570" t="s">
        <v>2746</v>
      </c>
      <c r="O570" s="1">
        <v>45751</v>
      </c>
      <c r="T570" t="s">
        <v>2662</v>
      </c>
      <c r="U570" t="s">
        <v>4014</v>
      </c>
      <c r="V570">
        <v>1</v>
      </c>
      <c r="W570" t="s">
        <v>2677</v>
      </c>
      <c r="X570">
        <v>1</v>
      </c>
      <c r="Y570" t="s">
        <v>3237</v>
      </c>
      <c r="AA570">
        <v>10369153302</v>
      </c>
      <c r="AB570" t="s">
        <v>329</v>
      </c>
      <c r="AC570">
        <v>0</v>
      </c>
      <c r="AD570">
        <v>4</v>
      </c>
      <c r="AE570">
        <v>103691533024</v>
      </c>
      <c r="AF570" t="s">
        <v>4000</v>
      </c>
      <c r="AG570">
        <v>0</v>
      </c>
      <c r="AH570">
        <v>0</v>
      </c>
    </row>
    <row r="571" spans="1:35">
      <c r="A571">
        <v>2026</v>
      </c>
      <c r="B571" s="1">
        <v>46023</v>
      </c>
      <c r="C571" t="s">
        <v>2657</v>
      </c>
      <c r="D571" t="s">
        <v>4015</v>
      </c>
      <c r="E571" s="43">
        <v>46037.796814212961</v>
      </c>
      <c r="F571" s="1">
        <v>46037</v>
      </c>
      <c r="G571" s="43">
        <v>46045.654633136575</v>
      </c>
      <c r="H571" t="s">
        <v>2701</v>
      </c>
      <c r="I571" t="s">
        <v>2719</v>
      </c>
      <c r="J571" t="s">
        <v>39</v>
      </c>
      <c r="L571" t="s">
        <v>2408</v>
      </c>
      <c r="M571">
        <v>10369153302</v>
      </c>
      <c r="N571" t="s">
        <v>2746</v>
      </c>
      <c r="O571" s="1">
        <v>45751</v>
      </c>
      <c r="T571" t="s">
        <v>2662</v>
      </c>
      <c r="U571" t="s">
        <v>4016</v>
      </c>
      <c r="V571">
        <v>6</v>
      </c>
      <c r="W571" t="s">
        <v>2671</v>
      </c>
      <c r="X571">
        <v>1</v>
      </c>
      <c r="Y571" t="s">
        <v>2692</v>
      </c>
      <c r="AA571">
        <v>10369153302</v>
      </c>
      <c r="AB571" t="s">
        <v>329</v>
      </c>
      <c r="AC571">
        <v>0</v>
      </c>
      <c r="AD571">
        <v>3</v>
      </c>
      <c r="AE571">
        <v>103691533023</v>
      </c>
      <c r="AF571" t="s">
        <v>4000</v>
      </c>
      <c r="AG571">
        <v>0</v>
      </c>
      <c r="AH571">
        <v>0</v>
      </c>
    </row>
    <row r="572" spans="1:35">
      <c r="A572">
        <v>2026</v>
      </c>
      <c r="B572" s="1">
        <v>46023</v>
      </c>
      <c r="C572" t="s">
        <v>2657</v>
      </c>
      <c r="D572" t="s">
        <v>4017</v>
      </c>
      <c r="E572" s="43">
        <v>46045.734276875002</v>
      </c>
      <c r="F572" s="1">
        <v>46045</v>
      </c>
      <c r="G572" s="43">
        <v>46047.799813321762</v>
      </c>
      <c r="H572" t="s">
        <v>2701</v>
      </c>
      <c r="I572" t="s">
        <v>2660</v>
      </c>
      <c r="J572" t="s">
        <v>39</v>
      </c>
      <c r="L572" t="s">
        <v>2408</v>
      </c>
      <c r="M572">
        <v>10369153302</v>
      </c>
      <c r="N572" t="s">
        <v>2746</v>
      </c>
      <c r="O572" s="1">
        <v>45751</v>
      </c>
      <c r="T572" t="s">
        <v>2662</v>
      </c>
      <c r="U572" t="s">
        <v>4018</v>
      </c>
      <c r="V572">
        <v>0</v>
      </c>
      <c r="W572" t="s">
        <v>2677</v>
      </c>
      <c r="X572">
        <v>1</v>
      </c>
      <c r="Y572" t="s">
        <v>2760</v>
      </c>
      <c r="AA572">
        <v>10369153302</v>
      </c>
      <c r="AB572" t="s">
        <v>329</v>
      </c>
      <c r="AC572">
        <v>0</v>
      </c>
      <c r="AD572">
        <v>4</v>
      </c>
      <c r="AE572">
        <v>103691533024</v>
      </c>
      <c r="AF572" t="s">
        <v>4000</v>
      </c>
      <c r="AG572">
        <v>0</v>
      </c>
      <c r="AH572">
        <v>0</v>
      </c>
    </row>
    <row r="573" spans="1:35">
      <c r="A573">
        <v>2026</v>
      </c>
      <c r="B573" s="1">
        <v>46023</v>
      </c>
      <c r="C573" t="s">
        <v>2657</v>
      </c>
      <c r="D573" t="s">
        <v>4019</v>
      </c>
      <c r="E573" s="43">
        <v>46044.644492743057</v>
      </c>
      <c r="F573" s="1">
        <v>46044</v>
      </c>
      <c r="G573" s="43">
        <v>46044.687532777774</v>
      </c>
      <c r="H573" t="s">
        <v>2701</v>
      </c>
      <c r="I573" t="s">
        <v>2660</v>
      </c>
      <c r="J573" t="s">
        <v>39</v>
      </c>
      <c r="L573" t="s">
        <v>2408</v>
      </c>
      <c r="M573">
        <v>10369153302</v>
      </c>
      <c r="N573" t="s">
        <v>2746</v>
      </c>
      <c r="O573" s="1">
        <v>45751</v>
      </c>
      <c r="T573" t="s">
        <v>2662</v>
      </c>
      <c r="U573" t="s">
        <v>4020</v>
      </c>
      <c r="V573">
        <v>0</v>
      </c>
      <c r="W573" t="s">
        <v>2677</v>
      </c>
      <c r="X573">
        <v>1</v>
      </c>
      <c r="Y573" t="s">
        <v>2760</v>
      </c>
      <c r="AA573">
        <v>10369153302</v>
      </c>
      <c r="AB573" t="s">
        <v>329</v>
      </c>
      <c r="AC573">
        <v>0</v>
      </c>
      <c r="AD573">
        <v>4</v>
      </c>
      <c r="AE573">
        <v>103691533024</v>
      </c>
      <c r="AF573" t="s">
        <v>4000</v>
      </c>
      <c r="AG573">
        <v>0</v>
      </c>
      <c r="AH573">
        <v>0</v>
      </c>
    </row>
    <row r="574" spans="1:35">
      <c r="A574">
        <v>2026</v>
      </c>
      <c r="B574" s="1">
        <v>46023</v>
      </c>
      <c r="C574" t="s">
        <v>2657</v>
      </c>
      <c r="D574" t="s">
        <v>4021</v>
      </c>
      <c r="E574" s="43">
        <v>46049.616883043978</v>
      </c>
      <c r="F574" s="1">
        <v>46049</v>
      </c>
      <c r="G574" s="43">
        <v>46049.616883043978</v>
      </c>
      <c r="H574" t="s">
        <v>2701</v>
      </c>
      <c r="I574" t="s">
        <v>2660</v>
      </c>
      <c r="J574" t="s">
        <v>39</v>
      </c>
      <c r="L574" t="s">
        <v>2408</v>
      </c>
      <c r="M574">
        <v>10369153302</v>
      </c>
      <c r="N574" t="s">
        <v>2746</v>
      </c>
      <c r="O574" s="1">
        <v>45751</v>
      </c>
      <c r="T574" t="s">
        <v>2662</v>
      </c>
      <c r="U574" t="s">
        <v>4022</v>
      </c>
      <c r="V574">
        <v>0</v>
      </c>
      <c r="W574" t="s">
        <v>2743</v>
      </c>
      <c r="X574">
        <v>1</v>
      </c>
      <c r="Y574" t="s">
        <v>2721</v>
      </c>
      <c r="AA574">
        <v>10369153302</v>
      </c>
      <c r="AB574" t="s">
        <v>329</v>
      </c>
      <c r="AC574">
        <v>0</v>
      </c>
      <c r="AD574">
        <v>5</v>
      </c>
      <c r="AE574">
        <v>103691533025</v>
      </c>
      <c r="AF574" t="s">
        <v>4000</v>
      </c>
      <c r="AG574">
        <v>1</v>
      </c>
      <c r="AH574">
        <v>0</v>
      </c>
    </row>
    <row r="575" spans="1:35">
      <c r="A575">
        <v>2026</v>
      </c>
      <c r="B575" s="1">
        <v>46023</v>
      </c>
      <c r="C575" t="s">
        <v>2657</v>
      </c>
      <c r="D575" t="s">
        <v>4023</v>
      </c>
      <c r="E575" s="43">
        <v>46051.690346527779</v>
      </c>
      <c r="F575" s="1">
        <v>46051</v>
      </c>
      <c r="G575" s="43">
        <v>46057.805479236114</v>
      </c>
      <c r="H575" t="s">
        <v>2701</v>
      </c>
      <c r="I575" t="s">
        <v>2697</v>
      </c>
      <c r="J575" t="s">
        <v>100</v>
      </c>
      <c r="L575" t="s">
        <v>2361</v>
      </c>
      <c r="M575">
        <v>16137818802</v>
      </c>
      <c r="N575" t="s">
        <v>2746</v>
      </c>
      <c r="O575" s="1">
        <v>45294</v>
      </c>
      <c r="T575" t="s">
        <v>2662</v>
      </c>
      <c r="U575" t="s">
        <v>4024</v>
      </c>
      <c r="V575">
        <v>4</v>
      </c>
      <c r="W575" t="s">
        <v>2671</v>
      </c>
      <c r="X575">
        <v>1</v>
      </c>
      <c r="Y575" t="s">
        <v>2767</v>
      </c>
      <c r="Z575" t="s">
        <v>2684</v>
      </c>
      <c r="AA575">
        <v>16137818802</v>
      </c>
      <c r="AB575" t="s">
        <v>1088</v>
      </c>
      <c r="AC575">
        <v>1</v>
      </c>
      <c r="AD575">
        <v>5</v>
      </c>
      <c r="AE575">
        <v>161378188025</v>
      </c>
      <c r="AF575" t="s">
        <v>4025</v>
      </c>
      <c r="AG575">
        <v>1</v>
      </c>
      <c r="AH575">
        <v>1</v>
      </c>
      <c r="AI575" t="s">
        <v>3001</v>
      </c>
    </row>
    <row r="576" spans="1:35">
      <c r="A576">
        <v>2025</v>
      </c>
      <c r="B576" s="1">
        <v>45931</v>
      </c>
      <c r="C576" t="s">
        <v>2657</v>
      </c>
      <c r="D576" t="s">
        <v>4026</v>
      </c>
      <c r="E576" s="43">
        <v>45960.878982002316</v>
      </c>
      <c r="F576" s="1">
        <v>45960</v>
      </c>
      <c r="G576" s="43">
        <v>45961.616632141202</v>
      </c>
      <c r="H576" t="s">
        <v>2659</v>
      </c>
      <c r="I576" t="s">
        <v>2697</v>
      </c>
      <c r="J576" t="s">
        <v>38</v>
      </c>
      <c r="L576" t="s">
        <v>2393</v>
      </c>
      <c r="M576">
        <v>13351599302</v>
      </c>
      <c r="N576" t="s">
        <v>2702</v>
      </c>
      <c r="O576" s="1">
        <v>44991</v>
      </c>
      <c r="T576" t="s">
        <v>2662</v>
      </c>
      <c r="U576" t="s">
        <v>4027</v>
      </c>
      <c r="V576">
        <v>1</v>
      </c>
      <c r="W576" t="s">
        <v>2664</v>
      </c>
      <c r="X576">
        <v>1</v>
      </c>
      <c r="Y576" t="s">
        <v>2721</v>
      </c>
      <c r="AA576">
        <v>13351599302</v>
      </c>
      <c r="AB576" t="s">
        <v>1583</v>
      </c>
      <c r="AC576">
        <v>0</v>
      </c>
      <c r="AD576">
        <v>44</v>
      </c>
      <c r="AE576">
        <v>1335159930244</v>
      </c>
      <c r="AF576" t="s">
        <v>4028</v>
      </c>
      <c r="AG576">
        <v>1</v>
      </c>
      <c r="AH576">
        <v>1</v>
      </c>
    </row>
    <row r="577" spans="1:34">
      <c r="A577">
        <v>2026</v>
      </c>
      <c r="B577" s="1">
        <v>46023</v>
      </c>
      <c r="C577" t="s">
        <v>2657</v>
      </c>
      <c r="D577" t="s">
        <v>4029</v>
      </c>
      <c r="E577" s="43">
        <v>46049.575666736113</v>
      </c>
      <c r="F577" s="1">
        <v>46049</v>
      </c>
      <c r="G577" s="43">
        <v>46049.575666736113</v>
      </c>
      <c r="H577" t="s">
        <v>2701</v>
      </c>
      <c r="I577" t="s">
        <v>2660</v>
      </c>
      <c r="J577" t="s">
        <v>38</v>
      </c>
      <c r="L577" t="s">
        <v>2342</v>
      </c>
      <c r="M577">
        <v>256525648402</v>
      </c>
      <c r="N577" t="s">
        <v>2702</v>
      </c>
      <c r="O577" s="1">
        <v>45394</v>
      </c>
      <c r="T577" t="s">
        <v>2662</v>
      </c>
      <c r="U577" t="s">
        <v>4030</v>
      </c>
      <c r="V577">
        <v>0</v>
      </c>
      <c r="W577" t="s">
        <v>2704</v>
      </c>
      <c r="X577">
        <v>1</v>
      </c>
      <c r="Y577" t="s">
        <v>2931</v>
      </c>
      <c r="AA577">
        <v>256525648402</v>
      </c>
      <c r="AB577" t="s">
        <v>2307</v>
      </c>
      <c r="AC577">
        <v>0</v>
      </c>
      <c r="AD577">
        <v>5</v>
      </c>
      <c r="AE577">
        <v>2565256484025</v>
      </c>
      <c r="AF577" t="s">
        <v>4031</v>
      </c>
      <c r="AG577">
        <v>1</v>
      </c>
      <c r="AH577">
        <v>1</v>
      </c>
    </row>
    <row r="578" spans="1:34">
      <c r="A578">
        <v>2026</v>
      </c>
      <c r="B578" s="1">
        <v>46054</v>
      </c>
      <c r="C578" t="s">
        <v>2657</v>
      </c>
      <c r="D578" t="s">
        <v>4032</v>
      </c>
      <c r="E578" s="43">
        <v>46059.578330601849</v>
      </c>
      <c r="F578" s="1">
        <v>46059</v>
      </c>
      <c r="G578" s="43">
        <v>46063.62445516204</v>
      </c>
      <c r="H578" t="s">
        <v>2725</v>
      </c>
      <c r="I578" t="s">
        <v>2669</v>
      </c>
      <c r="J578" t="s">
        <v>100</v>
      </c>
      <c r="L578" t="s">
        <v>2363</v>
      </c>
      <c r="M578">
        <v>20025747402</v>
      </c>
      <c r="N578" t="s">
        <v>2702</v>
      </c>
      <c r="O578" s="1">
        <v>45294</v>
      </c>
      <c r="T578" t="s">
        <v>2662</v>
      </c>
      <c r="U578" t="s">
        <v>4033</v>
      </c>
      <c r="V578">
        <v>2</v>
      </c>
      <c r="W578" t="s">
        <v>2677</v>
      </c>
      <c r="X578">
        <v>1</v>
      </c>
      <c r="Y578" t="s">
        <v>2807</v>
      </c>
      <c r="AA578">
        <v>20025747402</v>
      </c>
      <c r="AB578" t="s">
        <v>524</v>
      </c>
      <c r="AC578">
        <v>0</v>
      </c>
      <c r="AD578">
        <v>6</v>
      </c>
      <c r="AE578">
        <v>200257474026</v>
      </c>
      <c r="AF578" t="s">
        <v>4034</v>
      </c>
      <c r="AG578">
        <v>0</v>
      </c>
      <c r="AH578">
        <v>0</v>
      </c>
    </row>
    <row r="579" spans="1:34">
      <c r="A579">
        <v>2026</v>
      </c>
      <c r="B579" s="1">
        <v>46054</v>
      </c>
      <c r="C579" t="s">
        <v>2657</v>
      </c>
      <c r="D579" t="s">
        <v>4035</v>
      </c>
      <c r="E579" s="43">
        <v>46058.789128842589</v>
      </c>
      <c r="F579" s="1">
        <v>46058</v>
      </c>
      <c r="G579" s="43">
        <v>46073.585939201388</v>
      </c>
      <c r="H579" t="s">
        <v>2725</v>
      </c>
      <c r="I579" t="s">
        <v>2669</v>
      </c>
      <c r="J579" t="s">
        <v>100</v>
      </c>
      <c r="L579" t="s">
        <v>2363</v>
      </c>
      <c r="M579">
        <v>20025747402</v>
      </c>
      <c r="N579" t="s">
        <v>2702</v>
      </c>
      <c r="O579" s="1">
        <v>45294</v>
      </c>
      <c r="T579" t="s">
        <v>2662</v>
      </c>
      <c r="U579" t="s">
        <v>4036</v>
      </c>
      <c r="V579">
        <v>11</v>
      </c>
      <c r="W579" t="s">
        <v>2664</v>
      </c>
      <c r="X579">
        <v>1</v>
      </c>
      <c r="Y579" t="s">
        <v>2665</v>
      </c>
      <c r="AA579">
        <v>20025747402</v>
      </c>
      <c r="AB579" t="s">
        <v>524</v>
      </c>
      <c r="AC579">
        <v>0</v>
      </c>
      <c r="AD579">
        <v>6</v>
      </c>
      <c r="AE579">
        <v>200257474026</v>
      </c>
      <c r="AF579" t="s">
        <v>4034</v>
      </c>
      <c r="AG579">
        <v>1</v>
      </c>
      <c r="AH579">
        <v>1</v>
      </c>
    </row>
    <row r="580" spans="1:34">
      <c r="A580">
        <v>2026</v>
      </c>
      <c r="B580" s="1">
        <v>46054</v>
      </c>
      <c r="C580" t="s">
        <v>2657</v>
      </c>
      <c r="D580" t="s">
        <v>4037</v>
      </c>
      <c r="E580" s="43">
        <v>46064.764833969908</v>
      </c>
      <c r="F580" s="1">
        <v>46064</v>
      </c>
      <c r="G580" s="43">
        <v>46065.533457280093</v>
      </c>
      <c r="H580" t="s">
        <v>2725</v>
      </c>
      <c r="I580" t="s">
        <v>2681</v>
      </c>
      <c r="J580" t="s">
        <v>100</v>
      </c>
      <c r="L580" t="s">
        <v>2363</v>
      </c>
      <c r="M580">
        <v>20025747402</v>
      </c>
      <c r="N580" t="s">
        <v>2702</v>
      </c>
      <c r="O580" s="1">
        <v>45294</v>
      </c>
      <c r="T580" t="s">
        <v>2662</v>
      </c>
      <c r="U580" t="s">
        <v>4038</v>
      </c>
      <c r="V580">
        <v>1</v>
      </c>
      <c r="W580" t="s">
        <v>2664</v>
      </c>
      <c r="X580">
        <v>1</v>
      </c>
      <c r="Y580" t="s">
        <v>2764</v>
      </c>
      <c r="AA580">
        <v>20025747402</v>
      </c>
      <c r="AB580" t="s">
        <v>524</v>
      </c>
      <c r="AC580">
        <v>0</v>
      </c>
      <c r="AD580">
        <v>7</v>
      </c>
      <c r="AE580">
        <v>200257474027</v>
      </c>
      <c r="AF580" t="s">
        <v>4034</v>
      </c>
      <c r="AG580">
        <v>1</v>
      </c>
      <c r="AH580">
        <v>0</v>
      </c>
    </row>
    <row r="581" spans="1:34">
      <c r="A581">
        <v>2026</v>
      </c>
      <c r="B581" s="1">
        <v>46054</v>
      </c>
      <c r="C581" t="s">
        <v>2657</v>
      </c>
      <c r="D581" t="s">
        <v>4039</v>
      </c>
      <c r="E581" s="43">
        <v>46077.805801805553</v>
      </c>
      <c r="F581" s="1">
        <v>46077</v>
      </c>
      <c r="G581" s="43">
        <v>46079.71189982639</v>
      </c>
      <c r="H581" t="s">
        <v>2725</v>
      </c>
      <c r="I581" t="s">
        <v>2660</v>
      </c>
      <c r="J581" t="s">
        <v>100</v>
      </c>
      <c r="L581" t="s">
        <v>2363</v>
      </c>
      <c r="M581">
        <v>20025747402</v>
      </c>
      <c r="N581" t="s">
        <v>2702</v>
      </c>
      <c r="O581" s="1">
        <v>45294</v>
      </c>
      <c r="T581" t="s">
        <v>2662</v>
      </c>
      <c r="U581" t="s">
        <v>4040</v>
      </c>
      <c r="V581">
        <v>2</v>
      </c>
      <c r="W581" t="s">
        <v>2664</v>
      </c>
      <c r="X581">
        <v>1</v>
      </c>
      <c r="Y581" t="s">
        <v>2757</v>
      </c>
      <c r="AA581">
        <v>20025747402</v>
      </c>
      <c r="AB581" t="s">
        <v>524</v>
      </c>
      <c r="AC581">
        <v>1</v>
      </c>
      <c r="AD581">
        <v>9</v>
      </c>
      <c r="AE581">
        <v>200257474029</v>
      </c>
      <c r="AF581" t="s">
        <v>4034</v>
      </c>
      <c r="AG581">
        <v>1</v>
      </c>
      <c r="AH581">
        <v>0</v>
      </c>
    </row>
    <row r="582" spans="1:34">
      <c r="A582">
        <v>2025</v>
      </c>
      <c r="B582" s="1">
        <v>45962</v>
      </c>
      <c r="C582" t="s">
        <v>2657</v>
      </c>
      <c r="D582" t="s">
        <v>4041</v>
      </c>
      <c r="E582" s="43">
        <v>45964.530787511576</v>
      </c>
      <c r="F582" s="1">
        <v>45964</v>
      </c>
      <c r="G582" s="43">
        <v>45964.59007302083</v>
      </c>
      <c r="H582" t="s">
        <v>2802</v>
      </c>
      <c r="I582" t="s">
        <v>2669</v>
      </c>
      <c r="J582" t="s">
        <v>2735</v>
      </c>
      <c r="L582" t="s">
        <v>2408</v>
      </c>
      <c r="M582">
        <v>24386750602</v>
      </c>
      <c r="N582" t="s">
        <v>2746</v>
      </c>
      <c r="O582" s="1">
        <v>45294</v>
      </c>
      <c r="T582" t="s">
        <v>2662</v>
      </c>
      <c r="U582" t="s">
        <v>4042</v>
      </c>
      <c r="V582">
        <v>0</v>
      </c>
      <c r="W582" t="s">
        <v>2743</v>
      </c>
      <c r="X582">
        <v>1</v>
      </c>
      <c r="Y582" t="s">
        <v>2695</v>
      </c>
      <c r="AA582">
        <v>24386750602</v>
      </c>
      <c r="AB582" t="s">
        <v>1847</v>
      </c>
      <c r="AC582">
        <v>0</v>
      </c>
      <c r="AD582">
        <v>45</v>
      </c>
      <c r="AE582">
        <v>2438675060245</v>
      </c>
      <c r="AF582" t="s">
        <v>4043</v>
      </c>
      <c r="AG582">
        <v>1</v>
      </c>
      <c r="AH582">
        <v>1</v>
      </c>
    </row>
    <row r="583" spans="1:34">
      <c r="A583">
        <v>2026</v>
      </c>
      <c r="B583" s="1">
        <v>46054</v>
      </c>
      <c r="C583" t="s">
        <v>2657</v>
      </c>
      <c r="D583" t="s">
        <v>4044</v>
      </c>
      <c r="E583" s="43">
        <v>46055.800561932869</v>
      </c>
      <c r="F583" s="1">
        <v>46055</v>
      </c>
      <c r="G583" s="43">
        <v>46078.598955856483</v>
      </c>
      <c r="H583" t="s">
        <v>2725</v>
      </c>
      <c r="I583" t="s">
        <v>2669</v>
      </c>
      <c r="J583" t="s">
        <v>37</v>
      </c>
      <c r="L583" t="s">
        <v>2344</v>
      </c>
      <c r="M583">
        <v>996604083802</v>
      </c>
      <c r="N583" t="s">
        <v>2661</v>
      </c>
      <c r="O583" s="1">
        <v>45680</v>
      </c>
      <c r="T583" t="s">
        <v>2662</v>
      </c>
      <c r="U583" t="s">
        <v>4045</v>
      </c>
      <c r="V583">
        <v>17</v>
      </c>
      <c r="W583" t="s">
        <v>2664</v>
      </c>
      <c r="X583">
        <v>1</v>
      </c>
      <c r="Y583" t="s">
        <v>2779</v>
      </c>
      <c r="AA583">
        <v>779493596402</v>
      </c>
      <c r="AB583" t="s">
        <v>512</v>
      </c>
      <c r="AC583">
        <v>0</v>
      </c>
      <c r="AD583">
        <v>6</v>
      </c>
      <c r="AE583">
        <v>7794935964026</v>
      </c>
      <c r="AF583" t="s">
        <v>4046</v>
      </c>
      <c r="AG583">
        <v>0</v>
      </c>
      <c r="AH583">
        <v>0</v>
      </c>
    </row>
    <row r="584" spans="1:34">
      <c r="A584">
        <v>2026</v>
      </c>
      <c r="B584" s="1">
        <v>46054</v>
      </c>
      <c r="C584" t="s">
        <v>2657</v>
      </c>
      <c r="D584" t="s">
        <v>4047</v>
      </c>
      <c r="E584" s="43">
        <v>46055.799663715276</v>
      </c>
      <c r="F584" s="1">
        <v>46055</v>
      </c>
      <c r="G584" s="43">
        <v>46078.598720150461</v>
      </c>
      <c r="H584" t="s">
        <v>2725</v>
      </c>
      <c r="I584" t="s">
        <v>2669</v>
      </c>
      <c r="J584" t="s">
        <v>37</v>
      </c>
      <c r="L584" t="s">
        <v>2344</v>
      </c>
      <c r="M584">
        <v>779493596402</v>
      </c>
      <c r="N584" t="s">
        <v>2661</v>
      </c>
      <c r="O584" s="1">
        <v>45680</v>
      </c>
      <c r="T584" t="s">
        <v>2662</v>
      </c>
      <c r="U584" t="s">
        <v>4048</v>
      </c>
      <c r="V584">
        <v>17</v>
      </c>
      <c r="W584" t="s">
        <v>2664</v>
      </c>
      <c r="X584">
        <v>1</v>
      </c>
      <c r="Y584" t="s">
        <v>2779</v>
      </c>
      <c r="AA584">
        <v>779493596402</v>
      </c>
      <c r="AB584" t="s">
        <v>512</v>
      </c>
      <c r="AC584">
        <v>0</v>
      </c>
      <c r="AD584">
        <v>6</v>
      </c>
      <c r="AE584">
        <v>7794935964026</v>
      </c>
      <c r="AF584" t="s">
        <v>4046</v>
      </c>
      <c r="AG584">
        <v>1</v>
      </c>
      <c r="AH584">
        <v>1</v>
      </c>
    </row>
    <row r="585" spans="1:34">
      <c r="A585">
        <v>2026</v>
      </c>
      <c r="B585" s="1">
        <v>46054</v>
      </c>
      <c r="C585" t="s">
        <v>2657</v>
      </c>
      <c r="D585" t="s">
        <v>4049</v>
      </c>
      <c r="E585" s="43">
        <v>46064.531330370373</v>
      </c>
      <c r="F585" s="1">
        <v>46064</v>
      </c>
      <c r="G585" s="43">
        <v>46065.587224918978</v>
      </c>
      <c r="H585" t="s">
        <v>2725</v>
      </c>
      <c r="I585" t="s">
        <v>2681</v>
      </c>
      <c r="J585" t="s">
        <v>37</v>
      </c>
      <c r="L585" t="s">
        <v>2344</v>
      </c>
      <c r="M585">
        <v>996604083802</v>
      </c>
      <c r="N585" t="s">
        <v>2661</v>
      </c>
      <c r="O585" s="1">
        <v>45680</v>
      </c>
      <c r="T585" t="s">
        <v>2662</v>
      </c>
      <c r="U585" t="s">
        <v>4050</v>
      </c>
      <c r="V585">
        <v>1</v>
      </c>
      <c r="W585" t="s">
        <v>2671</v>
      </c>
      <c r="X585">
        <v>1</v>
      </c>
      <c r="Y585" t="s">
        <v>2772</v>
      </c>
      <c r="AA585">
        <v>779493596402</v>
      </c>
      <c r="AB585" t="s">
        <v>512</v>
      </c>
      <c r="AC585">
        <v>0</v>
      </c>
      <c r="AD585">
        <v>7</v>
      </c>
      <c r="AE585">
        <v>7794935964027</v>
      </c>
      <c r="AF585" t="s">
        <v>4046</v>
      </c>
      <c r="AG585">
        <v>1</v>
      </c>
      <c r="AH585">
        <v>0</v>
      </c>
    </row>
    <row r="586" spans="1:34">
      <c r="A586">
        <v>2026</v>
      </c>
      <c r="B586" s="1">
        <v>46054</v>
      </c>
      <c r="C586" t="s">
        <v>2657</v>
      </c>
      <c r="D586" t="s">
        <v>4051</v>
      </c>
      <c r="E586" s="43">
        <v>46073.579712939812</v>
      </c>
      <c r="F586" s="1">
        <v>46073</v>
      </c>
      <c r="G586" s="43">
        <v>46085.547787372685</v>
      </c>
      <c r="H586" t="s">
        <v>2725</v>
      </c>
      <c r="I586" t="s">
        <v>2719</v>
      </c>
      <c r="J586" t="s">
        <v>37</v>
      </c>
      <c r="L586" t="s">
        <v>2344</v>
      </c>
      <c r="M586">
        <v>996604083802</v>
      </c>
      <c r="N586" t="s">
        <v>2661</v>
      </c>
      <c r="O586" s="1">
        <v>45680</v>
      </c>
      <c r="T586" t="s">
        <v>2662</v>
      </c>
      <c r="U586" t="s">
        <v>4052</v>
      </c>
      <c r="V586">
        <v>8</v>
      </c>
      <c r="W586" t="s">
        <v>2677</v>
      </c>
      <c r="X586">
        <v>1</v>
      </c>
      <c r="Y586" t="s">
        <v>2779</v>
      </c>
      <c r="AA586">
        <v>779493596402</v>
      </c>
      <c r="AB586" t="s">
        <v>512</v>
      </c>
      <c r="AC586">
        <v>0</v>
      </c>
      <c r="AD586">
        <v>8</v>
      </c>
      <c r="AE586">
        <v>7794935964028</v>
      </c>
      <c r="AF586" t="s">
        <v>4046</v>
      </c>
      <c r="AG586">
        <v>1</v>
      </c>
      <c r="AH586">
        <v>0</v>
      </c>
    </row>
    <row r="587" spans="1:34">
      <c r="A587">
        <v>2026</v>
      </c>
      <c r="B587" s="1">
        <v>46054</v>
      </c>
      <c r="C587" t="s">
        <v>2657</v>
      </c>
      <c r="D587" t="s">
        <v>4053</v>
      </c>
      <c r="E587" s="43">
        <v>46066.786448888888</v>
      </c>
      <c r="F587" s="1">
        <v>46066</v>
      </c>
      <c r="G587" s="43">
        <v>46079.746827002316</v>
      </c>
      <c r="H587" t="s">
        <v>2725</v>
      </c>
      <c r="I587" t="s">
        <v>2681</v>
      </c>
      <c r="J587" t="s">
        <v>36</v>
      </c>
      <c r="L587" t="s">
        <v>2355</v>
      </c>
      <c r="M587">
        <v>59283260402</v>
      </c>
      <c r="N587" t="s">
        <v>2702</v>
      </c>
      <c r="O587" s="1">
        <v>45294</v>
      </c>
      <c r="T587" t="s">
        <v>2662</v>
      </c>
      <c r="U587" t="s">
        <v>4054</v>
      </c>
      <c r="V587">
        <v>9</v>
      </c>
      <c r="W587" t="s">
        <v>2704</v>
      </c>
      <c r="X587">
        <v>1</v>
      </c>
      <c r="Y587" t="s">
        <v>2710</v>
      </c>
      <c r="AA587">
        <v>59283260402</v>
      </c>
      <c r="AB587" t="s">
        <v>905</v>
      </c>
      <c r="AC587">
        <v>0</v>
      </c>
      <c r="AD587">
        <v>7</v>
      </c>
      <c r="AE587">
        <v>592832604027</v>
      </c>
      <c r="AF587" t="s">
        <v>4055</v>
      </c>
      <c r="AG587">
        <v>0</v>
      </c>
      <c r="AH587">
        <v>0</v>
      </c>
    </row>
    <row r="588" spans="1:34">
      <c r="A588">
        <v>2026</v>
      </c>
      <c r="B588" s="1">
        <v>46054</v>
      </c>
      <c r="C588" t="s">
        <v>2657</v>
      </c>
      <c r="D588" t="s">
        <v>4056</v>
      </c>
      <c r="E588" s="43">
        <v>46066.796157523146</v>
      </c>
      <c r="F588" s="1">
        <v>46066</v>
      </c>
      <c r="G588" s="43">
        <v>46073.543452465281</v>
      </c>
      <c r="H588" t="s">
        <v>2725</v>
      </c>
      <c r="I588" t="s">
        <v>2681</v>
      </c>
      <c r="J588" t="s">
        <v>36</v>
      </c>
      <c r="L588" t="s">
        <v>2355</v>
      </c>
      <c r="M588">
        <v>59283260402</v>
      </c>
      <c r="N588" t="s">
        <v>2702</v>
      </c>
      <c r="O588" s="1">
        <v>45294</v>
      </c>
      <c r="T588" t="s">
        <v>2662</v>
      </c>
      <c r="U588" t="s">
        <v>4057</v>
      </c>
      <c r="V588">
        <v>5</v>
      </c>
      <c r="W588" t="s">
        <v>2704</v>
      </c>
      <c r="X588">
        <v>1</v>
      </c>
      <c r="Y588" t="s">
        <v>2710</v>
      </c>
      <c r="AA588">
        <v>59283260402</v>
      </c>
      <c r="AB588" t="s">
        <v>905</v>
      </c>
      <c r="AC588">
        <v>0</v>
      </c>
      <c r="AD588">
        <v>7</v>
      </c>
      <c r="AE588">
        <v>592832604027</v>
      </c>
      <c r="AF588" t="s">
        <v>4055</v>
      </c>
      <c r="AG588">
        <v>0</v>
      </c>
      <c r="AH588">
        <v>0</v>
      </c>
    </row>
    <row r="589" spans="1:34">
      <c r="A589">
        <v>2026</v>
      </c>
      <c r="B589" s="1">
        <v>46054</v>
      </c>
      <c r="C589" t="s">
        <v>2657</v>
      </c>
      <c r="D589" t="s">
        <v>4058</v>
      </c>
      <c r="E589" s="43">
        <v>46066.767770949074</v>
      </c>
      <c r="F589" s="1">
        <v>46066</v>
      </c>
      <c r="G589" s="43">
        <v>46073.541340844909</v>
      </c>
      <c r="H589" t="s">
        <v>2725</v>
      </c>
      <c r="I589" t="s">
        <v>2681</v>
      </c>
      <c r="J589" t="s">
        <v>36</v>
      </c>
      <c r="L589" t="s">
        <v>2355</v>
      </c>
      <c r="M589">
        <v>59283260402</v>
      </c>
      <c r="N589" t="s">
        <v>2702</v>
      </c>
      <c r="O589" s="1">
        <v>45294</v>
      </c>
      <c r="T589" t="s">
        <v>2662</v>
      </c>
      <c r="U589" t="s">
        <v>4059</v>
      </c>
      <c r="V589">
        <v>5</v>
      </c>
      <c r="W589" t="s">
        <v>2704</v>
      </c>
      <c r="X589">
        <v>1</v>
      </c>
      <c r="Y589" t="s">
        <v>2710</v>
      </c>
      <c r="AA589">
        <v>59283260402</v>
      </c>
      <c r="AB589" t="s">
        <v>905</v>
      </c>
      <c r="AC589">
        <v>0</v>
      </c>
      <c r="AD589">
        <v>7</v>
      </c>
      <c r="AE589">
        <v>592832604027</v>
      </c>
      <c r="AF589" t="s">
        <v>4055</v>
      </c>
      <c r="AG589">
        <v>1</v>
      </c>
      <c r="AH589">
        <v>1</v>
      </c>
    </row>
    <row r="590" spans="1:34">
      <c r="A590">
        <v>2026</v>
      </c>
      <c r="B590" s="1">
        <v>46054</v>
      </c>
      <c r="C590" t="s">
        <v>2657</v>
      </c>
      <c r="D590" t="s">
        <v>4060</v>
      </c>
      <c r="E590" s="43">
        <v>46066.776860925929</v>
      </c>
      <c r="F590" s="1">
        <v>46066</v>
      </c>
      <c r="G590" s="43">
        <v>46072.552165266206</v>
      </c>
      <c r="H590" t="s">
        <v>2725</v>
      </c>
      <c r="I590" t="s">
        <v>2681</v>
      </c>
      <c r="J590" t="s">
        <v>36</v>
      </c>
      <c r="L590" t="s">
        <v>2355</v>
      </c>
      <c r="M590">
        <v>59283260402</v>
      </c>
      <c r="N590" t="s">
        <v>2702</v>
      </c>
      <c r="O590" s="1">
        <v>45294</v>
      </c>
      <c r="T590" t="s">
        <v>2662</v>
      </c>
      <c r="U590" t="s">
        <v>4061</v>
      </c>
      <c r="V590">
        <v>4</v>
      </c>
      <c r="W590" t="s">
        <v>2704</v>
      </c>
      <c r="X590">
        <v>1</v>
      </c>
      <c r="Y590" t="s">
        <v>2710</v>
      </c>
      <c r="AA590">
        <v>59283260402</v>
      </c>
      <c r="AB590" t="s">
        <v>905</v>
      </c>
      <c r="AC590">
        <v>0</v>
      </c>
      <c r="AD590">
        <v>7</v>
      </c>
      <c r="AE590">
        <v>592832604027</v>
      </c>
      <c r="AF590" t="s">
        <v>4055</v>
      </c>
      <c r="AG590">
        <v>0</v>
      </c>
      <c r="AH590">
        <v>0</v>
      </c>
    </row>
    <row r="591" spans="1:34">
      <c r="A591">
        <v>2026</v>
      </c>
      <c r="B591" s="1">
        <v>46054</v>
      </c>
      <c r="C591" t="s">
        <v>2657</v>
      </c>
      <c r="D591" t="s">
        <v>4062</v>
      </c>
      <c r="E591" s="43">
        <v>46073.69217130787</v>
      </c>
      <c r="F591" s="1">
        <v>46073</v>
      </c>
      <c r="G591" s="43">
        <v>46077.506171261572</v>
      </c>
      <c r="H591" t="s">
        <v>2725</v>
      </c>
      <c r="I591" t="s">
        <v>2719</v>
      </c>
      <c r="J591" t="s">
        <v>36</v>
      </c>
      <c r="L591" t="s">
        <v>2355</v>
      </c>
      <c r="M591">
        <v>59283260402</v>
      </c>
      <c r="N591" t="s">
        <v>2702</v>
      </c>
      <c r="O591" s="1">
        <v>45294</v>
      </c>
      <c r="T591" t="s">
        <v>2662</v>
      </c>
      <c r="U591" t="s">
        <v>4063</v>
      </c>
      <c r="V591">
        <v>2</v>
      </c>
      <c r="W591" t="s">
        <v>2704</v>
      </c>
      <c r="X591">
        <v>1</v>
      </c>
      <c r="Y591" t="s">
        <v>2710</v>
      </c>
      <c r="AA591">
        <v>59283260402</v>
      </c>
      <c r="AB591" t="s">
        <v>905</v>
      </c>
      <c r="AC591">
        <v>0</v>
      </c>
      <c r="AD591">
        <v>8</v>
      </c>
      <c r="AE591">
        <v>592832604028</v>
      </c>
      <c r="AF591" t="s">
        <v>4055</v>
      </c>
      <c r="AG591">
        <v>1</v>
      </c>
      <c r="AH591">
        <v>0</v>
      </c>
    </row>
    <row r="592" spans="1:34">
      <c r="A592">
        <v>2026</v>
      </c>
      <c r="B592" s="1">
        <v>46054</v>
      </c>
      <c r="C592" t="s">
        <v>2657</v>
      </c>
      <c r="D592" t="s">
        <v>4064</v>
      </c>
      <c r="E592" s="43">
        <v>46077.880874166665</v>
      </c>
      <c r="F592" s="1">
        <v>46077</v>
      </c>
      <c r="G592" s="43">
        <v>46078.503192430559</v>
      </c>
      <c r="H592" t="s">
        <v>2725</v>
      </c>
      <c r="I592" t="s">
        <v>2660</v>
      </c>
      <c r="J592" t="s">
        <v>36</v>
      </c>
      <c r="L592" t="s">
        <v>2355</v>
      </c>
      <c r="M592">
        <v>59283260402</v>
      </c>
      <c r="N592" t="s">
        <v>2702</v>
      </c>
      <c r="O592" s="1">
        <v>45294</v>
      </c>
      <c r="T592" t="s">
        <v>2662</v>
      </c>
      <c r="U592" t="s">
        <v>4065</v>
      </c>
      <c r="V592">
        <v>1</v>
      </c>
      <c r="W592" t="s">
        <v>2704</v>
      </c>
      <c r="X592">
        <v>1</v>
      </c>
      <c r="Y592" t="s">
        <v>2721</v>
      </c>
      <c r="AA592">
        <v>59283260402</v>
      </c>
      <c r="AB592" t="s">
        <v>905</v>
      </c>
      <c r="AC592">
        <v>0</v>
      </c>
      <c r="AD592">
        <v>9</v>
      </c>
      <c r="AE592">
        <v>592832604029</v>
      </c>
      <c r="AF592" t="s">
        <v>4055</v>
      </c>
      <c r="AG592">
        <v>1</v>
      </c>
      <c r="AH592">
        <v>0</v>
      </c>
    </row>
    <row r="593" spans="1:34">
      <c r="A593">
        <v>2026</v>
      </c>
      <c r="B593" s="1">
        <v>46082</v>
      </c>
      <c r="C593" t="s">
        <v>2657</v>
      </c>
      <c r="D593" s="44" t="s">
        <v>4066</v>
      </c>
      <c r="E593" s="43">
        <v>46084.95399869213</v>
      </c>
      <c r="F593" s="1">
        <v>46084</v>
      </c>
      <c r="G593" s="43">
        <v>46084.95399869213</v>
      </c>
      <c r="H593" t="s">
        <v>2668</v>
      </c>
      <c r="I593" t="s">
        <v>2669</v>
      </c>
      <c r="J593" t="s">
        <v>36</v>
      </c>
      <c r="L593" t="s">
        <v>2355</v>
      </c>
      <c r="M593">
        <v>538911850502</v>
      </c>
      <c r="N593" t="s">
        <v>2702</v>
      </c>
      <c r="O593" s="1">
        <v>45669</v>
      </c>
      <c r="T593" t="s">
        <v>2798</v>
      </c>
      <c r="U593" t="s">
        <v>4067</v>
      </c>
      <c r="V593">
        <v>8</v>
      </c>
      <c r="W593" t="s">
        <v>2677</v>
      </c>
      <c r="X593">
        <v>0</v>
      </c>
      <c r="Y593" t="s">
        <v>2760</v>
      </c>
      <c r="AA593">
        <v>538911850502</v>
      </c>
      <c r="AB593" t="s">
        <v>2306</v>
      </c>
      <c r="AC593">
        <v>1</v>
      </c>
      <c r="AD593">
        <v>10</v>
      </c>
      <c r="AE593">
        <v>53891185050210</v>
      </c>
      <c r="AF593" t="s">
        <v>4068</v>
      </c>
      <c r="AG593">
        <v>1</v>
      </c>
      <c r="AH593">
        <v>1</v>
      </c>
    </row>
    <row r="594" spans="1:34">
      <c r="A594">
        <v>2026</v>
      </c>
      <c r="B594" s="1">
        <v>46023</v>
      </c>
      <c r="C594" t="s">
        <v>2657</v>
      </c>
      <c r="D594" t="s">
        <v>4069</v>
      </c>
      <c r="E594" s="43">
        <v>46030.865857824072</v>
      </c>
      <c r="F594" s="1">
        <v>46030</v>
      </c>
      <c r="G594" s="43">
        <v>46036.783908657409</v>
      </c>
      <c r="H594" t="s">
        <v>2701</v>
      </c>
      <c r="I594" t="s">
        <v>2681</v>
      </c>
      <c r="J594" t="s">
        <v>37</v>
      </c>
      <c r="L594" t="s">
        <v>2364</v>
      </c>
      <c r="M594">
        <v>137029362402</v>
      </c>
      <c r="N594" t="s">
        <v>2661</v>
      </c>
      <c r="O594" s="1">
        <v>45669</v>
      </c>
      <c r="T594" t="s">
        <v>2662</v>
      </c>
      <c r="U594" t="s">
        <v>4070</v>
      </c>
      <c r="V594">
        <v>4</v>
      </c>
      <c r="W594" t="s">
        <v>2677</v>
      </c>
      <c r="X594">
        <v>1</v>
      </c>
      <c r="Y594" t="s">
        <v>2807</v>
      </c>
      <c r="AA594">
        <v>137029362402</v>
      </c>
      <c r="AB594" t="s">
        <v>1441</v>
      </c>
      <c r="AC594">
        <v>0</v>
      </c>
      <c r="AD594">
        <v>2</v>
      </c>
      <c r="AE594">
        <v>1370293624022</v>
      </c>
      <c r="AF594" t="s">
        <v>4071</v>
      </c>
      <c r="AG594">
        <v>1</v>
      </c>
      <c r="AH594">
        <v>1</v>
      </c>
    </row>
    <row r="595" spans="1:34">
      <c r="A595">
        <v>2026</v>
      </c>
      <c r="B595" s="1">
        <v>46023</v>
      </c>
      <c r="C595" t="s">
        <v>2657</v>
      </c>
      <c r="D595" t="s">
        <v>4072</v>
      </c>
      <c r="E595" s="43">
        <v>46037.833200949077</v>
      </c>
      <c r="F595" s="1">
        <v>46037</v>
      </c>
      <c r="G595" s="43">
        <v>46077.828920509259</v>
      </c>
      <c r="H595" t="s">
        <v>2701</v>
      </c>
      <c r="I595" t="s">
        <v>2719</v>
      </c>
      <c r="J595" t="s">
        <v>37</v>
      </c>
      <c r="L595" t="s">
        <v>2364</v>
      </c>
      <c r="M595">
        <v>137029362402</v>
      </c>
      <c r="N595" t="s">
        <v>2661</v>
      </c>
      <c r="O595" s="1">
        <v>45669</v>
      </c>
      <c r="T595" t="s">
        <v>2662</v>
      </c>
      <c r="U595" t="s">
        <v>4073</v>
      </c>
      <c r="V595">
        <v>28</v>
      </c>
      <c r="W595" t="s">
        <v>2671</v>
      </c>
      <c r="X595">
        <v>1</v>
      </c>
      <c r="Y595" t="s">
        <v>2760</v>
      </c>
      <c r="AA595">
        <v>137029362402</v>
      </c>
      <c r="AB595" t="s">
        <v>1441</v>
      </c>
      <c r="AC595">
        <v>0</v>
      </c>
      <c r="AD595">
        <v>3</v>
      </c>
      <c r="AE595">
        <v>1370293624023</v>
      </c>
      <c r="AF595" t="s">
        <v>4071</v>
      </c>
      <c r="AG595">
        <v>1</v>
      </c>
      <c r="AH595">
        <v>0</v>
      </c>
    </row>
    <row r="596" spans="1:34">
      <c r="A596">
        <v>2026</v>
      </c>
      <c r="B596" s="1">
        <v>46023</v>
      </c>
      <c r="C596" t="s">
        <v>2657</v>
      </c>
      <c r="D596" t="s">
        <v>4074</v>
      </c>
      <c r="E596" s="43">
        <v>46051.710238831016</v>
      </c>
      <c r="F596" s="1">
        <v>46051</v>
      </c>
      <c r="G596" s="43">
        <v>46051.710238831016</v>
      </c>
      <c r="H596" t="s">
        <v>2701</v>
      </c>
      <c r="I596" t="s">
        <v>2697</v>
      </c>
      <c r="J596" t="s">
        <v>39</v>
      </c>
      <c r="L596" t="s">
        <v>2362</v>
      </c>
      <c r="M596">
        <v>301429377802</v>
      </c>
      <c r="N596" t="s">
        <v>2746</v>
      </c>
      <c r="O596" s="1">
        <v>45669</v>
      </c>
      <c r="T596" t="s">
        <v>2662</v>
      </c>
      <c r="U596" t="s">
        <v>4075</v>
      </c>
      <c r="V596">
        <v>0</v>
      </c>
      <c r="W596" t="s">
        <v>2743</v>
      </c>
      <c r="X596">
        <v>1</v>
      </c>
      <c r="Y596" t="s">
        <v>2695</v>
      </c>
      <c r="AA596">
        <v>301429377802</v>
      </c>
      <c r="AB596" t="s">
        <v>1868</v>
      </c>
      <c r="AC596">
        <v>0</v>
      </c>
      <c r="AD596">
        <v>5</v>
      </c>
      <c r="AE596">
        <v>3014293778025</v>
      </c>
      <c r="AF596" t="s">
        <v>4076</v>
      </c>
      <c r="AG596">
        <v>1</v>
      </c>
      <c r="AH596">
        <v>1</v>
      </c>
    </row>
    <row r="597" spans="1:34">
      <c r="A597">
        <v>2026</v>
      </c>
      <c r="B597" s="1">
        <v>46023</v>
      </c>
      <c r="C597" t="s">
        <v>2657</v>
      </c>
      <c r="D597" t="s">
        <v>4077</v>
      </c>
      <c r="E597" s="43">
        <v>46036.68617064815</v>
      </c>
      <c r="F597" s="1">
        <v>46036</v>
      </c>
      <c r="G597" s="43">
        <v>46051.798856099536</v>
      </c>
      <c r="H597" t="s">
        <v>2701</v>
      </c>
      <c r="I597" t="s">
        <v>2681</v>
      </c>
      <c r="J597" t="s">
        <v>100</v>
      </c>
      <c r="L597" t="s">
        <v>2353</v>
      </c>
      <c r="M597">
        <v>355214089002</v>
      </c>
      <c r="N597" t="s">
        <v>2675</v>
      </c>
      <c r="O597" s="1">
        <v>45661</v>
      </c>
      <c r="T597" t="s">
        <v>2662</v>
      </c>
      <c r="U597" t="s">
        <v>4078</v>
      </c>
      <c r="V597">
        <v>11</v>
      </c>
      <c r="X597">
        <v>1</v>
      </c>
      <c r="Y597" t="s">
        <v>2721</v>
      </c>
      <c r="AA597">
        <v>355214089002</v>
      </c>
      <c r="AB597" t="s">
        <v>101</v>
      </c>
      <c r="AC597">
        <v>0</v>
      </c>
      <c r="AD597">
        <v>3</v>
      </c>
      <c r="AE597">
        <v>3552140890023</v>
      </c>
      <c r="AF597" t="s">
        <v>4079</v>
      </c>
      <c r="AG597">
        <v>1</v>
      </c>
      <c r="AH597">
        <v>1</v>
      </c>
    </row>
    <row r="598" spans="1:34">
      <c r="A598">
        <v>2026</v>
      </c>
      <c r="B598" s="1">
        <v>46023</v>
      </c>
      <c r="C598" t="s">
        <v>2657</v>
      </c>
      <c r="D598" t="s">
        <v>4080</v>
      </c>
      <c r="E598" s="43">
        <v>46042.536837418978</v>
      </c>
      <c r="F598" s="1">
        <v>46042</v>
      </c>
      <c r="G598" s="43">
        <v>46055.615974479166</v>
      </c>
      <c r="H598" t="s">
        <v>2701</v>
      </c>
      <c r="I598" t="s">
        <v>2719</v>
      </c>
      <c r="J598" t="s">
        <v>39</v>
      </c>
      <c r="L598" t="s">
        <v>2408</v>
      </c>
      <c r="M598">
        <v>160165983902</v>
      </c>
      <c r="N598" t="s">
        <v>2746</v>
      </c>
      <c r="O598" s="1">
        <v>45680</v>
      </c>
      <c r="T598" t="s">
        <v>2662</v>
      </c>
      <c r="U598" t="s">
        <v>4081</v>
      </c>
      <c r="V598">
        <v>9</v>
      </c>
      <c r="W598" t="s">
        <v>2677</v>
      </c>
      <c r="X598">
        <v>1</v>
      </c>
      <c r="Y598" t="s">
        <v>2760</v>
      </c>
      <c r="AA598">
        <v>160165983902</v>
      </c>
      <c r="AB598" t="s">
        <v>2221</v>
      </c>
      <c r="AC598">
        <v>0</v>
      </c>
      <c r="AD598">
        <v>4</v>
      </c>
      <c r="AE598">
        <v>1601659839024</v>
      </c>
      <c r="AF598" t="s">
        <v>4082</v>
      </c>
      <c r="AG598">
        <v>1</v>
      </c>
      <c r="AH598">
        <v>1</v>
      </c>
    </row>
    <row r="599" spans="1:34">
      <c r="A599">
        <v>2026</v>
      </c>
      <c r="B599" s="1">
        <v>46023</v>
      </c>
      <c r="C599" t="s">
        <v>2657</v>
      </c>
      <c r="D599" t="s">
        <v>4083</v>
      </c>
      <c r="E599" s="43">
        <v>46045.073600601849</v>
      </c>
      <c r="F599" s="1">
        <v>46045</v>
      </c>
      <c r="G599" s="43">
        <v>46048.712942025464</v>
      </c>
      <c r="H599" t="s">
        <v>2701</v>
      </c>
      <c r="I599" t="s">
        <v>2660</v>
      </c>
      <c r="J599" t="s">
        <v>39</v>
      </c>
      <c r="L599" t="s">
        <v>2408</v>
      </c>
      <c r="M599">
        <v>160165983902</v>
      </c>
      <c r="N599" t="s">
        <v>2746</v>
      </c>
      <c r="O599" s="1">
        <v>45680</v>
      </c>
      <c r="T599" t="s">
        <v>2662</v>
      </c>
      <c r="U599" t="s">
        <v>4084</v>
      </c>
      <c r="V599">
        <v>1</v>
      </c>
      <c r="W599" t="s">
        <v>2664</v>
      </c>
      <c r="X599">
        <v>1</v>
      </c>
      <c r="Y599" t="s">
        <v>2665</v>
      </c>
      <c r="Z599" t="s">
        <v>2684</v>
      </c>
      <c r="AA599">
        <v>160165983902</v>
      </c>
      <c r="AB599" t="s">
        <v>2221</v>
      </c>
      <c r="AC599">
        <v>0</v>
      </c>
      <c r="AD599">
        <v>4</v>
      </c>
      <c r="AE599">
        <v>1601659839024</v>
      </c>
      <c r="AF599" t="s">
        <v>4082</v>
      </c>
      <c r="AG599">
        <v>0</v>
      </c>
      <c r="AH599">
        <v>0</v>
      </c>
    </row>
    <row r="600" spans="1:34">
      <c r="A600">
        <v>2026</v>
      </c>
      <c r="B600" s="1">
        <v>46023</v>
      </c>
      <c r="C600" t="s">
        <v>2657</v>
      </c>
      <c r="D600" t="s">
        <v>4085</v>
      </c>
      <c r="E600" s="43">
        <v>46052.80592515046</v>
      </c>
      <c r="F600" s="1">
        <v>46052</v>
      </c>
      <c r="G600" s="43">
        <v>46055.614480949072</v>
      </c>
      <c r="H600" t="s">
        <v>2701</v>
      </c>
      <c r="I600" t="s">
        <v>2697</v>
      </c>
      <c r="J600" t="s">
        <v>39</v>
      </c>
      <c r="L600" t="s">
        <v>2408</v>
      </c>
      <c r="M600">
        <v>160165983902</v>
      </c>
      <c r="N600" t="s">
        <v>2746</v>
      </c>
      <c r="O600" s="1">
        <v>45680</v>
      </c>
      <c r="T600" t="s">
        <v>2662</v>
      </c>
      <c r="U600" t="s">
        <v>4086</v>
      </c>
      <c r="V600">
        <v>1</v>
      </c>
      <c r="W600" t="s">
        <v>2677</v>
      </c>
      <c r="X600">
        <v>1</v>
      </c>
      <c r="Y600" t="s">
        <v>2807</v>
      </c>
      <c r="AA600">
        <v>160165983902</v>
      </c>
      <c r="AB600" t="s">
        <v>2221</v>
      </c>
      <c r="AC600">
        <v>0</v>
      </c>
      <c r="AD600">
        <v>5</v>
      </c>
      <c r="AE600">
        <v>1601659839025</v>
      </c>
      <c r="AF600" t="s">
        <v>4082</v>
      </c>
      <c r="AG600">
        <v>1</v>
      </c>
      <c r="AH600">
        <v>0</v>
      </c>
    </row>
    <row r="601" spans="1:34">
      <c r="A601">
        <v>2026</v>
      </c>
      <c r="B601" s="1">
        <v>46023</v>
      </c>
      <c r="C601" t="s">
        <v>2657</v>
      </c>
      <c r="D601" t="s">
        <v>4087</v>
      </c>
      <c r="E601" s="43">
        <v>46029.859358263886</v>
      </c>
      <c r="F601" s="1">
        <v>46029</v>
      </c>
      <c r="G601" s="43">
        <v>46036.783747766203</v>
      </c>
      <c r="H601" t="s">
        <v>2701</v>
      </c>
      <c r="I601" t="s">
        <v>2669</v>
      </c>
      <c r="J601" t="s">
        <v>37</v>
      </c>
      <c r="L601" t="s">
        <v>2364</v>
      </c>
      <c r="M601">
        <v>625725137302</v>
      </c>
      <c r="N601" t="s">
        <v>2661</v>
      </c>
      <c r="O601" s="1">
        <v>45294</v>
      </c>
      <c r="T601" t="s">
        <v>2662</v>
      </c>
      <c r="U601" t="s">
        <v>4088</v>
      </c>
      <c r="V601">
        <v>5</v>
      </c>
      <c r="W601" t="s">
        <v>2664</v>
      </c>
      <c r="X601">
        <v>1</v>
      </c>
      <c r="Y601" t="s">
        <v>2779</v>
      </c>
      <c r="AA601">
        <v>625725137302</v>
      </c>
      <c r="AB601" t="s">
        <v>1537</v>
      </c>
      <c r="AC601">
        <v>0</v>
      </c>
      <c r="AD601">
        <v>2</v>
      </c>
      <c r="AE601">
        <v>6257251373022</v>
      </c>
      <c r="AF601" t="s">
        <v>4089</v>
      </c>
      <c r="AG601">
        <v>1</v>
      </c>
      <c r="AH601">
        <v>1</v>
      </c>
    </row>
    <row r="602" spans="1:34">
      <c r="A602">
        <v>2026</v>
      </c>
      <c r="B602" s="1">
        <v>46023</v>
      </c>
      <c r="C602" t="s">
        <v>2657</v>
      </c>
      <c r="D602" t="s">
        <v>4090</v>
      </c>
      <c r="E602" s="43">
        <v>46037.823776215278</v>
      </c>
      <c r="F602" s="1">
        <v>46037</v>
      </c>
      <c r="G602" s="43">
        <v>46044.682956493052</v>
      </c>
      <c r="H602" t="s">
        <v>2701</v>
      </c>
      <c r="I602" t="s">
        <v>2719</v>
      </c>
      <c r="J602" t="s">
        <v>37</v>
      </c>
      <c r="L602" t="s">
        <v>2364</v>
      </c>
      <c r="M602">
        <v>625725137302</v>
      </c>
      <c r="N602" t="s">
        <v>2661</v>
      </c>
      <c r="O602" s="1">
        <v>45294</v>
      </c>
      <c r="T602" t="s">
        <v>2662</v>
      </c>
      <c r="U602" t="s">
        <v>4091</v>
      </c>
      <c r="V602">
        <v>5</v>
      </c>
      <c r="W602" t="s">
        <v>2677</v>
      </c>
      <c r="X602">
        <v>1</v>
      </c>
      <c r="Y602" t="s">
        <v>2779</v>
      </c>
      <c r="AA602">
        <v>625725137302</v>
      </c>
      <c r="AB602" t="s">
        <v>1537</v>
      </c>
      <c r="AC602">
        <v>0</v>
      </c>
      <c r="AD602">
        <v>3</v>
      </c>
      <c r="AE602">
        <v>6257251373023</v>
      </c>
      <c r="AF602" t="s">
        <v>4089</v>
      </c>
      <c r="AG602">
        <v>0</v>
      </c>
      <c r="AH602">
        <v>0</v>
      </c>
    </row>
    <row r="603" spans="1:34">
      <c r="A603">
        <v>2026</v>
      </c>
      <c r="B603" s="1">
        <v>46023</v>
      </c>
      <c r="C603" t="s">
        <v>2657</v>
      </c>
      <c r="D603" t="s">
        <v>4092</v>
      </c>
      <c r="E603" s="43">
        <v>46037.825598900461</v>
      </c>
      <c r="F603" s="1">
        <v>46037</v>
      </c>
      <c r="G603" s="43">
        <v>46041.563935115744</v>
      </c>
      <c r="H603" t="s">
        <v>2701</v>
      </c>
      <c r="I603" t="s">
        <v>2719</v>
      </c>
      <c r="J603" t="s">
        <v>37</v>
      </c>
      <c r="L603" t="s">
        <v>2364</v>
      </c>
      <c r="M603">
        <v>625725137302</v>
      </c>
      <c r="N603" t="s">
        <v>2661</v>
      </c>
      <c r="O603" s="1">
        <v>45294</v>
      </c>
      <c r="T603" t="s">
        <v>2662</v>
      </c>
      <c r="U603" t="s">
        <v>4093</v>
      </c>
      <c r="V603">
        <v>2</v>
      </c>
      <c r="W603" t="s">
        <v>2671</v>
      </c>
      <c r="X603">
        <v>1</v>
      </c>
      <c r="Y603" t="s">
        <v>2764</v>
      </c>
      <c r="AA603">
        <v>625725137302</v>
      </c>
      <c r="AB603" t="s">
        <v>1537</v>
      </c>
      <c r="AC603">
        <v>0</v>
      </c>
      <c r="AD603">
        <v>3</v>
      </c>
      <c r="AE603">
        <v>6257251373023</v>
      </c>
      <c r="AF603" t="s">
        <v>4089</v>
      </c>
      <c r="AG603">
        <v>0</v>
      </c>
      <c r="AH603">
        <v>0</v>
      </c>
    </row>
    <row r="604" spans="1:34">
      <c r="A604">
        <v>2026</v>
      </c>
      <c r="B604" s="1">
        <v>46023</v>
      </c>
      <c r="C604" t="s">
        <v>2657</v>
      </c>
      <c r="D604" t="s">
        <v>4094</v>
      </c>
      <c r="E604" s="43">
        <v>46037.822918043981</v>
      </c>
      <c r="F604" s="1">
        <v>46037</v>
      </c>
      <c r="G604" s="43">
        <v>46044.682870474535</v>
      </c>
      <c r="H604" t="s">
        <v>2701</v>
      </c>
      <c r="I604" t="s">
        <v>2719</v>
      </c>
      <c r="J604" t="s">
        <v>37</v>
      </c>
      <c r="L604" t="s">
        <v>2364</v>
      </c>
      <c r="M604">
        <v>625725137302</v>
      </c>
      <c r="N604" t="s">
        <v>2661</v>
      </c>
      <c r="O604" s="1">
        <v>45294</v>
      </c>
      <c r="T604" t="s">
        <v>2662</v>
      </c>
      <c r="U604" t="s">
        <v>4095</v>
      </c>
      <c r="V604">
        <v>5</v>
      </c>
      <c r="W604" t="s">
        <v>2677</v>
      </c>
      <c r="X604">
        <v>1</v>
      </c>
      <c r="Y604" t="s">
        <v>2779</v>
      </c>
      <c r="AA604">
        <v>625725137302</v>
      </c>
      <c r="AB604" t="s">
        <v>1537</v>
      </c>
      <c r="AC604">
        <v>0</v>
      </c>
      <c r="AD604">
        <v>3</v>
      </c>
      <c r="AE604">
        <v>6257251373023</v>
      </c>
      <c r="AF604" t="s">
        <v>4089</v>
      </c>
      <c r="AG604">
        <v>1</v>
      </c>
      <c r="AH604">
        <v>0</v>
      </c>
    </row>
    <row r="605" spans="1:34">
      <c r="A605">
        <v>2026</v>
      </c>
      <c r="B605" s="1">
        <v>46023</v>
      </c>
      <c r="C605" t="s">
        <v>2657</v>
      </c>
      <c r="D605" t="s">
        <v>4096</v>
      </c>
      <c r="E605" s="43">
        <v>46042.865525462963</v>
      </c>
      <c r="F605" s="1">
        <v>46042</v>
      </c>
      <c r="G605" s="43">
        <v>46052.863270844908</v>
      </c>
      <c r="H605" t="s">
        <v>2701</v>
      </c>
      <c r="I605" t="s">
        <v>2719</v>
      </c>
      <c r="J605" t="s">
        <v>37</v>
      </c>
      <c r="L605" t="s">
        <v>2364</v>
      </c>
      <c r="M605">
        <v>810505986102</v>
      </c>
      <c r="N605" t="s">
        <v>2661</v>
      </c>
      <c r="O605" s="1">
        <v>45492</v>
      </c>
      <c r="T605" t="s">
        <v>2662</v>
      </c>
      <c r="U605" t="s">
        <v>4097</v>
      </c>
      <c r="V605">
        <v>8</v>
      </c>
      <c r="W605" t="s">
        <v>2677</v>
      </c>
      <c r="X605">
        <v>1</v>
      </c>
      <c r="Y605" t="s">
        <v>2760</v>
      </c>
      <c r="AA605">
        <v>625725137302</v>
      </c>
      <c r="AB605" t="s">
        <v>1537</v>
      </c>
      <c r="AC605">
        <v>0</v>
      </c>
      <c r="AD605">
        <v>4</v>
      </c>
      <c r="AE605">
        <v>6257251373024</v>
      </c>
      <c r="AF605" t="s">
        <v>4089</v>
      </c>
      <c r="AG605">
        <v>1</v>
      </c>
      <c r="AH605">
        <v>0</v>
      </c>
    </row>
    <row r="606" spans="1:34">
      <c r="A606">
        <v>2026</v>
      </c>
      <c r="B606" s="1">
        <v>46023</v>
      </c>
      <c r="C606" t="s">
        <v>2657</v>
      </c>
      <c r="D606" t="s">
        <v>4098</v>
      </c>
      <c r="E606" s="43">
        <v>46037.805679236109</v>
      </c>
      <c r="F606" s="1">
        <v>46037</v>
      </c>
      <c r="G606" s="43">
        <v>46048.545897303244</v>
      </c>
      <c r="H606" t="s">
        <v>2701</v>
      </c>
      <c r="I606" t="s">
        <v>2719</v>
      </c>
      <c r="J606" t="s">
        <v>36</v>
      </c>
      <c r="L606" t="s">
        <v>2472</v>
      </c>
      <c r="M606">
        <v>1087931314602</v>
      </c>
      <c r="N606" t="s">
        <v>2702</v>
      </c>
      <c r="O606" s="1">
        <v>46021</v>
      </c>
      <c r="T606" t="s">
        <v>2662</v>
      </c>
      <c r="U606" t="s">
        <v>4099</v>
      </c>
      <c r="V606">
        <v>7</v>
      </c>
      <c r="W606" t="s">
        <v>2671</v>
      </c>
      <c r="X606">
        <v>1</v>
      </c>
      <c r="Y606" t="s">
        <v>3471</v>
      </c>
      <c r="Z606" t="s">
        <v>2684</v>
      </c>
      <c r="AA606">
        <v>1087931314602</v>
      </c>
      <c r="AB606" t="s">
        <v>2565</v>
      </c>
      <c r="AC606">
        <v>0</v>
      </c>
      <c r="AD606">
        <v>3</v>
      </c>
      <c r="AE606">
        <v>10879313146023</v>
      </c>
      <c r="AF606" t="s">
        <v>4100</v>
      </c>
      <c r="AG606">
        <v>1</v>
      </c>
      <c r="AH606">
        <v>1</v>
      </c>
    </row>
    <row r="607" spans="1:34">
      <c r="A607">
        <v>2025</v>
      </c>
      <c r="B607" s="1">
        <v>45992</v>
      </c>
      <c r="C607" t="s">
        <v>2657</v>
      </c>
      <c r="D607" t="s">
        <v>4101</v>
      </c>
      <c r="E607" s="43">
        <v>45993.797039513891</v>
      </c>
      <c r="F607" s="1">
        <v>45993</v>
      </c>
      <c r="G607" s="43">
        <v>45993.797039513891</v>
      </c>
      <c r="H607" t="s">
        <v>2686</v>
      </c>
      <c r="I607" t="s">
        <v>2669</v>
      </c>
      <c r="J607" t="s">
        <v>2735</v>
      </c>
      <c r="L607" t="s">
        <v>2362</v>
      </c>
      <c r="M607">
        <v>351067276502</v>
      </c>
      <c r="N607" t="s">
        <v>2702</v>
      </c>
      <c r="O607" s="1">
        <v>45807</v>
      </c>
      <c r="T607" t="s">
        <v>2662</v>
      </c>
      <c r="U607" t="s">
        <v>4102</v>
      </c>
      <c r="V607">
        <v>0</v>
      </c>
      <c r="W607" t="s">
        <v>2704</v>
      </c>
      <c r="X607">
        <v>1</v>
      </c>
      <c r="Y607" t="s">
        <v>2695</v>
      </c>
      <c r="AA607">
        <v>351067276502</v>
      </c>
      <c r="AB607" t="s">
        <v>284</v>
      </c>
      <c r="AC607">
        <v>0</v>
      </c>
      <c r="AD607">
        <v>49</v>
      </c>
      <c r="AE607">
        <v>35106727650249</v>
      </c>
      <c r="AF607" t="s">
        <v>4103</v>
      </c>
      <c r="AG607">
        <v>1</v>
      </c>
      <c r="AH607">
        <v>1</v>
      </c>
    </row>
    <row r="608" spans="1:34">
      <c r="A608">
        <v>2025</v>
      </c>
      <c r="B608" s="1">
        <v>45992</v>
      </c>
      <c r="C608" t="s">
        <v>2657</v>
      </c>
      <c r="D608" t="s">
        <v>4104</v>
      </c>
      <c r="E608" s="43">
        <v>46001.490963761571</v>
      </c>
      <c r="F608" s="1">
        <v>46001</v>
      </c>
      <c r="G608" s="43">
        <v>46001.614780439813</v>
      </c>
      <c r="H608" t="s">
        <v>2686</v>
      </c>
      <c r="I608" t="s">
        <v>2681</v>
      </c>
      <c r="J608" t="s">
        <v>2735</v>
      </c>
      <c r="L608" t="s">
        <v>2362</v>
      </c>
      <c r="M608">
        <v>351067276502</v>
      </c>
      <c r="N608" t="s">
        <v>2702</v>
      </c>
      <c r="O608" s="1">
        <v>45807</v>
      </c>
      <c r="T608" t="s">
        <v>2662</v>
      </c>
      <c r="U608" t="s">
        <v>4105</v>
      </c>
      <c r="V608">
        <v>0</v>
      </c>
      <c r="W608" t="s">
        <v>2704</v>
      </c>
      <c r="X608">
        <v>1</v>
      </c>
      <c r="Y608" t="s">
        <v>2721</v>
      </c>
      <c r="AA608">
        <v>351067276502</v>
      </c>
      <c r="AB608" t="s">
        <v>284</v>
      </c>
      <c r="AC608">
        <v>0</v>
      </c>
      <c r="AD608">
        <v>50</v>
      </c>
      <c r="AE608">
        <v>35106727650250</v>
      </c>
      <c r="AF608" t="s">
        <v>4103</v>
      </c>
      <c r="AG608">
        <v>1</v>
      </c>
      <c r="AH608">
        <v>0</v>
      </c>
    </row>
    <row r="609" spans="1:34">
      <c r="A609">
        <v>2026</v>
      </c>
      <c r="B609" s="1">
        <v>46082</v>
      </c>
      <c r="C609" t="s">
        <v>2657</v>
      </c>
      <c r="D609" t="s">
        <v>4106</v>
      </c>
      <c r="E609" s="43">
        <v>46093.745874224536</v>
      </c>
      <c r="F609" s="1">
        <v>46093</v>
      </c>
      <c r="G609" s="43">
        <v>46093.745874224536</v>
      </c>
      <c r="H609" t="s">
        <v>2668</v>
      </c>
      <c r="I609" t="s">
        <v>2681</v>
      </c>
      <c r="J609" t="s">
        <v>37</v>
      </c>
      <c r="L609" t="s">
        <v>2351</v>
      </c>
      <c r="M609">
        <v>175133439302</v>
      </c>
      <c r="N609" t="s">
        <v>2661</v>
      </c>
      <c r="O609" s="1">
        <v>45320</v>
      </c>
      <c r="T609" t="s">
        <v>2798</v>
      </c>
      <c r="U609" t="s">
        <v>4107</v>
      </c>
      <c r="V609">
        <v>1</v>
      </c>
      <c r="W609" t="s">
        <v>2677</v>
      </c>
      <c r="X609">
        <v>0</v>
      </c>
      <c r="Y609" t="s">
        <v>2760</v>
      </c>
      <c r="AA609">
        <v>175133439302</v>
      </c>
      <c r="AB609" t="s">
        <v>920</v>
      </c>
      <c r="AC609">
        <v>1</v>
      </c>
      <c r="AD609">
        <v>11</v>
      </c>
      <c r="AE609">
        <v>17513343930211</v>
      </c>
      <c r="AF609" t="s">
        <v>4108</v>
      </c>
      <c r="AG609">
        <v>1</v>
      </c>
      <c r="AH609">
        <v>1</v>
      </c>
    </row>
    <row r="610" spans="1:34">
      <c r="A610">
        <v>2025</v>
      </c>
      <c r="B610" s="1">
        <v>45992</v>
      </c>
      <c r="C610" t="s">
        <v>2657</v>
      </c>
      <c r="D610" t="s">
        <v>4109</v>
      </c>
      <c r="E610" s="43">
        <v>45994.582588506943</v>
      </c>
      <c r="F610" s="1">
        <v>45994</v>
      </c>
      <c r="G610" s="43">
        <v>45999.524324351849</v>
      </c>
      <c r="H610" t="s">
        <v>2686</v>
      </c>
      <c r="I610" t="s">
        <v>2669</v>
      </c>
      <c r="J610" t="s">
        <v>2735</v>
      </c>
      <c r="L610" t="s">
        <v>2362</v>
      </c>
      <c r="M610">
        <v>103928980802</v>
      </c>
      <c r="N610" t="s">
        <v>2746</v>
      </c>
      <c r="O610" s="1">
        <v>45661</v>
      </c>
      <c r="T610" t="s">
        <v>2662</v>
      </c>
      <c r="U610" t="s">
        <v>4110</v>
      </c>
      <c r="V610">
        <v>3</v>
      </c>
      <c r="W610" t="s">
        <v>2677</v>
      </c>
      <c r="X610">
        <v>1</v>
      </c>
      <c r="Y610" t="s">
        <v>2807</v>
      </c>
      <c r="AA610">
        <v>103928980802</v>
      </c>
      <c r="AB610" t="s">
        <v>1764</v>
      </c>
      <c r="AC610">
        <v>0</v>
      </c>
      <c r="AD610">
        <v>49</v>
      </c>
      <c r="AE610">
        <v>10392898080249</v>
      </c>
      <c r="AF610" t="s">
        <v>4111</v>
      </c>
      <c r="AG610">
        <v>1</v>
      </c>
      <c r="AH610">
        <v>1</v>
      </c>
    </row>
    <row r="611" spans="1:34">
      <c r="A611">
        <v>2026</v>
      </c>
      <c r="B611" s="1">
        <v>46023</v>
      </c>
      <c r="C611" t="s">
        <v>2657</v>
      </c>
      <c r="D611" t="s">
        <v>4112</v>
      </c>
      <c r="E611" s="43">
        <v>46029.554713865742</v>
      </c>
      <c r="F611" s="1">
        <v>46029</v>
      </c>
      <c r="G611" s="43">
        <v>46031.625260532404</v>
      </c>
      <c r="H611" t="s">
        <v>2701</v>
      </c>
      <c r="I611" t="s">
        <v>2669</v>
      </c>
      <c r="J611" t="s">
        <v>39</v>
      </c>
      <c r="L611" t="s">
        <v>2408</v>
      </c>
      <c r="M611">
        <v>11613361102</v>
      </c>
      <c r="N611" t="s">
        <v>2746</v>
      </c>
      <c r="O611" s="1">
        <v>45294</v>
      </c>
      <c r="T611" t="s">
        <v>2662</v>
      </c>
      <c r="U611" t="s">
        <v>4113</v>
      </c>
      <c r="V611">
        <v>2</v>
      </c>
      <c r="W611" t="s">
        <v>2743</v>
      </c>
      <c r="X611">
        <v>1</v>
      </c>
      <c r="Y611" t="s">
        <v>2699</v>
      </c>
      <c r="AA611">
        <v>11613361102</v>
      </c>
      <c r="AB611" t="s">
        <v>1880</v>
      </c>
      <c r="AC611">
        <v>0</v>
      </c>
      <c r="AD611">
        <v>2</v>
      </c>
      <c r="AE611">
        <v>116133611022</v>
      </c>
      <c r="AF611" t="s">
        <v>4114</v>
      </c>
      <c r="AG611">
        <v>0</v>
      </c>
      <c r="AH611">
        <v>0</v>
      </c>
    </row>
    <row r="612" spans="1:34">
      <c r="A612">
        <v>2026</v>
      </c>
      <c r="B612" s="1">
        <v>46023</v>
      </c>
      <c r="C612" t="s">
        <v>2657</v>
      </c>
      <c r="D612" t="s">
        <v>4115</v>
      </c>
      <c r="E612" s="43">
        <v>46029.486599861113</v>
      </c>
      <c r="F612" s="1">
        <v>46029</v>
      </c>
      <c r="G612" s="43">
        <v>46030.631562060182</v>
      </c>
      <c r="H612" t="s">
        <v>2701</v>
      </c>
      <c r="I612" t="s">
        <v>2669</v>
      </c>
      <c r="J612" t="s">
        <v>39</v>
      </c>
      <c r="L612" t="s">
        <v>2408</v>
      </c>
      <c r="M612">
        <v>847074348102</v>
      </c>
      <c r="N612" t="s">
        <v>2746</v>
      </c>
      <c r="O612" s="1">
        <v>45457</v>
      </c>
      <c r="T612" t="s">
        <v>2662</v>
      </c>
      <c r="U612" t="s">
        <v>4116</v>
      </c>
      <c r="V612">
        <v>1</v>
      </c>
      <c r="W612" t="s">
        <v>2671</v>
      </c>
      <c r="X612">
        <v>1</v>
      </c>
      <c r="Z612" t="s">
        <v>2684</v>
      </c>
      <c r="AA612">
        <v>11613361102</v>
      </c>
      <c r="AB612" t="s">
        <v>1880</v>
      </c>
      <c r="AC612">
        <v>0</v>
      </c>
      <c r="AD612">
        <v>2</v>
      </c>
      <c r="AE612">
        <v>116133611022</v>
      </c>
      <c r="AF612" t="s">
        <v>4114</v>
      </c>
      <c r="AG612">
        <v>1</v>
      </c>
      <c r="AH612">
        <v>1</v>
      </c>
    </row>
    <row r="613" spans="1:34">
      <c r="A613">
        <v>2026</v>
      </c>
      <c r="B613" s="1">
        <v>46023</v>
      </c>
      <c r="C613" t="s">
        <v>2657</v>
      </c>
      <c r="D613" t="s">
        <v>4117</v>
      </c>
      <c r="E613" s="43">
        <v>46036.554771226853</v>
      </c>
      <c r="F613" s="1">
        <v>46036</v>
      </c>
      <c r="G613" s="43">
        <v>46037.612042129629</v>
      </c>
      <c r="H613" t="s">
        <v>2701</v>
      </c>
      <c r="I613" t="s">
        <v>2681</v>
      </c>
      <c r="J613" t="s">
        <v>39</v>
      </c>
      <c r="L613" t="s">
        <v>2408</v>
      </c>
      <c r="M613">
        <v>11613361102</v>
      </c>
      <c r="N613" t="s">
        <v>2746</v>
      </c>
      <c r="O613" s="1">
        <v>45294</v>
      </c>
      <c r="T613" t="s">
        <v>2662</v>
      </c>
      <c r="U613" t="s">
        <v>4118</v>
      </c>
      <c r="V613">
        <v>1</v>
      </c>
      <c r="W613" t="s">
        <v>2664</v>
      </c>
      <c r="X613">
        <v>1</v>
      </c>
      <c r="AA613">
        <v>11613361102</v>
      </c>
      <c r="AB613" t="s">
        <v>1880</v>
      </c>
      <c r="AC613">
        <v>0</v>
      </c>
      <c r="AD613">
        <v>3</v>
      </c>
      <c r="AE613">
        <v>116133611023</v>
      </c>
      <c r="AF613" t="s">
        <v>4114</v>
      </c>
      <c r="AG613">
        <v>0</v>
      </c>
      <c r="AH613">
        <v>0</v>
      </c>
    </row>
    <row r="614" spans="1:34">
      <c r="A614">
        <v>2026</v>
      </c>
      <c r="B614" s="1">
        <v>46023</v>
      </c>
      <c r="C614" t="s">
        <v>2657</v>
      </c>
      <c r="D614" t="s">
        <v>4119</v>
      </c>
      <c r="E614" s="43">
        <v>46034.520220069448</v>
      </c>
      <c r="F614" s="1">
        <v>46034</v>
      </c>
      <c r="G614" s="43">
        <v>46036.632393101849</v>
      </c>
      <c r="H614" t="s">
        <v>2701</v>
      </c>
      <c r="I614" t="s">
        <v>2681</v>
      </c>
      <c r="J614" t="s">
        <v>39</v>
      </c>
      <c r="L614" t="s">
        <v>2408</v>
      </c>
      <c r="M614">
        <v>847074348102</v>
      </c>
      <c r="N614" t="s">
        <v>2746</v>
      </c>
      <c r="O614" s="1">
        <v>45457</v>
      </c>
      <c r="T614" t="s">
        <v>2662</v>
      </c>
      <c r="U614" t="s">
        <v>4120</v>
      </c>
      <c r="V614">
        <v>2</v>
      </c>
      <c r="W614" t="s">
        <v>2671</v>
      </c>
      <c r="X614">
        <v>1</v>
      </c>
      <c r="Y614" t="s">
        <v>2692</v>
      </c>
      <c r="AA614">
        <v>11613361102</v>
      </c>
      <c r="AB614" t="s">
        <v>1880</v>
      </c>
      <c r="AC614">
        <v>0</v>
      </c>
      <c r="AD614">
        <v>3</v>
      </c>
      <c r="AE614">
        <v>116133611023</v>
      </c>
      <c r="AF614" t="s">
        <v>4114</v>
      </c>
      <c r="AG614">
        <v>1</v>
      </c>
      <c r="AH614">
        <v>0</v>
      </c>
    </row>
    <row r="615" spans="1:34">
      <c r="A615">
        <v>2026</v>
      </c>
      <c r="B615" s="1">
        <v>46023</v>
      </c>
      <c r="C615" t="s">
        <v>2657</v>
      </c>
      <c r="D615" t="s">
        <v>4121</v>
      </c>
      <c r="E615" s="43">
        <v>46030.561261875002</v>
      </c>
      <c r="F615" s="1">
        <v>46030</v>
      </c>
      <c r="G615" s="43">
        <v>46030.846651967593</v>
      </c>
      <c r="H615" t="s">
        <v>2701</v>
      </c>
      <c r="I615" t="s">
        <v>2681</v>
      </c>
      <c r="J615" t="s">
        <v>39</v>
      </c>
      <c r="L615" t="s">
        <v>2408</v>
      </c>
      <c r="M615">
        <v>11613361102</v>
      </c>
      <c r="N615" t="s">
        <v>2746</v>
      </c>
      <c r="O615" s="1">
        <v>45294</v>
      </c>
      <c r="T615" t="s">
        <v>2662</v>
      </c>
      <c r="U615" t="s">
        <v>4122</v>
      </c>
      <c r="V615">
        <v>0</v>
      </c>
      <c r="W615" t="s">
        <v>2743</v>
      </c>
      <c r="X615">
        <v>1</v>
      </c>
      <c r="AA615">
        <v>11613361102</v>
      </c>
      <c r="AB615" t="s">
        <v>1880</v>
      </c>
      <c r="AC615">
        <v>0</v>
      </c>
      <c r="AD615">
        <v>2</v>
      </c>
      <c r="AE615">
        <v>116133611022</v>
      </c>
      <c r="AF615" t="s">
        <v>4114</v>
      </c>
      <c r="AG615">
        <v>0</v>
      </c>
      <c r="AH615">
        <v>0</v>
      </c>
    </row>
    <row r="616" spans="1:34">
      <c r="A616">
        <v>2026</v>
      </c>
      <c r="B616" s="1">
        <v>46023</v>
      </c>
      <c r="C616" t="s">
        <v>2657</v>
      </c>
      <c r="D616" t="s">
        <v>4123</v>
      </c>
      <c r="E616" s="43">
        <v>46037.64527724537</v>
      </c>
      <c r="F616" s="1">
        <v>46037</v>
      </c>
      <c r="G616" s="43">
        <v>46037.717411863428</v>
      </c>
      <c r="H616" t="s">
        <v>2701</v>
      </c>
      <c r="I616" t="s">
        <v>2719</v>
      </c>
      <c r="J616" t="s">
        <v>39</v>
      </c>
      <c r="L616" t="s">
        <v>2408</v>
      </c>
      <c r="M616">
        <v>11613361102</v>
      </c>
      <c r="N616" t="s">
        <v>2746</v>
      </c>
      <c r="O616" s="1">
        <v>45294</v>
      </c>
      <c r="T616" t="s">
        <v>2662</v>
      </c>
      <c r="U616" t="s">
        <v>4124</v>
      </c>
      <c r="V616">
        <v>0</v>
      </c>
      <c r="W616" t="s">
        <v>2743</v>
      </c>
      <c r="X616">
        <v>1</v>
      </c>
      <c r="Y616" t="s">
        <v>2699</v>
      </c>
      <c r="Z616" t="s">
        <v>2684</v>
      </c>
      <c r="AA616">
        <v>11613361102</v>
      </c>
      <c r="AB616" t="s">
        <v>1880</v>
      </c>
      <c r="AC616">
        <v>0</v>
      </c>
      <c r="AD616">
        <v>3</v>
      </c>
      <c r="AE616">
        <v>116133611023</v>
      </c>
      <c r="AF616" t="s">
        <v>4114</v>
      </c>
      <c r="AG616">
        <v>0</v>
      </c>
      <c r="AH616">
        <v>0</v>
      </c>
    </row>
    <row r="617" spans="1:34">
      <c r="A617">
        <v>2026</v>
      </c>
      <c r="B617" s="1">
        <v>46023</v>
      </c>
      <c r="C617" t="s">
        <v>2657</v>
      </c>
      <c r="D617" s="44" t="s">
        <v>4125</v>
      </c>
      <c r="E617" s="43">
        <v>46038.511912951391</v>
      </c>
      <c r="F617" s="1">
        <v>46038</v>
      </c>
      <c r="G617" s="43">
        <v>46062.691514247686</v>
      </c>
      <c r="H617" t="s">
        <v>2701</v>
      </c>
      <c r="I617" t="s">
        <v>2719</v>
      </c>
      <c r="J617" t="s">
        <v>39</v>
      </c>
      <c r="L617" t="s">
        <v>2408</v>
      </c>
      <c r="M617">
        <v>847074348102</v>
      </c>
      <c r="N617" t="s">
        <v>2746</v>
      </c>
      <c r="O617" s="1">
        <v>45457</v>
      </c>
      <c r="T617" t="s">
        <v>2662</v>
      </c>
      <c r="U617" t="s">
        <v>4126</v>
      </c>
      <c r="V617">
        <v>16</v>
      </c>
      <c r="W617" t="s">
        <v>2671</v>
      </c>
      <c r="X617">
        <v>1</v>
      </c>
      <c r="Y617" t="s">
        <v>2692</v>
      </c>
      <c r="AA617">
        <v>11613361102</v>
      </c>
      <c r="AB617" t="s">
        <v>1880</v>
      </c>
      <c r="AC617">
        <v>0</v>
      </c>
      <c r="AD617">
        <v>3</v>
      </c>
      <c r="AE617">
        <v>116133611023</v>
      </c>
      <c r="AF617" t="s">
        <v>4114</v>
      </c>
      <c r="AG617">
        <v>0</v>
      </c>
      <c r="AH617">
        <v>0</v>
      </c>
    </row>
    <row r="618" spans="1:34">
      <c r="A618">
        <v>2026</v>
      </c>
      <c r="B618" s="1">
        <v>46023</v>
      </c>
      <c r="C618" t="s">
        <v>2657</v>
      </c>
      <c r="D618" t="s">
        <v>4127</v>
      </c>
      <c r="E618" s="43">
        <v>46043.897576412041</v>
      </c>
      <c r="F618" s="1">
        <v>46043</v>
      </c>
      <c r="G618" s="43">
        <v>46080.59727953704</v>
      </c>
      <c r="H618" t="s">
        <v>2701</v>
      </c>
      <c r="I618" t="s">
        <v>2719</v>
      </c>
      <c r="J618" t="s">
        <v>39</v>
      </c>
      <c r="L618" t="s">
        <v>2408</v>
      </c>
      <c r="M618">
        <v>847074348102</v>
      </c>
      <c r="N618" t="s">
        <v>2746</v>
      </c>
      <c r="O618" s="1">
        <v>45457</v>
      </c>
      <c r="T618" t="s">
        <v>2662</v>
      </c>
      <c r="U618" t="s">
        <v>4128</v>
      </c>
      <c r="V618">
        <v>27</v>
      </c>
      <c r="W618" t="s">
        <v>2671</v>
      </c>
      <c r="X618">
        <v>1</v>
      </c>
      <c r="Y618" t="s">
        <v>2692</v>
      </c>
      <c r="AA618">
        <v>11613361102</v>
      </c>
      <c r="AB618" t="s">
        <v>1880</v>
      </c>
      <c r="AC618">
        <v>0</v>
      </c>
      <c r="AD618">
        <v>4</v>
      </c>
      <c r="AE618">
        <v>116133611024</v>
      </c>
      <c r="AF618" t="s">
        <v>4114</v>
      </c>
      <c r="AG618">
        <v>0</v>
      </c>
      <c r="AH618">
        <v>0</v>
      </c>
    </row>
    <row r="619" spans="1:34">
      <c r="A619">
        <v>2026</v>
      </c>
      <c r="B619" s="1">
        <v>46023</v>
      </c>
      <c r="C619" t="s">
        <v>2657</v>
      </c>
      <c r="D619" t="s">
        <v>4129</v>
      </c>
      <c r="E619" s="43">
        <v>46043.901839583334</v>
      </c>
      <c r="F619" s="1">
        <v>46043</v>
      </c>
      <c r="G619" s="43">
        <v>46062.875113541668</v>
      </c>
      <c r="H619" t="s">
        <v>2701</v>
      </c>
      <c r="I619" t="s">
        <v>2719</v>
      </c>
      <c r="J619" t="s">
        <v>39</v>
      </c>
      <c r="L619" t="s">
        <v>2408</v>
      </c>
      <c r="M619">
        <v>847074348102</v>
      </c>
      <c r="N619" t="s">
        <v>2746</v>
      </c>
      <c r="O619" s="1">
        <v>45457</v>
      </c>
      <c r="T619" t="s">
        <v>2662</v>
      </c>
      <c r="U619" t="s">
        <v>4130</v>
      </c>
      <c r="V619">
        <v>13</v>
      </c>
      <c r="W619" t="s">
        <v>2671</v>
      </c>
      <c r="X619">
        <v>1</v>
      </c>
      <c r="Y619" t="s">
        <v>2699</v>
      </c>
      <c r="Z619" t="s">
        <v>2684</v>
      </c>
      <c r="AA619">
        <v>11613361102</v>
      </c>
      <c r="AB619" t="s">
        <v>1880</v>
      </c>
      <c r="AC619">
        <v>0</v>
      </c>
      <c r="AD619">
        <v>4</v>
      </c>
      <c r="AE619">
        <v>116133611024</v>
      </c>
      <c r="AF619" t="s">
        <v>4114</v>
      </c>
      <c r="AG619">
        <v>0</v>
      </c>
      <c r="AH619">
        <v>0</v>
      </c>
    </row>
    <row r="620" spans="1:34">
      <c r="A620">
        <v>2026</v>
      </c>
      <c r="B620" s="1">
        <v>46023</v>
      </c>
      <c r="C620" t="s">
        <v>2657</v>
      </c>
      <c r="D620" t="s">
        <v>4131</v>
      </c>
      <c r="E620" s="43">
        <v>46041.856153449073</v>
      </c>
      <c r="F620" s="1">
        <v>46041</v>
      </c>
      <c r="G620" s="43">
        <v>46043.808903020836</v>
      </c>
      <c r="H620" t="s">
        <v>2701</v>
      </c>
      <c r="I620" t="s">
        <v>2719</v>
      </c>
      <c r="J620" t="s">
        <v>39</v>
      </c>
      <c r="L620" t="s">
        <v>2408</v>
      </c>
      <c r="M620">
        <v>847074348102</v>
      </c>
      <c r="N620" t="s">
        <v>2746</v>
      </c>
      <c r="O620" s="1">
        <v>45457</v>
      </c>
      <c r="T620" t="s">
        <v>2662</v>
      </c>
      <c r="U620" t="s">
        <v>4132</v>
      </c>
      <c r="V620">
        <v>2</v>
      </c>
      <c r="W620" t="s">
        <v>2671</v>
      </c>
      <c r="X620">
        <v>1</v>
      </c>
      <c r="Y620" t="s">
        <v>2692</v>
      </c>
      <c r="AA620">
        <v>11613361102</v>
      </c>
      <c r="AB620" t="s">
        <v>1880</v>
      </c>
      <c r="AC620">
        <v>0</v>
      </c>
      <c r="AD620">
        <v>4</v>
      </c>
      <c r="AE620">
        <v>116133611024</v>
      </c>
      <c r="AF620" t="s">
        <v>4114</v>
      </c>
      <c r="AG620">
        <v>1</v>
      </c>
      <c r="AH620">
        <v>0</v>
      </c>
    </row>
    <row r="621" spans="1:34">
      <c r="A621">
        <v>2026</v>
      </c>
      <c r="B621" s="1">
        <v>46023</v>
      </c>
      <c r="C621" t="s">
        <v>2657</v>
      </c>
      <c r="D621" t="s">
        <v>4133</v>
      </c>
      <c r="E621" s="43">
        <v>46050.575396898152</v>
      </c>
      <c r="F621" s="1">
        <v>46050</v>
      </c>
      <c r="G621" s="43">
        <v>46062.876031192129</v>
      </c>
      <c r="H621" t="s">
        <v>2701</v>
      </c>
      <c r="I621" t="s">
        <v>2660</v>
      </c>
      <c r="J621" t="s">
        <v>39</v>
      </c>
      <c r="L621" t="s">
        <v>2408</v>
      </c>
      <c r="M621">
        <v>847074348102</v>
      </c>
      <c r="N621" t="s">
        <v>2746</v>
      </c>
      <c r="O621" s="1">
        <v>45457</v>
      </c>
      <c r="T621" t="s">
        <v>2662</v>
      </c>
      <c r="U621" t="s">
        <v>4134</v>
      </c>
      <c r="V621">
        <v>8</v>
      </c>
      <c r="W621" t="s">
        <v>2671</v>
      </c>
      <c r="X621">
        <v>1</v>
      </c>
      <c r="Y621" t="s">
        <v>2692</v>
      </c>
      <c r="AA621">
        <v>11613361102</v>
      </c>
      <c r="AB621" t="s">
        <v>1880</v>
      </c>
      <c r="AC621">
        <v>0</v>
      </c>
      <c r="AD621">
        <v>5</v>
      </c>
      <c r="AE621">
        <v>116133611025</v>
      </c>
      <c r="AF621" t="s">
        <v>4114</v>
      </c>
      <c r="AG621">
        <v>1</v>
      </c>
      <c r="AH621">
        <v>0</v>
      </c>
    </row>
    <row r="622" spans="1:34">
      <c r="A622">
        <v>2026</v>
      </c>
      <c r="B622" s="1">
        <v>46023</v>
      </c>
      <c r="C622" t="s">
        <v>2657</v>
      </c>
      <c r="D622" t="s">
        <v>4135</v>
      </c>
      <c r="E622" s="43">
        <v>46051.724448437497</v>
      </c>
      <c r="F622" s="1">
        <v>46051</v>
      </c>
      <c r="G622" s="43">
        <v>46052.676269733798</v>
      </c>
      <c r="H622" t="s">
        <v>2701</v>
      </c>
      <c r="I622" t="s">
        <v>2697</v>
      </c>
      <c r="J622" t="s">
        <v>39</v>
      </c>
      <c r="L622" t="s">
        <v>2408</v>
      </c>
      <c r="M622">
        <v>11613361102</v>
      </c>
      <c r="N622" t="s">
        <v>2746</v>
      </c>
      <c r="O622" s="1">
        <v>45294</v>
      </c>
      <c r="T622" t="s">
        <v>2662</v>
      </c>
      <c r="U622" t="s">
        <v>4136</v>
      </c>
      <c r="V622">
        <v>1</v>
      </c>
      <c r="W622" t="s">
        <v>2704</v>
      </c>
      <c r="X622">
        <v>1</v>
      </c>
      <c r="Y622" t="s">
        <v>2710</v>
      </c>
      <c r="Z622" t="s">
        <v>2684</v>
      </c>
      <c r="AA622">
        <v>11613361102</v>
      </c>
      <c r="AB622" t="s">
        <v>1880</v>
      </c>
      <c r="AC622">
        <v>0</v>
      </c>
      <c r="AD622">
        <v>5</v>
      </c>
      <c r="AE622">
        <v>116133611025</v>
      </c>
      <c r="AF622" t="s">
        <v>4114</v>
      </c>
      <c r="AG622">
        <v>0</v>
      </c>
      <c r="AH622">
        <v>0</v>
      </c>
    </row>
    <row r="623" spans="1:34">
      <c r="A623">
        <v>2026</v>
      </c>
      <c r="B623" s="1">
        <v>46023</v>
      </c>
      <c r="C623" t="s">
        <v>2657</v>
      </c>
      <c r="D623" t="s">
        <v>4137</v>
      </c>
      <c r="E623" s="43">
        <v>46052.644098819444</v>
      </c>
      <c r="F623" s="1">
        <v>46052</v>
      </c>
      <c r="G623" s="43">
        <v>46078.666189687501</v>
      </c>
      <c r="H623" t="s">
        <v>2701</v>
      </c>
      <c r="I623" t="s">
        <v>2697</v>
      </c>
      <c r="J623" t="s">
        <v>39</v>
      </c>
      <c r="L623" t="s">
        <v>2408</v>
      </c>
      <c r="M623">
        <v>847074348102</v>
      </c>
      <c r="N623" t="s">
        <v>2746</v>
      </c>
      <c r="O623" s="1">
        <v>45457</v>
      </c>
      <c r="T623" t="s">
        <v>2662</v>
      </c>
      <c r="U623" t="s">
        <v>4138</v>
      </c>
      <c r="V623">
        <v>18</v>
      </c>
      <c r="W623" t="s">
        <v>2671</v>
      </c>
      <c r="X623">
        <v>1</v>
      </c>
      <c r="Y623" t="s">
        <v>2683</v>
      </c>
      <c r="AA623">
        <v>11613361102</v>
      </c>
      <c r="AB623" t="s">
        <v>1880</v>
      </c>
      <c r="AC623">
        <v>0</v>
      </c>
      <c r="AD623">
        <v>5</v>
      </c>
      <c r="AE623">
        <v>116133611025</v>
      </c>
      <c r="AF623" t="s">
        <v>4114</v>
      </c>
      <c r="AG623">
        <v>0</v>
      </c>
      <c r="AH623">
        <v>0</v>
      </c>
    </row>
    <row r="624" spans="1:34">
      <c r="A624">
        <v>2026</v>
      </c>
      <c r="B624" s="1">
        <v>46082</v>
      </c>
      <c r="C624" t="s">
        <v>2657</v>
      </c>
      <c r="D624" t="s">
        <v>4139</v>
      </c>
      <c r="E624" s="43">
        <v>46085.761691874999</v>
      </c>
      <c r="F624" s="1">
        <v>46085</v>
      </c>
      <c r="G624" s="43">
        <v>46091.534766064811</v>
      </c>
      <c r="H624" t="s">
        <v>2668</v>
      </c>
      <c r="I624" t="s">
        <v>2669</v>
      </c>
      <c r="J624" t="s">
        <v>36</v>
      </c>
      <c r="L624" t="s">
        <v>2421</v>
      </c>
      <c r="M624">
        <v>97596278102</v>
      </c>
      <c r="N624" t="s">
        <v>2661</v>
      </c>
      <c r="O624" s="1">
        <v>45299</v>
      </c>
      <c r="T624" t="s">
        <v>2798</v>
      </c>
      <c r="U624" t="s">
        <v>4140</v>
      </c>
      <c r="V624">
        <v>7</v>
      </c>
      <c r="W624" t="s">
        <v>2677</v>
      </c>
      <c r="X624">
        <v>0</v>
      </c>
      <c r="Y624" t="s">
        <v>2678</v>
      </c>
      <c r="AA624">
        <v>97596278102</v>
      </c>
      <c r="AB624" t="s">
        <v>343</v>
      </c>
      <c r="AC624">
        <v>1</v>
      </c>
      <c r="AD624">
        <v>10</v>
      </c>
      <c r="AE624">
        <v>9759627810210</v>
      </c>
      <c r="AF624" t="s">
        <v>4141</v>
      </c>
      <c r="AG624">
        <v>0</v>
      </c>
      <c r="AH624">
        <v>0</v>
      </c>
    </row>
    <row r="625" spans="1:34">
      <c r="A625">
        <v>2026</v>
      </c>
      <c r="B625" s="1">
        <v>46082</v>
      </c>
      <c r="C625" t="s">
        <v>2657</v>
      </c>
      <c r="D625" t="s">
        <v>4142</v>
      </c>
      <c r="E625" s="43">
        <v>46084.588042743053</v>
      </c>
      <c r="F625" s="1">
        <v>46084</v>
      </c>
      <c r="G625" s="43">
        <v>46085.566377442126</v>
      </c>
      <c r="H625" t="s">
        <v>2668</v>
      </c>
      <c r="I625" t="s">
        <v>2669</v>
      </c>
      <c r="J625" t="s">
        <v>36</v>
      </c>
      <c r="L625" t="s">
        <v>2421</v>
      </c>
      <c r="M625">
        <v>97596278102</v>
      </c>
      <c r="N625" t="s">
        <v>2661</v>
      </c>
      <c r="O625" s="1">
        <v>45299</v>
      </c>
      <c r="T625" t="s">
        <v>2662</v>
      </c>
      <c r="U625" t="s">
        <v>4143</v>
      </c>
      <c r="V625">
        <v>1</v>
      </c>
      <c r="W625" t="s">
        <v>2671</v>
      </c>
      <c r="X625">
        <v>1</v>
      </c>
      <c r="Y625" t="s">
        <v>2760</v>
      </c>
      <c r="AA625">
        <v>97596278102</v>
      </c>
      <c r="AB625" t="s">
        <v>343</v>
      </c>
      <c r="AC625">
        <v>0</v>
      </c>
      <c r="AD625">
        <v>10</v>
      </c>
      <c r="AE625">
        <v>9759627810210</v>
      </c>
      <c r="AF625" t="s">
        <v>4141</v>
      </c>
      <c r="AG625">
        <v>1</v>
      </c>
      <c r="AH625">
        <v>1</v>
      </c>
    </row>
    <row r="626" spans="1:34">
      <c r="A626">
        <v>2026</v>
      </c>
      <c r="B626" s="1">
        <v>46082</v>
      </c>
      <c r="C626" t="s">
        <v>2657</v>
      </c>
      <c r="D626" t="s">
        <v>4144</v>
      </c>
      <c r="E626" s="43">
        <v>46084.77948125</v>
      </c>
      <c r="F626" s="1">
        <v>46084</v>
      </c>
      <c r="G626" s="43">
        <v>46085.566142800926</v>
      </c>
      <c r="H626" t="s">
        <v>2668</v>
      </c>
      <c r="I626" t="s">
        <v>2669</v>
      </c>
      <c r="J626" t="s">
        <v>36</v>
      </c>
      <c r="L626" t="s">
        <v>2421</v>
      </c>
      <c r="M626">
        <v>97596278102</v>
      </c>
      <c r="N626" t="s">
        <v>2661</v>
      </c>
      <c r="O626" s="1">
        <v>45299</v>
      </c>
      <c r="T626" t="s">
        <v>2662</v>
      </c>
      <c r="U626" t="s">
        <v>4145</v>
      </c>
      <c r="V626">
        <v>1</v>
      </c>
      <c r="W626" t="s">
        <v>2677</v>
      </c>
      <c r="X626">
        <v>1</v>
      </c>
      <c r="Y626" t="s">
        <v>2760</v>
      </c>
      <c r="AA626">
        <v>97596278102</v>
      </c>
      <c r="AB626" t="s">
        <v>343</v>
      </c>
      <c r="AC626">
        <v>0</v>
      </c>
      <c r="AD626">
        <v>10</v>
      </c>
      <c r="AE626">
        <v>9759627810210</v>
      </c>
      <c r="AF626" t="s">
        <v>4141</v>
      </c>
      <c r="AG626">
        <v>0</v>
      </c>
      <c r="AH626">
        <v>0</v>
      </c>
    </row>
    <row r="627" spans="1:34">
      <c r="A627">
        <v>2026</v>
      </c>
      <c r="B627" s="1">
        <v>46082</v>
      </c>
      <c r="C627" t="s">
        <v>2657</v>
      </c>
      <c r="D627" t="s">
        <v>4146</v>
      </c>
      <c r="E627" s="43">
        <v>46084.787803055558</v>
      </c>
      <c r="F627" s="1">
        <v>46084</v>
      </c>
      <c r="G627" s="43">
        <v>46087.655723113428</v>
      </c>
      <c r="H627" t="s">
        <v>2668</v>
      </c>
      <c r="I627" t="s">
        <v>2669</v>
      </c>
      <c r="J627" t="s">
        <v>36</v>
      </c>
      <c r="L627" t="s">
        <v>2421</v>
      </c>
      <c r="M627">
        <v>97596278102</v>
      </c>
      <c r="N627" t="s">
        <v>2661</v>
      </c>
      <c r="O627" s="1">
        <v>45299</v>
      </c>
      <c r="T627" t="s">
        <v>2662</v>
      </c>
      <c r="U627" t="s">
        <v>4147</v>
      </c>
      <c r="V627">
        <v>3</v>
      </c>
      <c r="W627" t="s">
        <v>2677</v>
      </c>
      <c r="X627">
        <v>1</v>
      </c>
      <c r="Y627" t="s">
        <v>2760</v>
      </c>
      <c r="AA627">
        <v>97596278102</v>
      </c>
      <c r="AB627" t="s">
        <v>343</v>
      </c>
      <c r="AC627">
        <v>0</v>
      </c>
      <c r="AD627">
        <v>10</v>
      </c>
      <c r="AE627">
        <v>9759627810210</v>
      </c>
      <c r="AF627" t="s">
        <v>4141</v>
      </c>
      <c r="AG627">
        <v>0</v>
      </c>
      <c r="AH627">
        <v>0</v>
      </c>
    </row>
    <row r="628" spans="1:34">
      <c r="A628">
        <v>2025</v>
      </c>
      <c r="B628" s="1">
        <v>45992</v>
      </c>
      <c r="C628" t="s">
        <v>2657</v>
      </c>
      <c r="D628" t="s">
        <v>4148</v>
      </c>
      <c r="E628" s="43">
        <v>46001.815415324076</v>
      </c>
      <c r="F628" s="1">
        <v>46001</v>
      </c>
      <c r="G628" s="43">
        <v>46007.768330196763</v>
      </c>
      <c r="H628" t="s">
        <v>2686</v>
      </c>
      <c r="I628" t="s">
        <v>2681</v>
      </c>
      <c r="J628" t="s">
        <v>36</v>
      </c>
      <c r="L628" t="s">
        <v>2361</v>
      </c>
      <c r="M628">
        <v>24928216102</v>
      </c>
      <c r="N628" t="s">
        <v>2675</v>
      </c>
      <c r="O628" s="1">
        <v>45972</v>
      </c>
      <c r="T628" t="s">
        <v>2662</v>
      </c>
      <c r="U628" t="s">
        <v>4149</v>
      </c>
      <c r="V628">
        <v>4</v>
      </c>
      <c r="W628" t="s">
        <v>2743</v>
      </c>
      <c r="X628">
        <v>1</v>
      </c>
      <c r="Y628" t="s">
        <v>2688</v>
      </c>
      <c r="AA628">
        <v>24928216102</v>
      </c>
      <c r="AB628" t="s">
        <v>2360</v>
      </c>
      <c r="AC628">
        <v>0</v>
      </c>
      <c r="AD628">
        <v>50</v>
      </c>
      <c r="AE628">
        <v>2492821610250</v>
      </c>
      <c r="AF628" t="s">
        <v>4150</v>
      </c>
      <c r="AG628">
        <v>1</v>
      </c>
      <c r="AH628">
        <v>1</v>
      </c>
    </row>
    <row r="629" spans="1:34">
      <c r="A629">
        <v>2026</v>
      </c>
      <c r="B629" s="1">
        <v>46023</v>
      </c>
      <c r="C629" t="s">
        <v>2657</v>
      </c>
      <c r="D629" t="s">
        <v>4151</v>
      </c>
      <c r="E629" s="43">
        <v>46034.744766053242</v>
      </c>
      <c r="F629" s="1">
        <v>46034</v>
      </c>
      <c r="G629" s="43">
        <v>46038.83736622685</v>
      </c>
      <c r="H629" t="s">
        <v>2701</v>
      </c>
      <c r="I629" t="s">
        <v>2681</v>
      </c>
      <c r="J629" t="s">
        <v>100</v>
      </c>
      <c r="L629" t="s">
        <v>2363</v>
      </c>
      <c r="M629">
        <v>1143706769002</v>
      </c>
      <c r="N629" t="s">
        <v>2702</v>
      </c>
      <c r="O629" s="1">
        <v>45987</v>
      </c>
      <c r="T629" t="s">
        <v>2662</v>
      </c>
      <c r="U629" t="s">
        <v>4152</v>
      </c>
      <c r="V629">
        <v>4</v>
      </c>
      <c r="X629">
        <v>1</v>
      </c>
      <c r="Y629" t="s">
        <v>2717</v>
      </c>
      <c r="AA629">
        <v>24371682602</v>
      </c>
      <c r="AB629" t="s">
        <v>1509</v>
      </c>
      <c r="AC629">
        <v>1</v>
      </c>
      <c r="AD629">
        <v>3</v>
      </c>
      <c r="AE629">
        <v>243716826023</v>
      </c>
      <c r="AF629" t="s">
        <v>4153</v>
      </c>
      <c r="AG629">
        <v>1</v>
      </c>
      <c r="AH629">
        <v>1</v>
      </c>
    </row>
    <row r="630" spans="1:34">
      <c r="A630">
        <v>2026</v>
      </c>
      <c r="B630" s="1">
        <v>46054</v>
      </c>
      <c r="C630" t="s">
        <v>2657</v>
      </c>
      <c r="D630" t="s">
        <v>4154</v>
      </c>
      <c r="E630" s="43">
        <v>46057.686295636573</v>
      </c>
      <c r="F630" s="1">
        <v>46057</v>
      </c>
      <c r="G630" s="43">
        <v>46057.686295636573</v>
      </c>
      <c r="H630" t="s">
        <v>2725</v>
      </c>
      <c r="I630" t="s">
        <v>2669</v>
      </c>
      <c r="J630" t="s">
        <v>38</v>
      </c>
      <c r="L630" t="s">
        <v>2393</v>
      </c>
      <c r="M630">
        <v>380157072302</v>
      </c>
      <c r="N630" t="s">
        <v>2702</v>
      </c>
      <c r="O630" s="1">
        <v>45294</v>
      </c>
      <c r="T630" t="s">
        <v>2662</v>
      </c>
      <c r="U630" t="s">
        <v>4155</v>
      </c>
      <c r="V630">
        <v>0</v>
      </c>
      <c r="W630" t="s">
        <v>2664</v>
      </c>
      <c r="X630">
        <v>1</v>
      </c>
      <c r="Y630" t="s">
        <v>2695</v>
      </c>
      <c r="AA630">
        <v>380157072302</v>
      </c>
      <c r="AB630" t="s">
        <v>2293</v>
      </c>
      <c r="AC630">
        <v>1</v>
      </c>
      <c r="AD630">
        <v>6</v>
      </c>
      <c r="AE630">
        <v>3801570723026</v>
      </c>
      <c r="AF630" t="s">
        <v>4156</v>
      </c>
      <c r="AG630">
        <v>0</v>
      </c>
      <c r="AH630">
        <v>0</v>
      </c>
    </row>
    <row r="631" spans="1:34">
      <c r="A631">
        <v>2026</v>
      </c>
      <c r="B631" s="1">
        <v>46054</v>
      </c>
      <c r="C631" t="s">
        <v>2657</v>
      </c>
      <c r="D631" s="44" t="s">
        <v>4157</v>
      </c>
      <c r="E631" s="43">
        <v>46057.62859482639</v>
      </c>
      <c r="F631" s="1">
        <v>46057</v>
      </c>
      <c r="G631" s="43">
        <v>46065.689569502312</v>
      </c>
      <c r="H631" t="s">
        <v>2725</v>
      </c>
      <c r="I631" t="s">
        <v>2669</v>
      </c>
      <c r="J631" t="s">
        <v>38</v>
      </c>
      <c r="L631" t="s">
        <v>2393</v>
      </c>
      <c r="M631">
        <v>772282276502</v>
      </c>
      <c r="N631" t="s">
        <v>2702</v>
      </c>
      <c r="O631" s="1">
        <v>45448</v>
      </c>
      <c r="T631" t="s">
        <v>2662</v>
      </c>
      <c r="U631" t="s">
        <v>4158</v>
      </c>
      <c r="V631">
        <v>6</v>
      </c>
      <c r="W631" t="s">
        <v>2671</v>
      </c>
      <c r="X631">
        <v>1</v>
      </c>
      <c r="Y631" t="s">
        <v>2692</v>
      </c>
      <c r="AA631">
        <v>380157072302</v>
      </c>
      <c r="AB631" t="s">
        <v>2293</v>
      </c>
      <c r="AC631">
        <v>0</v>
      </c>
      <c r="AD631">
        <v>6</v>
      </c>
      <c r="AE631">
        <v>3801570723026</v>
      </c>
      <c r="AF631" t="s">
        <v>4156</v>
      </c>
      <c r="AG631">
        <v>1</v>
      </c>
      <c r="AH631">
        <v>1</v>
      </c>
    </row>
    <row r="632" spans="1:34">
      <c r="A632">
        <v>2025</v>
      </c>
      <c r="B632" s="1">
        <v>45962</v>
      </c>
      <c r="C632" t="s">
        <v>2657</v>
      </c>
      <c r="D632" t="s">
        <v>4159</v>
      </c>
      <c r="E632" s="43">
        <v>45988.911369085647</v>
      </c>
      <c r="F632" s="1">
        <v>45988</v>
      </c>
      <c r="G632" s="43">
        <v>46037.799691238426</v>
      </c>
      <c r="H632" t="s">
        <v>2802</v>
      </c>
      <c r="I632" t="s">
        <v>2660</v>
      </c>
      <c r="J632" t="s">
        <v>38</v>
      </c>
      <c r="L632" t="s">
        <v>2342</v>
      </c>
      <c r="M632">
        <v>98385811302</v>
      </c>
      <c r="N632" t="s">
        <v>2702</v>
      </c>
      <c r="O632" s="1">
        <v>45294</v>
      </c>
      <c r="T632" t="s">
        <v>2662</v>
      </c>
      <c r="U632" t="s">
        <v>4160</v>
      </c>
      <c r="V632">
        <v>35</v>
      </c>
      <c r="W632" t="s">
        <v>2664</v>
      </c>
      <c r="X632">
        <v>1</v>
      </c>
      <c r="Y632" t="s">
        <v>2665</v>
      </c>
      <c r="AA632">
        <v>98385811302</v>
      </c>
      <c r="AB632" t="s">
        <v>1591</v>
      </c>
      <c r="AC632">
        <v>0</v>
      </c>
      <c r="AD632">
        <v>48</v>
      </c>
      <c r="AE632">
        <v>9838581130248</v>
      </c>
      <c r="AF632" t="s">
        <v>4161</v>
      </c>
      <c r="AG632">
        <v>0</v>
      </c>
      <c r="AH632">
        <v>0</v>
      </c>
    </row>
    <row r="633" spans="1:34">
      <c r="A633">
        <v>2025</v>
      </c>
      <c r="B633" s="1">
        <v>45962</v>
      </c>
      <c r="C633" t="s">
        <v>2657</v>
      </c>
      <c r="D633" t="s">
        <v>4162</v>
      </c>
      <c r="E633" s="43">
        <v>45985.795521134256</v>
      </c>
      <c r="F633" s="1">
        <v>45985</v>
      </c>
      <c r="G633" s="43">
        <v>45985.795521134256</v>
      </c>
      <c r="H633" t="s">
        <v>2802</v>
      </c>
      <c r="I633" t="s">
        <v>2660</v>
      </c>
      <c r="J633" t="s">
        <v>38</v>
      </c>
      <c r="L633" t="s">
        <v>2342</v>
      </c>
      <c r="M633">
        <v>98385811302</v>
      </c>
      <c r="N633" t="s">
        <v>2702</v>
      </c>
      <c r="O633" s="1">
        <v>45294</v>
      </c>
      <c r="T633" t="s">
        <v>2662</v>
      </c>
      <c r="U633" t="s">
        <v>4163</v>
      </c>
      <c r="V633">
        <v>0</v>
      </c>
      <c r="W633" t="s">
        <v>2664</v>
      </c>
      <c r="X633">
        <v>1</v>
      </c>
      <c r="Y633" t="s">
        <v>2695</v>
      </c>
      <c r="AA633">
        <v>98385811302</v>
      </c>
      <c r="AB633" t="s">
        <v>1591</v>
      </c>
      <c r="AC633">
        <v>0</v>
      </c>
      <c r="AD633">
        <v>48</v>
      </c>
      <c r="AE633">
        <v>9838581130248</v>
      </c>
      <c r="AF633" t="s">
        <v>4161</v>
      </c>
      <c r="AG633">
        <v>1</v>
      </c>
      <c r="AH633">
        <v>1</v>
      </c>
    </row>
    <row r="634" spans="1:34">
      <c r="A634">
        <v>2025</v>
      </c>
      <c r="B634" s="1">
        <v>45931</v>
      </c>
      <c r="C634" t="s">
        <v>2657</v>
      </c>
      <c r="D634" t="s">
        <v>4164</v>
      </c>
      <c r="E634" s="43">
        <v>45947.593452048612</v>
      </c>
      <c r="F634" s="1">
        <v>45947</v>
      </c>
      <c r="G634" s="43">
        <v>45947.593452048612</v>
      </c>
      <c r="H634" t="s">
        <v>2659</v>
      </c>
      <c r="I634" t="s">
        <v>2719</v>
      </c>
      <c r="J634" t="s">
        <v>38</v>
      </c>
      <c r="L634" t="s">
        <v>2363</v>
      </c>
      <c r="M634">
        <v>21753463202</v>
      </c>
      <c r="N634" t="s">
        <v>2702</v>
      </c>
      <c r="O634" s="1">
        <v>44685</v>
      </c>
      <c r="T634" t="s">
        <v>2662</v>
      </c>
      <c r="U634" t="s">
        <v>4165</v>
      </c>
      <c r="V634">
        <v>0</v>
      </c>
      <c r="W634" t="s">
        <v>2664</v>
      </c>
      <c r="X634">
        <v>1</v>
      </c>
      <c r="Y634" t="s">
        <v>2695</v>
      </c>
      <c r="AA634">
        <v>21753463202</v>
      </c>
      <c r="AB634" t="s">
        <v>2172</v>
      </c>
      <c r="AC634">
        <v>0</v>
      </c>
      <c r="AD634">
        <v>42</v>
      </c>
      <c r="AE634">
        <v>2175346320242</v>
      </c>
      <c r="AF634" t="s">
        <v>4166</v>
      </c>
      <c r="AG634">
        <v>1</v>
      </c>
      <c r="AH634">
        <v>1</v>
      </c>
    </row>
    <row r="635" spans="1:34">
      <c r="A635">
        <v>2025</v>
      </c>
      <c r="B635" s="1">
        <v>45931</v>
      </c>
      <c r="C635" t="s">
        <v>2657</v>
      </c>
      <c r="D635" t="s">
        <v>4167</v>
      </c>
      <c r="E635" s="43">
        <v>45950.627298738429</v>
      </c>
      <c r="F635" s="1">
        <v>45950</v>
      </c>
      <c r="G635" s="43">
        <v>45951.561956701385</v>
      </c>
      <c r="H635" t="s">
        <v>2659</v>
      </c>
      <c r="I635" t="s">
        <v>2719</v>
      </c>
      <c r="J635" t="s">
        <v>38</v>
      </c>
      <c r="L635" t="s">
        <v>2363</v>
      </c>
      <c r="M635">
        <v>21753463202</v>
      </c>
      <c r="N635" t="s">
        <v>2702</v>
      </c>
      <c r="O635" s="1">
        <v>44685</v>
      </c>
      <c r="T635" t="s">
        <v>2662</v>
      </c>
      <c r="U635" t="s">
        <v>4168</v>
      </c>
      <c r="V635">
        <v>1</v>
      </c>
      <c r="W635" t="s">
        <v>2664</v>
      </c>
      <c r="X635">
        <v>1</v>
      </c>
      <c r="Y635" t="s">
        <v>2757</v>
      </c>
      <c r="AA635">
        <v>21753463202</v>
      </c>
      <c r="AB635" t="s">
        <v>2172</v>
      </c>
      <c r="AC635">
        <v>0</v>
      </c>
      <c r="AD635">
        <v>43</v>
      </c>
      <c r="AE635">
        <v>2175346320243</v>
      </c>
      <c r="AF635" t="s">
        <v>4166</v>
      </c>
      <c r="AG635">
        <v>1</v>
      </c>
      <c r="AH635">
        <v>0</v>
      </c>
    </row>
    <row r="636" spans="1:34">
      <c r="A636">
        <v>2025</v>
      </c>
      <c r="B636" s="1">
        <v>45931</v>
      </c>
      <c r="C636" t="s">
        <v>2657</v>
      </c>
      <c r="D636" t="s">
        <v>4169</v>
      </c>
      <c r="E636" s="43">
        <v>45958.61571111111</v>
      </c>
      <c r="F636" s="1">
        <v>45958</v>
      </c>
      <c r="G636" s="43">
        <v>45961.620030162034</v>
      </c>
      <c r="H636" t="s">
        <v>2659</v>
      </c>
      <c r="I636" t="s">
        <v>2660</v>
      </c>
      <c r="J636" t="s">
        <v>38</v>
      </c>
      <c r="L636" t="s">
        <v>2363</v>
      </c>
      <c r="M636">
        <v>1102237904002</v>
      </c>
      <c r="N636" t="s">
        <v>2702</v>
      </c>
      <c r="O636" s="1">
        <v>45842</v>
      </c>
      <c r="T636" t="s">
        <v>2662</v>
      </c>
      <c r="U636" t="s">
        <v>4170</v>
      </c>
      <c r="V636">
        <v>3</v>
      </c>
      <c r="W636" t="s">
        <v>2704</v>
      </c>
      <c r="X636">
        <v>1</v>
      </c>
      <c r="Y636" t="s">
        <v>2717</v>
      </c>
      <c r="Z636" t="s">
        <v>2684</v>
      </c>
      <c r="AA636">
        <v>21753463202</v>
      </c>
      <c r="AB636" t="s">
        <v>2172</v>
      </c>
      <c r="AC636">
        <v>0</v>
      </c>
      <c r="AD636">
        <v>44</v>
      </c>
      <c r="AE636">
        <v>2175346320244</v>
      </c>
      <c r="AF636" t="s">
        <v>4166</v>
      </c>
      <c r="AG636">
        <v>1</v>
      </c>
      <c r="AH636">
        <v>0</v>
      </c>
    </row>
    <row r="637" spans="1:34">
      <c r="A637">
        <v>2025</v>
      </c>
      <c r="B637" s="1">
        <v>45931</v>
      </c>
      <c r="C637" t="s">
        <v>2657</v>
      </c>
      <c r="D637" t="s">
        <v>4171</v>
      </c>
      <c r="E637" s="43">
        <v>45958.626902430558</v>
      </c>
      <c r="F637" s="1">
        <v>45958</v>
      </c>
      <c r="G637" s="43">
        <v>45961.616141944447</v>
      </c>
      <c r="H637" t="s">
        <v>2659</v>
      </c>
      <c r="I637" t="s">
        <v>2660</v>
      </c>
      <c r="J637" t="s">
        <v>38</v>
      </c>
      <c r="L637" t="s">
        <v>2363</v>
      </c>
      <c r="M637">
        <v>1102146047902</v>
      </c>
      <c r="N637" t="s">
        <v>2702</v>
      </c>
      <c r="O637" s="1">
        <v>45842</v>
      </c>
      <c r="T637" t="s">
        <v>2662</v>
      </c>
      <c r="U637" t="s">
        <v>4172</v>
      </c>
      <c r="V637">
        <v>3</v>
      </c>
      <c r="W637" t="s">
        <v>2704</v>
      </c>
      <c r="X637">
        <v>1</v>
      </c>
      <c r="Y637" t="s">
        <v>2717</v>
      </c>
      <c r="Z637" t="s">
        <v>2684</v>
      </c>
      <c r="AA637">
        <v>21753463202</v>
      </c>
      <c r="AB637" t="s">
        <v>2172</v>
      </c>
      <c r="AC637">
        <v>0</v>
      </c>
      <c r="AD637">
        <v>44</v>
      </c>
      <c r="AE637">
        <v>2175346320244</v>
      </c>
      <c r="AF637" t="s">
        <v>4166</v>
      </c>
      <c r="AG637">
        <v>0</v>
      </c>
      <c r="AH637">
        <v>0</v>
      </c>
    </row>
    <row r="638" spans="1:34">
      <c r="A638">
        <v>2025</v>
      </c>
      <c r="B638" s="1">
        <v>45931</v>
      </c>
      <c r="C638" t="s">
        <v>2657</v>
      </c>
      <c r="D638" t="s">
        <v>4173</v>
      </c>
      <c r="E638" s="43">
        <v>45958.702281620368</v>
      </c>
      <c r="F638" s="1">
        <v>45958</v>
      </c>
      <c r="G638" s="43">
        <v>45958.702281620368</v>
      </c>
      <c r="H638" t="s">
        <v>2659</v>
      </c>
      <c r="I638" t="s">
        <v>2660</v>
      </c>
      <c r="J638" t="s">
        <v>38</v>
      </c>
      <c r="L638" t="s">
        <v>2363</v>
      </c>
      <c r="M638">
        <v>1102146047902</v>
      </c>
      <c r="N638" t="s">
        <v>2702</v>
      </c>
      <c r="O638" s="1">
        <v>45842</v>
      </c>
      <c r="T638" t="s">
        <v>2662</v>
      </c>
      <c r="U638" t="s">
        <v>4174</v>
      </c>
      <c r="V638">
        <v>0</v>
      </c>
      <c r="W638" t="s">
        <v>2664</v>
      </c>
      <c r="X638">
        <v>1</v>
      </c>
      <c r="Y638" t="s">
        <v>2695</v>
      </c>
      <c r="AA638">
        <v>21753463202</v>
      </c>
      <c r="AB638" t="s">
        <v>2172</v>
      </c>
      <c r="AC638">
        <v>0</v>
      </c>
      <c r="AD638">
        <v>44</v>
      </c>
      <c r="AE638">
        <v>2175346320244</v>
      </c>
      <c r="AF638" t="s">
        <v>4166</v>
      </c>
      <c r="AG638">
        <v>0</v>
      </c>
      <c r="AH638">
        <v>0</v>
      </c>
    </row>
    <row r="639" spans="1:34">
      <c r="A639">
        <v>2025</v>
      </c>
      <c r="B639" s="1">
        <v>45931</v>
      </c>
      <c r="C639" t="s">
        <v>2657</v>
      </c>
      <c r="D639" t="s">
        <v>4175</v>
      </c>
      <c r="E639" s="43">
        <v>45952.582783090278</v>
      </c>
      <c r="F639" s="1">
        <v>45952</v>
      </c>
      <c r="G639" s="43">
        <v>45972.735412499998</v>
      </c>
      <c r="H639" t="s">
        <v>2659</v>
      </c>
      <c r="I639" t="s">
        <v>2660</v>
      </c>
      <c r="J639" t="s">
        <v>38</v>
      </c>
      <c r="L639" t="s">
        <v>2363</v>
      </c>
      <c r="M639">
        <v>193208728502</v>
      </c>
      <c r="N639" t="s">
        <v>2702</v>
      </c>
      <c r="O639" s="1">
        <v>45320</v>
      </c>
      <c r="T639" t="s">
        <v>2662</v>
      </c>
      <c r="U639" t="s">
        <v>4176</v>
      </c>
      <c r="V639">
        <v>14</v>
      </c>
      <c r="W639" t="s">
        <v>2664</v>
      </c>
      <c r="X639">
        <v>1</v>
      </c>
      <c r="Y639" t="s">
        <v>2665</v>
      </c>
      <c r="AA639">
        <v>21753463202</v>
      </c>
      <c r="AB639" t="s">
        <v>2172</v>
      </c>
      <c r="AC639">
        <v>0</v>
      </c>
      <c r="AD639">
        <v>43</v>
      </c>
      <c r="AE639">
        <v>2175346320243</v>
      </c>
      <c r="AF639" t="s">
        <v>4166</v>
      </c>
      <c r="AG639">
        <v>0</v>
      </c>
      <c r="AH639">
        <v>0</v>
      </c>
    </row>
    <row r="640" spans="1:34">
      <c r="A640">
        <v>2025</v>
      </c>
      <c r="B640" s="1">
        <v>45931</v>
      </c>
      <c r="C640" t="s">
        <v>2657</v>
      </c>
      <c r="D640" t="s">
        <v>4177</v>
      </c>
      <c r="E640" s="43">
        <v>45961.749495914351</v>
      </c>
      <c r="F640" s="1">
        <v>45961</v>
      </c>
      <c r="G640" s="43">
        <v>45965.705246423611</v>
      </c>
      <c r="H640" t="s">
        <v>2659</v>
      </c>
      <c r="I640" t="s">
        <v>2697</v>
      </c>
      <c r="J640" t="s">
        <v>38</v>
      </c>
      <c r="L640" t="s">
        <v>2363</v>
      </c>
      <c r="M640">
        <v>1102146047902</v>
      </c>
      <c r="N640" t="s">
        <v>2702</v>
      </c>
      <c r="O640" s="1">
        <v>45842</v>
      </c>
      <c r="T640" t="s">
        <v>2662</v>
      </c>
      <c r="U640" t="s">
        <v>4178</v>
      </c>
      <c r="V640">
        <v>2</v>
      </c>
      <c r="W640" t="s">
        <v>2677</v>
      </c>
      <c r="X640">
        <v>1</v>
      </c>
      <c r="Y640" t="s">
        <v>2807</v>
      </c>
      <c r="AA640">
        <v>21753463202</v>
      </c>
      <c r="AB640" t="s">
        <v>2172</v>
      </c>
      <c r="AC640">
        <v>0</v>
      </c>
      <c r="AD640">
        <v>44</v>
      </c>
      <c r="AE640">
        <v>2175346320244</v>
      </c>
      <c r="AF640" t="s">
        <v>4166</v>
      </c>
      <c r="AG640">
        <v>0</v>
      </c>
      <c r="AH640">
        <v>0</v>
      </c>
    </row>
    <row r="641" spans="1:34">
      <c r="A641">
        <v>2025</v>
      </c>
      <c r="B641" s="1">
        <v>45992</v>
      </c>
      <c r="C641" t="s">
        <v>2657</v>
      </c>
      <c r="D641" t="s">
        <v>4179</v>
      </c>
      <c r="E641" s="43">
        <v>45995.91522185185</v>
      </c>
      <c r="F641" s="1">
        <v>45995</v>
      </c>
      <c r="G641" s="43">
        <v>45999.742727500001</v>
      </c>
      <c r="H641" t="s">
        <v>2686</v>
      </c>
      <c r="I641" t="s">
        <v>2669</v>
      </c>
      <c r="J641" t="s">
        <v>36</v>
      </c>
      <c r="L641" t="s">
        <v>2355</v>
      </c>
      <c r="M641">
        <v>59283260402</v>
      </c>
      <c r="N641" t="s">
        <v>2702</v>
      </c>
      <c r="O641" s="1">
        <v>45294</v>
      </c>
      <c r="T641" t="s">
        <v>2662</v>
      </c>
      <c r="U641" t="s">
        <v>4180</v>
      </c>
      <c r="V641">
        <v>2</v>
      </c>
      <c r="X641">
        <v>1</v>
      </c>
      <c r="Y641" t="s">
        <v>2710</v>
      </c>
      <c r="AA641">
        <v>59283260402</v>
      </c>
      <c r="AB641" t="s">
        <v>905</v>
      </c>
      <c r="AC641">
        <v>0</v>
      </c>
      <c r="AD641">
        <v>49</v>
      </c>
      <c r="AE641">
        <v>5928326040249</v>
      </c>
      <c r="AF641" t="s">
        <v>4181</v>
      </c>
      <c r="AG641">
        <v>0</v>
      </c>
      <c r="AH641">
        <v>0</v>
      </c>
    </row>
    <row r="642" spans="1:34">
      <c r="A642">
        <v>2025</v>
      </c>
      <c r="B642" s="1">
        <v>45992</v>
      </c>
      <c r="C642" t="s">
        <v>2657</v>
      </c>
      <c r="D642" t="s">
        <v>4182</v>
      </c>
      <c r="E642" s="43">
        <v>45992.663349537041</v>
      </c>
      <c r="F642" s="1">
        <v>45992</v>
      </c>
      <c r="G642" s="43">
        <v>45994.720464432874</v>
      </c>
      <c r="H642" t="s">
        <v>2686</v>
      </c>
      <c r="I642" t="s">
        <v>2669</v>
      </c>
      <c r="J642" t="s">
        <v>36</v>
      </c>
      <c r="L642" t="s">
        <v>2355</v>
      </c>
      <c r="M642">
        <v>59283260402</v>
      </c>
      <c r="N642" t="s">
        <v>2702</v>
      </c>
      <c r="O642" s="1">
        <v>45294</v>
      </c>
      <c r="T642" t="s">
        <v>2662</v>
      </c>
      <c r="U642" t="s">
        <v>4183</v>
      </c>
      <c r="V642">
        <v>2</v>
      </c>
      <c r="W642" t="s">
        <v>2704</v>
      </c>
      <c r="X642">
        <v>1</v>
      </c>
      <c r="Y642" t="s">
        <v>2710</v>
      </c>
      <c r="AA642">
        <v>59283260402</v>
      </c>
      <c r="AB642" t="s">
        <v>905</v>
      </c>
      <c r="AC642">
        <v>0</v>
      </c>
      <c r="AD642">
        <v>49</v>
      </c>
      <c r="AE642">
        <v>5928326040249</v>
      </c>
      <c r="AF642" t="s">
        <v>4181</v>
      </c>
      <c r="AG642">
        <v>0</v>
      </c>
      <c r="AH642">
        <v>0</v>
      </c>
    </row>
    <row r="643" spans="1:34">
      <c r="A643">
        <v>2025</v>
      </c>
      <c r="B643" s="1">
        <v>45992</v>
      </c>
      <c r="C643" t="s">
        <v>2657</v>
      </c>
      <c r="D643" t="s">
        <v>4184</v>
      </c>
      <c r="E643" s="43">
        <v>45995.912320810188</v>
      </c>
      <c r="F643" s="1">
        <v>45995</v>
      </c>
      <c r="G643" s="43">
        <v>45999.738363263888</v>
      </c>
      <c r="H643" t="s">
        <v>2686</v>
      </c>
      <c r="I643" t="s">
        <v>2669</v>
      </c>
      <c r="J643" t="s">
        <v>36</v>
      </c>
      <c r="L643" t="s">
        <v>2355</v>
      </c>
      <c r="M643">
        <v>59283260402</v>
      </c>
      <c r="N643" t="s">
        <v>2702</v>
      </c>
      <c r="O643" s="1">
        <v>45294</v>
      </c>
      <c r="T643" t="s">
        <v>2662</v>
      </c>
      <c r="U643" t="s">
        <v>4185</v>
      </c>
      <c r="V643">
        <v>2</v>
      </c>
      <c r="W643" t="s">
        <v>2704</v>
      </c>
      <c r="X643">
        <v>1</v>
      </c>
      <c r="Y643" t="s">
        <v>2710</v>
      </c>
      <c r="AA643">
        <v>59283260402</v>
      </c>
      <c r="AB643" t="s">
        <v>905</v>
      </c>
      <c r="AC643">
        <v>0</v>
      </c>
      <c r="AD643">
        <v>49</v>
      </c>
      <c r="AE643">
        <v>5928326040249</v>
      </c>
      <c r="AF643" t="s">
        <v>4181</v>
      </c>
      <c r="AG643">
        <v>0</v>
      </c>
      <c r="AH643">
        <v>0</v>
      </c>
    </row>
    <row r="644" spans="1:34">
      <c r="A644">
        <v>2025</v>
      </c>
      <c r="B644" s="1">
        <v>45992</v>
      </c>
      <c r="C644" t="s">
        <v>2657</v>
      </c>
      <c r="D644" t="s">
        <v>4186</v>
      </c>
      <c r="E644" s="43">
        <v>45992.658843819445</v>
      </c>
      <c r="F644" s="1">
        <v>45992</v>
      </c>
      <c r="G644" s="43">
        <v>45994.720700902777</v>
      </c>
      <c r="H644" t="s">
        <v>2686</v>
      </c>
      <c r="I644" t="s">
        <v>2669</v>
      </c>
      <c r="J644" t="s">
        <v>36</v>
      </c>
      <c r="L644" t="s">
        <v>2355</v>
      </c>
      <c r="M644">
        <v>59283260402</v>
      </c>
      <c r="N644" t="s">
        <v>2702</v>
      </c>
      <c r="O644" s="1">
        <v>45294</v>
      </c>
      <c r="T644" t="s">
        <v>2662</v>
      </c>
      <c r="U644" t="s">
        <v>4187</v>
      </c>
      <c r="V644">
        <v>2</v>
      </c>
      <c r="W644" t="s">
        <v>2704</v>
      </c>
      <c r="X644">
        <v>1</v>
      </c>
      <c r="Y644" t="s">
        <v>2710</v>
      </c>
      <c r="AA644">
        <v>59283260402</v>
      </c>
      <c r="AB644" t="s">
        <v>905</v>
      </c>
      <c r="AC644">
        <v>0</v>
      </c>
      <c r="AD644">
        <v>49</v>
      </c>
      <c r="AE644">
        <v>5928326040249</v>
      </c>
      <c r="AF644" t="s">
        <v>4181</v>
      </c>
      <c r="AG644">
        <v>0</v>
      </c>
      <c r="AH644">
        <v>0</v>
      </c>
    </row>
    <row r="645" spans="1:34">
      <c r="A645">
        <v>2025</v>
      </c>
      <c r="B645" s="1">
        <v>45992</v>
      </c>
      <c r="C645" t="s">
        <v>2657</v>
      </c>
      <c r="D645" t="s">
        <v>4188</v>
      </c>
      <c r="E645" s="43">
        <v>45992.661966828702</v>
      </c>
      <c r="F645" s="1">
        <v>45992</v>
      </c>
      <c r="G645" s="43">
        <v>45994.719962696756</v>
      </c>
      <c r="H645" t="s">
        <v>2686</v>
      </c>
      <c r="I645" t="s">
        <v>2669</v>
      </c>
      <c r="J645" t="s">
        <v>36</v>
      </c>
      <c r="L645" t="s">
        <v>2355</v>
      </c>
      <c r="M645">
        <v>59283260402</v>
      </c>
      <c r="N645" t="s">
        <v>2702</v>
      </c>
      <c r="O645" s="1">
        <v>45294</v>
      </c>
      <c r="T645" t="s">
        <v>2662</v>
      </c>
      <c r="U645" t="s">
        <v>4189</v>
      </c>
      <c r="V645">
        <v>2</v>
      </c>
      <c r="W645" t="s">
        <v>2704</v>
      </c>
      <c r="X645">
        <v>1</v>
      </c>
      <c r="Y645" t="s">
        <v>2710</v>
      </c>
      <c r="AA645">
        <v>59283260402</v>
      </c>
      <c r="AB645" t="s">
        <v>905</v>
      </c>
      <c r="AC645">
        <v>0</v>
      </c>
      <c r="AD645">
        <v>49</v>
      </c>
      <c r="AE645">
        <v>5928326040249</v>
      </c>
      <c r="AF645" t="s">
        <v>4181</v>
      </c>
      <c r="AG645">
        <v>0</v>
      </c>
      <c r="AH645">
        <v>0</v>
      </c>
    </row>
    <row r="646" spans="1:34">
      <c r="A646">
        <v>2025</v>
      </c>
      <c r="B646" s="1">
        <v>45992</v>
      </c>
      <c r="C646" t="s">
        <v>2657</v>
      </c>
      <c r="D646" t="s">
        <v>4190</v>
      </c>
      <c r="E646" s="43">
        <v>45992.665350416668</v>
      </c>
      <c r="F646" s="1">
        <v>45992</v>
      </c>
      <c r="G646" s="43">
        <v>45999.743008020836</v>
      </c>
      <c r="H646" t="s">
        <v>2686</v>
      </c>
      <c r="I646" t="s">
        <v>2669</v>
      </c>
      <c r="J646" t="s">
        <v>36</v>
      </c>
      <c r="L646" t="s">
        <v>2355</v>
      </c>
      <c r="M646">
        <v>59283260402</v>
      </c>
      <c r="N646" t="s">
        <v>2702</v>
      </c>
      <c r="O646" s="1">
        <v>45294</v>
      </c>
      <c r="T646" t="s">
        <v>2662</v>
      </c>
      <c r="U646" t="s">
        <v>4191</v>
      </c>
      <c r="V646">
        <v>5</v>
      </c>
      <c r="W646" t="s">
        <v>2704</v>
      </c>
      <c r="X646">
        <v>1</v>
      </c>
      <c r="Y646" t="s">
        <v>2710</v>
      </c>
      <c r="AA646">
        <v>59283260402</v>
      </c>
      <c r="AB646" t="s">
        <v>905</v>
      </c>
      <c r="AC646">
        <v>0</v>
      </c>
      <c r="AD646">
        <v>49</v>
      </c>
      <c r="AE646">
        <v>5928326040249</v>
      </c>
      <c r="AF646" t="s">
        <v>4181</v>
      </c>
      <c r="AG646">
        <v>0</v>
      </c>
      <c r="AH646">
        <v>0</v>
      </c>
    </row>
    <row r="647" spans="1:34">
      <c r="A647">
        <v>2025</v>
      </c>
      <c r="B647" s="1">
        <v>45992</v>
      </c>
      <c r="C647" t="s">
        <v>2657</v>
      </c>
      <c r="D647" t="s">
        <v>4192</v>
      </c>
      <c r="E647" s="43">
        <v>45992.660227384258</v>
      </c>
      <c r="F647" s="1">
        <v>45992</v>
      </c>
      <c r="G647" s="43">
        <v>45994.72032670139</v>
      </c>
      <c r="H647" t="s">
        <v>2686</v>
      </c>
      <c r="I647" t="s">
        <v>2669</v>
      </c>
      <c r="J647" t="s">
        <v>36</v>
      </c>
      <c r="L647" t="s">
        <v>2355</v>
      </c>
      <c r="M647">
        <v>59283260402</v>
      </c>
      <c r="N647" t="s">
        <v>2702</v>
      </c>
      <c r="O647" s="1">
        <v>45294</v>
      </c>
      <c r="T647" t="s">
        <v>2662</v>
      </c>
      <c r="U647" t="s">
        <v>4193</v>
      </c>
      <c r="V647">
        <v>2</v>
      </c>
      <c r="W647" t="s">
        <v>2704</v>
      </c>
      <c r="X647">
        <v>1</v>
      </c>
      <c r="Y647" t="s">
        <v>2710</v>
      </c>
      <c r="AA647">
        <v>59283260402</v>
      </c>
      <c r="AB647" t="s">
        <v>905</v>
      </c>
      <c r="AC647">
        <v>0</v>
      </c>
      <c r="AD647">
        <v>49</v>
      </c>
      <c r="AE647">
        <v>5928326040249</v>
      </c>
      <c r="AF647" t="s">
        <v>4181</v>
      </c>
      <c r="AG647">
        <v>0</v>
      </c>
      <c r="AH647">
        <v>0</v>
      </c>
    </row>
    <row r="648" spans="1:34">
      <c r="A648">
        <v>2025</v>
      </c>
      <c r="B648" s="1">
        <v>45992</v>
      </c>
      <c r="C648" t="s">
        <v>2657</v>
      </c>
      <c r="D648" t="s">
        <v>4194</v>
      </c>
      <c r="E648" s="43">
        <v>45992.666271435184</v>
      </c>
      <c r="F648" s="1">
        <v>45992</v>
      </c>
      <c r="G648" s="43">
        <v>45999.743072002311</v>
      </c>
      <c r="H648" t="s">
        <v>2686</v>
      </c>
      <c r="I648" t="s">
        <v>2669</v>
      </c>
      <c r="J648" t="s">
        <v>36</v>
      </c>
      <c r="L648" t="s">
        <v>2355</v>
      </c>
      <c r="M648">
        <v>59283260402</v>
      </c>
      <c r="N648" t="s">
        <v>2702</v>
      </c>
      <c r="O648" s="1">
        <v>45294</v>
      </c>
      <c r="T648" t="s">
        <v>2662</v>
      </c>
      <c r="U648" t="s">
        <v>4195</v>
      </c>
      <c r="V648">
        <v>5</v>
      </c>
      <c r="W648" t="s">
        <v>2704</v>
      </c>
      <c r="X648">
        <v>1</v>
      </c>
      <c r="Y648" t="s">
        <v>2710</v>
      </c>
      <c r="AA648">
        <v>59283260402</v>
      </c>
      <c r="AB648" t="s">
        <v>905</v>
      </c>
      <c r="AC648">
        <v>0</v>
      </c>
      <c r="AD648">
        <v>49</v>
      </c>
      <c r="AE648">
        <v>5928326040249</v>
      </c>
      <c r="AF648" t="s">
        <v>4181</v>
      </c>
      <c r="AG648">
        <v>0</v>
      </c>
      <c r="AH648">
        <v>0</v>
      </c>
    </row>
    <row r="649" spans="1:34">
      <c r="A649">
        <v>2025</v>
      </c>
      <c r="B649" s="1">
        <v>45992</v>
      </c>
      <c r="C649" t="s">
        <v>2657</v>
      </c>
      <c r="D649" t="s">
        <v>4196</v>
      </c>
      <c r="E649" s="43">
        <v>45995.91138020833</v>
      </c>
      <c r="F649" s="1">
        <v>45995</v>
      </c>
      <c r="G649" s="43">
        <v>45999.741917430554</v>
      </c>
      <c r="H649" t="s">
        <v>2686</v>
      </c>
      <c r="I649" t="s">
        <v>2669</v>
      </c>
      <c r="J649" t="s">
        <v>36</v>
      </c>
      <c r="L649" t="s">
        <v>2355</v>
      </c>
      <c r="M649">
        <v>59283260402</v>
      </c>
      <c r="N649" t="s">
        <v>2702</v>
      </c>
      <c r="O649" s="1">
        <v>45294</v>
      </c>
      <c r="T649" t="s">
        <v>2662</v>
      </c>
      <c r="U649" t="s">
        <v>4197</v>
      </c>
      <c r="V649">
        <v>2</v>
      </c>
      <c r="W649" t="s">
        <v>2704</v>
      </c>
      <c r="X649">
        <v>1</v>
      </c>
      <c r="Y649" t="s">
        <v>2710</v>
      </c>
      <c r="AA649">
        <v>59283260402</v>
      </c>
      <c r="AB649" t="s">
        <v>905</v>
      </c>
      <c r="AC649">
        <v>0</v>
      </c>
      <c r="AD649">
        <v>49</v>
      </c>
      <c r="AE649">
        <v>5928326040249</v>
      </c>
      <c r="AF649" t="s">
        <v>4181</v>
      </c>
      <c r="AG649">
        <v>0</v>
      </c>
      <c r="AH649">
        <v>0</v>
      </c>
    </row>
    <row r="650" spans="1:34">
      <c r="A650">
        <v>2025</v>
      </c>
      <c r="B650" s="1">
        <v>45992</v>
      </c>
      <c r="C650" t="s">
        <v>2657</v>
      </c>
      <c r="D650" t="s">
        <v>4198</v>
      </c>
      <c r="E650" s="43">
        <v>45992.657688599538</v>
      </c>
      <c r="F650" s="1">
        <v>45992</v>
      </c>
      <c r="G650" s="43">
        <v>45994.720219479168</v>
      </c>
      <c r="H650" t="s">
        <v>2686</v>
      </c>
      <c r="I650" t="s">
        <v>2669</v>
      </c>
      <c r="J650" t="s">
        <v>36</v>
      </c>
      <c r="L650" t="s">
        <v>2355</v>
      </c>
      <c r="M650">
        <v>59283260402</v>
      </c>
      <c r="N650" t="s">
        <v>2702</v>
      </c>
      <c r="O650" s="1">
        <v>45294</v>
      </c>
      <c r="T650" t="s">
        <v>2662</v>
      </c>
      <c r="U650" t="s">
        <v>4199</v>
      </c>
      <c r="V650">
        <v>2</v>
      </c>
      <c r="W650" t="s">
        <v>2704</v>
      </c>
      <c r="X650">
        <v>1</v>
      </c>
      <c r="Y650" t="s">
        <v>2710</v>
      </c>
      <c r="AA650">
        <v>59283260402</v>
      </c>
      <c r="AB650" t="s">
        <v>905</v>
      </c>
      <c r="AC650">
        <v>0</v>
      </c>
      <c r="AD650">
        <v>49</v>
      </c>
      <c r="AE650">
        <v>5928326040249</v>
      </c>
      <c r="AF650" t="s">
        <v>4181</v>
      </c>
      <c r="AG650">
        <v>1</v>
      </c>
      <c r="AH650">
        <v>1</v>
      </c>
    </row>
    <row r="651" spans="1:34">
      <c r="A651">
        <v>2025</v>
      </c>
      <c r="B651" s="1">
        <v>45992</v>
      </c>
      <c r="C651" t="s">
        <v>2657</v>
      </c>
      <c r="D651" t="s">
        <v>4200</v>
      </c>
      <c r="E651" s="43">
        <v>45995.909731157408</v>
      </c>
      <c r="F651" s="1">
        <v>45995</v>
      </c>
      <c r="G651" s="43">
        <v>45999.739218043978</v>
      </c>
      <c r="H651" t="s">
        <v>2686</v>
      </c>
      <c r="I651" t="s">
        <v>2669</v>
      </c>
      <c r="J651" t="s">
        <v>36</v>
      </c>
      <c r="L651" t="s">
        <v>2355</v>
      </c>
      <c r="M651">
        <v>59283260402</v>
      </c>
      <c r="N651" t="s">
        <v>2702</v>
      </c>
      <c r="O651" s="1">
        <v>45294</v>
      </c>
      <c r="T651" t="s">
        <v>2662</v>
      </c>
      <c r="U651" t="s">
        <v>4201</v>
      </c>
      <c r="V651">
        <v>2</v>
      </c>
      <c r="W651" t="s">
        <v>2704</v>
      </c>
      <c r="X651">
        <v>1</v>
      </c>
      <c r="Y651" t="s">
        <v>2710</v>
      </c>
      <c r="AA651">
        <v>59283260402</v>
      </c>
      <c r="AB651" t="s">
        <v>905</v>
      </c>
      <c r="AC651">
        <v>0</v>
      </c>
      <c r="AD651">
        <v>49</v>
      </c>
      <c r="AE651">
        <v>5928326040249</v>
      </c>
      <c r="AF651" t="s">
        <v>4181</v>
      </c>
      <c r="AG651">
        <v>0</v>
      </c>
      <c r="AH651">
        <v>0</v>
      </c>
    </row>
    <row r="652" spans="1:34">
      <c r="A652">
        <v>2025</v>
      </c>
      <c r="B652" s="1">
        <v>45992</v>
      </c>
      <c r="C652" t="s">
        <v>2657</v>
      </c>
      <c r="D652" t="s">
        <v>4202</v>
      </c>
      <c r="E652" s="43">
        <v>45995.910615173612</v>
      </c>
      <c r="F652" s="1">
        <v>45995</v>
      </c>
      <c r="G652" s="43">
        <v>45999.740371134256</v>
      </c>
      <c r="H652" t="s">
        <v>2686</v>
      </c>
      <c r="I652" t="s">
        <v>2669</v>
      </c>
      <c r="J652" t="s">
        <v>36</v>
      </c>
      <c r="L652" t="s">
        <v>2355</v>
      </c>
      <c r="M652">
        <v>59283260402</v>
      </c>
      <c r="N652" t="s">
        <v>2702</v>
      </c>
      <c r="O652" s="1">
        <v>45294</v>
      </c>
      <c r="T652" t="s">
        <v>2662</v>
      </c>
      <c r="U652" t="s">
        <v>4203</v>
      </c>
      <c r="V652">
        <v>2</v>
      </c>
      <c r="W652" t="s">
        <v>2704</v>
      </c>
      <c r="X652">
        <v>1</v>
      </c>
      <c r="Y652" t="s">
        <v>2710</v>
      </c>
      <c r="AA652">
        <v>59283260402</v>
      </c>
      <c r="AB652" t="s">
        <v>905</v>
      </c>
      <c r="AC652">
        <v>0</v>
      </c>
      <c r="AD652">
        <v>49</v>
      </c>
      <c r="AE652">
        <v>5928326040249</v>
      </c>
      <c r="AF652" t="s">
        <v>4181</v>
      </c>
      <c r="AG652">
        <v>0</v>
      </c>
      <c r="AH652">
        <v>0</v>
      </c>
    </row>
    <row r="653" spans="1:34">
      <c r="A653">
        <v>2025</v>
      </c>
      <c r="B653" s="1">
        <v>45992</v>
      </c>
      <c r="C653" t="s">
        <v>2657</v>
      </c>
      <c r="D653" t="s">
        <v>4204</v>
      </c>
      <c r="E653" s="43">
        <v>45999.761962384262</v>
      </c>
      <c r="F653" s="1">
        <v>45999</v>
      </c>
      <c r="G653" s="43">
        <v>46000.539839351855</v>
      </c>
      <c r="H653" t="s">
        <v>2686</v>
      </c>
      <c r="I653" t="s">
        <v>2681</v>
      </c>
      <c r="J653" t="s">
        <v>36</v>
      </c>
      <c r="L653" t="s">
        <v>2355</v>
      </c>
      <c r="M653">
        <v>59283260402</v>
      </c>
      <c r="N653" t="s">
        <v>2702</v>
      </c>
      <c r="O653" s="1">
        <v>45294</v>
      </c>
      <c r="T653" t="s">
        <v>2662</v>
      </c>
      <c r="U653" t="s">
        <v>4205</v>
      </c>
      <c r="V653">
        <v>1</v>
      </c>
      <c r="W653" t="s">
        <v>2704</v>
      </c>
      <c r="X653">
        <v>1</v>
      </c>
      <c r="Y653" t="s">
        <v>2710</v>
      </c>
      <c r="AA653">
        <v>59283260402</v>
      </c>
      <c r="AB653" t="s">
        <v>905</v>
      </c>
      <c r="AC653">
        <v>0</v>
      </c>
      <c r="AD653">
        <v>50</v>
      </c>
      <c r="AE653">
        <v>5928326040250</v>
      </c>
      <c r="AF653" t="s">
        <v>4181</v>
      </c>
      <c r="AG653">
        <v>1</v>
      </c>
      <c r="AH653">
        <v>0</v>
      </c>
    </row>
    <row r="654" spans="1:34">
      <c r="A654">
        <v>2025</v>
      </c>
      <c r="B654" s="1">
        <v>45992</v>
      </c>
      <c r="C654" t="s">
        <v>2657</v>
      </c>
      <c r="D654" t="s">
        <v>4206</v>
      </c>
      <c r="E654" s="43">
        <v>45999.774880752317</v>
      </c>
      <c r="F654" s="1">
        <v>45999</v>
      </c>
      <c r="G654" s="43">
        <v>46000.540136203701</v>
      </c>
      <c r="H654" t="s">
        <v>2686</v>
      </c>
      <c r="I654" t="s">
        <v>2681</v>
      </c>
      <c r="J654" t="s">
        <v>36</v>
      </c>
      <c r="L654" t="s">
        <v>2355</v>
      </c>
      <c r="M654">
        <v>59283260402</v>
      </c>
      <c r="N654" t="s">
        <v>2702</v>
      </c>
      <c r="O654" s="1">
        <v>45294</v>
      </c>
      <c r="T654" t="s">
        <v>2662</v>
      </c>
      <c r="U654" t="s">
        <v>4207</v>
      </c>
      <c r="V654">
        <v>1</v>
      </c>
      <c r="W654" t="s">
        <v>2704</v>
      </c>
      <c r="X654">
        <v>1</v>
      </c>
      <c r="Y654" t="s">
        <v>2710</v>
      </c>
      <c r="AA654">
        <v>59283260402</v>
      </c>
      <c r="AB654" t="s">
        <v>905</v>
      </c>
      <c r="AC654">
        <v>0</v>
      </c>
      <c r="AD654">
        <v>50</v>
      </c>
      <c r="AE654">
        <v>5928326040250</v>
      </c>
      <c r="AF654" t="s">
        <v>4181</v>
      </c>
      <c r="AG654">
        <v>0</v>
      </c>
      <c r="AH654">
        <v>0</v>
      </c>
    </row>
    <row r="655" spans="1:34">
      <c r="A655">
        <v>2025</v>
      </c>
      <c r="B655" s="1">
        <v>45992</v>
      </c>
      <c r="C655" t="s">
        <v>2657</v>
      </c>
      <c r="D655" t="s">
        <v>4208</v>
      </c>
      <c r="E655" s="43">
        <v>46009.728276585651</v>
      </c>
      <c r="F655" s="1">
        <v>46009</v>
      </c>
      <c r="G655" s="43">
        <v>46020.535905023149</v>
      </c>
      <c r="H655" t="s">
        <v>2686</v>
      </c>
      <c r="I655" t="s">
        <v>2719</v>
      </c>
      <c r="J655" t="s">
        <v>36</v>
      </c>
      <c r="L655" t="s">
        <v>2355</v>
      </c>
      <c r="M655">
        <v>59283260402</v>
      </c>
      <c r="N655" t="s">
        <v>2702</v>
      </c>
      <c r="O655" s="1">
        <v>45294</v>
      </c>
      <c r="T655" t="s">
        <v>2662</v>
      </c>
      <c r="U655" t="s">
        <v>4209</v>
      </c>
      <c r="V655">
        <v>7</v>
      </c>
      <c r="W655" t="s">
        <v>2704</v>
      </c>
      <c r="X655">
        <v>1</v>
      </c>
      <c r="Y655" t="s">
        <v>2710</v>
      </c>
      <c r="AA655">
        <v>59283260402</v>
      </c>
      <c r="AB655" t="s">
        <v>905</v>
      </c>
      <c r="AC655">
        <v>0</v>
      </c>
      <c r="AD655">
        <v>51</v>
      </c>
      <c r="AE655">
        <v>5928326040251</v>
      </c>
      <c r="AF655" t="s">
        <v>4181</v>
      </c>
      <c r="AG655">
        <v>1</v>
      </c>
      <c r="AH655">
        <v>0</v>
      </c>
    </row>
    <row r="656" spans="1:34">
      <c r="A656">
        <v>2026</v>
      </c>
      <c r="B656" s="1">
        <v>46023</v>
      </c>
      <c r="C656" t="s">
        <v>2657</v>
      </c>
      <c r="D656" t="s">
        <v>4210</v>
      </c>
      <c r="E656" s="43">
        <v>46029.848309710651</v>
      </c>
      <c r="F656" s="1">
        <v>46029</v>
      </c>
      <c r="G656" s="43">
        <v>46029.848309710651</v>
      </c>
      <c r="H656" t="s">
        <v>2701</v>
      </c>
      <c r="I656" t="s">
        <v>2669</v>
      </c>
      <c r="J656" t="s">
        <v>37</v>
      </c>
      <c r="L656" t="s">
        <v>2364</v>
      </c>
      <c r="M656">
        <v>687037975702</v>
      </c>
      <c r="N656" t="s">
        <v>2661</v>
      </c>
      <c r="O656" s="1">
        <v>45947</v>
      </c>
      <c r="T656" t="s">
        <v>2662</v>
      </c>
      <c r="U656" t="s">
        <v>4211</v>
      </c>
      <c r="V656">
        <v>0</v>
      </c>
      <c r="W656" t="s">
        <v>2677</v>
      </c>
      <c r="X656">
        <v>1</v>
      </c>
      <c r="Y656" t="s">
        <v>2807</v>
      </c>
      <c r="AA656">
        <v>687037975702</v>
      </c>
      <c r="AB656" t="s">
        <v>171</v>
      </c>
      <c r="AC656">
        <v>0</v>
      </c>
      <c r="AD656">
        <v>2</v>
      </c>
      <c r="AE656">
        <v>6870379757022</v>
      </c>
      <c r="AF656" t="s">
        <v>4212</v>
      </c>
      <c r="AG656">
        <v>1</v>
      </c>
      <c r="AH656">
        <v>1</v>
      </c>
    </row>
    <row r="657" spans="1:35">
      <c r="A657">
        <v>2026</v>
      </c>
      <c r="B657" s="1">
        <v>46023</v>
      </c>
      <c r="C657" t="s">
        <v>2657</v>
      </c>
      <c r="D657" t="s">
        <v>4213</v>
      </c>
      <c r="E657" s="43">
        <v>46030.866543472221</v>
      </c>
      <c r="F657" s="1">
        <v>46030</v>
      </c>
      <c r="G657" s="43">
        <v>46034.813262581018</v>
      </c>
      <c r="H657" t="s">
        <v>2701</v>
      </c>
      <c r="I657" t="s">
        <v>2681</v>
      </c>
      <c r="J657" t="s">
        <v>37</v>
      </c>
      <c r="L657" t="s">
        <v>2364</v>
      </c>
      <c r="M657">
        <v>687037975702</v>
      </c>
      <c r="N657" t="s">
        <v>2661</v>
      </c>
      <c r="O657" s="1">
        <v>45947</v>
      </c>
      <c r="T657" t="s">
        <v>2662</v>
      </c>
      <c r="U657" t="s">
        <v>4214</v>
      </c>
      <c r="V657">
        <v>2</v>
      </c>
      <c r="W657" t="s">
        <v>2677</v>
      </c>
      <c r="X657">
        <v>1</v>
      </c>
      <c r="Y657" t="s">
        <v>2807</v>
      </c>
      <c r="AA657">
        <v>687037975702</v>
      </c>
      <c r="AB657" t="s">
        <v>171</v>
      </c>
      <c r="AC657">
        <v>0</v>
      </c>
      <c r="AD657">
        <v>2</v>
      </c>
      <c r="AE657">
        <v>6870379757022</v>
      </c>
      <c r="AF657" t="s">
        <v>4212</v>
      </c>
      <c r="AG657">
        <v>0</v>
      </c>
      <c r="AH657">
        <v>0</v>
      </c>
    </row>
    <row r="658" spans="1:35">
      <c r="A658">
        <v>2026</v>
      </c>
      <c r="B658" s="1">
        <v>46023</v>
      </c>
      <c r="C658" t="s">
        <v>2657</v>
      </c>
      <c r="D658" t="s">
        <v>4215</v>
      </c>
      <c r="E658" s="43">
        <v>46034.846035000002</v>
      </c>
      <c r="F658" s="1">
        <v>46034</v>
      </c>
      <c r="G658" s="43">
        <v>46044.517823877315</v>
      </c>
      <c r="H658" t="s">
        <v>2701</v>
      </c>
      <c r="I658" t="s">
        <v>2681</v>
      </c>
      <c r="J658" t="s">
        <v>37</v>
      </c>
      <c r="L658" t="s">
        <v>2364</v>
      </c>
      <c r="M658">
        <v>687037975702</v>
      </c>
      <c r="N658" t="s">
        <v>2661</v>
      </c>
      <c r="O658" s="1">
        <v>45947</v>
      </c>
      <c r="T658" t="s">
        <v>2662</v>
      </c>
      <c r="U658" t="s">
        <v>4216</v>
      </c>
      <c r="V658">
        <v>8</v>
      </c>
      <c r="W658" t="s">
        <v>2677</v>
      </c>
      <c r="X658">
        <v>1</v>
      </c>
      <c r="Y658" t="s">
        <v>2807</v>
      </c>
      <c r="AA658">
        <v>687037975702</v>
      </c>
      <c r="AB658" t="s">
        <v>171</v>
      </c>
      <c r="AC658">
        <v>0</v>
      </c>
      <c r="AD658">
        <v>3</v>
      </c>
      <c r="AE658">
        <v>6870379757023</v>
      </c>
      <c r="AF658" t="s">
        <v>4212</v>
      </c>
      <c r="AG658">
        <v>1</v>
      </c>
      <c r="AH658">
        <v>0</v>
      </c>
    </row>
    <row r="659" spans="1:35">
      <c r="A659">
        <v>2026</v>
      </c>
      <c r="B659" s="1">
        <v>46023</v>
      </c>
      <c r="C659" t="s">
        <v>2657</v>
      </c>
      <c r="D659" t="s">
        <v>4217</v>
      </c>
      <c r="E659" s="43">
        <v>46044.734020312499</v>
      </c>
      <c r="F659" s="1">
        <v>46044</v>
      </c>
      <c r="G659" s="43">
        <v>46073.57428828704</v>
      </c>
      <c r="H659" t="s">
        <v>2701</v>
      </c>
      <c r="I659" t="s">
        <v>2660</v>
      </c>
      <c r="J659" t="s">
        <v>37</v>
      </c>
      <c r="L659" t="s">
        <v>2364</v>
      </c>
      <c r="M659">
        <v>687037975702</v>
      </c>
      <c r="N659" t="s">
        <v>2661</v>
      </c>
      <c r="O659" s="1">
        <v>45947</v>
      </c>
      <c r="T659" t="s">
        <v>2662</v>
      </c>
      <c r="U659" t="s">
        <v>4218</v>
      </c>
      <c r="V659">
        <v>21</v>
      </c>
      <c r="W659" t="s">
        <v>2677</v>
      </c>
      <c r="X659">
        <v>1</v>
      </c>
      <c r="Y659" t="s">
        <v>2807</v>
      </c>
      <c r="AA659">
        <v>687037975702</v>
      </c>
      <c r="AB659" t="s">
        <v>171</v>
      </c>
      <c r="AC659">
        <v>0</v>
      </c>
      <c r="AD659">
        <v>4</v>
      </c>
      <c r="AE659">
        <v>6870379757024</v>
      </c>
      <c r="AF659" t="s">
        <v>4212</v>
      </c>
      <c r="AG659">
        <v>1</v>
      </c>
      <c r="AH659">
        <v>0</v>
      </c>
    </row>
    <row r="660" spans="1:35">
      <c r="A660">
        <v>2026</v>
      </c>
      <c r="B660" s="1">
        <v>46023</v>
      </c>
      <c r="C660" t="s">
        <v>2657</v>
      </c>
      <c r="D660" t="s">
        <v>4219</v>
      </c>
      <c r="E660" s="43">
        <v>46048.826214421293</v>
      </c>
      <c r="F660" s="1">
        <v>46048</v>
      </c>
      <c r="G660" s="43">
        <v>46062.616315185187</v>
      </c>
      <c r="H660" t="s">
        <v>2701</v>
      </c>
      <c r="I660" t="s">
        <v>2660</v>
      </c>
      <c r="J660" t="s">
        <v>37</v>
      </c>
      <c r="L660" t="s">
        <v>2364</v>
      </c>
      <c r="M660">
        <v>687037975702</v>
      </c>
      <c r="N660" t="s">
        <v>2661</v>
      </c>
      <c r="O660" s="1">
        <v>45947</v>
      </c>
      <c r="T660" t="s">
        <v>2662</v>
      </c>
      <c r="U660" t="s">
        <v>4220</v>
      </c>
      <c r="V660">
        <v>10</v>
      </c>
      <c r="W660" t="s">
        <v>2677</v>
      </c>
      <c r="X660">
        <v>1</v>
      </c>
      <c r="Y660" t="s">
        <v>2779</v>
      </c>
      <c r="AA660">
        <v>687037975702</v>
      </c>
      <c r="AB660" t="s">
        <v>171</v>
      </c>
      <c r="AC660">
        <v>0</v>
      </c>
      <c r="AD660">
        <v>5</v>
      </c>
      <c r="AE660">
        <v>6870379757025</v>
      </c>
      <c r="AF660" t="s">
        <v>4212</v>
      </c>
      <c r="AG660">
        <v>1</v>
      </c>
      <c r="AH660">
        <v>0</v>
      </c>
    </row>
    <row r="661" spans="1:35">
      <c r="A661">
        <v>2026</v>
      </c>
      <c r="B661" s="1">
        <v>46023</v>
      </c>
      <c r="C661" t="s">
        <v>2657</v>
      </c>
      <c r="D661" t="s">
        <v>4221</v>
      </c>
      <c r="E661" s="43">
        <v>46034.513265243055</v>
      </c>
      <c r="F661" s="1">
        <v>46034</v>
      </c>
      <c r="G661" s="43">
        <v>46035.600499039349</v>
      </c>
      <c r="H661" t="s">
        <v>2701</v>
      </c>
      <c r="I661" t="s">
        <v>2681</v>
      </c>
      <c r="J661" t="s">
        <v>39</v>
      </c>
      <c r="L661" t="s">
        <v>2336</v>
      </c>
      <c r="M661">
        <v>61648289002</v>
      </c>
      <c r="N661" t="s">
        <v>2746</v>
      </c>
      <c r="O661" s="1">
        <v>46020</v>
      </c>
      <c r="T661" t="s">
        <v>2662</v>
      </c>
      <c r="U661" t="s">
        <v>4222</v>
      </c>
      <c r="V661">
        <v>1</v>
      </c>
      <c r="W661" t="s">
        <v>2677</v>
      </c>
      <c r="X661">
        <v>1</v>
      </c>
      <c r="Y661" t="s">
        <v>2760</v>
      </c>
      <c r="Z661" t="s">
        <v>2684</v>
      </c>
      <c r="AA661">
        <v>61648289002</v>
      </c>
      <c r="AB661" t="s">
        <v>2406</v>
      </c>
      <c r="AC661">
        <v>0</v>
      </c>
      <c r="AD661">
        <v>3</v>
      </c>
      <c r="AE661">
        <v>616482890023</v>
      </c>
      <c r="AF661" t="s">
        <v>4223</v>
      </c>
      <c r="AG661">
        <v>0</v>
      </c>
      <c r="AH661">
        <v>0</v>
      </c>
    </row>
    <row r="662" spans="1:35">
      <c r="A662">
        <v>2026</v>
      </c>
      <c r="B662" s="1">
        <v>46023</v>
      </c>
      <c r="C662" t="s">
        <v>2657</v>
      </c>
      <c r="D662" t="s">
        <v>4224</v>
      </c>
      <c r="E662" s="43">
        <v>46035.660239120371</v>
      </c>
      <c r="F662" s="1">
        <v>46035</v>
      </c>
      <c r="G662" s="43">
        <v>46038.561149143519</v>
      </c>
      <c r="H662" t="s">
        <v>2701</v>
      </c>
      <c r="I662" t="s">
        <v>2681</v>
      </c>
      <c r="J662" t="s">
        <v>39</v>
      </c>
      <c r="L662" t="s">
        <v>2336</v>
      </c>
      <c r="M662">
        <v>61648289002</v>
      </c>
      <c r="N662" t="s">
        <v>2746</v>
      </c>
      <c r="O662" s="1">
        <v>46020</v>
      </c>
      <c r="T662" t="s">
        <v>2662</v>
      </c>
      <c r="U662" t="s">
        <v>4225</v>
      </c>
      <c r="V662">
        <v>3</v>
      </c>
      <c r="X662">
        <v>1</v>
      </c>
      <c r="Y662" t="s">
        <v>2721</v>
      </c>
      <c r="AA662">
        <v>61648289002</v>
      </c>
      <c r="AB662" t="s">
        <v>2406</v>
      </c>
      <c r="AC662">
        <v>0</v>
      </c>
      <c r="AD662">
        <v>3</v>
      </c>
      <c r="AE662">
        <v>616482890023</v>
      </c>
      <c r="AF662" t="s">
        <v>4223</v>
      </c>
      <c r="AG662">
        <v>0</v>
      </c>
      <c r="AH662">
        <v>0</v>
      </c>
    </row>
    <row r="663" spans="1:35">
      <c r="A663">
        <v>2026</v>
      </c>
      <c r="B663" s="1">
        <v>46023</v>
      </c>
      <c r="C663" t="s">
        <v>2657</v>
      </c>
      <c r="D663" t="s">
        <v>4226</v>
      </c>
      <c r="E663" s="43">
        <v>46034.512185717591</v>
      </c>
      <c r="F663" s="1">
        <v>46034</v>
      </c>
      <c r="G663" s="43">
        <v>46035.693414664354</v>
      </c>
      <c r="H663" t="s">
        <v>2701</v>
      </c>
      <c r="I663" t="s">
        <v>2681</v>
      </c>
      <c r="J663" t="s">
        <v>39</v>
      </c>
      <c r="L663" t="s">
        <v>2336</v>
      </c>
      <c r="M663">
        <v>61648289002</v>
      </c>
      <c r="N663" t="s">
        <v>2746</v>
      </c>
      <c r="O663" s="1">
        <v>46020</v>
      </c>
      <c r="T663" t="s">
        <v>2662</v>
      </c>
      <c r="U663" t="s">
        <v>4227</v>
      </c>
      <c r="V663">
        <v>1</v>
      </c>
      <c r="X663">
        <v>1</v>
      </c>
      <c r="Y663" t="s">
        <v>2717</v>
      </c>
      <c r="AA663">
        <v>61648289002</v>
      </c>
      <c r="AB663" t="s">
        <v>2406</v>
      </c>
      <c r="AC663">
        <v>0</v>
      </c>
      <c r="AD663">
        <v>3</v>
      </c>
      <c r="AE663">
        <v>616482890023</v>
      </c>
      <c r="AF663" t="s">
        <v>4223</v>
      </c>
      <c r="AG663">
        <v>1</v>
      </c>
      <c r="AH663">
        <v>1</v>
      </c>
    </row>
    <row r="664" spans="1:35">
      <c r="A664">
        <v>2026</v>
      </c>
      <c r="B664" s="1">
        <v>46023</v>
      </c>
      <c r="C664" t="s">
        <v>2657</v>
      </c>
      <c r="D664" t="s">
        <v>4228</v>
      </c>
      <c r="E664" s="43">
        <v>46034.709075335646</v>
      </c>
      <c r="F664" s="1">
        <v>46034</v>
      </c>
      <c r="G664" s="43">
        <v>46035.600450335645</v>
      </c>
      <c r="H664" t="s">
        <v>2701</v>
      </c>
      <c r="I664" t="s">
        <v>2681</v>
      </c>
      <c r="J664" t="s">
        <v>39</v>
      </c>
      <c r="L664" t="s">
        <v>2336</v>
      </c>
      <c r="M664">
        <v>61648289002</v>
      </c>
      <c r="N664" t="s">
        <v>2746</v>
      </c>
      <c r="O664" s="1">
        <v>46020</v>
      </c>
      <c r="T664" t="s">
        <v>2662</v>
      </c>
      <c r="U664" t="s">
        <v>4229</v>
      </c>
      <c r="V664">
        <v>1</v>
      </c>
      <c r="W664" t="s">
        <v>2677</v>
      </c>
      <c r="X664">
        <v>1</v>
      </c>
      <c r="Y664" t="s">
        <v>2767</v>
      </c>
      <c r="Z664" t="s">
        <v>2684</v>
      </c>
      <c r="AA664">
        <v>61648289002</v>
      </c>
      <c r="AB664" t="s">
        <v>2406</v>
      </c>
      <c r="AC664">
        <v>0</v>
      </c>
      <c r="AD664">
        <v>3</v>
      </c>
      <c r="AE664">
        <v>616482890023</v>
      </c>
      <c r="AF664" t="s">
        <v>4223</v>
      </c>
      <c r="AG664">
        <v>0</v>
      </c>
      <c r="AH664">
        <v>0</v>
      </c>
    </row>
    <row r="665" spans="1:35">
      <c r="A665">
        <v>2026</v>
      </c>
      <c r="B665" s="1">
        <v>46023</v>
      </c>
      <c r="C665" t="s">
        <v>2657</v>
      </c>
      <c r="D665" t="s">
        <v>4230</v>
      </c>
      <c r="E665" s="43">
        <v>46050.717000509256</v>
      </c>
      <c r="F665" s="1">
        <v>46050</v>
      </c>
      <c r="G665" s="43">
        <v>46051.537705370371</v>
      </c>
      <c r="H665" t="s">
        <v>2701</v>
      </c>
      <c r="I665" t="s">
        <v>2660</v>
      </c>
      <c r="J665" t="s">
        <v>39</v>
      </c>
      <c r="L665" t="s">
        <v>2336</v>
      </c>
      <c r="M665">
        <v>61648289002</v>
      </c>
      <c r="N665" t="s">
        <v>2746</v>
      </c>
      <c r="O665" s="1">
        <v>46020</v>
      </c>
      <c r="T665" t="s">
        <v>2662</v>
      </c>
      <c r="U665" t="s">
        <v>4231</v>
      </c>
      <c r="V665">
        <v>1</v>
      </c>
      <c r="W665" t="s">
        <v>2677</v>
      </c>
      <c r="X665">
        <v>1</v>
      </c>
      <c r="Y665" t="s">
        <v>2767</v>
      </c>
      <c r="AA665">
        <v>61648289002</v>
      </c>
      <c r="AB665" t="s">
        <v>2406</v>
      </c>
      <c r="AC665">
        <v>0</v>
      </c>
      <c r="AD665">
        <v>5</v>
      </c>
      <c r="AE665">
        <v>616482890025</v>
      </c>
      <c r="AF665" t="s">
        <v>4223</v>
      </c>
      <c r="AG665">
        <v>1</v>
      </c>
      <c r="AH665">
        <v>0</v>
      </c>
      <c r="AI665" t="s">
        <v>3001</v>
      </c>
    </row>
    <row r="666" spans="1:35">
      <c r="A666">
        <v>2026</v>
      </c>
      <c r="B666" s="1">
        <v>46023</v>
      </c>
      <c r="C666" t="s">
        <v>2657</v>
      </c>
      <c r="D666" t="s">
        <v>4232</v>
      </c>
      <c r="E666" s="43">
        <v>46044.590440115739</v>
      </c>
      <c r="F666" s="1">
        <v>46044</v>
      </c>
      <c r="G666" s="43">
        <v>46044.590440115739</v>
      </c>
      <c r="H666" t="s">
        <v>2701</v>
      </c>
      <c r="I666" t="s">
        <v>2660</v>
      </c>
      <c r="J666" t="s">
        <v>39</v>
      </c>
      <c r="L666" t="s">
        <v>2336</v>
      </c>
      <c r="M666">
        <v>61648289002</v>
      </c>
      <c r="N666" t="s">
        <v>2746</v>
      </c>
      <c r="O666" s="1">
        <v>46020</v>
      </c>
      <c r="T666" t="s">
        <v>2662</v>
      </c>
      <c r="U666" t="s">
        <v>4233</v>
      </c>
      <c r="V666">
        <v>0</v>
      </c>
      <c r="W666" t="s">
        <v>2677</v>
      </c>
      <c r="X666">
        <v>1</v>
      </c>
      <c r="Y666" t="s">
        <v>2760</v>
      </c>
      <c r="AA666">
        <v>61648289002</v>
      </c>
      <c r="AB666" t="s">
        <v>2406</v>
      </c>
      <c r="AC666">
        <v>0</v>
      </c>
      <c r="AD666">
        <v>4</v>
      </c>
      <c r="AE666">
        <v>616482890024</v>
      </c>
      <c r="AF666" t="s">
        <v>4223</v>
      </c>
      <c r="AG666">
        <v>1</v>
      </c>
      <c r="AH666">
        <v>0</v>
      </c>
    </row>
    <row r="667" spans="1:35">
      <c r="A667">
        <v>2025</v>
      </c>
      <c r="B667" s="1">
        <v>45901</v>
      </c>
      <c r="C667" t="s">
        <v>2657</v>
      </c>
      <c r="D667" t="s">
        <v>4234</v>
      </c>
      <c r="E667" s="43">
        <v>45919.796205520834</v>
      </c>
      <c r="F667" s="1">
        <v>45919</v>
      </c>
      <c r="G667" s="43">
        <v>45919.796205520834</v>
      </c>
      <c r="H667" t="s">
        <v>2734</v>
      </c>
      <c r="I667" t="s">
        <v>2719</v>
      </c>
      <c r="J667" t="s">
        <v>38</v>
      </c>
      <c r="L667" t="s">
        <v>2342</v>
      </c>
      <c r="M667">
        <v>20208037402</v>
      </c>
      <c r="N667" t="s">
        <v>2702</v>
      </c>
      <c r="O667" s="1">
        <v>45294</v>
      </c>
      <c r="T667" t="s">
        <v>2662</v>
      </c>
      <c r="U667" t="s">
        <v>4235</v>
      </c>
      <c r="V667">
        <v>0</v>
      </c>
      <c r="W667" t="s">
        <v>2664</v>
      </c>
      <c r="X667">
        <v>1</v>
      </c>
      <c r="Y667" t="s">
        <v>2931</v>
      </c>
      <c r="AA667">
        <v>20208037402</v>
      </c>
      <c r="AB667" t="s">
        <v>1678</v>
      </c>
      <c r="AC667">
        <v>0</v>
      </c>
      <c r="AD667">
        <v>38</v>
      </c>
      <c r="AE667">
        <v>2020803740238</v>
      </c>
      <c r="AF667" t="s">
        <v>4236</v>
      </c>
      <c r="AG667">
        <v>1</v>
      </c>
      <c r="AH667">
        <v>1</v>
      </c>
    </row>
    <row r="668" spans="1:35">
      <c r="A668">
        <v>2026</v>
      </c>
      <c r="B668" s="1">
        <v>46023</v>
      </c>
      <c r="C668" t="s">
        <v>2657</v>
      </c>
      <c r="D668" t="s">
        <v>4237</v>
      </c>
      <c r="E668" s="43">
        <v>46045.643505277774</v>
      </c>
      <c r="F668" s="1">
        <v>46045</v>
      </c>
      <c r="G668" s="43">
        <v>46048.619294687502</v>
      </c>
      <c r="H668" t="s">
        <v>2701</v>
      </c>
      <c r="I668" t="s">
        <v>2660</v>
      </c>
      <c r="J668" t="s">
        <v>36</v>
      </c>
      <c r="L668" t="s">
        <v>2421</v>
      </c>
      <c r="M668">
        <v>308287047902</v>
      </c>
      <c r="N668" t="s">
        <v>2661</v>
      </c>
      <c r="O668" s="1">
        <v>45669</v>
      </c>
      <c r="T668" t="s">
        <v>2662</v>
      </c>
      <c r="U668" t="s">
        <v>4238</v>
      </c>
      <c r="V668">
        <v>1</v>
      </c>
      <c r="W668" t="s">
        <v>2704</v>
      </c>
      <c r="X668">
        <v>1</v>
      </c>
      <c r="Y668" t="s">
        <v>2721</v>
      </c>
      <c r="Z668" t="s">
        <v>2684</v>
      </c>
      <c r="AA668">
        <v>685488901302</v>
      </c>
      <c r="AB668" t="s">
        <v>414</v>
      </c>
      <c r="AC668">
        <v>0</v>
      </c>
      <c r="AD668">
        <v>4</v>
      </c>
      <c r="AE668">
        <v>6854889013024</v>
      </c>
      <c r="AF668" t="s">
        <v>4239</v>
      </c>
      <c r="AG668">
        <v>1</v>
      </c>
      <c r="AH668">
        <v>1</v>
      </c>
    </row>
    <row r="669" spans="1:35">
      <c r="A669">
        <v>2026</v>
      </c>
      <c r="B669" s="1">
        <v>46082</v>
      </c>
      <c r="C669" t="s">
        <v>2657</v>
      </c>
      <c r="D669" t="s">
        <v>4240</v>
      </c>
      <c r="E669" s="43">
        <v>46091.729718113427</v>
      </c>
      <c r="F669" s="1">
        <v>46091</v>
      </c>
      <c r="G669" s="43">
        <v>46091.729718113427</v>
      </c>
      <c r="H669" t="s">
        <v>2668</v>
      </c>
      <c r="I669" t="s">
        <v>2681</v>
      </c>
      <c r="J669" t="s">
        <v>38</v>
      </c>
      <c r="L669" t="s">
        <v>2342</v>
      </c>
      <c r="M669">
        <v>22445894402</v>
      </c>
      <c r="N669" t="s">
        <v>2702</v>
      </c>
      <c r="O669" s="1">
        <v>45294</v>
      </c>
      <c r="T669" t="s">
        <v>2662</v>
      </c>
      <c r="U669" t="s">
        <v>4241</v>
      </c>
      <c r="V669">
        <v>0</v>
      </c>
      <c r="W669" t="s">
        <v>2664</v>
      </c>
      <c r="X669">
        <v>1</v>
      </c>
      <c r="Y669" t="s">
        <v>2695</v>
      </c>
      <c r="AA669">
        <v>22445894402</v>
      </c>
      <c r="AB669" t="s">
        <v>573</v>
      </c>
      <c r="AC669">
        <v>1</v>
      </c>
      <c r="AD669">
        <v>11</v>
      </c>
      <c r="AE669">
        <v>2244589440211</v>
      </c>
      <c r="AF669" t="s">
        <v>4242</v>
      </c>
      <c r="AG669">
        <v>0</v>
      </c>
      <c r="AH669">
        <v>0</v>
      </c>
    </row>
    <row r="670" spans="1:35">
      <c r="A670">
        <v>2026</v>
      </c>
      <c r="B670" s="1">
        <v>46082</v>
      </c>
      <c r="C670" t="s">
        <v>2657</v>
      </c>
      <c r="D670" t="s">
        <v>4243</v>
      </c>
      <c r="E670" s="43">
        <v>46090.832184675928</v>
      </c>
      <c r="F670" s="1">
        <v>46090</v>
      </c>
      <c r="G670" s="43">
        <v>46090.832184675928</v>
      </c>
      <c r="H670" t="s">
        <v>2668</v>
      </c>
      <c r="I670" t="s">
        <v>2681</v>
      </c>
      <c r="J670" t="s">
        <v>38</v>
      </c>
      <c r="L670" t="s">
        <v>2342</v>
      </c>
      <c r="M670">
        <v>22445894402</v>
      </c>
      <c r="N670" t="s">
        <v>2702</v>
      </c>
      <c r="O670" s="1">
        <v>45294</v>
      </c>
      <c r="T670" t="s">
        <v>2662</v>
      </c>
      <c r="U670" t="s">
        <v>4244</v>
      </c>
      <c r="V670">
        <v>0</v>
      </c>
      <c r="W670" t="s">
        <v>2677</v>
      </c>
      <c r="X670">
        <v>1</v>
      </c>
      <c r="Y670" t="s">
        <v>2779</v>
      </c>
      <c r="AA670">
        <v>22445894402</v>
      </c>
      <c r="AB670" t="s">
        <v>573</v>
      </c>
      <c r="AC670">
        <v>0</v>
      </c>
      <c r="AD670">
        <v>11</v>
      </c>
      <c r="AE670">
        <v>2244589440211</v>
      </c>
      <c r="AF670" t="s">
        <v>4242</v>
      </c>
      <c r="AG670">
        <v>1</v>
      </c>
      <c r="AH670">
        <v>1</v>
      </c>
    </row>
    <row r="671" spans="1:35">
      <c r="A671">
        <v>2025</v>
      </c>
      <c r="B671" s="1">
        <v>45992</v>
      </c>
      <c r="C671" t="s">
        <v>2657</v>
      </c>
      <c r="D671" t="s">
        <v>4245</v>
      </c>
      <c r="E671" s="43">
        <v>46000.599996215278</v>
      </c>
      <c r="F671" s="1">
        <v>46000</v>
      </c>
      <c r="G671" s="43">
        <v>46048.840041226853</v>
      </c>
      <c r="H671" t="s">
        <v>2686</v>
      </c>
      <c r="I671" t="s">
        <v>2681</v>
      </c>
      <c r="J671" t="s">
        <v>38</v>
      </c>
      <c r="L671" t="s">
        <v>2393</v>
      </c>
      <c r="M671">
        <v>13351599302</v>
      </c>
      <c r="N671" t="s">
        <v>2702</v>
      </c>
      <c r="O671" s="1">
        <v>44991</v>
      </c>
      <c r="T671" t="s">
        <v>2662</v>
      </c>
      <c r="U671" t="s">
        <v>4246</v>
      </c>
      <c r="V671">
        <v>34</v>
      </c>
      <c r="W671" t="s">
        <v>2677</v>
      </c>
      <c r="X671">
        <v>1</v>
      </c>
      <c r="Y671" t="s">
        <v>2807</v>
      </c>
      <c r="AA671">
        <v>13351599302</v>
      </c>
      <c r="AB671" t="s">
        <v>1583</v>
      </c>
      <c r="AC671">
        <v>0</v>
      </c>
      <c r="AD671">
        <v>50</v>
      </c>
      <c r="AE671">
        <v>1335159930250</v>
      </c>
      <c r="AF671" t="s">
        <v>4247</v>
      </c>
      <c r="AG671">
        <v>1</v>
      </c>
      <c r="AH671">
        <v>1</v>
      </c>
    </row>
    <row r="672" spans="1:35">
      <c r="A672">
        <v>2025</v>
      </c>
      <c r="B672" s="1">
        <v>45992</v>
      </c>
      <c r="C672" t="s">
        <v>2657</v>
      </c>
      <c r="D672" t="s">
        <v>4248</v>
      </c>
      <c r="E672" s="43">
        <v>46001.593978159719</v>
      </c>
      <c r="F672" s="1">
        <v>46001</v>
      </c>
      <c r="G672" s="43">
        <v>46002.580925127317</v>
      </c>
      <c r="H672" t="s">
        <v>2686</v>
      </c>
      <c r="I672" t="s">
        <v>2681</v>
      </c>
      <c r="J672" t="s">
        <v>38</v>
      </c>
      <c r="L672" t="s">
        <v>2393</v>
      </c>
      <c r="M672">
        <v>13351599302</v>
      </c>
      <c r="N672" t="s">
        <v>2702</v>
      </c>
      <c r="O672" s="1">
        <v>44991</v>
      </c>
      <c r="T672" t="s">
        <v>2662</v>
      </c>
      <c r="U672" t="s">
        <v>4249</v>
      </c>
      <c r="V672">
        <v>1</v>
      </c>
      <c r="W672" t="s">
        <v>2677</v>
      </c>
      <c r="X672">
        <v>1</v>
      </c>
      <c r="Y672" t="s">
        <v>2807</v>
      </c>
      <c r="AA672">
        <v>13351599302</v>
      </c>
      <c r="AB672" t="s">
        <v>1583</v>
      </c>
      <c r="AC672">
        <v>0</v>
      </c>
      <c r="AD672">
        <v>50</v>
      </c>
      <c r="AE672">
        <v>1335159930250</v>
      </c>
      <c r="AF672" t="s">
        <v>4247</v>
      </c>
      <c r="AG672">
        <v>0</v>
      </c>
      <c r="AH672">
        <v>0</v>
      </c>
    </row>
    <row r="673" spans="1:34">
      <c r="A673">
        <v>2025</v>
      </c>
      <c r="B673" s="1">
        <v>45992</v>
      </c>
      <c r="C673" t="s">
        <v>2657</v>
      </c>
      <c r="D673" t="s">
        <v>4250</v>
      </c>
      <c r="E673" s="43">
        <v>46002.804009699074</v>
      </c>
      <c r="F673" s="1">
        <v>46002</v>
      </c>
      <c r="G673" s="43">
        <v>46003.744382395831</v>
      </c>
      <c r="H673" t="s">
        <v>2686</v>
      </c>
      <c r="I673" t="s">
        <v>2681</v>
      </c>
      <c r="J673" t="s">
        <v>38</v>
      </c>
      <c r="L673" t="s">
        <v>2393</v>
      </c>
      <c r="M673">
        <v>13351599302</v>
      </c>
      <c r="N673" t="s">
        <v>2702</v>
      </c>
      <c r="O673" s="1">
        <v>44991</v>
      </c>
      <c r="T673" t="s">
        <v>2662</v>
      </c>
      <c r="U673" t="s">
        <v>4251</v>
      </c>
      <c r="V673">
        <v>1</v>
      </c>
      <c r="X673">
        <v>1</v>
      </c>
      <c r="Y673" t="s">
        <v>2710</v>
      </c>
      <c r="AA673">
        <v>13351599302</v>
      </c>
      <c r="AB673" t="s">
        <v>1583</v>
      </c>
      <c r="AC673">
        <v>0</v>
      </c>
      <c r="AD673">
        <v>50</v>
      </c>
      <c r="AE673">
        <v>1335159930250</v>
      </c>
      <c r="AF673" t="s">
        <v>4247</v>
      </c>
      <c r="AG673">
        <v>0</v>
      </c>
      <c r="AH673">
        <v>0</v>
      </c>
    </row>
    <row r="674" spans="1:34">
      <c r="A674">
        <v>2025</v>
      </c>
      <c r="B674" s="1">
        <v>45992</v>
      </c>
      <c r="C674" t="s">
        <v>2657</v>
      </c>
      <c r="D674" t="s">
        <v>4252</v>
      </c>
      <c r="E674" s="43">
        <v>46009.812464733797</v>
      </c>
      <c r="F674" s="1">
        <v>46009</v>
      </c>
      <c r="G674" s="43">
        <v>46010.537918969909</v>
      </c>
      <c r="H674" t="s">
        <v>2686</v>
      </c>
      <c r="I674" t="s">
        <v>2719</v>
      </c>
      <c r="J674" t="s">
        <v>38</v>
      </c>
      <c r="L674" t="s">
        <v>2393</v>
      </c>
      <c r="M674">
        <v>13351599302</v>
      </c>
      <c r="N674" t="s">
        <v>2702</v>
      </c>
      <c r="O674" s="1">
        <v>44991</v>
      </c>
      <c r="T674" t="s">
        <v>2662</v>
      </c>
      <c r="U674" t="s">
        <v>4253</v>
      </c>
      <c r="V674">
        <v>1</v>
      </c>
      <c r="W674" t="s">
        <v>2664</v>
      </c>
      <c r="X674">
        <v>1</v>
      </c>
      <c r="Y674" t="s">
        <v>2760</v>
      </c>
      <c r="AA674">
        <v>13351599302</v>
      </c>
      <c r="AB674" t="s">
        <v>1583</v>
      </c>
      <c r="AC674">
        <v>0</v>
      </c>
      <c r="AD674">
        <v>51</v>
      </c>
      <c r="AE674">
        <v>1335159930251</v>
      </c>
      <c r="AF674" t="s">
        <v>4247</v>
      </c>
      <c r="AG674">
        <v>1</v>
      </c>
      <c r="AH674">
        <v>0</v>
      </c>
    </row>
    <row r="675" spans="1:34">
      <c r="A675">
        <v>2025</v>
      </c>
      <c r="B675" s="1">
        <v>45992</v>
      </c>
      <c r="C675" t="s">
        <v>2657</v>
      </c>
      <c r="D675" t="s">
        <v>4254</v>
      </c>
      <c r="E675" s="43">
        <v>46013.781468055553</v>
      </c>
      <c r="F675" s="1">
        <v>46013</v>
      </c>
      <c r="G675" s="43">
        <v>46014.589054050928</v>
      </c>
      <c r="H675" t="s">
        <v>2686</v>
      </c>
      <c r="I675" t="s">
        <v>2660</v>
      </c>
      <c r="J675" t="s">
        <v>38</v>
      </c>
      <c r="L675" t="s">
        <v>2393</v>
      </c>
      <c r="M675">
        <v>13351599302</v>
      </c>
      <c r="N675" t="s">
        <v>2702</v>
      </c>
      <c r="O675" s="1">
        <v>44991</v>
      </c>
      <c r="T675" t="s">
        <v>2662</v>
      </c>
      <c r="U675" t="s">
        <v>4255</v>
      </c>
      <c r="V675">
        <v>1</v>
      </c>
      <c r="X675">
        <v>1</v>
      </c>
      <c r="Y675" t="s">
        <v>2717</v>
      </c>
      <c r="AA675">
        <v>13351599302</v>
      </c>
      <c r="AB675" t="s">
        <v>1583</v>
      </c>
      <c r="AC675">
        <v>0</v>
      </c>
      <c r="AD675">
        <v>52</v>
      </c>
      <c r="AE675">
        <v>1335159930252</v>
      </c>
      <c r="AF675" t="s">
        <v>4247</v>
      </c>
      <c r="AG675">
        <v>1</v>
      </c>
      <c r="AH675">
        <v>0</v>
      </c>
    </row>
    <row r="676" spans="1:34">
      <c r="A676">
        <v>2026</v>
      </c>
      <c r="B676" s="1">
        <v>46023</v>
      </c>
      <c r="C676" t="s">
        <v>2657</v>
      </c>
      <c r="D676" t="s">
        <v>4256</v>
      </c>
      <c r="E676" s="43">
        <v>46038.514604548611</v>
      </c>
      <c r="F676" s="1">
        <v>46038</v>
      </c>
      <c r="G676" s="43">
        <v>46044.489495000002</v>
      </c>
      <c r="H676" t="s">
        <v>2701</v>
      </c>
      <c r="I676" t="s">
        <v>2719</v>
      </c>
      <c r="J676" t="s">
        <v>36</v>
      </c>
      <c r="L676" t="s">
        <v>2393</v>
      </c>
      <c r="M676">
        <v>241002216802</v>
      </c>
      <c r="N676" t="s">
        <v>2702</v>
      </c>
      <c r="O676" s="1">
        <v>45411</v>
      </c>
      <c r="T676" t="s">
        <v>2662</v>
      </c>
      <c r="U676" t="s">
        <v>4257</v>
      </c>
      <c r="V676">
        <v>4</v>
      </c>
      <c r="W676" t="s">
        <v>2677</v>
      </c>
      <c r="X676">
        <v>1</v>
      </c>
      <c r="Y676" t="s">
        <v>2779</v>
      </c>
      <c r="Z676" t="s">
        <v>2684</v>
      </c>
      <c r="AA676">
        <v>241002216802</v>
      </c>
      <c r="AB676" t="s">
        <v>1704</v>
      </c>
      <c r="AC676">
        <v>0</v>
      </c>
      <c r="AD676">
        <v>3</v>
      </c>
      <c r="AE676">
        <v>2410022168023</v>
      </c>
      <c r="AF676" t="s">
        <v>4258</v>
      </c>
      <c r="AG676">
        <v>1</v>
      </c>
      <c r="AH676">
        <v>1</v>
      </c>
    </row>
    <row r="677" spans="1:34">
      <c r="A677">
        <v>2026</v>
      </c>
      <c r="B677" s="1">
        <v>46023</v>
      </c>
      <c r="C677" t="s">
        <v>2657</v>
      </c>
      <c r="D677" t="s">
        <v>4259</v>
      </c>
      <c r="E677" s="43">
        <v>46038.520232013892</v>
      </c>
      <c r="F677" s="1">
        <v>46038</v>
      </c>
      <c r="G677" s="43">
        <v>46050.560854050927</v>
      </c>
      <c r="H677" t="s">
        <v>2701</v>
      </c>
      <c r="I677" t="s">
        <v>2719</v>
      </c>
      <c r="J677" t="s">
        <v>36</v>
      </c>
      <c r="L677" t="s">
        <v>2393</v>
      </c>
      <c r="M677">
        <v>241002216802</v>
      </c>
      <c r="N677" t="s">
        <v>2702</v>
      </c>
      <c r="O677" s="1">
        <v>45411</v>
      </c>
      <c r="T677" t="s">
        <v>2662</v>
      </c>
      <c r="U677" t="s">
        <v>4260</v>
      </c>
      <c r="V677">
        <v>8</v>
      </c>
      <c r="W677" t="s">
        <v>2677</v>
      </c>
      <c r="X677">
        <v>1</v>
      </c>
      <c r="Y677" t="s">
        <v>2779</v>
      </c>
      <c r="Z677" t="s">
        <v>2684</v>
      </c>
      <c r="AA677">
        <v>241002216802</v>
      </c>
      <c r="AB677" t="s">
        <v>1704</v>
      </c>
      <c r="AC677">
        <v>0</v>
      </c>
      <c r="AD677">
        <v>3</v>
      </c>
      <c r="AE677">
        <v>2410022168023</v>
      </c>
      <c r="AF677" t="s">
        <v>4258</v>
      </c>
      <c r="AG677">
        <v>0</v>
      </c>
      <c r="AH677">
        <v>0</v>
      </c>
    </row>
    <row r="678" spans="1:34">
      <c r="A678">
        <v>2026</v>
      </c>
      <c r="B678" s="1">
        <v>46023</v>
      </c>
      <c r="C678" t="s">
        <v>2657</v>
      </c>
      <c r="D678" t="s">
        <v>4261</v>
      </c>
      <c r="E678" s="43">
        <v>46043.833498726854</v>
      </c>
      <c r="F678" s="1">
        <v>46043</v>
      </c>
      <c r="G678" s="43">
        <v>46048.577254780095</v>
      </c>
      <c r="H678" t="s">
        <v>2701</v>
      </c>
      <c r="I678" t="s">
        <v>2719</v>
      </c>
      <c r="J678" t="s">
        <v>36</v>
      </c>
      <c r="L678" t="s">
        <v>2393</v>
      </c>
      <c r="M678">
        <v>241002216802</v>
      </c>
      <c r="N678" t="s">
        <v>2702</v>
      </c>
      <c r="O678" s="1">
        <v>45411</v>
      </c>
      <c r="T678" t="s">
        <v>2662</v>
      </c>
      <c r="U678" t="s">
        <v>4262</v>
      </c>
      <c r="V678">
        <v>3</v>
      </c>
      <c r="W678" t="s">
        <v>2704</v>
      </c>
      <c r="X678">
        <v>1</v>
      </c>
      <c r="Y678" t="s">
        <v>2710</v>
      </c>
      <c r="AA678">
        <v>241002216802</v>
      </c>
      <c r="AB678" t="s">
        <v>1704</v>
      </c>
      <c r="AC678">
        <v>0</v>
      </c>
      <c r="AD678">
        <v>4</v>
      </c>
      <c r="AE678">
        <v>2410022168024</v>
      </c>
      <c r="AF678" t="s">
        <v>4258</v>
      </c>
      <c r="AG678">
        <v>0</v>
      </c>
      <c r="AH678">
        <v>0</v>
      </c>
    </row>
    <row r="679" spans="1:34">
      <c r="A679">
        <v>2026</v>
      </c>
      <c r="B679" s="1">
        <v>46023</v>
      </c>
      <c r="C679" t="s">
        <v>2657</v>
      </c>
      <c r="D679" t="s">
        <v>4263</v>
      </c>
      <c r="E679" s="43">
        <v>46043.832411689815</v>
      </c>
      <c r="F679" s="1">
        <v>46043</v>
      </c>
      <c r="G679" s="43">
        <v>46044.490169583332</v>
      </c>
      <c r="H679" t="s">
        <v>2701</v>
      </c>
      <c r="I679" t="s">
        <v>2719</v>
      </c>
      <c r="J679" t="s">
        <v>36</v>
      </c>
      <c r="L679" t="s">
        <v>2393</v>
      </c>
      <c r="M679">
        <v>241002216802</v>
      </c>
      <c r="N679" t="s">
        <v>2702</v>
      </c>
      <c r="O679" s="1">
        <v>45411</v>
      </c>
      <c r="T679" t="s">
        <v>2662</v>
      </c>
      <c r="U679" t="s">
        <v>4264</v>
      </c>
      <c r="V679">
        <v>1</v>
      </c>
      <c r="W679" t="s">
        <v>2704</v>
      </c>
      <c r="X679">
        <v>1</v>
      </c>
      <c r="Y679" t="s">
        <v>2710</v>
      </c>
      <c r="AA679">
        <v>241002216802</v>
      </c>
      <c r="AB679" t="s">
        <v>1704</v>
      </c>
      <c r="AC679">
        <v>0</v>
      </c>
      <c r="AD679">
        <v>4</v>
      </c>
      <c r="AE679">
        <v>2410022168024</v>
      </c>
      <c r="AF679" t="s">
        <v>4258</v>
      </c>
      <c r="AG679">
        <v>1</v>
      </c>
      <c r="AH679">
        <v>0</v>
      </c>
    </row>
    <row r="680" spans="1:34">
      <c r="A680">
        <v>2026</v>
      </c>
      <c r="B680" s="1">
        <v>46023</v>
      </c>
      <c r="C680" t="s">
        <v>2657</v>
      </c>
      <c r="D680" t="s">
        <v>4265</v>
      </c>
      <c r="E680" s="43">
        <v>46050.505933958331</v>
      </c>
      <c r="F680" s="1">
        <v>46050</v>
      </c>
      <c r="G680" s="43">
        <v>46057.852000358798</v>
      </c>
      <c r="H680" t="s">
        <v>2701</v>
      </c>
      <c r="I680" t="s">
        <v>2660</v>
      </c>
      <c r="J680" t="s">
        <v>36</v>
      </c>
      <c r="L680" t="s">
        <v>2393</v>
      </c>
      <c r="M680">
        <v>241002216802</v>
      </c>
      <c r="N680" t="s">
        <v>2702</v>
      </c>
      <c r="O680" s="1">
        <v>45411</v>
      </c>
      <c r="T680" t="s">
        <v>2662</v>
      </c>
      <c r="U680" t="s">
        <v>4266</v>
      </c>
      <c r="V680">
        <v>5</v>
      </c>
      <c r="W680" t="s">
        <v>2743</v>
      </c>
      <c r="X680">
        <v>1</v>
      </c>
      <c r="Y680" t="s">
        <v>2764</v>
      </c>
      <c r="AA680">
        <v>241002216802</v>
      </c>
      <c r="AB680" t="s">
        <v>1704</v>
      </c>
      <c r="AC680">
        <v>0</v>
      </c>
      <c r="AD680">
        <v>5</v>
      </c>
      <c r="AE680">
        <v>2410022168025</v>
      </c>
      <c r="AF680" t="s">
        <v>4258</v>
      </c>
      <c r="AG680">
        <v>1</v>
      </c>
      <c r="AH680">
        <v>0</v>
      </c>
    </row>
    <row r="681" spans="1:34">
      <c r="A681">
        <v>2026</v>
      </c>
      <c r="B681" s="1">
        <v>46023</v>
      </c>
      <c r="C681" t="s">
        <v>2657</v>
      </c>
      <c r="D681" t="s">
        <v>4267</v>
      </c>
      <c r="E681" s="43">
        <v>46051.740067407409</v>
      </c>
      <c r="F681" s="1">
        <v>46051</v>
      </c>
      <c r="G681" s="43">
        <v>46063.820800914349</v>
      </c>
      <c r="H681" t="s">
        <v>2701</v>
      </c>
      <c r="I681" t="s">
        <v>2697</v>
      </c>
      <c r="J681" t="s">
        <v>36</v>
      </c>
      <c r="L681" t="s">
        <v>2393</v>
      </c>
      <c r="M681">
        <v>241002216802</v>
      </c>
      <c r="N681" t="s">
        <v>2702</v>
      </c>
      <c r="O681" s="1">
        <v>45411</v>
      </c>
      <c r="T681" t="s">
        <v>2662</v>
      </c>
      <c r="U681" t="s">
        <v>4268</v>
      </c>
      <c r="V681">
        <v>8</v>
      </c>
      <c r="X681">
        <v>1</v>
      </c>
      <c r="Y681" t="s">
        <v>2721</v>
      </c>
      <c r="Z681" t="s">
        <v>2684</v>
      </c>
      <c r="AA681">
        <v>241002216802</v>
      </c>
      <c r="AB681" t="s">
        <v>1704</v>
      </c>
      <c r="AC681">
        <v>0</v>
      </c>
      <c r="AD681">
        <v>5</v>
      </c>
      <c r="AE681">
        <v>2410022168025</v>
      </c>
      <c r="AF681" t="s">
        <v>4258</v>
      </c>
      <c r="AG681">
        <v>0</v>
      </c>
      <c r="AH681">
        <v>0</v>
      </c>
    </row>
    <row r="682" spans="1:34">
      <c r="A682">
        <v>2025</v>
      </c>
      <c r="B682" s="1">
        <v>45839</v>
      </c>
      <c r="C682" t="s">
        <v>2657</v>
      </c>
      <c r="D682" t="s">
        <v>4269</v>
      </c>
      <c r="E682" s="43">
        <v>45861.759966874997</v>
      </c>
      <c r="F682" s="1">
        <v>45861</v>
      </c>
      <c r="G682" s="43">
        <v>45894.654733587966</v>
      </c>
      <c r="H682" t="s">
        <v>2869</v>
      </c>
      <c r="I682" t="s">
        <v>2660</v>
      </c>
      <c r="J682" t="s">
        <v>2735</v>
      </c>
      <c r="L682" t="s">
        <v>2336</v>
      </c>
      <c r="M682">
        <v>16898656902</v>
      </c>
      <c r="N682" t="s">
        <v>2746</v>
      </c>
      <c r="O682" s="1">
        <v>45661</v>
      </c>
      <c r="P682" t="s">
        <v>2671</v>
      </c>
      <c r="Q682" t="s">
        <v>2672</v>
      </c>
      <c r="T682" t="s">
        <v>2662</v>
      </c>
      <c r="U682" t="s">
        <v>4270</v>
      </c>
      <c r="V682">
        <v>23</v>
      </c>
      <c r="W682" t="s">
        <v>2677</v>
      </c>
      <c r="X682">
        <v>1</v>
      </c>
      <c r="Z682" t="s">
        <v>2684</v>
      </c>
      <c r="AA682">
        <v>16898656902</v>
      </c>
      <c r="AB682" t="s">
        <v>1078</v>
      </c>
      <c r="AC682">
        <v>0</v>
      </c>
      <c r="AD682">
        <v>30</v>
      </c>
      <c r="AE682">
        <v>1689865690230</v>
      </c>
      <c r="AF682" t="s">
        <v>4271</v>
      </c>
      <c r="AG682">
        <v>1</v>
      </c>
      <c r="AH682">
        <v>1</v>
      </c>
    </row>
    <row r="683" spans="1:34">
      <c r="A683">
        <v>2025</v>
      </c>
      <c r="B683" s="1">
        <v>45870</v>
      </c>
      <c r="C683" t="s">
        <v>2657</v>
      </c>
      <c r="D683" t="s">
        <v>4272</v>
      </c>
      <c r="E683" s="43">
        <v>45880.788185555553</v>
      </c>
      <c r="F683" s="1">
        <v>45880</v>
      </c>
      <c r="G683" s="43">
        <v>45891.559451400462</v>
      </c>
      <c r="H683" t="s">
        <v>3088</v>
      </c>
      <c r="I683" t="s">
        <v>2681</v>
      </c>
      <c r="J683" t="s">
        <v>38</v>
      </c>
      <c r="L683" t="s">
        <v>2393</v>
      </c>
      <c r="M683">
        <v>475112640202</v>
      </c>
      <c r="N683" t="s">
        <v>2702</v>
      </c>
      <c r="O683" s="1">
        <v>45520</v>
      </c>
      <c r="T683" t="s">
        <v>2662</v>
      </c>
      <c r="U683" t="s">
        <v>4273</v>
      </c>
      <c r="V683">
        <v>9</v>
      </c>
      <c r="W683" t="s">
        <v>2677</v>
      </c>
      <c r="X683">
        <v>1</v>
      </c>
      <c r="Y683" t="s">
        <v>2764</v>
      </c>
      <c r="Z683" t="s">
        <v>2684</v>
      </c>
      <c r="AA683">
        <v>475112640202</v>
      </c>
      <c r="AB683" t="s">
        <v>884</v>
      </c>
      <c r="AC683">
        <v>0</v>
      </c>
      <c r="AD683">
        <v>33</v>
      </c>
      <c r="AE683">
        <v>47511264020233</v>
      </c>
      <c r="AF683" t="s">
        <v>4274</v>
      </c>
      <c r="AG683">
        <v>1</v>
      </c>
      <c r="AH683">
        <v>1</v>
      </c>
    </row>
    <row r="684" spans="1:34">
      <c r="A684">
        <v>2025</v>
      </c>
      <c r="B684" s="1">
        <v>45870</v>
      </c>
      <c r="C684" t="s">
        <v>2657</v>
      </c>
      <c r="D684" s="44" t="s">
        <v>4275</v>
      </c>
      <c r="E684" s="43">
        <v>45898.829653657405</v>
      </c>
      <c r="F684" s="1">
        <v>45898</v>
      </c>
      <c r="G684" s="43">
        <v>45908.822741192133</v>
      </c>
      <c r="H684" t="s">
        <v>3088</v>
      </c>
      <c r="I684" t="s">
        <v>2697</v>
      </c>
      <c r="J684" t="s">
        <v>38</v>
      </c>
      <c r="L684" t="s">
        <v>2393</v>
      </c>
      <c r="M684">
        <v>475112640202</v>
      </c>
      <c r="N684" t="s">
        <v>2702</v>
      </c>
      <c r="O684" s="1">
        <v>45520</v>
      </c>
      <c r="T684" t="s">
        <v>2662</v>
      </c>
      <c r="U684" t="s">
        <v>4276</v>
      </c>
      <c r="V684">
        <v>6</v>
      </c>
      <c r="W684" t="s">
        <v>2677</v>
      </c>
      <c r="X684">
        <v>1</v>
      </c>
      <c r="Y684" t="s">
        <v>2764</v>
      </c>
      <c r="AA684">
        <v>475112640202</v>
      </c>
      <c r="AB684" t="s">
        <v>884</v>
      </c>
      <c r="AC684">
        <v>0</v>
      </c>
      <c r="AD684">
        <v>35</v>
      </c>
      <c r="AE684">
        <v>47511264020235</v>
      </c>
      <c r="AF684" t="s">
        <v>4274</v>
      </c>
      <c r="AG684">
        <v>1</v>
      </c>
      <c r="AH684">
        <v>0</v>
      </c>
    </row>
    <row r="685" spans="1:34">
      <c r="A685">
        <v>2025</v>
      </c>
      <c r="B685" s="1">
        <v>45931</v>
      </c>
      <c r="C685" t="s">
        <v>2657</v>
      </c>
      <c r="D685" t="s">
        <v>4277</v>
      </c>
      <c r="E685" s="43">
        <v>45937.793538124999</v>
      </c>
      <c r="F685" s="1">
        <v>45937</v>
      </c>
      <c r="G685" s="43">
        <v>45937.793538124999</v>
      </c>
      <c r="H685" t="s">
        <v>2659</v>
      </c>
      <c r="I685" t="s">
        <v>2669</v>
      </c>
      <c r="J685" t="s">
        <v>38</v>
      </c>
      <c r="L685" t="s">
        <v>2351</v>
      </c>
      <c r="M685">
        <v>836748983002</v>
      </c>
      <c r="N685" t="s">
        <v>2661</v>
      </c>
      <c r="O685" s="1">
        <v>45457</v>
      </c>
      <c r="T685" t="s">
        <v>2662</v>
      </c>
      <c r="U685" t="s">
        <v>4278</v>
      </c>
      <c r="V685">
        <v>0</v>
      </c>
      <c r="W685" t="s">
        <v>2664</v>
      </c>
      <c r="X685">
        <v>1</v>
      </c>
      <c r="Y685" t="s">
        <v>2695</v>
      </c>
      <c r="AA685">
        <v>108483856702</v>
      </c>
      <c r="AB685" t="s">
        <v>1316</v>
      </c>
      <c r="AC685">
        <v>0</v>
      </c>
      <c r="AD685">
        <v>41</v>
      </c>
      <c r="AE685">
        <v>10848385670241</v>
      </c>
      <c r="AF685" t="s">
        <v>4279</v>
      </c>
      <c r="AG685">
        <v>0</v>
      </c>
      <c r="AH685">
        <v>0</v>
      </c>
    </row>
    <row r="686" spans="1:34">
      <c r="A686">
        <v>2025</v>
      </c>
      <c r="B686" s="1">
        <v>45931</v>
      </c>
      <c r="C686" t="s">
        <v>2657</v>
      </c>
      <c r="D686" t="s">
        <v>4280</v>
      </c>
      <c r="E686" s="43">
        <v>45937.705935601851</v>
      </c>
      <c r="F686" s="1">
        <v>45937</v>
      </c>
      <c r="G686" s="43">
        <v>45937.705935601851</v>
      </c>
      <c r="H686" t="s">
        <v>2659</v>
      </c>
      <c r="I686" t="s">
        <v>2669</v>
      </c>
      <c r="J686" t="s">
        <v>38</v>
      </c>
      <c r="L686" t="s">
        <v>2351</v>
      </c>
      <c r="M686">
        <v>108483856702</v>
      </c>
      <c r="N686" t="s">
        <v>2661</v>
      </c>
      <c r="O686" s="1">
        <v>45457</v>
      </c>
      <c r="T686" t="s">
        <v>2662</v>
      </c>
      <c r="U686" t="s">
        <v>4281</v>
      </c>
      <c r="V686">
        <v>0</v>
      </c>
      <c r="W686" t="s">
        <v>2664</v>
      </c>
      <c r="X686">
        <v>1</v>
      </c>
      <c r="Y686" t="s">
        <v>2695</v>
      </c>
      <c r="AA686">
        <v>108483856702</v>
      </c>
      <c r="AB686" t="s">
        <v>1316</v>
      </c>
      <c r="AC686">
        <v>0</v>
      </c>
      <c r="AD686">
        <v>41</v>
      </c>
      <c r="AE686">
        <v>10848385670241</v>
      </c>
      <c r="AF686" t="s">
        <v>4279</v>
      </c>
      <c r="AG686">
        <v>1</v>
      </c>
      <c r="AH686">
        <v>1</v>
      </c>
    </row>
    <row r="687" spans="1:34">
      <c r="A687">
        <v>2025</v>
      </c>
      <c r="B687" s="1">
        <v>45931</v>
      </c>
      <c r="C687" t="s">
        <v>2657</v>
      </c>
      <c r="D687" t="s">
        <v>4282</v>
      </c>
      <c r="E687" s="43">
        <v>45943.877663715277</v>
      </c>
      <c r="F687" s="1">
        <v>45943</v>
      </c>
      <c r="G687" s="43">
        <v>45946.785156689817</v>
      </c>
      <c r="H687" t="s">
        <v>2659</v>
      </c>
      <c r="I687" t="s">
        <v>2681</v>
      </c>
      <c r="J687" t="s">
        <v>37</v>
      </c>
      <c r="L687" t="s">
        <v>2351</v>
      </c>
      <c r="M687">
        <v>108483856702</v>
      </c>
      <c r="N687" t="s">
        <v>2661</v>
      </c>
      <c r="O687" s="1">
        <v>45457</v>
      </c>
      <c r="T687" t="s">
        <v>2662</v>
      </c>
      <c r="U687" t="s">
        <v>4283</v>
      </c>
      <c r="V687">
        <v>3</v>
      </c>
      <c r="W687" t="s">
        <v>2671</v>
      </c>
      <c r="X687">
        <v>1</v>
      </c>
      <c r="Y687" t="s">
        <v>2695</v>
      </c>
      <c r="AA687">
        <v>108483856702</v>
      </c>
      <c r="AB687" t="s">
        <v>1316</v>
      </c>
      <c r="AC687">
        <v>0</v>
      </c>
      <c r="AD687">
        <v>42</v>
      </c>
      <c r="AE687">
        <v>10848385670242</v>
      </c>
      <c r="AF687" t="s">
        <v>4279</v>
      </c>
      <c r="AG687">
        <v>1</v>
      </c>
      <c r="AH687">
        <v>0</v>
      </c>
    </row>
    <row r="688" spans="1:34">
      <c r="A688">
        <v>2025</v>
      </c>
      <c r="B688" s="1">
        <v>45931</v>
      </c>
      <c r="C688" t="s">
        <v>2657</v>
      </c>
      <c r="D688" t="s">
        <v>4284</v>
      </c>
      <c r="E688" s="43">
        <v>45958.703283379633</v>
      </c>
      <c r="F688" s="1">
        <v>45958</v>
      </c>
      <c r="G688" s="43">
        <v>45972.816917986114</v>
      </c>
      <c r="H688" t="s">
        <v>2659</v>
      </c>
      <c r="I688" t="s">
        <v>2660</v>
      </c>
      <c r="J688" t="s">
        <v>37</v>
      </c>
      <c r="L688" t="s">
        <v>2351</v>
      </c>
      <c r="M688">
        <v>108483856702</v>
      </c>
      <c r="N688" t="s">
        <v>2661</v>
      </c>
      <c r="O688" s="1">
        <v>45457</v>
      </c>
      <c r="T688" t="s">
        <v>2662</v>
      </c>
      <c r="U688" t="s">
        <v>4285</v>
      </c>
      <c r="V688">
        <v>10</v>
      </c>
      <c r="W688" t="s">
        <v>2743</v>
      </c>
      <c r="X688">
        <v>1</v>
      </c>
      <c r="Y688" t="s">
        <v>2717</v>
      </c>
      <c r="AA688">
        <v>108483856702</v>
      </c>
      <c r="AB688" t="s">
        <v>1316</v>
      </c>
      <c r="AC688">
        <v>0</v>
      </c>
      <c r="AD688">
        <v>44</v>
      </c>
      <c r="AE688">
        <v>10848385670244</v>
      </c>
      <c r="AF688" t="s">
        <v>4279</v>
      </c>
      <c r="AG688">
        <v>1</v>
      </c>
      <c r="AH688">
        <v>0</v>
      </c>
    </row>
    <row r="689" spans="1:34">
      <c r="A689">
        <v>2025</v>
      </c>
      <c r="B689" s="1">
        <v>45931</v>
      </c>
      <c r="C689" t="s">
        <v>2657</v>
      </c>
      <c r="D689" t="s">
        <v>4286</v>
      </c>
      <c r="E689" s="43">
        <v>45952.622563530094</v>
      </c>
      <c r="F689" s="1">
        <v>45952</v>
      </c>
      <c r="G689" s="43">
        <v>45952.622563530094</v>
      </c>
      <c r="H689" t="s">
        <v>2659</v>
      </c>
      <c r="I689" t="s">
        <v>2660</v>
      </c>
      <c r="J689" t="s">
        <v>37</v>
      </c>
      <c r="L689" t="s">
        <v>2351</v>
      </c>
      <c r="M689">
        <v>108483856702</v>
      </c>
      <c r="N689" t="s">
        <v>2661</v>
      </c>
      <c r="O689" s="1">
        <v>45457</v>
      </c>
      <c r="T689" t="s">
        <v>2662</v>
      </c>
      <c r="U689" t="s">
        <v>4287</v>
      </c>
      <c r="V689">
        <v>0</v>
      </c>
      <c r="W689" t="s">
        <v>2743</v>
      </c>
      <c r="X689">
        <v>1</v>
      </c>
      <c r="Y689" t="s">
        <v>2695</v>
      </c>
      <c r="AA689">
        <v>108483856702</v>
      </c>
      <c r="AB689" t="s">
        <v>1316</v>
      </c>
      <c r="AC689">
        <v>0</v>
      </c>
      <c r="AD689">
        <v>43</v>
      </c>
      <c r="AE689">
        <v>10848385670243</v>
      </c>
      <c r="AF689" t="s">
        <v>4279</v>
      </c>
      <c r="AG689">
        <v>1</v>
      </c>
      <c r="AH689">
        <v>0</v>
      </c>
    </row>
    <row r="690" spans="1:34">
      <c r="A690">
        <v>2025</v>
      </c>
      <c r="B690" s="1">
        <v>45931</v>
      </c>
      <c r="C690" t="s">
        <v>2657</v>
      </c>
      <c r="D690" t="s">
        <v>4288</v>
      </c>
      <c r="E690" s="43">
        <v>45960.819041585652</v>
      </c>
      <c r="F690" s="1">
        <v>45960</v>
      </c>
      <c r="G690" s="43">
        <v>45960.819041585652</v>
      </c>
      <c r="H690" t="s">
        <v>2659</v>
      </c>
      <c r="I690" t="s">
        <v>2697</v>
      </c>
      <c r="J690" t="s">
        <v>37</v>
      </c>
      <c r="L690" t="s">
        <v>2351</v>
      </c>
      <c r="M690">
        <v>327981185502</v>
      </c>
      <c r="N690" t="s">
        <v>2661</v>
      </c>
      <c r="O690" s="1">
        <v>44894</v>
      </c>
      <c r="T690" t="s">
        <v>2662</v>
      </c>
      <c r="U690" t="s">
        <v>4289</v>
      </c>
      <c r="V690">
        <v>0</v>
      </c>
      <c r="W690" t="s">
        <v>2671</v>
      </c>
      <c r="X690">
        <v>1</v>
      </c>
      <c r="Y690" t="s">
        <v>2683</v>
      </c>
      <c r="AA690">
        <v>108483856702</v>
      </c>
      <c r="AB690" t="s">
        <v>1316</v>
      </c>
      <c r="AC690">
        <v>0</v>
      </c>
      <c r="AD690">
        <v>44</v>
      </c>
      <c r="AE690">
        <v>10848385670244</v>
      </c>
      <c r="AF690" t="s">
        <v>4279</v>
      </c>
      <c r="AG690">
        <v>0</v>
      </c>
      <c r="AH690">
        <v>0</v>
      </c>
    </row>
    <row r="691" spans="1:34">
      <c r="A691">
        <v>2025</v>
      </c>
      <c r="B691" s="1">
        <v>45931</v>
      </c>
      <c r="C691" t="s">
        <v>2657</v>
      </c>
      <c r="D691" t="s">
        <v>4290</v>
      </c>
      <c r="E691" s="43">
        <v>45959.829895844909</v>
      </c>
      <c r="F691" s="1">
        <v>45959</v>
      </c>
      <c r="G691" s="43">
        <v>45959.829895844909</v>
      </c>
      <c r="H691" t="s">
        <v>2659</v>
      </c>
      <c r="I691" t="s">
        <v>2697</v>
      </c>
      <c r="J691" t="s">
        <v>37</v>
      </c>
      <c r="L691" t="s">
        <v>2351</v>
      </c>
      <c r="M691">
        <v>368602630102</v>
      </c>
      <c r="N691" t="s">
        <v>2661</v>
      </c>
      <c r="O691" s="1">
        <v>45457</v>
      </c>
      <c r="T691" t="s">
        <v>2662</v>
      </c>
      <c r="U691" t="s">
        <v>4291</v>
      </c>
      <c r="V691">
        <v>0</v>
      </c>
      <c r="W691" t="s">
        <v>2671</v>
      </c>
      <c r="X691">
        <v>1</v>
      </c>
      <c r="Y691" t="s">
        <v>2695</v>
      </c>
      <c r="AA691">
        <v>108483856702</v>
      </c>
      <c r="AB691" t="s">
        <v>1316</v>
      </c>
      <c r="AC691">
        <v>0</v>
      </c>
      <c r="AD691">
        <v>44</v>
      </c>
      <c r="AE691">
        <v>10848385670244</v>
      </c>
      <c r="AF691" t="s">
        <v>4279</v>
      </c>
      <c r="AG691">
        <v>0</v>
      </c>
      <c r="AH691">
        <v>0</v>
      </c>
    </row>
    <row r="692" spans="1:34">
      <c r="A692">
        <v>2026</v>
      </c>
      <c r="B692" s="1">
        <v>46082</v>
      </c>
      <c r="C692" t="s">
        <v>2657</v>
      </c>
      <c r="D692" t="s">
        <v>4292</v>
      </c>
      <c r="E692" s="43">
        <v>46085.57414582176</v>
      </c>
      <c r="F692" s="1">
        <v>46085</v>
      </c>
      <c r="G692" s="43">
        <v>46091.533024432872</v>
      </c>
      <c r="H692" t="s">
        <v>2668</v>
      </c>
      <c r="I692" t="s">
        <v>2669</v>
      </c>
      <c r="J692" t="s">
        <v>36</v>
      </c>
      <c r="L692" t="s">
        <v>2355</v>
      </c>
      <c r="M692">
        <v>230755558102</v>
      </c>
      <c r="N692" t="s">
        <v>2702</v>
      </c>
      <c r="O692" s="1">
        <v>45294</v>
      </c>
      <c r="T692" t="s">
        <v>2662</v>
      </c>
      <c r="U692" t="s">
        <v>4293</v>
      </c>
      <c r="V692">
        <v>4</v>
      </c>
      <c r="W692" t="s">
        <v>2677</v>
      </c>
      <c r="X692">
        <v>1</v>
      </c>
      <c r="Y692" t="s">
        <v>2772</v>
      </c>
      <c r="AA692">
        <v>230755558102</v>
      </c>
      <c r="AB692" t="s">
        <v>2297</v>
      </c>
      <c r="AC692">
        <v>0</v>
      </c>
      <c r="AD692">
        <v>10</v>
      </c>
      <c r="AE692">
        <v>23075555810210</v>
      </c>
      <c r="AF692" t="s">
        <v>4294</v>
      </c>
      <c r="AG692">
        <v>1</v>
      </c>
      <c r="AH692">
        <v>1</v>
      </c>
    </row>
    <row r="693" spans="1:34">
      <c r="A693">
        <v>2026</v>
      </c>
      <c r="B693" s="1">
        <v>46082</v>
      </c>
      <c r="C693" t="s">
        <v>2657</v>
      </c>
      <c r="D693" t="s">
        <v>4295</v>
      </c>
      <c r="E693" s="43">
        <v>46092.642229456018</v>
      </c>
      <c r="F693" s="1">
        <v>46092</v>
      </c>
      <c r="G693" s="43">
        <v>46094.883575173611</v>
      </c>
      <c r="H693" t="s">
        <v>2668</v>
      </c>
      <c r="I693" t="s">
        <v>2681</v>
      </c>
      <c r="J693" t="s">
        <v>36</v>
      </c>
      <c r="L693" t="s">
        <v>2355</v>
      </c>
      <c r="M693">
        <v>230755558102</v>
      </c>
      <c r="N693" t="s">
        <v>2702</v>
      </c>
      <c r="O693" s="1">
        <v>45294</v>
      </c>
      <c r="T693" t="s">
        <v>2798</v>
      </c>
      <c r="U693" t="s">
        <v>4296</v>
      </c>
      <c r="V693">
        <v>2</v>
      </c>
      <c r="W693" t="s">
        <v>2743</v>
      </c>
      <c r="X693">
        <v>0</v>
      </c>
      <c r="Y693" t="s">
        <v>2699</v>
      </c>
      <c r="AA693">
        <v>230755558102</v>
      </c>
      <c r="AB693" t="s">
        <v>2297</v>
      </c>
      <c r="AC693">
        <v>1</v>
      </c>
      <c r="AD693">
        <v>11</v>
      </c>
      <c r="AE693">
        <v>23075555810211</v>
      </c>
      <c r="AF693" t="s">
        <v>4294</v>
      </c>
      <c r="AG693">
        <v>1</v>
      </c>
      <c r="AH693">
        <v>0</v>
      </c>
    </row>
    <row r="694" spans="1:34">
      <c r="A694">
        <v>2025</v>
      </c>
      <c r="B694" s="1">
        <v>45870</v>
      </c>
      <c r="C694" t="s">
        <v>2657</v>
      </c>
      <c r="D694" t="s">
        <v>4297</v>
      </c>
      <c r="E694" s="43">
        <v>45874.741685659719</v>
      </c>
      <c r="F694" s="1">
        <v>45874</v>
      </c>
      <c r="G694" s="43">
        <v>45875.660672164355</v>
      </c>
      <c r="H694" t="s">
        <v>3088</v>
      </c>
      <c r="I694" t="s">
        <v>2669</v>
      </c>
      <c r="J694" t="s">
        <v>2735</v>
      </c>
      <c r="L694" t="s">
        <v>2408</v>
      </c>
      <c r="M694">
        <v>10369153302</v>
      </c>
      <c r="N694" t="s">
        <v>2746</v>
      </c>
      <c r="O694" s="1">
        <v>45751</v>
      </c>
      <c r="T694" t="s">
        <v>2662</v>
      </c>
      <c r="U694" t="s">
        <v>4298</v>
      </c>
      <c r="V694">
        <v>1</v>
      </c>
      <c r="W694" t="s">
        <v>2985</v>
      </c>
      <c r="X694">
        <v>1</v>
      </c>
      <c r="Y694" t="s">
        <v>2695</v>
      </c>
      <c r="AA694">
        <v>10369153302</v>
      </c>
      <c r="AB694" t="s">
        <v>329</v>
      </c>
      <c r="AC694">
        <v>0</v>
      </c>
      <c r="AD694">
        <v>32</v>
      </c>
      <c r="AE694">
        <v>1036915330232</v>
      </c>
      <c r="AF694" t="s">
        <v>4299</v>
      </c>
      <c r="AG694">
        <v>1</v>
      </c>
      <c r="AH694">
        <v>1</v>
      </c>
    </row>
    <row r="695" spans="1:34">
      <c r="A695">
        <v>2025</v>
      </c>
      <c r="B695" s="1">
        <v>45870</v>
      </c>
      <c r="C695" t="s">
        <v>2657</v>
      </c>
      <c r="D695" t="s">
        <v>4300</v>
      </c>
      <c r="E695" s="43">
        <v>45880.59592939815</v>
      </c>
      <c r="F695" s="1">
        <v>45880</v>
      </c>
      <c r="G695" s="43">
        <v>45894.518663935189</v>
      </c>
      <c r="H695" t="s">
        <v>3088</v>
      </c>
      <c r="I695" t="s">
        <v>2681</v>
      </c>
      <c r="J695" t="s">
        <v>2735</v>
      </c>
      <c r="L695" t="s">
        <v>2408</v>
      </c>
      <c r="M695">
        <v>10369153302</v>
      </c>
      <c r="N695" t="s">
        <v>2746</v>
      </c>
      <c r="O695" s="1">
        <v>45751</v>
      </c>
      <c r="T695" t="s">
        <v>2662</v>
      </c>
      <c r="U695" t="s">
        <v>4301</v>
      </c>
      <c r="V695">
        <v>10</v>
      </c>
      <c r="W695" t="s">
        <v>2671</v>
      </c>
      <c r="X695">
        <v>1</v>
      </c>
      <c r="Y695" t="s">
        <v>2692</v>
      </c>
      <c r="AA695">
        <v>10369153302</v>
      </c>
      <c r="AB695" t="s">
        <v>329</v>
      </c>
      <c r="AC695">
        <v>0</v>
      </c>
      <c r="AD695">
        <v>33</v>
      </c>
      <c r="AE695">
        <v>1036915330233</v>
      </c>
      <c r="AF695" t="s">
        <v>4299</v>
      </c>
      <c r="AG695">
        <v>1</v>
      </c>
      <c r="AH695">
        <v>0</v>
      </c>
    </row>
    <row r="696" spans="1:34">
      <c r="A696">
        <v>2025</v>
      </c>
      <c r="B696" s="1">
        <v>45870</v>
      </c>
      <c r="C696" t="s">
        <v>2657</v>
      </c>
      <c r="D696" t="s">
        <v>4302</v>
      </c>
      <c r="E696" s="43">
        <v>45880.826139687502</v>
      </c>
      <c r="F696" s="1">
        <v>45880</v>
      </c>
      <c r="G696" s="43">
        <v>45887.564282106483</v>
      </c>
      <c r="H696" t="s">
        <v>3088</v>
      </c>
      <c r="I696" t="s">
        <v>2681</v>
      </c>
      <c r="J696" t="s">
        <v>2735</v>
      </c>
      <c r="L696" t="s">
        <v>2408</v>
      </c>
      <c r="M696">
        <v>10369153302</v>
      </c>
      <c r="N696" t="s">
        <v>2746</v>
      </c>
      <c r="O696" s="1">
        <v>45751</v>
      </c>
      <c r="T696" t="s">
        <v>2662</v>
      </c>
      <c r="U696" t="s">
        <v>4303</v>
      </c>
      <c r="V696">
        <v>5</v>
      </c>
      <c r="W696" t="s">
        <v>2671</v>
      </c>
      <c r="X696">
        <v>1</v>
      </c>
      <c r="Y696" t="s">
        <v>2692</v>
      </c>
      <c r="AA696">
        <v>10369153302</v>
      </c>
      <c r="AB696" t="s">
        <v>329</v>
      </c>
      <c r="AC696">
        <v>0</v>
      </c>
      <c r="AD696">
        <v>33</v>
      </c>
      <c r="AE696">
        <v>1036915330233</v>
      </c>
      <c r="AF696" t="s">
        <v>4299</v>
      </c>
      <c r="AG696">
        <v>0</v>
      </c>
      <c r="AH696">
        <v>0</v>
      </c>
    </row>
    <row r="697" spans="1:34">
      <c r="A697">
        <v>2025</v>
      </c>
      <c r="B697" s="1">
        <v>45870</v>
      </c>
      <c r="C697" t="s">
        <v>2657</v>
      </c>
      <c r="D697" t="s">
        <v>4304</v>
      </c>
      <c r="E697" s="43">
        <v>45890.548959201391</v>
      </c>
      <c r="F697" s="1">
        <v>45890</v>
      </c>
      <c r="G697" s="43">
        <v>45890.548959201391</v>
      </c>
      <c r="H697" t="s">
        <v>3088</v>
      </c>
      <c r="I697" t="s">
        <v>2719</v>
      </c>
      <c r="J697" t="s">
        <v>2735</v>
      </c>
      <c r="L697" t="s">
        <v>2408</v>
      </c>
      <c r="M697">
        <v>10369153302</v>
      </c>
      <c r="N697" t="s">
        <v>2746</v>
      </c>
      <c r="O697" s="1">
        <v>45751</v>
      </c>
      <c r="T697" t="s">
        <v>2662</v>
      </c>
      <c r="U697" t="s">
        <v>4305</v>
      </c>
      <c r="V697">
        <v>0</v>
      </c>
      <c r="W697" t="s">
        <v>2985</v>
      </c>
      <c r="X697">
        <v>1</v>
      </c>
      <c r="Y697" t="s">
        <v>2695</v>
      </c>
      <c r="AA697">
        <v>10369153302</v>
      </c>
      <c r="AB697" t="s">
        <v>329</v>
      </c>
      <c r="AC697">
        <v>0</v>
      </c>
      <c r="AD697">
        <v>34</v>
      </c>
      <c r="AE697">
        <v>1036915330234</v>
      </c>
      <c r="AF697" t="s">
        <v>4299</v>
      </c>
      <c r="AG697">
        <v>1</v>
      </c>
      <c r="AH697">
        <v>0</v>
      </c>
    </row>
    <row r="698" spans="1:34">
      <c r="A698">
        <v>2025</v>
      </c>
      <c r="B698" s="1">
        <v>45870</v>
      </c>
      <c r="C698" t="s">
        <v>2657</v>
      </c>
      <c r="D698" t="s">
        <v>4306</v>
      </c>
      <c r="E698" s="43">
        <v>45891.568447523146</v>
      </c>
      <c r="F698" s="1">
        <v>45891</v>
      </c>
      <c r="G698" s="43">
        <v>45894.823261967591</v>
      </c>
      <c r="H698" t="s">
        <v>3088</v>
      </c>
      <c r="I698" t="s">
        <v>2660</v>
      </c>
      <c r="J698" t="s">
        <v>2735</v>
      </c>
      <c r="L698" t="s">
        <v>2408</v>
      </c>
      <c r="M698">
        <v>10369153302</v>
      </c>
      <c r="N698" t="s">
        <v>2746</v>
      </c>
      <c r="O698" s="1">
        <v>45751</v>
      </c>
      <c r="T698" t="s">
        <v>2662</v>
      </c>
      <c r="U698" t="s">
        <v>4307</v>
      </c>
      <c r="V698">
        <v>1</v>
      </c>
      <c r="W698" t="s">
        <v>2743</v>
      </c>
      <c r="X698">
        <v>1</v>
      </c>
      <c r="Y698" t="s">
        <v>2699</v>
      </c>
      <c r="Z698" t="s">
        <v>2684</v>
      </c>
      <c r="AA698">
        <v>10369153302</v>
      </c>
      <c r="AB698" t="s">
        <v>329</v>
      </c>
      <c r="AC698">
        <v>0</v>
      </c>
      <c r="AD698">
        <v>34</v>
      </c>
      <c r="AE698">
        <v>1036915330234</v>
      </c>
      <c r="AF698" t="s">
        <v>4299</v>
      </c>
      <c r="AG698">
        <v>0</v>
      </c>
      <c r="AH698">
        <v>0</v>
      </c>
    </row>
    <row r="699" spans="1:34">
      <c r="A699">
        <v>2025</v>
      </c>
      <c r="B699" s="1">
        <v>45962</v>
      </c>
      <c r="C699" t="s">
        <v>2657</v>
      </c>
      <c r="D699" t="s">
        <v>4308</v>
      </c>
      <c r="E699" s="43">
        <v>45964.782000590276</v>
      </c>
      <c r="F699" s="1">
        <v>45964</v>
      </c>
      <c r="G699" s="43">
        <v>45975.766185011576</v>
      </c>
      <c r="H699" t="s">
        <v>2802</v>
      </c>
      <c r="I699" t="s">
        <v>2669</v>
      </c>
      <c r="J699" t="s">
        <v>2735</v>
      </c>
      <c r="L699" t="s">
        <v>2378</v>
      </c>
      <c r="M699">
        <v>474741185002</v>
      </c>
      <c r="N699" t="s">
        <v>2746</v>
      </c>
      <c r="O699" s="1">
        <v>45661</v>
      </c>
      <c r="T699" t="s">
        <v>2662</v>
      </c>
      <c r="U699" t="s">
        <v>4309</v>
      </c>
      <c r="V699">
        <v>9</v>
      </c>
      <c r="W699" t="s">
        <v>2664</v>
      </c>
      <c r="X699">
        <v>1</v>
      </c>
      <c r="Y699" t="s">
        <v>2744</v>
      </c>
      <c r="AA699">
        <v>474741185002</v>
      </c>
      <c r="AB699" t="s">
        <v>1812</v>
      </c>
      <c r="AC699">
        <v>0</v>
      </c>
      <c r="AD699">
        <v>45</v>
      </c>
      <c r="AE699">
        <v>47474118500245</v>
      </c>
      <c r="AF699" t="s">
        <v>4310</v>
      </c>
      <c r="AG699">
        <v>1</v>
      </c>
      <c r="AH699">
        <v>1</v>
      </c>
    </row>
    <row r="700" spans="1:34">
      <c r="A700">
        <v>2025</v>
      </c>
      <c r="B700" s="1">
        <v>45962</v>
      </c>
      <c r="C700" t="s">
        <v>2657</v>
      </c>
      <c r="D700" t="s">
        <v>4311</v>
      </c>
      <c r="E700" s="43">
        <v>45975.772286435182</v>
      </c>
      <c r="F700" s="1">
        <v>45975</v>
      </c>
      <c r="G700" s="43">
        <v>45978.550982604167</v>
      </c>
      <c r="H700" t="s">
        <v>2802</v>
      </c>
      <c r="I700" t="s">
        <v>2681</v>
      </c>
      <c r="J700" t="s">
        <v>2735</v>
      </c>
      <c r="L700" t="s">
        <v>2378</v>
      </c>
      <c r="M700">
        <v>474741185002</v>
      </c>
      <c r="N700" t="s">
        <v>2746</v>
      </c>
      <c r="O700" s="1">
        <v>45661</v>
      </c>
      <c r="T700" t="s">
        <v>2662</v>
      </c>
      <c r="U700" t="s">
        <v>4312</v>
      </c>
      <c r="V700">
        <v>1</v>
      </c>
      <c r="W700" t="s">
        <v>2704</v>
      </c>
      <c r="X700">
        <v>1</v>
      </c>
      <c r="Y700" t="s">
        <v>2717</v>
      </c>
      <c r="AA700">
        <v>474741185002</v>
      </c>
      <c r="AB700" t="s">
        <v>1812</v>
      </c>
      <c r="AC700">
        <v>0</v>
      </c>
      <c r="AD700">
        <v>46</v>
      </c>
      <c r="AE700">
        <v>47474118500246</v>
      </c>
      <c r="AF700" t="s">
        <v>4310</v>
      </c>
      <c r="AG700">
        <v>1</v>
      </c>
      <c r="AH700">
        <v>0</v>
      </c>
    </row>
    <row r="701" spans="1:34">
      <c r="A701">
        <v>2025</v>
      </c>
      <c r="B701" s="1">
        <v>45962</v>
      </c>
      <c r="C701" t="s">
        <v>2657</v>
      </c>
      <c r="D701" t="s">
        <v>4313</v>
      </c>
      <c r="E701" s="43">
        <v>45986.738882731479</v>
      </c>
      <c r="F701" s="1">
        <v>45986</v>
      </c>
      <c r="G701" s="43">
        <v>45988.649430625002</v>
      </c>
      <c r="H701" t="s">
        <v>2802</v>
      </c>
      <c r="I701" t="s">
        <v>2660</v>
      </c>
      <c r="J701" t="s">
        <v>2735</v>
      </c>
      <c r="L701" t="s">
        <v>2378</v>
      </c>
      <c r="M701">
        <v>474741185002</v>
      </c>
      <c r="N701" t="s">
        <v>2746</v>
      </c>
      <c r="O701" s="1">
        <v>45661</v>
      </c>
      <c r="T701" t="s">
        <v>2662</v>
      </c>
      <c r="U701" t="s">
        <v>4314</v>
      </c>
      <c r="V701">
        <v>2</v>
      </c>
      <c r="W701" t="s">
        <v>2677</v>
      </c>
      <c r="X701">
        <v>1</v>
      </c>
      <c r="Y701" t="s">
        <v>2772</v>
      </c>
      <c r="AA701">
        <v>474741185002</v>
      </c>
      <c r="AB701" t="s">
        <v>1812</v>
      </c>
      <c r="AC701">
        <v>0</v>
      </c>
      <c r="AD701">
        <v>48</v>
      </c>
      <c r="AE701">
        <v>47474118500248</v>
      </c>
      <c r="AF701" t="s">
        <v>4310</v>
      </c>
      <c r="AG701">
        <v>1</v>
      </c>
      <c r="AH701">
        <v>0</v>
      </c>
    </row>
    <row r="702" spans="1:34">
      <c r="A702">
        <v>2026</v>
      </c>
      <c r="B702" s="1">
        <v>46082</v>
      </c>
      <c r="C702" t="s">
        <v>2657</v>
      </c>
      <c r="D702" t="s">
        <v>4315</v>
      </c>
      <c r="E702" s="43">
        <v>46084.904230219909</v>
      </c>
      <c r="F702" s="1">
        <v>46084</v>
      </c>
      <c r="G702" s="43">
        <v>46094.741890925929</v>
      </c>
      <c r="H702" t="s">
        <v>2668</v>
      </c>
      <c r="I702" t="s">
        <v>2669</v>
      </c>
      <c r="J702" t="s">
        <v>37</v>
      </c>
      <c r="L702" t="s">
        <v>2344</v>
      </c>
      <c r="M702">
        <v>963780507202</v>
      </c>
      <c r="N702" t="s">
        <v>2661</v>
      </c>
      <c r="O702" s="1">
        <v>45621</v>
      </c>
      <c r="T702" t="s">
        <v>2662</v>
      </c>
      <c r="U702" t="s">
        <v>4316</v>
      </c>
      <c r="V702">
        <v>8</v>
      </c>
      <c r="W702" t="s">
        <v>2671</v>
      </c>
      <c r="X702">
        <v>1</v>
      </c>
      <c r="Y702" t="s">
        <v>2683</v>
      </c>
      <c r="AA702">
        <v>101837981602</v>
      </c>
      <c r="AB702" t="s">
        <v>746</v>
      </c>
      <c r="AC702">
        <v>0</v>
      </c>
      <c r="AD702">
        <v>10</v>
      </c>
      <c r="AE702">
        <v>10183798160210</v>
      </c>
      <c r="AF702" t="s">
        <v>4317</v>
      </c>
      <c r="AG702">
        <v>1</v>
      </c>
      <c r="AH702">
        <v>1</v>
      </c>
    </row>
    <row r="703" spans="1:34">
      <c r="A703">
        <v>2026</v>
      </c>
      <c r="B703" s="1">
        <v>46082</v>
      </c>
      <c r="C703" t="s">
        <v>2657</v>
      </c>
      <c r="D703" t="s">
        <v>4318</v>
      </c>
      <c r="E703" s="43">
        <v>46092.82557739583</v>
      </c>
      <c r="F703" s="1">
        <v>46092</v>
      </c>
      <c r="G703" s="43">
        <v>46092.82557739583</v>
      </c>
      <c r="H703" t="s">
        <v>2668</v>
      </c>
      <c r="I703" t="s">
        <v>2681</v>
      </c>
      <c r="J703" t="s">
        <v>37</v>
      </c>
      <c r="L703" t="s">
        <v>2344</v>
      </c>
      <c r="M703">
        <v>963780507202</v>
      </c>
      <c r="N703" t="s">
        <v>2661</v>
      </c>
      <c r="O703" s="1">
        <v>45621</v>
      </c>
      <c r="T703" t="s">
        <v>2798</v>
      </c>
      <c r="U703" t="s">
        <v>4319</v>
      </c>
      <c r="V703">
        <v>2</v>
      </c>
      <c r="W703" t="s">
        <v>2677</v>
      </c>
      <c r="X703">
        <v>0</v>
      </c>
      <c r="Y703" t="s">
        <v>2727</v>
      </c>
      <c r="AA703">
        <v>101837981602</v>
      </c>
      <c r="AB703" t="s">
        <v>746</v>
      </c>
      <c r="AC703">
        <v>1</v>
      </c>
      <c r="AD703">
        <v>11</v>
      </c>
      <c r="AE703">
        <v>10183798160211</v>
      </c>
      <c r="AF703" t="s">
        <v>4317</v>
      </c>
      <c r="AG703">
        <v>0</v>
      </c>
      <c r="AH703">
        <v>0</v>
      </c>
    </row>
    <row r="704" spans="1:34">
      <c r="A704">
        <v>2026</v>
      </c>
      <c r="B704" s="1">
        <v>46082</v>
      </c>
      <c r="C704" t="s">
        <v>2657</v>
      </c>
      <c r="D704" t="s">
        <v>4320</v>
      </c>
      <c r="E704" s="43">
        <v>46090.864245914352</v>
      </c>
      <c r="F704" s="1">
        <v>46090</v>
      </c>
      <c r="G704" s="43">
        <v>46092.782068900466</v>
      </c>
      <c r="H704" t="s">
        <v>2668</v>
      </c>
      <c r="I704" t="s">
        <v>2681</v>
      </c>
      <c r="J704" t="s">
        <v>37</v>
      </c>
      <c r="L704" t="s">
        <v>2344</v>
      </c>
      <c r="M704">
        <v>963780507202</v>
      </c>
      <c r="N704" t="s">
        <v>2661</v>
      </c>
      <c r="O704" s="1">
        <v>45621</v>
      </c>
      <c r="T704" t="s">
        <v>2662</v>
      </c>
      <c r="U704" t="s">
        <v>4321</v>
      </c>
      <c r="V704">
        <v>2</v>
      </c>
      <c r="W704" t="s">
        <v>2671</v>
      </c>
      <c r="X704">
        <v>1</v>
      </c>
      <c r="Y704" t="s">
        <v>2672</v>
      </c>
      <c r="AA704">
        <v>101837981602</v>
      </c>
      <c r="AB704" t="s">
        <v>746</v>
      </c>
      <c r="AC704">
        <v>0</v>
      </c>
      <c r="AD704">
        <v>11</v>
      </c>
      <c r="AE704">
        <v>10183798160211</v>
      </c>
      <c r="AF704" t="s">
        <v>4317</v>
      </c>
      <c r="AG704">
        <v>1</v>
      </c>
      <c r="AH704">
        <v>0</v>
      </c>
    </row>
    <row r="705" spans="1:34">
      <c r="A705">
        <v>2026</v>
      </c>
      <c r="B705" s="1">
        <v>46023</v>
      </c>
      <c r="C705" t="s">
        <v>2657</v>
      </c>
      <c r="D705" t="s">
        <v>4322</v>
      </c>
      <c r="E705" s="43">
        <v>46035.780956006944</v>
      </c>
      <c r="F705" s="1">
        <v>46035</v>
      </c>
      <c r="G705" s="43">
        <v>46037.544716712961</v>
      </c>
      <c r="H705" t="s">
        <v>2701</v>
      </c>
      <c r="I705" t="s">
        <v>2681</v>
      </c>
      <c r="J705" t="s">
        <v>36</v>
      </c>
      <c r="L705" t="s">
        <v>2421</v>
      </c>
      <c r="M705">
        <v>816067318102</v>
      </c>
      <c r="N705" t="s">
        <v>2661</v>
      </c>
      <c r="O705" s="1">
        <v>45448</v>
      </c>
      <c r="T705" t="s">
        <v>2662</v>
      </c>
      <c r="U705" t="s">
        <v>4323</v>
      </c>
      <c r="V705">
        <v>2</v>
      </c>
      <c r="W705" t="s">
        <v>2664</v>
      </c>
      <c r="X705">
        <v>1</v>
      </c>
      <c r="Y705" t="s">
        <v>2665</v>
      </c>
      <c r="AA705">
        <v>816067318102</v>
      </c>
      <c r="AB705" t="s">
        <v>1643</v>
      </c>
      <c r="AC705">
        <v>0</v>
      </c>
      <c r="AD705">
        <v>3</v>
      </c>
      <c r="AE705">
        <v>8160673181023</v>
      </c>
      <c r="AF705" t="s">
        <v>4324</v>
      </c>
      <c r="AG705">
        <v>1</v>
      </c>
      <c r="AH705">
        <v>1</v>
      </c>
    </row>
    <row r="706" spans="1:34">
      <c r="A706">
        <v>2026</v>
      </c>
      <c r="B706" s="1">
        <v>46023</v>
      </c>
      <c r="C706" t="s">
        <v>2657</v>
      </c>
      <c r="D706" t="s">
        <v>4325</v>
      </c>
      <c r="E706" s="43">
        <v>46043.622009837964</v>
      </c>
      <c r="F706" s="1">
        <v>46043</v>
      </c>
      <c r="G706" s="43">
        <v>46043.941293414355</v>
      </c>
      <c r="H706" t="s">
        <v>2701</v>
      </c>
      <c r="I706" t="s">
        <v>2719</v>
      </c>
      <c r="J706" t="s">
        <v>36</v>
      </c>
      <c r="L706" t="s">
        <v>2421</v>
      </c>
      <c r="M706">
        <v>816067318102</v>
      </c>
      <c r="N706" t="s">
        <v>2661</v>
      </c>
      <c r="O706" s="1">
        <v>45448</v>
      </c>
      <c r="T706" t="s">
        <v>2662</v>
      </c>
      <c r="U706" t="s">
        <v>4326</v>
      </c>
      <c r="V706">
        <v>0</v>
      </c>
      <c r="W706" t="s">
        <v>2671</v>
      </c>
      <c r="X706">
        <v>1</v>
      </c>
      <c r="Y706" t="s">
        <v>3471</v>
      </c>
      <c r="AA706">
        <v>816067318102</v>
      </c>
      <c r="AB706" t="s">
        <v>1643</v>
      </c>
      <c r="AC706">
        <v>0</v>
      </c>
      <c r="AD706">
        <v>4</v>
      </c>
      <c r="AE706">
        <v>8160673181024</v>
      </c>
      <c r="AF706" t="s">
        <v>4324</v>
      </c>
      <c r="AG706">
        <v>1</v>
      </c>
      <c r="AH706">
        <v>0</v>
      </c>
    </row>
    <row r="707" spans="1:34">
      <c r="A707">
        <v>2026</v>
      </c>
      <c r="B707" s="1">
        <v>46023</v>
      </c>
      <c r="C707" t="s">
        <v>2657</v>
      </c>
      <c r="D707" t="s">
        <v>4327</v>
      </c>
      <c r="E707" s="43">
        <v>46050.519990787034</v>
      </c>
      <c r="F707" s="1">
        <v>46050</v>
      </c>
      <c r="G707" s="43">
        <v>46055.517057881945</v>
      </c>
      <c r="H707" t="s">
        <v>2701</v>
      </c>
      <c r="I707" t="s">
        <v>2660</v>
      </c>
      <c r="J707" t="s">
        <v>36</v>
      </c>
      <c r="L707" t="s">
        <v>2421</v>
      </c>
      <c r="M707">
        <v>816067318102</v>
      </c>
      <c r="N707" t="s">
        <v>2661</v>
      </c>
      <c r="O707" s="1">
        <v>45448</v>
      </c>
      <c r="T707" t="s">
        <v>2662</v>
      </c>
      <c r="U707" t="s">
        <v>4328</v>
      </c>
      <c r="V707">
        <v>3</v>
      </c>
      <c r="W707" t="s">
        <v>2671</v>
      </c>
      <c r="X707">
        <v>1</v>
      </c>
      <c r="Y707" t="s">
        <v>2764</v>
      </c>
      <c r="AA707">
        <v>816067318102</v>
      </c>
      <c r="AB707" t="s">
        <v>1643</v>
      </c>
      <c r="AC707">
        <v>0</v>
      </c>
      <c r="AD707">
        <v>5</v>
      </c>
      <c r="AE707">
        <v>8160673181025</v>
      </c>
      <c r="AF707" t="s">
        <v>4324</v>
      </c>
      <c r="AG707">
        <v>1</v>
      </c>
      <c r="AH707">
        <v>0</v>
      </c>
    </row>
    <row r="708" spans="1:34">
      <c r="A708">
        <v>2026</v>
      </c>
      <c r="B708" s="1">
        <v>46023</v>
      </c>
      <c r="C708" t="s">
        <v>2657</v>
      </c>
      <c r="D708" t="s">
        <v>4329</v>
      </c>
      <c r="E708" s="43">
        <v>46052.52793138889</v>
      </c>
      <c r="F708" s="1">
        <v>46052</v>
      </c>
      <c r="G708" s="43">
        <v>46057.856885428242</v>
      </c>
      <c r="H708" t="s">
        <v>2701</v>
      </c>
      <c r="I708" t="s">
        <v>2697</v>
      </c>
      <c r="J708" t="s">
        <v>36</v>
      </c>
      <c r="L708" t="s">
        <v>2421</v>
      </c>
      <c r="M708">
        <v>816067318102</v>
      </c>
      <c r="N708" t="s">
        <v>2661</v>
      </c>
      <c r="O708" s="1">
        <v>45448</v>
      </c>
      <c r="T708" t="s">
        <v>2662</v>
      </c>
      <c r="U708" t="s">
        <v>4330</v>
      </c>
      <c r="V708">
        <v>3</v>
      </c>
      <c r="W708" t="s">
        <v>2677</v>
      </c>
      <c r="X708">
        <v>1</v>
      </c>
      <c r="Y708" t="s">
        <v>2678</v>
      </c>
      <c r="Z708" t="s">
        <v>2684</v>
      </c>
      <c r="AA708">
        <v>816067318102</v>
      </c>
      <c r="AB708" t="s">
        <v>1643</v>
      </c>
      <c r="AC708">
        <v>0</v>
      </c>
      <c r="AD708">
        <v>5</v>
      </c>
      <c r="AE708">
        <v>8160673181025</v>
      </c>
      <c r="AF708" t="s">
        <v>4324</v>
      </c>
      <c r="AG708">
        <v>0</v>
      </c>
      <c r="AH708">
        <v>0</v>
      </c>
    </row>
    <row r="709" spans="1:34">
      <c r="A709">
        <v>2025</v>
      </c>
      <c r="B709" s="1">
        <v>45931</v>
      </c>
      <c r="C709" t="s">
        <v>2657</v>
      </c>
      <c r="D709" t="s">
        <v>4331</v>
      </c>
      <c r="E709" s="43">
        <v>45957.556281909725</v>
      </c>
      <c r="F709" s="1">
        <v>45957</v>
      </c>
      <c r="G709" s="43">
        <v>45961.654414097226</v>
      </c>
      <c r="H709" t="s">
        <v>2659</v>
      </c>
      <c r="I709" t="s">
        <v>2660</v>
      </c>
      <c r="J709" t="s">
        <v>2735</v>
      </c>
      <c r="L709" t="s">
        <v>2362</v>
      </c>
      <c r="M709">
        <v>301429377802</v>
      </c>
      <c r="N709" t="s">
        <v>2746</v>
      </c>
      <c r="O709" s="1">
        <v>45669</v>
      </c>
      <c r="T709" t="s">
        <v>2662</v>
      </c>
      <c r="U709" t="s">
        <v>4332</v>
      </c>
      <c r="V709">
        <v>4</v>
      </c>
      <c r="X709">
        <v>1</v>
      </c>
      <c r="Y709" t="s">
        <v>2717</v>
      </c>
      <c r="AA709">
        <v>301429377802</v>
      </c>
      <c r="AB709" t="s">
        <v>1868</v>
      </c>
      <c r="AC709">
        <v>0</v>
      </c>
      <c r="AD709">
        <v>44</v>
      </c>
      <c r="AE709">
        <v>30142937780244</v>
      </c>
      <c r="AF709" t="s">
        <v>4333</v>
      </c>
      <c r="AG709">
        <v>0</v>
      </c>
      <c r="AH709">
        <v>0</v>
      </c>
    </row>
    <row r="710" spans="1:34">
      <c r="A710">
        <v>2025</v>
      </c>
      <c r="B710" s="1">
        <v>45931</v>
      </c>
      <c r="C710" t="s">
        <v>2657</v>
      </c>
      <c r="D710" t="s">
        <v>4334</v>
      </c>
      <c r="E710" s="43">
        <v>45957.550291377316</v>
      </c>
      <c r="F710" s="1">
        <v>45957</v>
      </c>
      <c r="G710" s="43">
        <v>45958.80718541667</v>
      </c>
      <c r="H710" t="s">
        <v>2659</v>
      </c>
      <c r="I710" t="s">
        <v>2660</v>
      </c>
      <c r="J710" t="s">
        <v>2735</v>
      </c>
      <c r="L710" t="s">
        <v>2362</v>
      </c>
      <c r="M710">
        <v>301429377802</v>
      </c>
      <c r="N710" t="s">
        <v>2746</v>
      </c>
      <c r="O710" s="1">
        <v>45669</v>
      </c>
      <c r="T710" t="s">
        <v>2662</v>
      </c>
      <c r="U710" t="s">
        <v>4335</v>
      </c>
      <c r="V710">
        <v>1</v>
      </c>
      <c r="W710" t="s">
        <v>2704</v>
      </c>
      <c r="X710">
        <v>1</v>
      </c>
      <c r="Y710" t="s">
        <v>2717</v>
      </c>
      <c r="AA710">
        <v>301429377802</v>
      </c>
      <c r="AB710" t="s">
        <v>1868</v>
      </c>
      <c r="AC710">
        <v>0</v>
      </c>
      <c r="AD710">
        <v>44</v>
      </c>
      <c r="AE710">
        <v>30142937780244</v>
      </c>
      <c r="AF710" t="s">
        <v>4333</v>
      </c>
      <c r="AG710">
        <v>1</v>
      </c>
      <c r="AH710">
        <v>1</v>
      </c>
    </row>
    <row r="711" spans="1:34">
      <c r="A711">
        <v>2026</v>
      </c>
      <c r="B711" s="1">
        <v>46054</v>
      </c>
      <c r="C711" t="s">
        <v>2657</v>
      </c>
      <c r="D711" t="s">
        <v>4336</v>
      </c>
      <c r="E711" s="43">
        <v>46064.773092951385</v>
      </c>
      <c r="F711" s="1">
        <v>46064</v>
      </c>
      <c r="G711" s="43">
        <v>46066.725925798608</v>
      </c>
      <c r="H711" t="s">
        <v>2725</v>
      </c>
      <c r="I711" t="s">
        <v>2681</v>
      </c>
      <c r="J711" t="s">
        <v>39</v>
      </c>
      <c r="L711" t="s">
        <v>2362</v>
      </c>
      <c r="M711">
        <v>301429377802</v>
      </c>
      <c r="N711" t="s">
        <v>2746</v>
      </c>
      <c r="O711" s="1">
        <v>45669</v>
      </c>
      <c r="T711" t="s">
        <v>2662</v>
      </c>
      <c r="U711" t="s">
        <v>4337</v>
      </c>
      <c r="V711">
        <v>2</v>
      </c>
      <c r="W711" t="s">
        <v>2671</v>
      </c>
      <c r="X711">
        <v>1</v>
      </c>
      <c r="AA711">
        <v>301429377802</v>
      </c>
      <c r="AB711" t="s">
        <v>1868</v>
      </c>
      <c r="AC711">
        <v>0</v>
      </c>
      <c r="AD711">
        <v>7</v>
      </c>
      <c r="AE711">
        <v>3014293778027</v>
      </c>
      <c r="AF711" t="s">
        <v>4338</v>
      </c>
      <c r="AG711">
        <v>0</v>
      </c>
      <c r="AH711">
        <v>0</v>
      </c>
    </row>
    <row r="712" spans="1:34">
      <c r="A712">
        <v>2026</v>
      </c>
      <c r="B712" s="1">
        <v>46054</v>
      </c>
      <c r="C712" t="s">
        <v>2657</v>
      </c>
      <c r="D712" t="s">
        <v>4339</v>
      </c>
      <c r="E712" s="43">
        <v>46064.773816203706</v>
      </c>
      <c r="F712" s="1">
        <v>46064</v>
      </c>
      <c r="G712" s="43">
        <v>46073.766034745371</v>
      </c>
      <c r="H712" t="s">
        <v>2725</v>
      </c>
      <c r="I712" t="s">
        <v>2681</v>
      </c>
      <c r="J712" t="s">
        <v>39</v>
      </c>
      <c r="L712" t="s">
        <v>2362</v>
      </c>
      <c r="M712">
        <v>301429377802</v>
      </c>
      <c r="N712" t="s">
        <v>2746</v>
      </c>
      <c r="O712" s="1">
        <v>45669</v>
      </c>
      <c r="T712" t="s">
        <v>2662</v>
      </c>
      <c r="U712" t="s">
        <v>4340</v>
      </c>
      <c r="V712">
        <v>7</v>
      </c>
      <c r="W712" t="s">
        <v>2743</v>
      </c>
      <c r="X712">
        <v>1</v>
      </c>
      <c r="Y712" t="s">
        <v>2688</v>
      </c>
      <c r="AA712">
        <v>301429377802</v>
      </c>
      <c r="AB712" t="s">
        <v>1868</v>
      </c>
      <c r="AC712">
        <v>0</v>
      </c>
      <c r="AD712">
        <v>7</v>
      </c>
      <c r="AE712">
        <v>3014293778027</v>
      </c>
      <c r="AF712" t="s">
        <v>4338</v>
      </c>
      <c r="AG712">
        <v>0</v>
      </c>
      <c r="AH712">
        <v>0</v>
      </c>
    </row>
    <row r="713" spans="1:34">
      <c r="A713">
        <v>2026</v>
      </c>
      <c r="B713" s="1">
        <v>46054</v>
      </c>
      <c r="C713" t="s">
        <v>2657</v>
      </c>
      <c r="D713" t="s">
        <v>4341</v>
      </c>
      <c r="E713" s="43">
        <v>46062.807058831022</v>
      </c>
      <c r="F713" s="1">
        <v>46062</v>
      </c>
      <c r="G713" s="43">
        <v>46066.701178854164</v>
      </c>
      <c r="H713" t="s">
        <v>2725</v>
      </c>
      <c r="I713" t="s">
        <v>2681</v>
      </c>
      <c r="J713" t="s">
        <v>39</v>
      </c>
      <c r="L713" t="s">
        <v>2362</v>
      </c>
      <c r="M713">
        <v>301429377802</v>
      </c>
      <c r="N713" t="s">
        <v>2746</v>
      </c>
      <c r="O713" s="1">
        <v>45669</v>
      </c>
      <c r="T713" t="s">
        <v>2662</v>
      </c>
      <c r="U713" t="s">
        <v>4342</v>
      </c>
      <c r="V713">
        <v>4</v>
      </c>
      <c r="W713" t="s">
        <v>2743</v>
      </c>
      <c r="X713">
        <v>1</v>
      </c>
      <c r="Y713" t="s">
        <v>2727</v>
      </c>
      <c r="AA713">
        <v>301429377802</v>
      </c>
      <c r="AB713" t="s">
        <v>1868</v>
      </c>
      <c r="AC713">
        <v>0</v>
      </c>
      <c r="AD713">
        <v>7</v>
      </c>
      <c r="AE713">
        <v>3014293778027</v>
      </c>
      <c r="AF713" t="s">
        <v>4338</v>
      </c>
      <c r="AG713">
        <v>1</v>
      </c>
      <c r="AH713">
        <v>1</v>
      </c>
    </row>
    <row r="714" spans="1:34">
      <c r="A714">
        <v>2026</v>
      </c>
      <c r="B714" s="1">
        <v>46054</v>
      </c>
      <c r="C714" t="s">
        <v>2657</v>
      </c>
      <c r="D714" t="s">
        <v>4343</v>
      </c>
      <c r="E714" s="43">
        <v>46073.610561388887</v>
      </c>
      <c r="F714" s="1">
        <v>46073</v>
      </c>
      <c r="G714" s="43">
        <v>46076.517983888887</v>
      </c>
      <c r="H714" t="s">
        <v>2725</v>
      </c>
      <c r="I714" t="s">
        <v>2719</v>
      </c>
      <c r="J714" t="s">
        <v>39</v>
      </c>
      <c r="L714" t="s">
        <v>2362</v>
      </c>
      <c r="M714">
        <v>301429377802</v>
      </c>
      <c r="N714" t="s">
        <v>2746</v>
      </c>
      <c r="O714" s="1">
        <v>45669</v>
      </c>
      <c r="T714" t="s">
        <v>2662</v>
      </c>
      <c r="U714" t="s">
        <v>4344</v>
      </c>
      <c r="V714">
        <v>1</v>
      </c>
      <c r="X714">
        <v>1</v>
      </c>
      <c r="Y714" t="s">
        <v>2688</v>
      </c>
      <c r="AA714">
        <v>301429377802</v>
      </c>
      <c r="AB714" t="s">
        <v>1868</v>
      </c>
      <c r="AC714">
        <v>1</v>
      </c>
      <c r="AD714">
        <v>8</v>
      </c>
      <c r="AE714">
        <v>3014293778028</v>
      </c>
      <c r="AF714" t="s">
        <v>4338</v>
      </c>
      <c r="AG714">
        <v>1</v>
      </c>
      <c r="AH714">
        <v>0</v>
      </c>
    </row>
    <row r="715" spans="1:34">
      <c r="A715">
        <v>2026</v>
      </c>
      <c r="B715" s="1">
        <v>46082</v>
      </c>
      <c r="C715" t="s">
        <v>2657</v>
      </c>
      <c r="D715" s="44" t="s">
        <v>4345</v>
      </c>
      <c r="E715" s="43">
        <v>46092.795391666667</v>
      </c>
      <c r="F715" s="1">
        <v>46092</v>
      </c>
      <c r="G715" s="43">
        <v>46093.60969730324</v>
      </c>
      <c r="H715" t="s">
        <v>2668</v>
      </c>
      <c r="I715" t="s">
        <v>2681</v>
      </c>
      <c r="J715" t="s">
        <v>37</v>
      </c>
      <c r="L715" t="s">
        <v>2363</v>
      </c>
      <c r="M715">
        <v>45030065502</v>
      </c>
      <c r="N715" t="s">
        <v>2702</v>
      </c>
      <c r="O715" s="1">
        <v>45669</v>
      </c>
      <c r="T715" t="s">
        <v>2662</v>
      </c>
      <c r="U715" t="s">
        <v>4346</v>
      </c>
      <c r="V715">
        <v>1</v>
      </c>
      <c r="W715" t="s">
        <v>2677</v>
      </c>
      <c r="X715">
        <v>1</v>
      </c>
      <c r="Y715" t="s">
        <v>2807</v>
      </c>
      <c r="AA715">
        <v>45030065502</v>
      </c>
      <c r="AB715" t="s">
        <v>2284</v>
      </c>
      <c r="AC715">
        <v>1</v>
      </c>
      <c r="AD715">
        <v>11</v>
      </c>
      <c r="AE715">
        <v>4503006550211</v>
      </c>
      <c r="AF715" t="s">
        <v>4347</v>
      </c>
      <c r="AG715">
        <v>1</v>
      </c>
      <c r="AH715">
        <v>1</v>
      </c>
    </row>
    <row r="716" spans="1:34">
      <c r="A716">
        <v>2025</v>
      </c>
      <c r="B716" s="1">
        <v>45992</v>
      </c>
      <c r="C716" t="s">
        <v>2657</v>
      </c>
      <c r="D716" t="s">
        <v>4348</v>
      </c>
      <c r="E716" s="43">
        <v>45993.552525127314</v>
      </c>
      <c r="F716" s="1">
        <v>45993</v>
      </c>
      <c r="G716" s="43">
        <v>46002.581261944448</v>
      </c>
      <c r="H716" t="s">
        <v>2686</v>
      </c>
      <c r="I716" t="s">
        <v>2669</v>
      </c>
      <c r="J716" t="s">
        <v>38</v>
      </c>
      <c r="L716" t="s">
        <v>2342</v>
      </c>
      <c r="M716">
        <v>21230697402</v>
      </c>
      <c r="N716" t="s">
        <v>2702</v>
      </c>
      <c r="O716" s="1">
        <v>44960</v>
      </c>
      <c r="T716" t="s">
        <v>2662</v>
      </c>
      <c r="U716" t="s">
        <v>4349</v>
      </c>
      <c r="V716">
        <v>7</v>
      </c>
      <c r="W716" t="s">
        <v>2677</v>
      </c>
      <c r="X716">
        <v>1</v>
      </c>
      <c r="Y716" t="s">
        <v>2807</v>
      </c>
      <c r="Z716" t="s">
        <v>2684</v>
      </c>
      <c r="AA716">
        <v>481703768002</v>
      </c>
      <c r="AB716" t="s">
        <v>258</v>
      </c>
      <c r="AC716">
        <v>0</v>
      </c>
      <c r="AD716">
        <v>49</v>
      </c>
      <c r="AE716">
        <v>48170376800249</v>
      </c>
      <c r="AF716" t="s">
        <v>4350</v>
      </c>
      <c r="AG716">
        <v>1</v>
      </c>
      <c r="AH716">
        <v>1</v>
      </c>
    </row>
    <row r="717" spans="1:34">
      <c r="A717">
        <v>2025</v>
      </c>
      <c r="B717" s="1">
        <v>45992</v>
      </c>
      <c r="C717" t="s">
        <v>2657</v>
      </c>
      <c r="D717" t="s">
        <v>4351</v>
      </c>
      <c r="E717" s="43">
        <v>46007.809303321759</v>
      </c>
      <c r="F717" s="1">
        <v>46007</v>
      </c>
      <c r="G717" s="43">
        <v>46009.693178541667</v>
      </c>
      <c r="H717" t="s">
        <v>2686</v>
      </c>
      <c r="I717" t="s">
        <v>2719</v>
      </c>
      <c r="J717" t="s">
        <v>38</v>
      </c>
      <c r="L717" t="s">
        <v>2342</v>
      </c>
      <c r="M717">
        <v>21230697402</v>
      </c>
      <c r="N717" t="s">
        <v>2702</v>
      </c>
      <c r="O717" s="1">
        <v>44960</v>
      </c>
      <c r="T717" t="s">
        <v>2662</v>
      </c>
      <c r="U717" t="s">
        <v>4352</v>
      </c>
      <c r="V717">
        <v>2</v>
      </c>
      <c r="W717" t="s">
        <v>2671</v>
      </c>
      <c r="X717">
        <v>1</v>
      </c>
      <c r="Y717" t="s">
        <v>2764</v>
      </c>
      <c r="AA717">
        <v>481703768002</v>
      </c>
      <c r="AB717" t="s">
        <v>258</v>
      </c>
      <c r="AC717">
        <v>0</v>
      </c>
      <c r="AD717">
        <v>51</v>
      </c>
      <c r="AE717">
        <v>48170376800251</v>
      </c>
      <c r="AF717" t="s">
        <v>4350</v>
      </c>
      <c r="AG717">
        <v>0</v>
      </c>
      <c r="AH717">
        <v>0</v>
      </c>
    </row>
    <row r="718" spans="1:34">
      <c r="A718">
        <v>2025</v>
      </c>
      <c r="B718" s="1">
        <v>45992</v>
      </c>
      <c r="C718" t="s">
        <v>2657</v>
      </c>
      <c r="D718" t="s">
        <v>4353</v>
      </c>
      <c r="E718" s="43">
        <v>46007.80695111111</v>
      </c>
      <c r="F718" s="1">
        <v>46007</v>
      </c>
      <c r="G718" s="43">
        <v>46013.541448622687</v>
      </c>
      <c r="H718" t="s">
        <v>2686</v>
      </c>
      <c r="I718" t="s">
        <v>2719</v>
      </c>
      <c r="J718" t="s">
        <v>38</v>
      </c>
      <c r="L718" t="s">
        <v>2342</v>
      </c>
      <c r="M718">
        <v>21230697402</v>
      </c>
      <c r="N718" t="s">
        <v>2702</v>
      </c>
      <c r="O718" s="1">
        <v>44960</v>
      </c>
      <c r="T718" t="s">
        <v>2662</v>
      </c>
      <c r="U718" t="s">
        <v>4354</v>
      </c>
      <c r="V718">
        <v>4</v>
      </c>
      <c r="W718" t="s">
        <v>2671</v>
      </c>
      <c r="X718">
        <v>1</v>
      </c>
      <c r="Y718" t="s">
        <v>2672</v>
      </c>
      <c r="AA718">
        <v>481703768002</v>
      </c>
      <c r="AB718" t="s">
        <v>258</v>
      </c>
      <c r="AC718">
        <v>0</v>
      </c>
      <c r="AD718">
        <v>51</v>
      </c>
      <c r="AE718">
        <v>48170376800251</v>
      </c>
      <c r="AF718" t="s">
        <v>4350</v>
      </c>
      <c r="AG718">
        <v>1</v>
      </c>
      <c r="AH718">
        <v>0</v>
      </c>
    </row>
    <row r="719" spans="1:34">
      <c r="A719">
        <v>2025</v>
      </c>
      <c r="B719" s="1">
        <v>45992</v>
      </c>
      <c r="C719" t="s">
        <v>2657</v>
      </c>
      <c r="D719" s="44" t="s">
        <v>4355</v>
      </c>
      <c r="E719" s="43">
        <v>46014.626687557873</v>
      </c>
      <c r="F719" s="1">
        <v>46014</v>
      </c>
      <c r="G719" s="43">
        <v>46029.554213020834</v>
      </c>
      <c r="H719" t="s">
        <v>2686</v>
      </c>
      <c r="I719" t="s">
        <v>2660</v>
      </c>
      <c r="J719" t="s">
        <v>38</v>
      </c>
      <c r="L719" t="s">
        <v>2342</v>
      </c>
      <c r="M719">
        <v>21230697402</v>
      </c>
      <c r="N719" t="s">
        <v>2702</v>
      </c>
      <c r="O719" s="1">
        <v>44960</v>
      </c>
      <c r="T719" t="s">
        <v>2662</v>
      </c>
      <c r="U719" t="s">
        <v>4356</v>
      </c>
      <c r="V719">
        <v>11</v>
      </c>
      <c r="W719" t="s">
        <v>2671</v>
      </c>
      <c r="X719">
        <v>1</v>
      </c>
      <c r="Y719" t="s">
        <v>2672</v>
      </c>
      <c r="AA719">
        <v>481703768002</v>
      </c>
      <c r="AB719" t="s">
        <v>258</v>
      </c>
      <c r="AC719">
        <v>0</v>
      </c>
      <c r="AD719">
        <v>52</v>
      </c>
      <c r="AE719">
        <v>48170376800252</v>
      </c>
      <c r="AF719" t="s">
        <v>4350</v>
      </c>
      <c r="AG719">
        <v>1</v>
      </c>
      <c r="AH719">
        <v>0</v>
      </c>
    </row>
    <row r="720" spans="1:34">
      <c r="A720">
        <v>2025</v>
      </c>
      <c r="B720" s="1">
        <v>45992</v>
      </c>
      <c r="C720" t="s">
        <v>2657</v>
      </c>
      <c r="D720" t="s">
        <v>4357</v>
      </c>
      <c r="E720" s="43">
        <v>45992.801963530095</v>
      </c>
      <c r="F720" s="1">
        <v>45992</v>
      </c>
      <c r="G720" s="43">
        <v>46027.819148912036</v>
      </c>
      <c r="H720" t="s">
        <v>2686</v>
      </c>
      <c r="I720" t="s">
        <v>2669</v>
      </c>
      <c r="J720" t="s">
        <v>100</v>
      </c>
      <c r="L720" t="s">
        <v>2363</v>
      </c>
      <c r="M720">
        <v>29271934502</v>
      </c>
      <c r="N720" t="s">
        <v>2702</v>
      </c>
      <c r="O720" s="1">
        <v>45947</v>
      </c>
      <c r="T720" t="s">
        <v>2662</v>
      </c>
      <c r="U720" t="s">
        <v>4358</v>
      </c>
      <c r="V720">
        <v>25</v>
      </c>
      <c r="W720" t="s">
        <v>2743</v>
      </c>
      <c r="X720">
        <v>1</v>
      </c>
      <c r="AA720">
        <v>29271934502</v>
      </c>
      <c r="AB720" t="s">
        <v>965</v>
      </c>
      <c r="AC720">
        <v>0</v>
      </c>
      <c r="AD720">
        <v>49</v>
      </c>
      <c r="AE720">
        <v>2927193450249</v>
      </c>
      <c r="AF720" t="s">
        <v>4359</v>
      </c>
      <c r="AG720">
        <v>1</v>
      </c>
      <c r="AH720">
        <v>1</v>
      </c>
    </row>
    <row r="721" spans="1:34">
      <c r="A721">
        <v>2025</v>
      </c>
      <c r="B721" s="1">
        <v>45992</v>
      </c>
      <c r="C721" t="s">
        <v>2657</v>
      </c>
      <c r="D721" t="s">
        <v>4360</v>
      </c>
      <c r="E721" s="43">
        <v>46002.742144571763</v>
      </c>
      <c r="F721" s="1">
        <v>46002</v>
      </c>
      <c r="G721" s="43">
        <v>46027.813334849539</v>
      </c>
      <c r="H721" t="s">
        <v>2686</v>
      </c>
      <c r="I721" t="s">
        <v>2681</v>
      </c>
      <c r="J721" t="s">
        <v>100</v>
      </c>
      <c r="L721" t="s">
        <v>2363</v>
      </c>
      <c r="M721">
        <v>29271934502</v>
      </c>
      <c r="N721" t="s">
        <v>2702</v>
      </c>
      <c r="O721" s="1">
        <v>45947</v>
      </c>
      <c r="T721" t="s">
        <v>2662</v>
      </c>
      <c r="U721" t="s">
        <v>4361</v>
      </c>
      <c r="V721">
        <v>17</v>
      </c>
      <c r="W721" t="s">
        <v>2743</v>
      </c>
      <c r="X721">
        <v>1</v>
      </c>
      <c r="Y721" t="s">
        <v>2764</v>
      </c>
      <c r="AA721">
        <v>29271934502</v>
      </c>
      <c r="AB721" t="s">
        <v>965</v>
      </c>
      <c r="AC721">
        <v>0</v>
      </c>
      <c r="AD721">
        <v>50</v>
      </c>
      <c r="AE721">
        <v>2927193450250</v>
      </c>
      <c r="AF721" t="s">
        <v>4359</v>
      </c>
      <c r="AG721">
        <v>1</v>
      </c>
      <c r="AH721">
        <v>0</v>
      </c>
    </row>
    <row r="722" spans="1:34">
      <c r="A722">
        <v>2025</v>
      </c>
      <c r="B722" s="1">
        <v>45992</v>
      </c>
      <c r="C722" t="s">
        <v>2657</v>
      </c>
      <c r="D722" t="s">
        <v>4362</v>
      </c>
      <c r="E722" s="43">
        <v>46007.88116365741</v>
      </c>
      <c r="F722" s="1">
        <v>46007</v>
      </c>
      <c r="G722" s="43">
        <v>46020.540218055554</v>
      </c>
      <c r="H722" t="s">
        <v>2686</v>
      </c>
      <c r="I722" t="s">
        <v>2719</v>
      </c>
      <c r="J722" t="s">
        <v>100</v>
      </c>
      <c r="L722" t="s">
        <v>2363</v>
      </c>
      <c r="M722">
        <v>29271934502</v>
      </c>
      <c r="N722" t="s">
        <v>2702</v>
      </c>
      <c r="O722" s="1">
        <v>45947</v>
      </c>
      <c r="T722" t="s">
        <v>2662</v>
      </c>
      <c r="U722" t="s">
        <v>4363</v>
      </c>
      <c r="V722">
        <v>9</v>
      </c>
      <c r="W722" t="s">
        <v>2671</v>
      </c>
      <c r="X722">
        <v>1</v>
      </c>
      <c r="Y722" t="s">
        <v>2764</v>
      </c>
      <c r="AA722">
        <v>29271934502</v>
      </c>
      <c r="AB722" t="s">
        <v>965</v>
      </c>
      <c r="AC722">
        <v>0</v>
      </c>
      <c r="AD722">
        <v>51</v>
      </c>
      <c r="AE722">
        <v>2927193450251</v>
      </c>
      <c r="AF722" t="s">
        <v>4359</v>
      </c>
      <c r="AG722">
        <v>1</v>
      </c>
      <c r="AH722">
        <v>0</v>
      </c>
    </row>
    <row r="723" spans="1:34">
      <c r="A723">
        <v>2025</v>
      </c>
      <c r="B723" s="1">
        <v>45992</v>
      </c>
      <c r="C723" t="s">
        <v>2657</v>
      </c>
      <c r="D723" s="44" t="s">
        <v>4364</v>
      </c>
      <c r="E723" s="43">
        <v>46021.698896770831</v>
      </c>
      <c r="F723" s="1">
        <v>46021</v>
      </c>
      <c r="G723" s="43">
        <v>46031.576650358795</v>
      </c>
      <c r="H723" t="s">
        <v>2686</v>
      </c>
      <c r="I723" t="s">
        <v>2697</v>
      </c>
      <c r="J723" t="s">
        <v>100</v>
      </c>
      <c r="L723" t="s">
        <v>2363</v>
      </c>
      <c r="M723">
        <v>29271934502</v>
      </c>
      <c r="N723" t="s">
        <v>2702</v>
      </c>
      <c r="O723" s="1">
        <v>45947</v>
      </c>
      <c r="T723" t="s">
        <v>2662</v>
      </c>
      <c r="U723" t="s">
        <v>4365</v>
      </c>
      <c r="V723">
        <v>8</v>
      </c>
      <c r="W723" t="s">
        <v>2671</v>
      </c>
      <c r="X723">
        <v>1</v>
      </c>
      <c r="Y723" t="s">
        <v>2683</v>
      </c>
      <c r="AA723">
        <v>29271934502</v>
      </c>
      <c r="AB723" t="s">
        <v>965</v>
      </c>
      <c r="AC723">
        <v>0</v>
      </c>
      <c r="AD723">
        <v>1</v>
      </c>
      <c r="AE723">
        <v>292719345021</v>
      </c>
      <c r="AF723" t="s">
        <v>4359</v>
      </c>
      <c r="AG723">
        <v>1</v>
      </c>
      <c r="AH723">
        <v>0</v>
      </c>
    </row>
    <row r="724" spans="1:34">
      <c r="A724">
        <v>2026</v>
      </c>
      <c r="B724" s="1">
        <v>46023</v>
      </c>
      <c r="C724" t="s">
        <v>2657</v>
      </c>
      <c r="D724" t="s">
        <v>4366</v>
      </c>
      <c r="E724" s="43">
        <v>46036.924482233793</v>
      </c>
      <c r="F724" s="1">
        <v>46036</v>
      </c>
      <c r="G724" s="43">
        <v>46041.523841377311</v>
      </c>
      <c r="H724" t="s">
        <v>2701</v>
      </c>
      <c r="I724" t="s">
        <v>2681</v>
      </c>
      <c r="J724" t="s">
        <v>36</v>
      </c>
      <c r="L724" t="s">
        <v>2421</v>
      </c>
      <c r="M724">
        <v>119969424302</v>
      </c>
      <c r="N724" t="s">
        <v>2661</v>
      </c>
      <c r="O724" s="1">
        <v>46020</v>
      </c>
      <c r="T724" t="s">
        <v>2662</v>
      </c>
      <c r="U724" t="s">
        <v>4367</v>
      </c>
      <c r="V724">
        <v>3</v>
      </c>
      <c r="W724" t="s">
        <v>2671</v>
      </c>
      <c r="X724">
        <v>1</v>
      </c>
      <c r="Y724" t="s">
        <v>2764</v>
      </c>
      <c r="AA724">
        <v>119969424302</v>
      </c>
      <c r="AB724" t="s">
        <v>2525</v>
      </c>
      <c r="AC724">
        <v>0</v>
      </c>
      <c r="AD724">
        <v>3</v>
      </c>
      <c r="AE724">
        <v>1199694243023</v>
      </c>
      <c r="AF724" t="s">
        <v>4368</v>
      </c>
      <c r="AG724">
        <v>1</v>
      </c>
      <c r="AH724">
        <v>1</v>
      </c>
    </row>
    <row r="725" spans="1:34">
      <c r="A725">
        <v>2026</v>
      </c>
      <c r="B725" s="1">
        <v>46023</v>
      </c>
      <c r="C725" t="s">
        <v>2657</v>
      </c>
      <c r="D725" t="s">
        <v>4369</v>
      </c>
      <c r="E725" s="43">
        <v>46041.510028506942</v>
      </c>
      <c r="F725" s="1">
        <v>46041</v>
      </c>
      <c r="G725" s="43">
        <v>46041.510028506942</v>
      </c>
      <c r="H725" t="s">
        <v>2701</v>
      </c>
      <c r="I725" t="s">
        <v>2719</v>
      </c>
      <c r="J725" t="s">
        <v>36</v>
      </c>
      <c r="L725" t="s">
        <v>2421</v>
      </c>
      <c r="M725">
        <v>119969424302</v>
      </c>
      <c r="N725" t="s">
        <v>2661</v>
      </c>
      <c r="O725" s="1">
        <v>46020</v>
      </c>
      <c r="T725" t="s">
        <v>2662</v>
      </c>
      <c r="U725" t="s">
        <v>4370</v>
      </c>
      <c r="V725">
        <v>0</v>
      </c>
      <c r="W725" t="s">
        <v>2677</v>
      </c>
      <c r="X725">
        <v>1</v>
      </c>
      <c r="Y725" t="s">
        <v>3237</v>
      </c>
      <c r="AA725">
        <v>119969424302</v>
      </c>
      <c r="AB725" t="s">
        <v>2525</v>
      </c>
      <c r="AC725">
        <v>0</v>
      </c>
      <c r="AD725">
        <v>4</v>
      </c>
      <c r="AE725">
        <v>1199694243024</v>
      </c>
      <c r="AF725" t="s">
        <v>4368</v>
      </c>
      <c r="AG725">
        <v>1</v>
      </c>
      <c r="AH725">
        <v>0</v>
      </c>
    </row>
    <row r="726" spans="1:34">
      <c r="A726">
        <v>2026</v>
      </c>
      <c r="B726" s="1">
        <v>46023</v>
      </c>
      <c r="C726" t="s">
        <v>2657</v>
      </c>
      <c r="D726" t="s">
        <v>4371</v>
      </c>
      <c r="E726" s="43">
        <v>46042.638352187503</v>
      </c>
      <c r="F726" s="1">
        <v>46042</v>
      </c>
      <c r="G726" s="43">
        <v>46042.677105011571</v>
      </c>
      <c r="H726" t="s">
        <v>2701</v>
      </c>
      <c r="I726" t="s">
        <v>2719</v>
      </c>
      <c r="J726" t="s">
        <v>36</v>
      </c>
      <c r="L726" t="s">
        <v>2421</v>
      </c>
      <c r="M726">
        <v>119969424302</v>
      </c>
      <c r="N726" t="s">
        <v>2661</v>
      </c>
      <c r="O726" s="1">
        <v>46020</v>
      </c>
      <c r="T726" t="s">
        <v>2662</v>
      </c>
      <c r="U726" t="s">
        <v>4372</v>
      </c>
      <c r="V726">
        <v>0</v>
      </c>
      <c r="W726" t="s">
        <v>2677</v>
      </c>
      <c r="X726">
        <v>1</v>
      </c>
      <c r="Y726" t="s">
        <v>2760</v>
      </c>
      <c r="AA726">
        <v>119969424302</v>
      </c>
      <c r="AB726" t="s">
        <v>2525</v>
      </c>
      <c r="AC726">
        <v>0</v>
      </c>
      <c r="AD726">
        <v>4</v>
      </c>
      <c r="AE726">
        <v>1199694243024</v>
      </c>
      <c r="AF726" t="s">
        <v>4368</v>
      </c>
      <c r="AG726">
        <v>0</v>
      </c>
      <c r="AH726">
        <v>0</v>
      </c>
    </row>
    <row r="727" spans="1:34">
      <c r="A727">
        <v>2026</v>
      </c>
      <c r="B727" s="1">
        <v>46023</v>
      </c>
      <c r="C727" t="s">
        <v>2657</v>
      </c>
      <c r="D727" t="s">
        <v>4373</v>
      </c>
      <c r="E727" s="43">
        <v>46028.824122951388</v>
      </c>
      <c r="F727" s="1">
        <v>46028</v>
      </c>
      <c r="G727" s="43">
        <v>46035.609907129627</v>
      </c>
      <c r="H727" t="s">
        <v>2701</v>
      </c>
      <c r="I727" t="s">
        <v>2669</v>
      </c>
      <c r="J727" t="s">
        <v>38</v>
      </c>
      <c r="L727" t="s">
        <v>2379</v>
      </c>
      <c r="M727">
        <v>366470259302</v>
      </c>
      <c r="N727" t="s">
        <v>2675</v>
      </c>
      <c r="O727" s="1">
        <v>45294</v>
      </c>
      <c r="T727" t="s">
        <v>2662</v>
      </c>
      <c r="U727" t="s">
        <v>4374</v>
      </c>
      <c r="V727">
        <v>5</v>
      </c>
      <c r="W727" t="s">
        <v>2664</v>
      </c>
      <c r="X727">
        <v>1</v>
      </c>
      <c r="Y727" t="s">
        <v>2717</v>
      </c>
      <c r="AA727">
        <v>827345792502</v>
      </c>
      <c r="AB727" t="s">
        <v>2415</v>
      </c>
      <c r="AC727">
        <v>0</v>
      </c>
      <c r="AD727">
        <v>2</v>
      </c>
      <c r="AE727">
        <v>8273457925022</v>
      </c>
      <c r="AF727" t="s">
        <v>4375</v>
      </c>
      <c r="AG727">
        <v>1</v>
      </c>
      <c r="AH727">
        <v>1</v>
      </c>
    </row>
    <row r="728" spans="1:34">
      <c r="A728">
        <v>2026</v>
      </c>
      <c r="B728" s="1">
        <v>46023</v>
      </c>
      <c r="C728" t="s">
        <v>2657</v>
      </c>
      <c r="D728" t="s">
        <v>4376</v>
      </c>
      <c r="E728" s="43">
        <v>46031.711040219911</v>
      </c>
      <c r="F728" s="1">
        <v>46031</v>
      </c>
      <c r="G728" s="43">
        <v>46043.700832106479</v>
      </c>
      <c r="H728" t="s">
        <v>2701</v>
      </c>
      <c r="I728" t="s">
        <v>2681</v>
      </c>
      <c r="J728" t="s">
        <v>38</v>
      </c>
      <c r="L728" t="s">
        <v>2379</v>
      </c>
      <c r="M728">
        <v>827345792502</v>
      </c>
      <c r="N728" t="s">
        <v>2675</v>
      </c>
      <c r="O728" s="1">
        <v>45474</v>
      </c>
      <c r="T728" t="s">
        <v>2662</v>
      </c>
      <c r="U728" t="s">
        <v>4377</v>
      </c>
      <c r="V728">
        <v>8</v>
      </c>
      <c r="W728" t="s">
        <v>2664</v>
      </c>
      <c r="X728">
        <v>1</v>
      </c>
      <c r="Y728" t="s">
        <v>2779</v>
      </c>
      <c r="AA728">
        <v>827345792502</v>
      </c>
      <c r="AB728" t="s">
        <v>2415</v>
      </c>
      <c r="AC728">
        <v>0</v>
      </c>
      <c r="AD728">
        <v>2</v>
      </c>
      <c r="AE728">
        <v>8273457925022</v>
      </c>
      <c r="AF728" t="s">
        <v>4375</v>
      </c>
      <c r="AG728">
        <v>0</v>
      </c>
      <c r="AH728">
        <v>0</v>
      </c>
    </row>
    <row r="729" spans="1:34">
      <c r="A729">
        <v>2026</v>
      </c>
      <c r="B729" s="1">
        <v>46023</v>
      </c>
      <c r="C729" t="s">
        <v>2657</v>
      </c>
      <c r="D729" t="s">
        <v>4378</v>
      </c>
      <c r="E729" s="43">
        <v>46034.575269374996</v>
      </c>
      <c r="F729" s="1">
        <v>46034</v>
      </c>
      <c r="G729" s="43">
        <v>46035.609873437497</v>
      </c>
      <c r="H729" t="s">
        <v>2701</v>
      </c>
      <c r="I729" t="s">
        <v>2681</v>
      </c>
      <c r="J729" t="s">
        <v>38</v>
      </c>
      <c r="L729" t="s">
        <v>2379</v>
      </c>
      <c r="M729">
        <v>366470259302</v>
      </c>
      <c r="N729" t="s">
        <v>2675</v>
      </c>
      <c r="O729" s="1">
        <v>45294</v>
      </c>
      <c r="T729" t="s">
        <v>2662</v>
      </c>
      <c r="U729" t="s">
        <v>4379</v>
      </c>
      <c r="V729">
        <v>1</v>
      </c>
      <c r="W729" t="s">
        <v>2664</v>
      </c>
      <c r="X729">
        <v>1</v>
      </c>
      <c r="Y729" t="s">
        <v>2717</v>
      </c>
      <c r="AA729">
        <v>827345792502</v>
      </c>
      <c r="AB729" t="s">
        <v>2415</v>
      </c>
      <c r="AC729">
        <v>0</v>
      </c>
      <c r="AD729">
        <v>3</v>
      </c>
      <c r="AE729">
        <v>8273457925023</v>
      </c>
      <c r="AF729" t="s">
        <v>4375</v>
      </c>
      <c r="AG729">
        <v>1</v>
      </c>
      <c r="AH729">
        <v>0</v>
      </c>
    </row>
    <row r="730" spans="1:34">
      <c r="A730">
        <v>2026</v>
      </c>
      <c r="B730" s="1">
        <v>46023</v>
      </c>
      <c r="C730" t="s">
        <v>2657</v>
      </c>
      <c r="D730" t="s">
        <v>4380</v>
      </c>
      <c r="E730" s="43">
        <v>46043.807590185184</v>
      </c>
      <c r="F730" s="1">
        <v>46043</v>
      </c>
      <c r="G730" s="43">
        <v>46045.597905439812</v>
      </c>
      <c r="H730" t="s">
        <v>2701</v>
      </c>
      <c r="I730" t="s">
        <v>2719</v>
      </c>
      <c r="J730" t="s">
        <v>38</v>
      </c>
      <c r="L730" t="s">
        <v>2379</v>
      </c>
      <c r="M730">
        <v>827345792502</v>
      </c>
      <c r="N730" t="s">
        <v>2675</v>
      </c>
      <c r="O730" s="1">
        <v>45474</v>
      </c>
      <c r="T730" t="s">
        <v>2662</v>
      </c>
      <c r="U730" t="s">
        <v>4381</v>
      </c>
      <c r="V730">
        <v>2</v>
      </c>
      <c r="W730" t="s">
        <v>2671</v>
      </c>
      <c r="X730">
        <v>1</v>
      </c>
      <c r="Y730" t="s">
        <v>2692</v>
      </c>
      <c r="AA730">
        <v>827345792502</v>
      </c>
      <c r="AB730" t="s">
        <v>2415</v>
      </c>
      <c r="AC730">
        <v>0</v>
      </c>
      <c r="AD730">
        <v>4</v>
      </c>
      <c r="AE730">
        <v>8273457925024</v>
      </c>
      <c r="AF730" t="s">
        <v>4375</v>
      </c>
      <c r="AG730">
        <v>1</v>
      </c>
      <c r="AH730">
        <v>0</v>
      </c>
    </row>
    <row r="731" spans="1:34">
      <c r="A731">
        <v>2026</v>
      </c>
      <c r="B731" s="1">
        <v>46023</v>
      </c>
      <c r="C731" t="s">
        <v>2657</v>
      </c>
      <c r="D731" t="s">
        <v>4382</v>
      </c>
      <c r="E731" s="43">
        <v>46045.607587384256</v>
      </c>
      <c r="F731" s="1">
        <v>46045</v>
      </c>
      <c r="G731" s="43">
        <v>46049.752169525462</v>
      </c>
      <c r="H731" t="s">
        <v>2701</v>
      </c>
      <c r="I731" t="s">
        <v>2660</v>
      </c>
      <c r="J731" t="s">
        <v>38</v>
      </c>
      <c r="L731" t="s">
        <v>2379</v>
      </c>
      <c r="M731">
        <v>475371934802</v>
      </c>
      <c r="N731" t="s">
        <v>2675</v>
      </c>
      <c r="O731" s="1">
        <v>45294</v>
      </c>
      <c r="T731" t="s">
        <v>2662</v>
      </c>
      <c r="U731" t="s">
        <v>4383</v>
      </c>
      <c r="V731">
        <v>2</v>
      </c>
      <c r="W731" t="s">
        <v>2671</v>
      </c>
      <c r="X731">
        <v>1</v>
      </c>
      <c r="Y731" t="s">
        <v>2699</v>
      </c>
      <c r="AA731">
        <v>827345792502</v>
      </c>
      <c r="AB731" t="s">
        <v>2415</v>
      </c>
      <c r="AC731">
        <v>0</v>
      </c>
      <c r="AD731">
        <v>4</v>
      </c>
      <c r="AE731">
        <v>8273457925024</v>
      </c>
      <c r="AF731" t="s">
        <v>4375</v>
      </c>
      <c r="AG731">
        <v>0</v>
      </c>
      <c r="AH731">
        <v>0</v>
      </c>
    </row>
    <row r="732" spans="1:34">
      <c r="A732">
        <v>2026</v>
      </c>
      <c r="B732" s="1">
        <v>46023</v>
      </c>
      <c r="C732" t="s">
        <v>2657</v>
      </c>
      <c r="D732" t="s">
        <v>4384</v>
      </c>
      <c r="E732" s="43">
        <v>46045.602754537038</v>
      </c>
      <c r="F732" s="1">
        <v>46045</v>
      </c>
      <c r="G732" s="43">
        <v>46049.752097557874</v>
      </c>
      <c r="H732" t="s">
        <v>2701</v>
      </c>
      <c r="I732" t="s">
        <v>2660</v>
      </c>
      <c r="J732" t="s">
        <v>38</v>
      </c>
      <c r="L732" t="s">
        <v>2379</v>
      </c>
      <c r="M732">
        <v>366470259302</v>
      </c>
      <c r="N732" t="s">
        <v>2675</v>
      </c>
      <c r="O732" s="1">
        <v>45294</v>
      </c>
      <c r="T732" t="s">
        <v>2662</v>
      </c>
      <c r="U732" t="s">
        <v>4385</v>
      </c>
      <c r="V732">
        <v>2</v>
      </c>
      <c r="W732" t="s">
        <v>2671</v>
      </c>
      <c r="X732">
        <v>1</v>
      </c>
      <c r="Y732" t="s">
        <v>2699</v>
      </c>
      <c r="AA732">
        <v>827345792502</v>
      </c>
      <c r="AB732" t="s">
        <v>2415</v>
      </c>
      <c r="AC732">
        <v>0</v>
      </c>
      <c r="AD732">
        <v>4</v>
      </c>
      <c r="AE732">
        <v>8273457925024</v>
      </c>
      <c r="AF732" t="s">
        <v>4375</v>
      </c>
      <c r="AG732">
        <v>0</v>
      </c>
      <c r="AH732">
        <v>0</v>
      </c>
    </row>
    <row r="733" spans="1:34">
      <c r="A733">
        <v>2026</v>
      </c>
      <c r="B733" s="1">
        <v>46023</v>
      </c>
      <c r="C733" t="s">
        <v>2657</v>
      </c>
      <c r="D733" t="s">
        <v>4386</v>
      </c>
      <c r="E733" s="43">
        <v>46051.585455555556</v>
      </c>
      <c r="F733" s="1">
        <v>46051</v>
      </c>
      <c r="G733" s="43">
        <v>46055.559644363428</v>
      </c>
      <c r="H733" t="s">
        <v>2701</v>
      </c>
      <c r="I733" t="s">
        <v>2697</v>
      </c>
      <c r="J733" t="s">
        <v>38</v>
      </c>
      <c r="L733" t="s">
        <v>2379</v>
      </c>
      <c r="M733">
        <v>827345792502</v>
      </c>
      <c r="N733" t="s">
        <v>2675</v>
      </c>
      <c r="O733" s="1">
        <v>45474</v>
      </c>
      <c r="T733" t="s">
        <v>2662</v>
      </c>
      <c r="U733" t="s">
        <v>4387</v>
      </c>
      <c r="V733">
        <v>2</v>
      </c>
      <c r="W733" t="s">
        <v>2664</v>
      </c>
      <c r="X733">
        <v>1</v>
      </c>
      <c r="Y733" t="s">
        <v>2717</v>
      </c>
      <c r="AA733">
        <v>827345792502</v>
      </c>
      <c r="AB733" t="s">
        <v>2415</v>
      </c>
      <c r="AC733">
        <v>0</v>
      </c>
      <c r="AD733">
        <v>5</v>
      </c>
      <c r="AE733">
        <v>8273457925025</v>
      </c>
      <c r="AF733" t="s">
        <v>4375</v>
      </c>
      <c r="AG733">
        <v>1</v>
      </c>
      <c r="AH733">
        <v>0</v>
      </c>
    </row>
    <row r="734" spans="1:34">
      <c r="A734">
        <v>2026</v>
      </c>
      <c r="B734" s="1">
        <v>46023</v>
      </c>
      <c r="C734" t="s">
        <v>2657</v>
      </c>
      <c r="D734" t="s">
        <v>4388</v>
      </c>
      <c r="E734" s="43">
        <v>46052.791518067126</v>
      </c>
      <c r="F734" s="1">
        <v>46052</v>
      </c>
      <c r="G734" s="43">
        <v>46062.708380891207</v>
      </c>
      <c r="H734" t="s">
        <v>2701</v>
      </c>
      <c r="I734" t="s">
        <v>2697</v>
      </c>
      <c r="J734" t="s">
        <v>38</v>
      </c>
      <c r="L734" t="s">
        <v>2379</v>
      </c>
      <c r="M734">
        <v>827345792502</v>
      </c>
      <c r="N734" t="s">
        <v>2675</v>
      </c>
      <c r="O734" s="1">
        <v>45474</v>
      </c>
      <c r="T734" t="s">
        <v>2662</v>
      </c>
      <c r="U734" t="s">
        <v>4389</v>
      </c>
      <c r="V734">
        <v>6</v>
      </c>
      <c r="W734" t="s">
        <v>2664</v>
      </c>
      <c r="X734">
        <v>1</v>
      </c>
      <c r="Y734" t="s">
        <v>2717</v>
      </c>
      <c r="AA734">
        <v>827345792502</v>
      </c>
      <c r="AB734" t="s">
        <v>2415</v>
      </c>
      <c r="AC734">
        <v>0</v>
      </c>
      <c r="AD734">
        <v>5</v>
      </c>
      <c r="AE734">
        <v>8273457925025</v>
      </c>
      <c r="AF734" t="s">
        <v>4375</v>
      </c>
      <c r="AG734">
        <v>0</v>
      </c>
      <c r="AH734">
        <v>0</v>
      </c>
    </row>
    <row r="735" spans="1:34">
      <c r="A735">
        <v>2025</v>
      </c>
      <c r="B735" s="1">
        <v>45931</v>
      </c>
      <c r="C735" t="s">
        <v>2657</v>
      </c>
      <c r="D735" t="s">
        <v>4390</v>
      </c>
      <c r="E735" s="43">
        <v>45960.808498831022</v>
      </c>
      <c r="F735" s="1">
        <v>45960</v>
      </c>
      <c r="G735" s="43">
        <v>45960.808498831022</v>
      </c>
      <c r="H735" t="s">
        <v>2659</v>
      </c>
      <c r="I735" t="s">
        <v>2697</v>
      </c>
      <c r="J735" t="s">
        <v>36</v>
      </c>
      <c r="L735" t="s">
        <v>2355</v>
      </c>
      <c r="M735">
        <v>1026263719202</v>
      </c>
      <c r="N735" t="s">
        <v>2661</v>
      </c>
      <c r="O735" s="1">
        <v>45730</v>
      </c>
      <c r="T735" t="s">
        <v>2662</v>
      </c>
      <c r="U735" t="s">
        <v>4391</v>
      </c>
      <c r="V735">
        <v>0</v>
      </c>
      <c r="W735" t="s">
        <v>2677</v>
      </c>
      <c r="X735">
        <v>1</v>
      </c>
      <c r="Y735" t="s">
        <v>2772</v>
      </c>
      <c r="AA735">
        <v>1026263719202</v>
      </c>
      <c r="AB735" t="s">
        <v>616</v>
      </c>
      <c r="AC735">
        <v>0</v>
      </c>
      <c r="AD735">
        <v>44</v>
      </c>
      <c r="AE735">
        <v>102626371920244</v>
      </c>
      <c r="AF735" t="s">
        <v>4392</v>
      </c>
      <c r="AG735">
        <v>1</v>
      </c>
      <c r="AH735">
        <v>1</v>
      </c>
    </row>
    <row r="736" spans="1:34">
      <c r="A736">
        <v>2026</v>
      </c>
      <c r="B736" s="1">
        <v>46082</v>
      </c>
      <c r="C736" t="s">
        <v>2657</v>
      </c>
      <c r="D736" t="s">
        <v>4393</v>
      </c>
      <c r="E736" s="43">
        <v>46092.732079803238</v>
      </c>
      <c r="F736" s="1">
        <v>46092</v>
      </c>
      <c r="G736" s="43">
        <v>46092.732079803238</v>
      </c>
      <c r="H736" t="s">
        <v>2668</v>
      </c>
      <c r="I736" t="s">
        <v>2681</v>
      </c>
      <c r="J736" t="s">
        <v>38</v>
      </c>
      <c r="L736" t="s">
        <v>2393</v>
      </c>
      <c r="M736">
        <v>13351599302</v>
      </c>
      <c r="N736" t="s">
        <v>2702</v>
      </c>
      <c r="O736" s="1">
        <v>44991</v>
      </c>
      <c r="T736" t="s">
        <v>2798</v>
      </c>
      <c r="U736" t="s">
        <v>4394</v>
      </c>
      <c r="V736">
        <v>2</v>
      </c>
      <c r="W736" t="s">
        <v>2677</v>
      </c>
      <c r="X736">
        <v>0</v>
      </c>
      <c r="Y736" t="s">
        <v>2760</v>
      </c>
      <c r="AA736">
        <v>13351599302</v>
      </c>
      <c r="AB736" t="s">
        <v>1583</v>
      </c>
      <c r="AC736">
        <v>1</v>
      </c>
      <c r="AD736">
        <v>11</v>
      </c>
      <c r="AE736">
        <v>1335159930211</v>
      </c>
      <c r="AF736" t="s">
        <v>4395</v>
      </c>
      <c r="AG736">
        <v>1</v>
      </c>
      <c r="AH736">
        <v>1</v>
      </c>
    </row>
    <row r="737" spans="1:34">
      <c r="A737">
        <v>2026</v>
      </c>
      <c r="B737" s="1">
        <v>46054</v>
      </c>
      <c r="C737" t="s">
        <v>2657</v>
      </c>
      <c r="D737" t="s">
        <v>4396</v>
      </c>
      <c r="E737" s="43">
        <v>46059.603138784725</v>
      </c>
      <c r="F737" s="1">
        <v>46059</v>
      </c>
      <c r="G737" s="43">
        <v>46062.703957372687</v>
      </c>
      <c r="H737" t="s">
        <v>2725</v>
      </c>
      <c r="I737" t="s">
        <v>2669</v>
      </c>
      <c r="J737" t="s">
        <v>100</v>
      </c>
      <c r="L737" t="s">
        <v>2361</v>
      </c>
      <c r="M737">
        <v>47713862502</v>
      </c>
      <c r="N737" t="s">
        <v>2746</v>
      </c>
      <c r="O737" s="1">
        <v>45975</v>
      </c>
      <c r="T737" t="s">
        <v>2662</v>
      </c>
      <c r="U737" t="s">
        <v>4397</v>
      </c>
      <c r="V737">
        <v>1</v>
      </c>
      <c r="X737">
        <v>1</v>
      </c>
      <c r="Y737" t="s">
        <v>2721</v>
      </c>
      <c r="AA737">
        <v>245677411802</v>
      </c>
      <c r="AB737" t="s">
        <v>2447</v>
      </c>
      <c r="AC737">
        <v>0</v>
      </c>
      <c r="AD737">
        <v>6</v>
      </c>
      <c r="AE737">
        <v>2456774118026</v>
      </c>
      <c r="AF737" t="s">
        <v>4398</v>
      </c>
      <c r="AG737">
        <v>0</v>
      </c>
      <c r="AH737">
        <v>0</v>
      </c>
    </row>
    <row r="738" spans="1:34">
      <c r="A738">
        <v>2026</v>
      </c>
      <c r="B738" s="1">
        <v>46054</v>
      </c>
      <c r="C738" t="s">
        <v>2657</v>
      </c>
      <c r="D738" t="s">
        <v>4399</v>
      </c>
      <c r="E738" s="43">
        <v>46055.882470196761</v>
      </c>
      <c r="F738" s="1">
        <v>46055</v>
      </c>
      <c r="G738" s="43">
        <v>46057.805306574075</v>
      </c>
      <c r="H738" t="s">
        <v>2725</v>
      </c>
      <c r="I738" t="s">
        <v>2669</v>
      </c>
      <c r="J738" t="s">
        <v>100</v>
      </c>
      <c r="L738" t="s">
        <v>2361</v>
      </c>
      <c r="M738">
        <v>47713862502</v>
      </c>
      <c r="N738" t="s">
        <v>2746</v>
      </c>
      <c r="O738" s="1">
        <v>45975</v>
      </c>
      <c r="T738" t="s">
        <v>2662</v>
      </c>
      <c r="U738" t="s">
        <v>4400</v>
      </c>
      <c r="V738">
        <v>2</v>
      </c>
      <c r="W738" t="s">
        <v>2671</v>
      </c>
      <c r="X738">
        <v>1</v>
      </c>
      <c r="Y738" t="s">
        <v>2757</v>
      </c>
      <c r="AA738">
        <v>245677411802</v>
      </c>
      <c r="AB738" t="s">
        <v>2447</v>
      </c>
      <c r="AC738">
        <v>0</v>
      </c>
      <c r="AD738">
        <v>6</v>
      </c>
      <c r="AE738">
        <v>2456774118026</v>
      </c>
      <c r="AF738" t="s">
        <v>4398</v>
      </c>
      <c r="AG738">
        <v>1</v>
      </c>
      <c r="AH738">
        <v>1</v>
      </c>
    </row>
    <row r="739" spans="1:34">
      <c r="A739">
        <v>2026</v>
      </c>
      <c r="B739" s="1">
        <v>46054</v>
      </c>
      <c r="C739" t="s">
        <v>2657</v>
      </c>
      <c r="D739" t="s">
        <v>4401</v>
      </c>
      <c r="E739" s="43">
        <v>46065.603201666665</v>
      </c>
      <c r="F739" s="1">
        <v>46065</v>
      </c>
      <c r="G739" s="43">
        <v>46066.55402703704</v>
      </c>
      <c r="H739" t="s">
        <v>2725</v>
      </c>
      <c r="I739" t="s">
        <v>2681</v>
      </c>
      <c r="J739" t="s">
        <v>100</v>
      </c>
      <c r="L739" t="s">
        <v>2361</v>
      </c>
      <c r="M739">
        <v>47713862502</v>
      </c>
      <c r="N739" t="s">
        <v>2746</v>
      </c>
      <c r="O739" s="1">
        <v>45975</v>
      </c>
      <c r="T739" t="s">
        <v>2662</v>
      </c>
      <c r="U739" t="s">
        <v>4402</v>
      </c>
      <c r="V739">
        <v>1</v>
      </c>
      <c r="W739" t="s">
        <v>2664</v>
      </c>
      <c r="X739">
        <v>1</v>
      </c>
      <c r="Y739" t="s">
        <v>2721</v>
      </c>
      <c r="AA739">
        <v>245677411802</v>
      </c>
      <c r="AB739" t="s">
        <v>2447</v>
      </c>
      <c r="AC739">
        <v>0</v>
      </c>
      <c r="AD739">
        <v>7</v>
      </c>
      <c r="AE739">
        <v>2456774118027</v>
      </c>
      <c r="AF739" t="s">
        <v>4398</v>
      </c>
      <c r="AG739">
        <v>1</v>
      </c>
      <c r="AH739">
        <v>0</v>
      </c>
    </row>
    <row r="740" spans="1:34">
      <c r="A740">
        <v>2025</v>
      </c>
      <c r="B740" s="1">
        <v>45992</v>
      </c>
      <c r="C740" t="s">
        <v>2657</v>
      </c>
      <c r="D740" t="s">
        <v>4403</v>
      </c>
      <c r="E740" s="43">
        <v>46021.601646284726</v>
      </c>
      <c r="F740" s="1">
        <v>46021</v>
      </c>
      <c r="G740" s="43">
        <v>46021.601646284726</v>
      </c>
      <c r="H740" t="s">
        <v>2686</v>
      </c>
      <c r="I740" t="s">
        <v>2697</v>
      </c>
      <c r="J740" t="s">
        <v>100</v>
      </c>
      <c r="L740" t="s">
        <v>2353</v>
      </c>
      <c r="M740">
        <v>98835860802</v>
      </c>
      <c r="N740" t="s">
        <v>2675</v>
      </c>
      <c r="O740" s="1">
        <v>45294</v>
      </c>
      <c r="T740" t="s">
        <v>2662</v>
      </c>
      <c r="U740" t="s">
        <v>4404</v>
      </c>
      <c r="V740">
        <v>0</v>
      </c>
      <c r="W740" t="s">
        <v>2671</v>
      </c>
      <c r="X740">
        <v>1</v>
      </c>
      <c r="Y740" t="s">
        <v>2695</v>
      </c>
      <c r="AA740">
        <v>98835860802</v>
      </c>
      <c r="AB740" t="s">
        <v>1667</v>
      </c>
      <c r="AC740">
        <v>0</v>
      </c>
      <c r="AD740">
        <v>1</v>
      </c>
      <c r="AE740">
        <v>988358608021</v>
      </c>
      <c r="AF740" t="s">
        <v>4405</v>
      </c>
      <c r="AG740">
        <v>1</v>
      </c>
      <c r="AH740">
        <v>1</v>
      </c>
    </row>
    <row r="741" spans="1:34">
      <c r="A741">
        <v>2025</v>
      </c>
      <c r="B741" s="1">
        <v>45992</v>
      </c>
      <c r="C741" t="s">
        <v>2657</v>
      </c>
      <c r="D741" t="s">
        <v>4406</v>
      </c>
      <c r="E741" s="43">
        <v>45994.834235567127</v>
      </c>
      <c r="F741" s="1">
        <v>45994</v>
      </c>
      <c r="G741" s="43">
        <v>45994.834235567127</v>
      </c>
      <c r="H741" t="s">
        <v>2686</v>
      </c>
      <c r="I741" t="s">
        <v>2669</v>
      </c>
      <c r="J741" t="s">
        <v>2735</v>
      </c>
      <c r="L741" t="s">
        <v>2361</v>
      </c>
      <c r="M741">
        <v>794325328902</v>
      </c>
      <c r="N741" t="s">
        <v>2746</v>
      </c>
      <c r="O741" s="1">
        <v>45457</v>
      </c>
      <c r="T741" t="s">
        <v>2662</v>
      </c>
      <c r="U741" t="s">
        <v>4407</v>
      </c>
      <c r="V741">
        <v>0</v>
      </c>
      <c r="W741" t="s">
        <v>2704</v>
      </c>
      <c r="X741">
        <v>1</v>
      </c>
      <c r="Y741" t="s">
        <v>2695</v>
      </c>
      <c r="AA741">
        <v>97759973202</v>
      </c>
      <c r="AB741" t="s">
        <v>2118</v>
      </c>
      <c r="AC741">
        <v>0</v>
      </c>
      <c r="AD741">
        <v>49</v>
      </c>
      <c r="AE741">
        <v>9775997320249</v>
      </c>
      <c r="AF741" t="s">
        <v>4408</v>
      </c>
      <c r="AG741">
        <v>1</v>
      </c>
      <c r="AH741">
        <v>1</v>
      </c>
    </row>
    <row r="742" spans="1:34">
      <c r="A742">
        <v>2025</v>
      </c>
      <c r="B742" s="1">
        <v>45992</v>
      </c>
      <c r="C742" t="s">
        <v>2657</v>
      </c>
      <c r="D742" t="s">
        <v>4409</v>
      </c>
      <c r="E742" s="43">
        <v>45999.49336104167</v>
      </c>
      <c r="F742" s="1">
        <v>45999</v>
      </c>
      <c r="G742" s="43">
        <v>46002.686660798609</v>
      </c>
      <c r="H742" t="s">
        <v>2686</v>
      </c>
      <c r="I742" t="s">
        <v>2681</v>
      </c>
      <c r="J742" t="s">
        <v>2735</v>
      </c>
      <c r="L742" t="s">
        <v>2361</v>
      </c>
      <c r="M742">
        <v>794325328902</v>
      </c>
      <c r="N742" t="s">
        <v>2746</v>
      </c>
      <c r="O742" s="1">
        <v>45457</v>
      </c>
      <c r="T742" t="s">
        <v>2662</v>
      </c>
      <c r="U742" t="s">
        <v>4410</v>
      </c>
      <c r="V742">
        <v>3</v>
      </c>
      <c r="W742" t="s">
        <v>2677</v>
      </c>
      <c r="X742">
        <v>1</v>
      </c>
      <c r="Y742" t="s">
        <v>2807</v>
      </c>
      <c r="AA742">
        <v>97759973202</v>
      </c>
      <c r="AB742" t="s">
        <v>2118</v>
      </c>
      <c r="AC742">
        <v>0</v>
      </c>
      <c r="AD742">
        <v>50</v>
      </c>
      <c r="AE742">
        <v>9775997320250</v>
      </c>
      <c r="AF742" t="s">
        <v>4408</v>
      </c>
      <c r="AG742">
        <v>1</v>
      </c>
      <c r="AH742">
        <v>0</v>
      </c>
    </row>
    <row r="743" spans="1:34">
      <c r="A743">
        <v>2025</v>
      </c>
      <c r="B743" s="1">
        <v>45992</v>
      </c>
      <c r="C743" t="s">
        <v>2657</v>
      </c>
      <c r="D743" t="s">
        <v>4411</v>
      </c>
      <c r="E743" s="43">
        <v>46002.742996006942</v>
      </c>
      <c r="F743" s="1">
        <v>46002</v>
      </c>
      <c r="G743" s="43">
        <v>46003.811346863426</v>
      </c>
      <c r="H743" t="s">
        <v>2686</v>
      </c>
      <c r="I743" t="s">
        <v>2681</v>
      </c>
      <c r="J743" t="s">
        <v>2735</v>
      </c>
      <c r="L743" t="s">
        <v>2361</v>
      </c>
      <c r="M743">
        <v>794325328902</v>
      </c>
      <c r="N743" t="s">
        <v>2746</v>
      </c>
      <c r="O743" s="1">
        <v>45457</v>
      </c>
      <c r="T743" t="s">
        <v>2662</v>
      </c>
      <c r="U743" t="s">
        <v>4412</v>
      </c>
      <c r="V743">
        <v>1</v>
      </c>
      <c r="X743">
        <v>1</v>
      </c>
      <c r="Y743" t="s">
        <v>2688</v>
      </c>
      <c r="AA743">
        <v>97759973202</v>
      </c>
      <c r="AB743" t="s">
        <v>2118</v>
      </c>
      <c r="AC743">
        <v>0</v>
      </c>
      <c r="AD743">
        <v>50</v>
      </c>
      <c r="AE743">
        <v>9775997320250</v>
      </c>
      <c r="AF743" t="s">
        <v>4408</v>
      </c>
      <c r="AG743">
        <v>0</v>
      </c>
      <c r="AH743">
        <v>0</v>
      </c>
    </row>
    <row r="744" spans="1:34">
      <c r="A744">
        <v>2026</v>
      </c>
      <c r="B744" s="1">
        <v>46023</v>
      </c>
      <c r="C744" t="s">
        <v>2657</v>
      </c>
      <c r="D744" t="s">
        <v>4413</v>
      </c>
      <c r="E744" s="43">
        <v>46036.509977222224</v>
      </c>
      <c r="F744" s="1">
        <v>46036</v>
      </c>
      <c r="G744" s="43">
        <v>46038.620817511575</v>
      </c>
      <c r="H744" t="s">
        <v>2701</v>
      </c>
      <c r="I744" t="s">
        <v>2681</v>
      </c>
      <c r="J744" t="s">
        <v>39</v>
      </c>
      <c r="L744" t="s">
        <v>2378</v>
      </c>
      <c r="M744">
        <v>474741185002</v>
      </c>
      <c r="N744" t="s">
        <v>2746</v>
      </c>
      <c r="O744" s="1">
        <v>45661</v>
      </c>
      <c r="T744" t="s">
        <v>2662</v>
      </c>
      <c r="U744" t="s">
        <v>4414</v>
      </c>
      <c r="V744">
        <v>2</v>
      </c>
      <c r="X744">
        <v>1</v>
      </c>
      <c r="Y744" t="s">
        <v>2717</v>
      </c>
      <c r="AA744">
        <v>474741185002</v>
      </c>
      <c r="AB744" t="s">
        <v>1812</v>
      </c>
      <c r="AC744">
        <v>0</v>
      </c>
      <c r="AD744">
        <v>3</v>
      </c>
      <c r="AE744">
        <v>4747411850023</v>
      </c>
      <c r="AF744" t="s">
        <v>4415</v>
      </c>
      <c r="AG744">
        <v>0</v>
      </c>
      <c r="AH744">
        <v>0</v>
      </c>
    </row>
    <row r="745" spans="1:34">
      <c r="A745">
        <v>2026</v>
      </c>
      <c r="B745" s="1">
        <v>46023</v>
      </c>
      <c r="C745" t="s">
        <v>2657</v>
      </c>
      <c r="D745" t="s">
        <v>4416</v>
      </c>
      <c r="E745" s="43">
        <v>46036.503562071761</v>
      </c>
      <c r="F745" s="1">
        <v>46036</v>
      </c>
      <c r="G745" s="43">
        <v>46037.817362013891</v>
      </c>
      <c r="H745" t="s">
        <v>2701</v>
      </c>
      <c r="I745" t="s">
        <v>2681</v>
      </c>
      <c r="J745" t="s">
        <v>39</v>
      </c>
      <c r="L745" t="s">
        <v>2378</v>
      </c>
      <c r="M745">
        <v>474741185002</v>
      </c>
      <c r="N745" t="s">
        <v>2746</v>
      </c>
      <c r="O745" s="1">
        <v>45661</v>
      </c>
      <c r="T745" t="s">
        <v>2662</v>
      </c>
      <c r="U745" t="s">
        <v>4417</v>
      </c>
      <c r="V745">
        <v>1</v>
      </c>
      <c r="X745">
        <v>1</v>
      </c>
      <c r="Y745" t="s">
        <v>2688</v>
      </c>
      <c r="AA745">
        <v>474741185002</v>
      </c>
      <c r="AB745" t="s">
        <v>1812</v>
      </c>
      <c r="AC745">
        <v>0</v>
      </c>
      <c r="AD745">
        <v>3</v>
      </c>
      <c r="AE745">
        <v>4747411850023</v>
      </c>
      <c r="AF745" t="s">
        <v>4415</v>
      </c>
      <c r="AG745">
        <v>1</v>
      </c>
      <c r="AH745">
        <v>1</v>
      </c>
    </row>
    <row r="746" spans="1:34">
      <c r="A746">
        <v>2026</v>
      </c>
      <c r="B746" s="1">
        <v>46023</v>
      </c>
      <c r="C746" t="s">
        <v>2657</v>
      </c>
      <c r="D746" t="s">
        <v>4418</v>
      </c>
      <c r="E746" s="43">
        <v>46038.583064733793</v>
      </c>
      <c r="F746" s="1">
        <v>46038</v>
      </c>
      <c r="G746" s="43">
        <v>46043.808985509262</v>
      </c>
      <c r="H746" t="s">
        <v>2701</v>
      </c>
      <c r="I746" t="s">
        <v>2719</v>
      </c>
      <c r="J746" t="s">
        <v>39</v>
      </c>
      <c r="L746" t="s">
        <v>2378</v>
      </c>
      <c r="M746">
        <v>474741185002</v>
      </c>
      <c r="N746" t="s">
        <v>2746</v>
      </c>
      <c r="O746" s="1">
        <v>45661</v>
      </c>
      <c r="T746" t="s">
        <v>2662</v>
      </c>
      <c r="U746" t="s">
        <v>4419</v>
      </c>
      <c r="V746">
        <v>3</v>
      </c>
      <c r="W746" t="s">
        <v>2704</v>
      </c>
      <c r="X746">
        <v>1</v>
      </c>
      <c r="Y746" t="s">
        <v>2744</v>
      </c>
      <c r="AA746">
        <v>474741185002</v>
      </c>
      <c r="AB746" t="s">
        <v>1812</v>
      </c>
      <c r="AC746">
        <v>0</v>
      </c>
      <c r="AD746">
        <v>3</v>
      </c>
      <c r="AE746">
        <v>4747411850023</v>
      </c>
      <c r="AF746" t="s">
        <v>4415</v>
      </c>
      <c r="AG746">
        <v>0</v>
      </c>
      <c r="AH746">
        <v>0</v>
      </c>
    </row>
    <row r="747" spans="1:34">
      <c r="A747">
        <v>2026</v>
      </c>
      <c r="B747" s="1">
        <v>46023</v>
      </c>
      <c r="C747" t="s">
        <v>2657</v>
      </c>
      <c r="D747" t="s">
        <v>4420</v>
      </c>
      <c r="E747" s="43">
        <v>46045.520914317131</v>
      </c>
      <c r="F747" s="1">
        <v>46045</v>
      </c>
      <c r="G747" s="43">
        <v>46066.700714976854</v>
      </c>
      <c r="H747" t="s">
        <v>2701</v>
      </c>
      <c r="I747" t="s">
        <v>2660</v>
      </c>
      <c r="J747" t="s">
        <v>39</v>
      </c>
      <c r="L747" t="s">
        <v>2378</v>
      </c>
      <c r="M747">
        <v>474741185002</v>
      </c>
      <c r="N747" t="s">
        <v>2746</v>
      </c>
      <c r="O747" s="1">
        <v>45661</v>
      </c>
      <c r="T747" t="s">
        <v>2662</v>
      </c>
      <c r="U747" t="s">
        <v>4421</v>
      </c>
      <c r="V747">
        <v>15</v>
      </c>
      <c r="W747" t="s">
        <v>2985</v>
      </c>
      <c r="X747">
        <v>1</v>
      </c>
      <c r="Y747" t="s">
        <v>2985</v>
      </c>
      <c r="AA747">
        <v>474741185002</v>
      </c>
      <c r="AB747" t="s">
        <v>1812</v>
      </c>
      <c r="AC747">
        <v>0</v>
      </c>
      <c r="AD747">
        <v>4</v>
      </c>
      <c r="AE747">
        <v>4747411850024</v>
      </c>
      <c r="AF747" t="s">
        <v>4415</v>
      </c>
      <c r="AG747">
        <v>1</v>
      </c>
      <c r="AH747">
        <v>0</v>
      </c>
    </row>
    <row r="748" spans="1:34">
      <c r="A748">
        <v>2026</v>
      </c>
      <c r="B748" s="1">
        <v>46023</v>
      </c>
      <c r="C748" t="s">
        <v>2657</v>
      </c>
      <c r="D748" t="s">
        <v>4422</v>
      </c>
      <c r="E748" s="43">
        <v>46051.763881712963</v>
      </c>
      <c r="F748" s="1">
        <v>46051</v>
      </c>
      <c r="G748" s="43">
        <v>46055.665092523152</v>
      </c>
      <c r="H748" t="s">
        <v>2701</v>
      </c>
      <c r="I748" t="s">
        <v>2697</v>
      </c>
      <c r="J748" t="s">
        <v>39</v>
      </c>
      <c r="L748" t="s">
        <v>2378</v>
      </c>
      <c r="M748">
        <v>474741185002</v>
      </c>
      <c r="N748" t="s">
        <v>2746</v>
      </c>
      <c r="O748" s="1">
        <v>45661</v>
      </c>
      <c r="T748" t="s">
        <v>2662</v>
      </c>
      <c r="U748" t="s">
        <v>4423</v>
      </c>
      <c r="V748">
        <v>2</v>
      </c>
      <c r="W748" t="s">
        <v>2677</v>
      </c>
      <c r="X748">
        <v>1</v>
      </c>
      <c r="Y748" t="s">
        <v>2760</v>
      </c>
      <c r="AA748">
        <v>474741185002</v>
      </c>
      <c r="AB748" t="s">
        <v>1812</v>
      </c>
      <c r="AC748">
        <v>1</v>
      </c>
      <c r="AD748">
        <v>5</v>
      </c>
      <c r="AE748">
        <v>4747411850025</v>
      </c>
      <c r="AF748" t="s">
        <v>4415</v>
      </c>
      <c r="AG748">
        <v>1</v>
      </c>
      <c r="AH748">
        <v>0</v>
      </c>
    </row>
    <row r="749" spans="1:34">
      <c r="A749">
        <v>2026</v>
      </c>
      <c r="B749" s="1">
        <v>46054</v>
      </c>
      <c r="C749" t="s">
        <v>2657</v>
      </c>
      <c r="D749" t="s">
        <v>4424</v>
      </c>
      <c r="E749" s="43">
        <v>46065.647271516202</v>
      </c>
      <c r="F749" s="1">
        <v>46065</v>
      </c>
      <c r="G749" s="43">
        <v>46079.712209444442</v>
      </c>
      <c r="H749" t="s">
        <v>2725</v>
      </c>
      <c r="I749" t="s">
        <v>2681</v>
      </c>
      <c r="J749" t="s">
        <v>100</v>
      </c>
      <c r="L749" t="s">
        <v>2393</v>
      </c>
      <c r="M749">
        <v>128174680202</v>
      </c>
      <c r="N749" t="s">
        <v>2702</v>
      </c>
      <c r="O749" s="1">
        <v>44685</v>
      </c>
      <c r="T749" t="s">
        <v>2798</v>
      </c>
      <c r="U749" t="s">
        <v>4425</v>
      </c>
      <c r="V749">
        <v>21</v>
      </c>
      <c r="W749" t="s">
        <v>2677</v>
      </c>
      <c r="X749">
        <v>0</v>
      </c>
      <c r="Y749" t="s">
        <v>2807</v>
      </c>
      <c r="Z749" t="s">
        <v>2684</v>
      </c>
      <c r="AA749">
        <v>128174680202</v>
      </c>
      <c r="AB749" t="s">
        <v>978</v>
      </c>
      <c r="AC749">
        <v>0</v>
      </c>
      <c r="AD749">
        <v>7</v>
      </c>
      <c r="AE749">
        <v>1281746802027</v>
      </c>
      <c r="AF749" t="s">
        <v>4426</v>
      </c>
      <c r="AG749">
        <v>1</v>
      </c>
      <c r="AH749">
        <v>1</v>
      </c>
    </row>
    <row r="750" spans="1:34">
      <c r="A750">
        <v>2025</v>
      </c>
      <c r="B750" s="1">
        <v>45931</v>
      </c>
      <c r="C750" t="s">
        <v>2657</v>
      </c>
      <c r="D750" t="s">
        <v>4427</v>
      </c>
      <c r="E750" s="43">
        <v>45932.753565347222</v>
      </c>
      <c r="F750" s="1">
        <v>45932</v>
      </c>
      <c r="G750" s="43">
        <v>45952.618929074073</v>
      </c>
      <c r="H750" t="s">
        <v>2659</v>
      </c>
      <c r="I750" t="s">
        <v>2669</v>
      </c>
      <c r="J750" t="s">
        <v>2735</v>
      </c>
      <c r="L750" t="s">
        <v>2336</v>
      </c>
      <c r="M750">
        <v>414165418502</v>
      </c>
      <c r="N750" t="s">
        <v>2746</v>
      </c>
      <c r="O750" s="1">
        <v>45342</v>
      </c>
      <c r="T750" t="s">
        <v>2662</v>
      </c>
      <c r="U750" t="s">
        <v>4428</v>
      </c>
      <c r="V750">
        <v>14</v>
      </c>
      <c r="W750" t="s">
        <v>2677</v>
      </c>
      <c r="X750">
        <v>1</v>
      </c>
      <c r="Y750" t="s">
        <v>2772</v>
      </c>
      <c r="AA750">
        <v>414165418502</v>
      </c>
      <c r="AB750" t="s">
        <v>1569</v>
      </c>
      <c r="AC750">
        <v>0</v>
      </c>
      <c r="AD750">
        <v>40</v>
      </c>
      <c r="AE750">
        <v>41416541850240</v>
      </c>
      <c r="AF750" t="s">
        <v>4429</v>
      </c>
      <c r="AG750">
        <v>0</v>
      </c>
      <c r="AH750">
        <v>0</v>
      </c>
    </row>
    <row r="751" spans="1:34">
      <c r="A751">
        <v>2025</v>
      </c>
      <c r="B751" s="1">
        <v>45931</v>
      </c>
      <c r="C751" t="s">
        <v>2657</v>
      </c>
      <c r="D751" t="s">
        <v>4430</v>
      </c>
      <c r="E751" s="43">
        <v>45931.707263842596</v>
      </c>
      <c r="F751" s="1">
        <v>45931</v>
      </c>
      <c r="G751" s="43">
        <v>45931.707263842596</v>
      </c>
      <c r="H751" t="s">
        <v>2659</v>
      </c>
      <c r="I751" t="s">
        <v>2669</v>
      </c>
      <c r="J751" t="s">
        <v>2735</v>
      </c>
      <c r="L751" t="s">
        <v>2336</v>
      </c>
      <c r="M751">
        <v>841372402902</v>
      </c>
      <c r="N751" t="s">
        <v>2702</v>
      </c>
      <c r="O751" s="1">
        <v>45457</v>
      </c>
      <c r="T751" t="s">
        <v>2662</v>
      </c>
      <c r="U751" t="s">
        <v>4431</v>
      </c>
      <c r="V751">
        <v>0</v>
      </c>
      <c r="W751" t="s">
        <v>2677</v>
      </c>
      <c r="X751">
        <v>1</v>
      </c>
      <c r="Y751" t="s">
        <v>2695</v>
      </c>
      <c r="AA751">
        <v>414165418502</v>
      </c>
      <c r="AB751" t="s">
        <v>1569</v>
      </c>
      <c r="AC751">
        <v>0</v>
      </c>
      <c r="AD751">
        <v>40</v>
      </c>
      <c r="AE751">
        <v>41416541850240</v>
      </c>
      <c r="AF751" t="s">
        <v>4429</v>
      </c>
      <c r="AG751">
        <v>0</v>
      </c>
      <c r="AH751">
        <v>1</v>
      </c>
    </row>
    <row r="752" spans="1:34">
      <c r="A752">
        <v>2025</v>
      </c>
      <c r="B752" s="1">
        <v>45931</v>
      </c>
      <c r="C752" t="s">
        <v>2657</v>
      </c>
      <c r="D752" t="s">
        <v>4432</v>
      </c>
      <c r="E752" s="43">
        <v>45937.701258946756</v>
      </c>
      <c r="F752" s="1">
        <v>45937</v>
      </c>
      <c r="G752" s="43">
        <v>45943.669475150462</v>
      </c>
      <c r="H752" t="s">
        <v>2659</v>
      </c>
      <c r="I752" t="s">
        <v>2669</v>
      </c>
      <c r="J752" t="s">
        <v>2735</v>
      </c>
      <c r="L752" t="s">
        <v>2336</v>
      </c>
      <c r="M752">
        <v>1126409110002</v>
      </c>
      <c r="N752" t="s">
        <v>2746</v>
      </c>
      <c r="O752" s="1">
        <v>45930</v>
      </c>
      <c r="T752" t="s">
        <v>2662</v>
      </c>
      <c r="U752" t="s">
        <v>4433</v>
      </c>
      <c r="V752">
        <v>4</v>
      </c>
      <c r="W752" t="s">
        <v>2677</v>
      </c>
      <c r="X752">
        <v>1</v>
      </c>
      <c r="Y752" t="s">
        <v>2779</v>
      </c>
      <c r="Z752" t="s">
        <v>2684</v>
      </c>
      <c r="AA752">
        <v>414165418502</v>
      </c>
      <c r="AB752" t="s">
        <v>1569</v>
      </c>
      <c r="AC752">
        <v>0</v>
      </c>
      <c r="AD752">
        <v>41</v>
      </c>
      <c r="AE752">
        <v>41416541850241</v>
      </c>
      <c r="AF752" t="s">
        <v>4429</v>
      </c>
      <c r="AG752">
        <v>1</v>
      </c>
      <c r="AH752">
        <v>0</v>
      </c>
    </row>
    <row r="753" spans="1:34">
      <c r="A753">
        <v>2025</v>
      </c>
      <c r="B753" s="1">
        <v>45931</v>
      </c>
      <c r="C753" t="s">
        <v>2657</v>
      </c>
      <c r="D753" t="s">
        <v>4434</v>
      </c>
      <c r="E753" s="43">
        <v>45939.632384594908</v>
      </c>
      <c r="F753" s="1">
        <v>45939</v>
      </c>
      <c r="G753" s="43">
        <v>45940.522810011571</v>
      </c>
      <c r="H753" t="s">
        <v>2659</v>
      </c>
      <c r="I753" t="s">
        <v>2681</v>
      </c>
      <c r="J753" t="s">
        <v>2735</v>
      </c>
      <c r="L753" t="s">
        <v>2336</v>
      </c>
      <c r="M753">
        <v>414165418502</v>
      </c>
      <c r="N753" t="s">
        <v>2746</v>
      </c>
      <c r="O753" s="1">
        <v>45342</v>
      </c>
      <c r="T753" t="s">
        <v>2662</v>
      </c>
      <c r="U753" t="s">
        <v>4435</v>
      </c>
      <c r="V753">
        <v>1</v>
      </c>
      <c r="W753" t="s">
        <v>2677</v>
      </c>
      <c r="X753">
        <v>1</v>
      </c>
      <c r="Y753" t="s">
        <v>2807</v>
      </c>
      <c r="AA753">
        <v>414165418502</v>
      </c>
      <c r="AB753" t="s">
        <v>1569</v>
      </c>
      <c r="AC753">
        <v>0</v>
      </c>
      <c r="AD753">
        <v>41</v>
      </c>
      <c r="AE753">
        <v>41416541850241</v>
      </c>
      <c r="AF753" t="s">
        <v>4429</v>
      </c>
      <c r="AG753">
        <v>0</v>
      </c>
      <c r="AH753">
        <v>0</v>
      </c>
    </row>
    <row r="754" spans="1:34">
      <c r="A754">
        <v>2025</v>
      </c>
      <c r="B754" s="1">
        <v>45931</v>
      </c>
      <c r="C754" t="s">
        <v>2657</v>
      </c>
      <c r="D754" t="s">
        <v>4436</v>
      </c>
      <c r="E754" s="43">
        <v>45943.532475092594</v>
      </c>
      <c r="F754" s="1">
        <v>45943</v>
      </c>
      <c r="G754" s="43">
        <v>45959.689633368056</v>
      </c>
      <c r="H754" t="s">
        <v>2659</v>
      </c>
      <c r="I754" t="s">
        <v>2681</v>
      </c>
      <c r="J754" t="s">
        <v>2735</v>
      </c>
      <c r="L754" t="s">
        <v>2336</v>
      </c>
      <c r="M754">
        <v>414165418502</v>
      </c>
      <c r="N754" t="s">
        <v>2746</v>
      </c>
      <c r="O754" s="1">
        <v>45342</v>
      </c>
      <c r="T754" t="s">
        <v>2662</v>
      </c>
      <c r="U754" t="s">
        <v>4437</v>
      </c>
      <c r="V754">
        <v>12</v>
      </c>
      <c r="W754" t="s">
        <v>2677</v>
      </c>
      <c r="X754">
        <v>1</v>
      </c>
      <c r="Y754" t="s">
        <v>2767</v>
      </c>
      <c r="Z754" t="s">
        <v>2684</v>
      </c>
      <c r="AA754">
        <v>414165418502</v>
      </c>
      <c r="AB754" t="s">
        <v>1569</v>
      </c>
      <c r="AC754">
        <v>0</v>
      </c>
      <c r="AD754">
        <v>42</v>
      </c>
      <c r="AE754">
        <v>41416541850242</v>
      </c>
      <c r="AF754" t="s">
        <v>4429</v>
      </c>
      <c r="AG754">
        <v>1</v>
      </c>
      <c r="AH754">
        <v>0</v>
      </c>
    </row>
    <row r="755" spans="1:34">
      <c r="A755">
        <v>2025</v>
      </c>
      <c r="B755" s="1">
        <v>45931</v>
      </c>
      <c r="C755" t="s">
        <v>2657</v>
      </c>
      <c r="D755" t="s">
        <v>4438</v>
      </c>
      <c r="E755" s="43">
        <v>45943.609759502317</v>
      </c>
      <c r="F755" s="1">
        <v>45943</v>
      </c>
      <c r="G755" s="43">
        <v>45944.75711489583</v>
      </c>
      <c r="H755" t="s">
        <v>2659</v>
      </c>
      <c r="I755" t="s">
        <v>2681</v>
      </c>
      <c r="J755" t="s">
        <v>2735</v>
      </c>
      <c r="L755" t="s">
        <v>2336</v>
      </c>
      <c r="M755">
        <v>414165418502</v>
      </c>
      <c r="N755" t="s">
        <v>2746</v>
      </c>
      <c r="O755" s="1">
        <v>45342</v>
      </c>
      <c r="T755" t="s">
        <v>2662</v>
      </c>
      <c r="U755" t="s">
        <v>4439</v>
      </c>
      <c r="V755">
        <v>1</v>
      </c>
      <c r="W755" t="s">
        <v>2677</v>
      </c>
      <c r="X755">
        <v>1</v>
      </c>
      <c r="Y755" t="s">
        <v>2779</v>
      </c>
      <c r="AA755">
        <v>414165418502</v>
      </c>
      <c r="AB755" t="s">
        <v>1569</v>
      </c>
      <c r="AC755">
        <v>0</v>
      </c>
      <c r="AD755">
        <v>42</v>
      </c>
      <c r="AE755">
        <v>41416541850242</v>
      </c>
      <c r="AF755" t="s">
        <v>4429</v>
      </c>
      <c r="AG755">
        <v>0</v>
      </c>
      <c r="AH755">
        <v>0</v>
      </c>
    </row>
    <row r="756" spans="1:34">
      <c r="A756">
        <v>2025</v>
      </c>
      <c r="B756" s="1">
        <v>45931</v>
      </c>
      <c r="C756" t="s">
        <v>2657</v>
      </c>
      <c r="D756" s="44" t="s">
        <v>4440</v>
      </c>
      <c r="E756" s="43">
        <v>45946.477043831015</v>
      </c>
      <c r="F756" s="1">
        <v>45946</v>
      </c>
      <c r="G756" s="43">
        <v>45946.846129849539</v>
      </c>
      <c r="H756" t="s">
        <v>2659</v>
      </c>
      <c r="I756" t="s">
        <v>2719</v>
      </c>
      <c r="J756" t="s">
        <v>2735</v>
      </c>
      <c r="L756" t="s">
        <v>2336</v>
      </c>
      <c r="M756">
        <v>414165418502</v>
      </c>
      <c r="N756" t="s">
        <v>2746</v>
      </c>
      <c r="O756" s="1">
        <v>45342</v>
      </c>
      <c r="T756" t="s">
        <v>2662</v>
      </c>
      <c r="U756" t="s">
        <v>4441</v>
      </c>
      <c r="V756">
        <v>0</v>
      </c>
      <c r="W756" t="s">
        <v>2743</v>
      </c>
      <c r="X756">
        <v>1</v>
      </c>
      <c r="Y756" t="s">
        <v>2717</v>
      </c>
      <c r="Z756" t="s">
        <v>2834</v>
      </c>
      <c r="AA756">
        <v>414165418502</v>
      </c>
      <c r="AB756" t="s">
        <v>1569</v>
      </c>
      <c r="AC756">
        <v>0</v>
      </c>
      <c r="AD756">
        <v>42</v>
      </c>
      <c r="AE756">
        <v>41416541850242</v>
      </c>
      <c r="AF756" t="s">
        <v>4429</v>
      </c>
      <c r="AG756">
        <v>0</v>
      </c>
      <c r="AH756">
        <v>0</v>
      </c>
    </row>
    <row r="757" spans="1:34">
      <c r="A757">
        <v>2025</v>
      </c>
      <c r="B757" s="1">
        <v>45931</v>
      </c>
      <c r="C757" t="s">
        <v>2657</v>
      </c>
      <c r="D757" s="44" t="s">
        <v>4442</v>
      </c>
      <c r="E757" s="43">
        <v>45958.567415937498</v>
      </c>
      <c r="F757" s="1">
        <v>45958</v>
      </c>
      <c r="G757" s="43">
        <v>45959.605032476851</v>
      </c>
      <c r="H757" t="s">
        <v>2659</v>
      </c>
      <c r="I757" t="s">
        <v>2660</v>
      </c>
      <c r="J757" t="s">
        <v>2735</v>
      </c>
      <c r="L757" t="s">
        <v>2336</v>
      </c>
      <c r="M757">
        <v>414165418502</v>
      </c>
      <c r="N757" t="s">
        <v>2746</v>
      </c>
      <c r="O757" s="1">
        <v>45342</v>
      </c>
      <c r="T757" t="s">
        <v>2662</v>
      </c>
      <c r="U757" t="s">
        <v>4443</v>
      </c>
      <c r="V757">
        <v>1</v>
      </c>
      <c r="W757" t="s">
        <v>2743</v>
      </c>
      <c r="X757">
        <v>1</v>
      </c>
      <c r="Y757" t="s">
        <v>2721</v>
      </c>
      <c r="AA757">
        <v>414165418502</v>
      </c>
      <c r="AB757" t="s">
        <v>1569</v>
      </c>
      <c r="AC757">
        <v>0</v>
      </c>
      <c r="AD757">
        <v>44</v>
      </c>
      <c r="AE757">
        <v>41416541850244</v>
      </c>
      <c r="AF757" t="s">
        <v>4429</v>
      </c>
      <c r="AG757">
        <v>0</v>
      </c>
      <c r="AH757">
        <v>0</v>
      </c>
    </row>
    <row r="758" spans="1:34">
      <c r="A758">
        <v>2025</v>
      </c>
      <c r="B758" s="1">
        <v>45931</v>
      </c>
      <c r="C758" t="s">
        <v>2657</v>
      </c>
      <c r="D758" t="s">
        <v>4444</v>
      </c>
      <c r="E758" s="43">
        <v>45957.733565856484</v>
      </c>
      <c r="F758" s="1">
        <v>45957</v>
      </c>
      <c r="G758" s="43">
        <v>45960.716436377312</v>
      </c>
      <c r="H758" t="s">
        <v>2659</v>
      </c>
      <c r="I758" t="s">
        <v>2660</v>
      </c>
      <c r="J758" t="s">
        <v>2735</v>
      </c>
      <c r="L758" t="s">
        <v>2336</v>
      </c>
      <c r="M758">
        <v>1126409110002</v>
      </c>
      <c r="N758" t="s">
        <v>2746</v>
      </c>
      <c r="O758" s="1">
        <v>45930</v>
      </c>
      <c r="T758" t="s">
        <v>2662</v>
      </c>
      <c r="U758" t="s">
        <v>4445</v>
      </c>
      <c r="V758">
        <v>3</v>
      </c>
      <c r="W758" t="s">
        <v>2664</v>
      </c>
      <c r="X758">
        <v>1</v>
      </c>
      <c r="Y758" t="s">
        <v>2665</v>
      </c>
      <c r="AA758">
        <v>414165418502</v>
      </c>
      <c r="AB758" t="s">
        <v>1569</v>
      </c>
      <c r="AC758">
        <v>0</v>
      </c>
      <c r="AD758">
        <v>44</v>
      </c>
      <c r="AE758">
        <v>41416541850244</v>
      </c>
      <c r="AF758" t="s">
        <v>4429</v>
      </c>
      <c r="AG758">
        <v>1</v>
      </c>
      <c r="AH758">
        <v>0</v>
      </c>
    </row>
    <row r="759" spans="1:34">
      <c r="A759">
        <v>2025</v>
      </c>
      <c r="B759" s="1">
        <v>45931</v>
      </c>
      <c r="C759" t="s">
        <v>2657</v>
      </c>
      <c r="D759" t="s">
        <v>4446</v>
      </c>
      <c r="E759" s="43">
        <v>45954.548450775466</v>
      </c>
      <c r="F759" s="1">
        <v>45954</v>
      </c>
      <c r="G759" s="43">
        <v>45957.764793541668</v>
      </c>
      <c r="H759" t="s">
        <v>2659</v>
      </c>
      <c r="I759" t="s">
        <v>2660</v>
      </c>
      <c r="J759" t="s">
        <v>2735</v>
      </c>
      <c r="L759" t="s">
        <v>2336</v>
      </c>
      <c r="M759">
        <v>414165418502</v>
      </c>
      <c r="N759" t="s">
        <v>2746</v>
      </c>
      <c r="O759" s="1">
        <v>45342</v>
      </c>
      <c r="T759" t="s">
        <v>2662</v>
      </c>
      <c r="U759" t="s">
        <v>4447</v>
      </c>
      <c r="V759">
        <v>1</v>
      </c>
      <c r="W759" t="s">
        <v>2743</v>
      </c>
      <c r="X759">
        <v>1</v>
      </c>
      <c r="Y759" t="s">
        <v>2717</v>
      </c>
      <c r="AA759">
        <v>414165418502</v>
      </c>
      <c r="AB759" t="s">
        <v>1569</v>
      </c>
      <c r="AC759">
        <v>0</v>
      </c>
      <c r="AD759">
        <v>43</v>
      </c>
      <c r="AE759">
        <v>41416541850243</v>
      </c>
      <c r="AF759" t="s">
        <v>4429</v>
      </c>
      <c r="AG759">
        <v>0</v>
      </c>
      <c r="AH759">
        <v>0</v>
      </c>
    </row>
    <row r="760" spans="1:34">
      <c r="A760">
        <v>2025</v>
      </c>
      <c r="B760" s="1">
        <v>45931</v>
      </c>
      <c r="C760" t="s">
        <v>2657</v>
      </c>
      <c r="D760" t="s">
        <v>4448</v>
      </c>
      <c r="E760" s="43">
        <v>45953.638982118056</v>
      </c>
      <c r="F760" s="1">
        <v>45953</v>
      </c>
      <c r="G760" s="43">
        <v>45964.493662638888</v>
      </c>
      <c r="H760" t="s">
        <v>2659</v>
      </c>
      <c r="I760" t="s">
        <v>2660</v>
      </c>
      <c r="J760" t="s">
        <v>2735</v>
      </c>
      <c r="L760" t="s">
        <v>2336</v>
      </c>
      <c r="M760">
        <v>1126409110002</v>
      </c>
      <c r="N760" t="s">
        <v>2746</v>
      </c>
      <c r="O760" s="1">
        <v>45930</v>
      </c>
      <c r="T760" t="s">
        <v>2662</v>
      </c>
      <c r="U760" t="s">
        <v>4449</v>
      </c>
      <c r="V760">
        <v>7</v>
      </c>
      <c r="W760" t="s">
        <v>2677</v>
      </c>
      <c r="X760">
        <v>1</v>
      </c>
      <c r="Y760" t="s">
        <v>2779</v>
      </c>
      <c r="AA760">
        <v>414165418502</v>
      </c>
      <c r="AB760" t="s">
        <v>1569</v>
      </c>
      <c r="AC760">
        <v>0</v>
      </c>
      <c r="AD760">
        <v>43</v>
      </c>
      <c r="AE760">
        <v>41416541850243</v>
      </c>
      <c r="AF760" t="s">
        <v>4429</v>
      </c>
      <c r="AG760">
        <v>1</v>
      </c>
      <c r="AH760">
        <v>0</v>
      </c>
    </row>
    <row r="761" spans="1:34">
      <c r="A761">
        <v>2025</v>
      </c>
      <c r="B761" s="1">
        <v>45931</v>
      </c>
      <c r="C761" t="s">
        <v>2657</v>
      </c>
      <c r="D761" t="s">
        <v>4450</v>
      </c>
      <c r="E761" s="43">
        <v>45960.538466874998</v>
      </c>
      <c r="F761" s="1">
        <v>45960</v>
      </c>
      <c r="G761" s="43">
        <v>45960.881621863424</v>
      </c>
      <c r="H761" t="s">
        <v>2659</v>
      </c>
      <c r="I761" t="s">
        <v>2697</v>
      </c>
      <c r="J761" t="s">
        <v>2735</v>
      </c>
      <c r="L761" t="s">
        <v>2336</v>
      </c>
      <c r="M761">
        <v>414165418502</v>
      </c>
      <c r="N761" t="s">
        <v>2746</v>
      </c>
      <c r="O761" s="1">
        <v>45342</v>
      </c>
      <c r="T761" t="s">
        <v>2662</v>
      </c>
      <c r="U761" t="s">
        <v>4451</v>
      </c>
      <c r="V761">
        <v>0</v>
      </c>
      <c r="W761" t="s">
        <v>2743</v>
      </c>
      <c r="X761">
        <v>1</v>
      </c>
      <c r="Y761" t="s">
        <v>2717</v>
      </c>
      <c r="AA761">
        <v>414165418502</v>
      </c>
      <c r="AB761" t="s">
        <v>1569</v>
      </c>
      <c r="AC761">
        <v>0</v>
      </c>
      <c r="AD761">
        <v>44</v>
      </c>
      <c r="AE761">
        <v>41416541850244</v>
      </c>
      <c r="AF761" t="s">
        <v>4429</v>
      </c>
      <c r="AG761">
        <v>0</v>
      </c>
      <c r="AH761">
        <v>0</v>
      </c>
    </row>
    <row r="762" spans="1:34">
      <c r="A762">
        <v>2025</v>
      </c>
      <c r="B762" s="1">
        <v>45931</v>
      </c>
      <c r="C762" t="s">
        <v>2657</v>
      </c>
      <c r="D762" t="s">
        <v>4452</v>
      </c>
      <c r="E762" s="43">
        <v>45959.597162962964</v>
      </c>
      <c r="F762" s="1">
        <v>45959</v>
      </c>
      <c r="G762" s="43">
        <v>45960.881576712964</v>
      </c>
      <c r="H762" t="s">
        <v>2659</v>
      </c>
      <c r="I762" t="s">
        <v>2697</v>
      </c>
      <c r="J762" t="s">
        <v>2735</v>
      </c>
      <c r="L762" t="s">
        <v>2336</v>
      </c>
      <c r="M762">
        <v>414165418502</v>
      </c>
      <c r="N762" t="s">
        <v>2746</v>
      </c>
      <c r="O762" s="1">
        <v>45342</v>
      </c>
      <c r="T762" t="s">
        <v>2662</v>
      </c>
      <c r="U762" t="s">
        <v>4453</v>
      </c>
      <c r="V762">
        <v>1</v>
      </c>
      <c r="W762" t="s">
        <v>2677</v>
      </c>
      <c r="X762">
        <v>1</v>
      </c>
      <c r="Y762" t="s">
        <v>2779</v>
      </c>
      <c r="Z762" t="s">
        <v>2684</v>
      </c>
      <c r="AA762">
        <v>414165418502</v>
      </c>
      <c r="AB762" t="s">
        <v>1569</v>
      </c>
      <c r="AC762">
        <v>0</v>
      </c>
      <c r="AD762">
        <v>44</v>
      </c>
      <c r="AE762">
        <v>41416541850244</v>
      </c>
      <c r="AF762" t="s">
        <v>4429</v>
      </c>
      <c r="AG762">
        <v>0</v>
      </c>
      <c r="AH762">
        <v>0</v>
      </c>
    </row>
    <row r="763" spans="1:34">
      <c r="A763">
        <v>2026</v>
      </c>
      <c r="B763" s="1">
        <v>46023</v>
      </c>
      <c r="C763" t="s">
        <v>2657</v>
      </c>
      <c r="D763" t="s">
        <v>4454</v>
      </c>
      <c r="E763" s="43">
        <v>46034.850566215275</v>
      </c>
      <c r="F763" s="1">
        <v>46034</v>
      </c>
      <c r="G763" s="43">
        <v>46038.661598657411</v>
      </c>
      <c r="H763" t="s">
        <v>2701</v>
      </c>
      <c r="I763" t="s">
        <v>2681</v>
      </c>
      <c r="J763" t="s">
        <v>37</v>
      </c>
      <c r="L763" t="s">
        <v>2352</v>
      </c>
      <c r="M763">
        <v>117086860802</v>
      </c>
      <c r="N763" t="s">
        <v>2702</v>
      </c>
      <c r="O763" s="1">
        <v>45294</v>
      </c>
      <c r="T763" t="s">
        <v>2662</v>
      </c>
      <c r="U763" t="s">
        <v>4455</v>
      </c>
      <c r="V763">
        <v>4</v>
      </c>
      <c r="W763" t="s">
        <v>2671</v>
      </c>
      <c r="X763">
        <v>1</v>
      </c>
      <c r="Y763" t="s">
        <v>2764</v>
      </c>
      <c r="AA763">
        <v>117086860802</v>
      </c>
      <c r="AB763" t="s">
        <v>876</v>
      </c>
      <c r="AC763">
        <v>0</v>
      </c>
      <c r="AD763">
        <v>3</v>
      </c>
      <c r="AE763">
        <v>1170868608023</v>
      </c>
      <c r="AF763" t="s">
        <v>4456</v>
      </c>
      <c r="AG763">
        <v>1</v>
      </c>
      <c r="AH763">
        <v>1</v>
      </c>
    </row>
    <row r="764" spans="1:34">
      <c r="A764">
        <v>2026</v>
      </c>
      <c r="B764" s="1">
        <v>46023</v>
      </c>
      <c r="C764" t="s">
        <v>2657</v>
      </c>
      <c r="D764" t="s">
        <v>4457</v>
      </c>
      <c r="E764" s="43">
        <v>46042.867051226851</v>
      </c>
      <c r="F764" s="1">
        <v>46042</v>
      </c>
      <c r="G764" s="43">
        <v>46044.685563402774</v>
      </c>
      <c r="H764" t="s">
        <v>2701</v>
      </c>
      <c r="I764" t="s">
        <v>2719</v>
      </c>
      <c r="J764" t="s">
        <v>37</v>
      </c>
      <c r="L764" t="s">
        <v>2352</v>
      </c>
      <c r="M764">
        <v>117086860802</v>
      </c>
      <c r="N764" t="s">
        <v>2702</v>
      </c>
      <c r="O764" s="1">
        <v>45294</v>
      </c>
      <c r="T764" t="s">
        <v>2662</v>
      </c>
      <c r="U764" t="s">
        <v>4458</v>
      </c>
      <c r="V764">
        <v>2</v>
      </c>
      <c r="W764" t="s">
        <v>2671</v>
      </c>
      <c r="X764">
        <v>1</v>
      </c>
      <c r="Y764" t="s">
        <v>2672</v>
      </c>
      <c r="AA764">
        <v>117086860802</v>
      </c>
      <c r="AB764" t="s">
        <v>876</v>
      </c>
      <c r="AC764">
        <v>0</v>
      </c>
      <c r="AD764">
        <v>4</v>
      </c>
      <c r="AE764">
        <v>1170868608024</v>
      </c>
      <c r="AF764" t="s">
        <v>4456</v>
      </c>
      <c r="AG764">
        <v>0</v>
      </c>
      <c r="AH764">
        <v>0</v>
      </c>
    </row>
    <row r="765" spans="1:34">
      <c r="A765">
        <v>2026</v>
      </c>
      <c r="B765" s="1">
        <v>46023</v>
      </c>
      <c r="C765" t="s">
        <v>2657</v>
      </c>
      <c r="D765" t="s">
        <v>4459</v>
      </c>
      <c r="E765" s="43">
        <v>46041.827995196756</v>
      </c>
      <c r="F765" s="1">
        <v>46041</v>
      </c>
      <c r="G765" s="43">
        <v>46045.776140902781</v>
      </c>
      <c r="H765" t="s">
        <v>2701</v>
      </c>
      <c r="I765" t="s">
        <v>2719</v>
      </c>
      <c r="J765" t="s">
        <v>37</v>
      </c>
      <c r="L765" t="s">
        <v>2352</v>
      </c>
      <c r="M765">
        <v>117086860802</v>
      </c>
      <c r="N765" t="s">
        <v>2702</v>
      </c>
      <c r="O765" s="1">
        <v>45294</v>
      </c>
      <c r="T765" t="s">
        <v>2662</v>
      </c>
      <c r="U765" t="s">
        <v>4460</v>
      </c>
      <c r="V765">
        <v>4</v>
      </c>
      <c r="W765" t="s">
        <v>2664</v>
      </c>
      <c r="X765">
        <v>1</v>
      </c>
      <c r="Y765" t="s">
        <v>2931</v>
      </c>
      <c r="Z765" t="s">
        <v>2684</v>
      </c>
      <c r="AA765">
        <v>117086860802</v>
      </c>
      <c r="AB765" t="s">
        <v>876</v>
      </c>
      <c r="AC765">
        <v>0</v>
      </c>
      <c r="AD765">
        <v>4</v>
      </c>
      <c r="AE765">
        <v>1170868608024</v>
      </c>
      <c r="AF765" t="s">
        <v>4456</v>
      </c>
      <c r="AG765">
        <v>1</v>
      </c>
      <c r="AH765">
        <v>0</v>
      </c>
    </row>
    <row r="766" spans="1:34">
      <c r="A766">
        <v>2025</v>
      </c>
      <c r="B766" s="1">
        <v>45839</v>
      </c>
      <c r="C766" t="s">
        <v>2657</v>
      </c>
      <c r="D766" s="44" t="s">
        <v>4461</v>
      </c>
      <c r="E766" s="43">
        <v>45859.808905254627</v>
      </c>
      <c r="F766" s="1">
        <v>45859</v>
      </c>
      <c r="G766" s="43">
        <v>45887.583164363423</v>
      </c>
      <c r="H766" t="s">
        <v>2869</v>
      </c>
      <c r="I766" t="s">
        <v>2719</v>
      </c>
      <c r="J766" t="s">
        <v>2735</v>
      </c>
      <c r="L766" t="s">
        <v>2421</v>
      </c>
      <c r="M766">
        <v>97596278102</v>
      </c>
      <c r="N766" t="s">
        <v>2661</v>
      </c>
      <c r="O766" s="1">
        <v>45299</v>
      </c>
      <c r="T766" t="s">
        <v>2662</v>
      </c>
      <c r="U766" t="s">
        <v>4462</v>
      </c>
      <c r="V766">
        <v>20</v>
      </c>
      <c r="W766" t="s">
        <v>2677</v>
      </c>
      <c r="X766">
        <v>1</v>
      </c>
      <c r="Y766" t="s">
        <v>2764</v>
      </c>
      <c r="AA766">
        <v>97596278102</v>
      </c>
      <c r="AB766" t="s">
        <v>343</v>
      </c>
      <c r="AC766">
        <v>0</v>
      </c>
      <c r="AD766">
        <v>30</v>
      </c>
      <c r="AE766">
        <v>9759627810230</v>
      </c>
      <c r="AF766" t="s">
        <v>4463</v>
      </c>
      <c r="AG766">
        <v>1</v>
      </c>
      <c r="AH766">
        <v>1</v>
      </c>
    </row>
    <row r="767" spans="1:34">
      <c r="A767">
        <v>2025</v>
      </c>
      <c r="B767" s="1">
        <v>45839</v>
      </c>
      <c r="C767" t="s">
        <v>2657</v>
      </c>
      <c r="D767" t="s">
        <v>4464</v>
      </c>
      <c r="E767" s="43">
        <v>45861.592493217591</v>
      </c>
      <c r="F767" s="1">
        <v>45861</v>
      </c>
      <c r="G767" s="43">
        <v>45888.854479803238</v>
      </c>
      <c r="H767" t="s">
        <v>2869</v>
      </c>
      <c r="I767" t="s">
        <v>2660</v>
      </c>
      <c r="J767" t="s">
        <v>2735</v>
      </c>
      <c r="L767" t="s">
        <v>2421</v>
      </c>
      <c r="M767">
        <v>97596278102</v>
      </c>
      <c r="N767" t="s">
        <v>2661</v>
      </c>
      <c r="O767" s="1">
        <v>45299</v>
      </c>
      <c r="T767" t="s">
        <v>2662</v>
      </c>
      <c r="U767" t="s">
        <v>4465</v>
      </c>
      <c r="V767">
        <v>19</v>
      </c>
      <c r="W767" t="s">
        <v>2677</v>
      </c>
      <c r="X767">
        <v>1</v>
      </c>
      <c r="Y767" t="s">
        <v>2807</v>
      </c>
      <c r="AA767">
        <v>97596278102</v>
      </c>
      <c r="AB767" t="s">
        <v>343</v>
      </c>
      <c r="AC767">
        <v>0</v>
      </c>
      <c r="AD767">
        <v>30</v>
      </c>
      <c r="AE767">
        <v>9759627810230</v>
      </c>
      <c r="AF767" t="s">
        <v>4463</v>
      </c>
      <c r="AG767">
        <v>0</v>
      </c>
      <c r="AH767">
        <v>0</v>
      </c>
    </row>
    <row r="768" spans="1:34">
      <c r="A768">
        <v>2026</v>
      </c>
      <c r="B768" s="1">
        <v>46023</v>
      </c>
      <c r="C768" t="s">
        <v>2657</v>
      </c>
      <c r="D768" t="s">
        <v>4466</v>
      </c>
      <c r="E768" s="43">
        <v>46030.549643483799</v>
      </c>
      <c r="F768" s="1">
        <v>46030</v>
      </c>
      <c r="G768" s="43">
        <v>46055.824041666667</v>
      </c>
      <c r="H768" t="s">
        <v>2701</v>
      </c>
      <c r="I768" t="s">
        <v>2681</v>
      </c>
      <c r="J768" t="s">
        <v>100</v>
      </c>
      <c r="L768" t="s">
        <v>2353</v>
      </c>
      <c r="M768">
        <v>247227556102</v>
      </c>
      <c r="N768" t="s">
        <v>2702</v>
      </c>
      <c r="O768" s="1">
        <v>45006</v>
      </c>
      <c r="T768" t="s">
        <v>2662</v>
      </c>
      <c r="U768" t="s">
        <v>4467</v>
      </c>
      <c r="V768">
        <v>17</v>
      </c>
      <c r="W768" t="s">
        <v>2743</v>
      </c>
      <c r="X768">
        <v>1</v>
      </c>
      <c r="Y768" t="s">
        <v>2699</v>
      </c>
      <c r="AA768">
        <v>247227556102</v>
      </c>
      <c r="AB768" t="s">
        <v>270</v>
      </c>
      <c r="AC768">
        <v>0</v>
      </c>
      <c r="AD768">
        <v>2</v>
      </c>
      <c r="AE768">
        <v>2472275561022</v>
      </c>
      <c r="AF768" t="s">
        <v>4468</v>
      </c>
      <c r="AG768">
        <v>1</v>
      </c>
      <c r="AH768">
        <v>1</v>
      </c>
    </row>
    <row r="769" spans="1:34">
      <c r="A769">
        <v>2026</v>
      </c>
      <c r="B769" s="1">
        <v>46023</v>
      </c>
      <c r="C769" t="s">
        <v>2657</v>
      </c>
      <c r="D769" t="s">
        <v>4469</v>
      </c>
      <c r="E769" s="43">
        <v>46050.657320312501</v>
      </c>
      <c r="F769" s="1">
        <v>46050</v>
      </c>
      <c r="G769" s="43">
        <v>46050.657320312501</v>
      </c>
      <c r="H769" t="s">
        <v>2701</v>
      </c>
      <c r="I769" t="s">
        <v>2660</v>
      </c>
      <c r="J769" t="s">
        <v>100</v>
      </c>
      <c r="L769" t="s">
        <v>2353</v>
      </c>
      <c r="M769">
        <v>247227556102</v>
      </c>
      <c r="N769" t="s">
        <v>2702</v>
      </c>
      <c r="O769" s="1">
        <v>45006</v>
      </c>
      <c r="T769" t="s">
        <v>2662</v>
      </c>
      <c r="U769" t="s">
        <v>4470</v>
      </c>
      <c r="V769">
        <v>0</v>
      </c>
      <c r="W769" t="s">
        <v>2664</v>
      </c>
      <c r="X769">
        <v>1</v>
      </c>
      <c r="Y769" t="s">
        <v>2695</v>
      </c>
      <c r="AA769">
        <v>247227556102</v>
      </c>
      <c r="AB769" t="s">
        <v>270</v>
      </c>
      <c r="AC769">
        <v>0</v>
      </c>
      <c r="AD769">
        <v>5</v>
      </c>
      <c r="AE769">
        <v>2472275561025</v>
      </c>
      <c r="AF769" t="s">
        <v>4468</v>
      </c>
      <c r="AG769">
        <v>1</v>
      </c>
      <c r="AH769">
        <v>0</v>
      </c>
    </row>
    <row r="770" spans="1:34">
      <c r="A770">
        <v>2025</v>
      </c>
      <c r="B770" s="1">
        <v>45901</v>
      </c>
      <c r="C770" t="s">
        <v>2657</v>
      </c>
      <c r="D770" t="s">
        <v>4471</v>
      </c>
      <c r="E770" s="43">
        <v>45905.559826539349</v>
      </c>
      <c r="F770" s="1">
        <v>45905</v>
      </c>
      <c r="G770" s="43">
        <v>45922.538406331019</v>
      </c>
      <c r="H770" t="s">
        <v>2734</v>
      </c>
      <c r="I770" t="s">
        <v>2669</v>
      </c>
      <c r="J770" t="s">
        <v>2735</v>
      </c>
      <c r="L770" t="s">
        <v>2336</v>
      </c>
      <c r="M770">
        <v>16898656902</v>
      </c>
      <c r="N770" t="s">
        <v>2746</v>
      </c>
      <c r="O770" s="1">
        <v>45661</v>
      </c>
      <c r="T770" t="s">
        <v>2662</v>
      </c>
      <c r="U770" t="s">
        <v>4472</v>
      </c>
      <c r="V770">
        <v>11</v>
      </c>
      <c r="W770" t="s">
        <v>2671</v>
      </c>
      <c r="X770">
        <v>1</v>
      </c>
      <c r="Y770" t="s">
        <v>2764</v>
      </c>
      <c r="AA770">
        <v>16898656902</v>
      </c>
      <c r="AB770" t="s">
        <v>1078</v>
      </c>
      <c r="AC770">
        <v>0</v>
      </c>
      <c r="AD770">
        <v>36</v>
      </c>
      <c r="AE770">
        <v>1689865690236</v>
      </c>
      <c r="AF770" t="s">
        <v>4473</v>
      </c>
      <c r="AG770">
        <v>1</v>
      </c>
      <c r="AH770">
        <v>1</v>
      </c>
    </row>
    <row r="771" spans="1:34">
      <c r="A771">
        <v>2025</v>
      </c>
      <c r="B771" s="1">
        <v>45901</v>
      </c>
      <c r="C771" t="s">
        <v>2657</v>
      </c>
      <c r="D771" t="s">
        <v>4474</v>
      </c>
      <c r="E771" s="43">
        <v>45908.703235706016</v>
      </c>
      <c r="F771" s="1">
        <v>45908</v>
      </c>
      <c r="G771" s="43">
        <v>45911.79415587963</v>
      </c>
      <c r="H771" t="s">
        <v>2734</v>
      </c>
      <c r="I771" t="s">
        <v>2681</v>
      </c>
      <c r="J771" t="s">
        <v>2735</v>
      </c>
      <c r="L771" t="s">
        <v>2336</v>
      </c>
      <c r="M771">
        <v>16898656902</v>
      </c>
      <c r="N771" t="s">
        <v>2746</v>
      </c>
      <c r="O771" s="1">
        <v>45661</v>
      </c>
      <c r="T771" t="s">
        <v>2662</v>
      </c>
      <c r="U771" t="s">
        <v>4475</v>
      </c>
      <c r="V771">
        <v>3</v>
      </c>
      <c r="W771" t="s">
        <v>2671</v>
      </c>
      <c r="X771">
        <v>1</v>
      </c>
      <c r="Y771" t="s">
        <v>2764</v>
      </c>
      <c r="Z771" t="s">
        <v>2684</v>
      </c>
      <c r="AA771">
        <v>16898656902</v>
      </c>
      <c r="AB771" t="s">
        <v>1078</v>
      </c>
      <c r="AC771">
        <v>0</v>
      </c>
      <c r="AD771">
        <v>37</v>
      </c>
      <c r="AE771">
        <v>1689865690237</v>
      </c>
      <c r="AF771" t="s">
        <v>4473</v>
      </c>
      <c r="AG771">
        <v>1</v>
      </c>
      <c r="AH771">
        <v>0</v>
      </c>
    </row>
    <row r="772" spans="1:34">
      <c r="A772">
        <v>2025</v>
      </c>
      <c r="B772" s="1">
        <v>45901</v>
      </c>
      <c r="C772" t="s">
        <v>2657</v>
      </c>
      <c r="D772" t="s">
        <v>4476</v>
      </c>
      <c r="E772" s="43">
        <v>45922.602262326393</v>
      </c>
      <c r="F772" s="1">
        <v>45922</v>
      </c>
      <c r="G772" s="43">
        <v>45922.602262326393</v>
      </c>
      <c r="H772" t="s">
        <v>2734</v>
      </c>
      <c r="I772" t="s">
        <v>2660</v>
      </c>
      <c r="J772" t="s">
        <v>2735</v>
      </c>
      <c r="L772" t="s">
        <v>2336</v>
      </c>
      <c r="M772">
        <v>818862028802</v>
      </c>
      <c r="N772" t="s">
        <v>2702</v>
      </c>
      <c r="O772" s="1">
        <v>45673</v>
      </c>
      <c r="T772" t="s">
        <v>2662</v>
      </c>
      <c r="U772" t="s">
        <v>4477</v>
      </c>
      <c r="V772">
        <v>0</v>
      </c>
      <c r="W772" t="s">
        <v>2671</v>
      </c>
      <c r="X772">
        <v>1</v>
      </c>
      <c r="Y772" t="s">
        <v>2695</v>
      </c>
      <c r="AA772">
        <v>16898656902</v>
      </c>
      <c r="AB772" t="s">
        <v>1078</v>
      </c>
      <c r="AC772">
        <v>0</v>
      </c>
      <c r="AD772">
        <v>39</v>
      </c>
      <c r="AE772">
        <v>1689865690239</v>
      </c>
      <c r="AF772" t="s">
        <v>4473</v>
      </c>
      <c r="AG772">
        <v>1</v>
      </c>
      <c r="AH772">
        <v>0</v>
      </c>
    </row>
    <row r="773" spans="1:34">
      <c r="A773">
        <v>2026</v>
      </c>
      <c r="B773" s="1">
        <v>46054</v>
      </c>
      <c r="C773" t="s">
        <v>2657</v>
      </c>
      <c r="D773" t="s">
        <v>4478</v>
      </c>
      <c r="E773" s="43">
        <v>46063.623632708332</v>
      </c>
      <c r="F773" s="1">
        <v>46063</v>
      </c>
      <c r="G773" s="43">
        <v>46064.602098449075</v>
      </c>
      <c r="H773" t="s">
        <v>2725</v>
      </c>
      <c r="I773" t="s">
        <v>2681</v>
      </c>
      <c r="J773" t="s">
        <v>100</v>
      </c>
      <c r="L773" t="s">
        <v>2363</v>
      </c>
      <c r="M773">
        <v>1138178402502</v>
      </c>
      <c r="N773" t="s">
        <v>2702</v>
      </c>
      <c r="O773" s="1">
        <v>45947</v>
      </c>
      <c r="T773" t="s">
        <v>2662</v>
      </c>
      <c r="U773" t="s">
        <v>4479</v>
      </c>
      <c r="V773">
        <v>1</v>
      </c>
      <c r="W773" t="s">
        <v>2671</v>
      </c>
      <c r="X773">
        <v>1</v>
      </c>
      <c r="Y773" t="s">
        <v>2683</v>
      </c>
      <c r="AA773">
        <v>29271934502</v>
      </c>
      <c r="AB773" t="s">
        <v>965</v>
      </c>
      <c r="AC773">
        <v>1</v>
      </c>
      <c r="AD773">
        <v>7</v>
      </c>
      <c r="AE773">
        <v>292719345027</v>
      </c>
      <c r="AF773" t="s">
        <v>4480</v>
      </c>
      <c r="AG773">
        <v>1</v>
      </c>
      <c r="AH773">
        <v>1</v>
      </c>
    </row>
    <row r="774" spans="1:34">
      <c r="A774">
        <v>2026</v>
      </c>
      <c r="B774" s="1">
        <v>46023</v>
      </c>
      <c r="C774" t="s">
        <v>2657</v>
      </c>
      <c r="D774" t="s">
        <v>4481</v>
      </c>
      <c r="E774" s="43">
        <v>46034.772482789354</v>
      </c>
      <c r="F774" s="1">
        <v>46034</v>
      </c>
      <c r="G774" s="43">
        <v>46034.772482789354</v>
      </c>
      <c r="H774" t="s">
        <v>2701</v>
      </c>
      <c r="I774" t="s">
        <v>2681</v>
      </c>
      <c r="J774" t="s">
        <v>37</v>
      </c>
      <c r="L774" t="s">
        <v>2344</v>
      </c>
      <c r="M774">
        <v>963780507202</v>
      </c>
      <c r="N774" t="s">
        <v>2661</v>
      </c>
      <c r="O774" s="1">
        <v>45621</v>
      </c>
      <c r="T774" t="s">
        <v>2662</v>
      </c>
      <c r="U774" t="s">
        <v>4482</v>
      </c>
      <c r="V774">
        <v>0</v>
      </c>
      <c r="W774" t="s">
        <v>2671</v>
      </c>
      <c r="X774">
        <v>1</v>
      </c>
      <c r="Y774" t="s">
        <v>2757</v>
      </c>
      <c r="AA774">
        <v>101837981602</v>
      </c>
      <c r="AB774" t="s">
        <v>746</v>
      </c>
      <c r="AC774">
        <v>0</v>
      </c>
      <c r="AD774">
        <v>3</v>
      </c>
      <c r="AE774">
        <v>1018379816023</v>
      </c>
      <c r="AF774" t="s">
        <v>4483</v>
      </c>
      <c r="AG774">
        <v>1</v>
      </c>
      <c r="AH774">
        <v>1</v>
      </c>
    </row>
    <row r="775" spans="1:34">
      <c r="A775">
        <v>2026</v>
      </c>
      <c r="B775" s="1">
        <v>46023</v>
      </c>
      <c r="C775" t="s">
        <v>2657</v>
      </c>
      <c r="D775" t="s">
        <v>4484</v>
      </c>
      <c r="E775" s="43">
        <v>46037.734260034726</v>
      </c>
      <c r="F775" s="1">
        <v>46037</v>
      </c>
      <c r="G775" s="43">
        <v>46038.751217824072</v>
      </c>
      <c r="H775" t="s">
        <v>2701</v>
      </c>
      <c r="I775" t="s">
        <v>2719</v>
      </c>
      <c r="J775" t="s">
        <v>37</v>
      </c>
      <c r="L775" t="s">
        <v>2344</v>
      </c>
      <c r="M775">
        <v>963780507202</v>
      </c>
      <c r="N775" t="s">
        <v>2661</v>
      </c>
      <c r="O775" s="1">
        <v>45621</v>
      </c>
      <c r="T775" t="s">
        <v>2662</v>
      </c>
      <c r="U775" t="s">
        <v>4485</v>
      </c>
      <c r="V775">
        <v>1</v>
      </c>
      <c r="W775" t="s">
        <v>2671</v>
      </c>
      <c r="X775">
        <v>1</v>
      </c>
      <c r="Y775" t="s">
        <v>2760</v>
      </c>
      <c r="AA775">
        <v>101837981602</v>
      </c>
      <c r="AB775" t="s">
        <v>746</v>
      </c>
      <c r="AC775">
        <v>0</v>
      </c>
      <c r="AD775">
        <v>3</v>
      </c>
      <c r="AE775">
        <v>1018379816023</v>
      </c>
      <c r="AF775" t="s">
        <v>4483</v>
      </c>
      <c r="AG775">
        <v>0</v>
      </c>
      <c r="AH775">
        <v>0</v>
      </c>
    </row>
    <row r="776" spans="1:34">
      <c r="A776">
        <v>2026</v>
      </c>
      <c r="B776" s="1">
        <v>46082</v>
      </c>
      <c r="C776" t="s">
        <v>2657</v>
      </c>
      <c r="D776" t="s">
        <v>4486</v>
      </c>
      <c r="E776" s="43">
        <v>46084.902710717593</v>
      </c>
      <c r="F776" s="1">
        <v>46084</v>
      </c>
      <c r="G776" s="43">
        <v>46085.549242152774</v>
      </c>
      <c r="H776" t="s">
        <v>2668</v>
      </c>
      <c r="I776" t="s">
        <v>2669</v>
      </c>
      <c r="J776" t="s">
        <v>37</v>
      </c>
      <c r="L776" t="s">
        <v>2352</v>
      </c>
      <c r="M776">
        <v>117086860802</v>
      </c>
      <c r="N776" t="s">
        <v>2702</v>
      </c>
      <c r="O776" s="1">
        <v>45294</v>
      </c>
      <c r="T776" t="s">
        <v>2662</v>
      </c>
      <c r="U776" t="s">
        <v>4487</v>
      </c>
      <c r="V776">
        <v>1</v>
      </c>
      <c r="W776" t="s">
        <v>2677</v>
      </c>
      <c r="X776">
        <v>1</v>
      </c>
      <c r="Y776" t="s">
        <v>2807</v>
      </c>
      <c r="AA776">
        <v>117086860802</v>
      </c>
      <c r="AB776" t="s">
        <v>876</v>
      </c>
      <c r="AC776">
        <v>1</v>
      </c>
      <c r="AD776">
        <v>10</v>
      </c>
      <c r="AE776">
        <v>11708686080210</v>
      </c>
      <c r="AF776" t="s">
        <v>4488</v>
      </c>
      <c r="AG776">
        <v>0</v>
      </c>
      <c r="AH776">
        <v>0</v>
      </c>
    </row>
    <row r="777" spans="1:34">
      <c r="A777">
        <v>2026</v>
      </c>
      <c r="B777" s="1">
        <v>46082</v>
      </c>
      <c r="C777" t="s">
        <v>2657</v>
      </c>
      <c r="D777" t="s">
        <v>4489</v>
      </c>
      <c r="E777" s="43">
        <v>46084.901449999998</v>
      </c>
      <c r="F777" s="1">
        <v>46084</v>
      </c>
      <c r="G777" s="43">
        <v>46090.828415960648</v>
      </c>
      <c r="H777" t="s">
        <v>2668</v>
      </c>
      <c r="I777" t="s">
        <v>2669</v>
      </c>
      <c r="J777" t="s">
        <v>37</v>
      </c>
      <c r="L777" t="s">
        <v>2352</v>
      </c>
      <c r="M777">
        <v>117086860802</v>
      </c>
      <c r="N777" t="s">
        <v>2702</v>
      </c>
      <c r="O777" s="1">
        <v>45294</v>
      </c>
      <c r="T777" t="s">
        <v>2662</v>
      </c>
      <c r="U777" t="s">
        <v>4490</v>
      </c>
      <c r="V777">
        <v>4</v>
      </c>
      <c r="W777" t="s">
        <v>2671</v>
      </c>
      <c r="X777">
        <v>1</v>
      </c>
      <c r="Y777" t="s">
        <v>2672</v>
      </c>
      <c r="AA777">
        <v>117086860802</v>
      </c>
      <c r="AB777" t="s">
        <v>876</v>
      </c>
      <c r="AC777">
        <v>0</v>
      </c>
      <c r="AD777">
        <v>10</v>
      </c>
      <c r="AE777">
        <v>11708686080210</v>
      </c>
      <c r="AF777" t="s">
        <v>4488</v>
      </c>
      <c r="AG777">
        <v>1</v>
      </c>
      <c r="AH777">
        <v>1</v>
      </c>
    </row>
    <row r="778" spans="1:34">
      <c r="A778">
        <v>2025</v>
      </c>
      <c r="B778" s="1">
        <v>45901</v>
      </c>
      <c r="C778" t="s">
        <v>2657</v>
      </c>
      <c r="D778" t="s">
        <v>4491</v>
      </c>
      <c r="E778" s="43">
        <v>45910.867273298609</v>
      </c>
      <c r="F778" s="1">
        <v>45910</v>
      </c>
      <c r="G778" s="43">
        <v>45936.554367916666</v>
      </c>
      <c r="H778" t="s">
        <v>2734</v>
      </c>
      <c r="I778" t="s">
        <v>2681</v>
      </c>
      <c r="J778" t="s">
        <v>38</v>
      </c>
      <c r="L778" t="s">
        <v>2393</v>
      </c>
      <c r="M778">
        <v>851886444902</v>
      </c>
      <c r="N778" t="s">
        <v>2702</v>
      </c>
      <c r="O778" s="1">
        <v>45669</v>
      </c>
      <c r="T778" t="s">
        <v>2662</v>
      </c>
      <c r="U778" t="s">
        <v>4492</v>
      </c>
      <c r="V778">
        <v>18</v>
      </c>
      <c r="W778" t="s">
        <v>2671</v>
      </c>
      <c r="X778">
        <v>1</v>
      </c>
      <c r="Y778" t="s">
        <v>2672</v>
      </c>
      <c r="AA778">
        <v>72695582302</v>
      </c>
      <c r="AB778" t="s">
        <v>707</v>
      </c>
      <c r="AC778">
        <v>0</v>
      </c>
      <c r="AD778">
        <v>37</v>
      </c>
      <c r="AE778">
        <v>7269558230237</v>
      </c>
      <c r="AF778" t="s">
        <v>4493</v>
      </c>
      <c r="AG778">
        <v>1</v>
      </c>
      <c r="AH778">
        <v>1</v>
      </c>
    </row>
    <row r="779" spans="1:34">
      <c r="A779">
        <v>2025</v>
      </c>
      <c r="B779" s="1">
        <v>45901</v>
      </c>
      <c r="C779" t="s">
        <v>2657</v>
      </c>
      <c r="D779" t="s">
        <v>4494</v>
      </c>
      <c r="E779" s="43">
        <v>45918.77232478009</v>
      </c>
      <c r="F779" s="1">
        <v>45918</v>
      </c>
      <c r="G779" s="43">
        <v>45929.720780104166</v>
      </c>
      <c r="H779" t="s">
        <v>2734</v>
      </c>
      <c r="I779" t="s">
        <v>2719</v>
      </c>
      <c r="J779" t="s">
        <v>38</v>
      </c>
      <c r="L779" t="s">
        <v>2393</v>
      </c>
      <c r="M779">
        <v>1121498636702</v>
      </c>
      <c r="N779" t="s">
        <v>2661</v>
      </c>
      <c r="O779" s="1">
        <v>45880</v>
      </c>
      <c r="T779" t="s">
        <v>2662</v>
      </c>
      <c r="U779" t="s">
        <v>4495</v>
      </c>
      <c r="V779">
        <v>7</v>
      </c>
      <c r="W779" t="s">
        <v>2677</v>
      </c>
      <c r="X779">
        <v>1</v>
      </c>
      <c r="Y779" t="s">
        <v>2779</v>
      </c>
      <c r="AA779">
        <v>72695582302</v>
      </c>
      <c r="AB779" t="s">
        <v>707</v>
      </c>
      <c r="AC779">
        <v>0</v>
      </c>
      <c r="AD779">
        <v>38</v>
      </c>
      <c r="AE779">
        <v>7269558230238</v>
      </c>
      <c r="AF779" t="s">
        <v>4493</v>
      </c>
      <c r="AG779">
        <v>0</v>
      </c>
      <c r="AH779">
        <v>0</v>
      </c>
    </row>
    <row r="780" spans="1:34">
      <c r="A780">
        <v>2025</v>
      </c>
      <c r="B780" s="1">
        <v>45901</v>
      </c>
      <c r="C780" t="s">
        <v>2657</v>
      </c>
      <c r="D780" t="s">
        <v>4496</v>
      </c>
      <c r="E780" s="43">
        <v>45916.808894178241</v>
      </c>
      <c r="F780" s="1">
        <v>45916</v>
      </c>
      <c r="G780" s="43">
        <v>45916.808894178241</v>
      </c>
      <c r="H780" t="s">
        <v>2734</v>
      </c>
      <c r="I780" t="s">
        <v>2719</v>
      </c>
      <c r="J780" t="s">
        <v>38</v>
      </c>
      <c r="L780" t="s">
        <v>2393</v>
      </c>
      <c r="M780">
        <v>1121498636702</v>
      </c>
      <c r="N780" t="s">
        <v>2661</v>
      </c>
      <c r="O780" s="1">
        <v>45880</v>
      </c>
      <c r="T780" t="s">
        <v>2662</v>
      </c>
      <c r="U780" t="s">
        <v>4497</v>
      </c>
      <c r="V780">
        <v>0</v>
      </c>
      <c r="W780" t="s">
        <v>2677</v>
      </c>
      <c r="X780">
        <v>1</v>
      </c>
      <c r="Y780" t="s">
        <v>2779</v>
      </c>
      <c r="AA780">
        <v>72695582302</v>
      </c>
      <c r="AB780" t="s">
        <v>707</v>
      </c>
      <c r="AC780">
        <v>0</v>
      </c>
      <c r="AD780">
        <v>38</v>
      </c>
      <c r="AE780">
        <v>7269558230238</v>
      </c>
      <c r="AF780" t="s">
        <v>4493</v>
      </c>
      <c r="AG780">
        <v>1</v>
      </c>
      <c r="AH780">
        <v>0</v>
      </c>
    </row>
    <row r="781" spans="1:34">
      <c r="A781">
        <v>2026</v>
      </c>
      <c r="B781" s="1">
        <v>46082</v>
      </c>
      <c r="C781" t="s">
        <v>2657</v>
      </c>
      <c r="D781" t="s">
        <v>4498</v>
      </c>
      <c r="E781" s="43">
        <v>46084.575761886575</v>
      </c>
      <c r="F781" s="1">
        <v>46084</v>
      </c>
      <c r="G781" s="43">
        <v>46085.579031562498</v>
      </c>
      <c r="H781" t="s">
        <v>2668</v>
      </c>
      <c r="I781" t="s">
        <v>2669</v>
      </c>
      <c r="J781" t="s">
        <v>38</v>
      </c>
      <c r="L781" t="s">
        <v>2347</v>
      </c>
      <c r="M781">
        <v>601998582602</v>
      </c>
      <c r="N781" t="s">
        <v>2675</v>
      </c>
      <c r="O781" s="1">
        <v>45661</v>
      </c>
      <c r="T781" t="s">
        <v>2662</v>
      </c>
      <c r="U781" t="s">
        <v>4499</v>
      </c>
      <c r="V781">
        <v>1</v>
      </c>
      <c r="W781" t="s">
        <v>2671</v>
      </c>
      <c r="X781">
        <v>1</v>
      </c>
      <c r="Y781" t="s">
        <v>2672</v>
      </c>
      <c r="AA781">
        <v>601998582602</v>
      </c>
      <c r="AB781" t="s">
        <v>234</v>
      </c>
      <c r="AC781">
        <v>0</v>
      </c>
      <c r="AD781">
        <v>10</v>
      </c>
      <c r="AE781">
        <v>60199858260210</v>
      </c>
      <c r="AF781" t="s">
        <v>4500</v>
      </c>
      <c r="AG781">
        <v>0</v>
      </c>
      <c r="AH781">
        <v>0</v>
      </c>
    </row>
    <row r="782" spans="1:34">
      <c r="A782">
        <v>2026</v>
      </c>
      <c r="B782" s="1">
        <v>46082</v>
      </c>
      <c r="C782" t="s">
        <v>2657</v>
      </c>
      <c r="D782" t="s">
        <v>4501</v>
      </c>
      <c r="E782" s="43">
        <v>46083.554314351852</v>
      </c>
      <c r="F782" s="1">
        <v>46083</v>
      </c>
      <c r="G782" s="43">
        <v>46084.760414282406</v>
      </c>
      <c r="H782" t="s">
        <v>2668</v>
      </c>
      <c r="I782" t="s">
        <v>2669</v>
      </c>
      <c r="J782" t="s">
        <v>38</v>
      </c>
      <c r="L782" t="s">
        <v>2347</v>
      </c>
      <c r="M782">
        <v>601998582602</v>
      </c>
      <c r="N782" t="s">
        <v>2675</v>
      </c>
      <c r="O782" s="1">
        <v>45661</v>
      </c>
      <c r="T782" t="s">
        <v>2662</v>
      </c>
      <c r="U782" t="s">
        <v>4502</v>
      </c>
      <c r="V782">
        <v>1</v>
      </c>
      <c r="W782" t="s">
        <v>2671</v>
      </c>
      <c r="X782">
        <v>1</v>
      </c>
      <c r="Y782" t="s">
        <v>2672</v>
      </c>
      <c r="AA782">
        <v>601998582602</v>
      </c>
      <c r="AB782" t="s">
        <v>234</v>
      </c>
      <c r="AC782">
        <v>0</v>
      </c>
      <c r="AD782">
        <v>10</v>
      </c>
      <c r="AE782">
        <v>60199858260210</v>
      </c>
      <c r="AF782" t="s">
        <v>4500</v>
      </c>
      <c r="AG782">
        <v>1</v>
      </c>
      <c r="AH782">
        <v>1</v>
      </c>
    </row>
    <row r="783" spans="1:34">
      <c r="A783">
        <v>2026</v>
      </c>
      <c r="B783" s="1">
        <v>46082</v>
      </c>
      <c r="C783" t="s">
        <v>2657</v>
      </c>
      <c r="D783" t="s">
        <v>4503</v>
      </c>
      <c r="E783" s="43">
        <v>46090.628147384261</v>
      </c>
      <c r="F783" s="1">
        <v>46090</v>
      </c>
      <c r="G783" s="43">
        <v>46094.586691724537</v>
      </c>
      <c r="H783" t="s">
        <v>2668</v>
      </c>
      <c r="I783" t="s">
        <v>2681</v>
      </c>
      <c r="J783" t="s">
        <v>38</v>
      </c>
      <c r="L783" t="s">
        <v>2347</v>
      </c>
      <c r="M783">
        <v>601998582602</v>
      </c>
      <c r="N783" t="s">
        <v>2675</v>
      </c>
      <c r="O783" s="1">
        <v>45661</v>
      </c>
      <c r="T783" t="s">
        <v>2662</v>
      </c>
      <c r="U783" t="s">
        <v>4504</v>
      </c>
      <c r="V783">
        <v>4</v>
      </c>
      <c r="W783" t="s">
        <v>2671</v>
      </c>
      <c r="X783">
        <v>1</v>
      </c>
      <c r="Y783" t="s">
        <v>2672</v>
      </c>
      <c r="AA783">
        <v>601998582602</v>
      </c>
      <c r="AB783" t="s">
        <v>234</v>
      </c>
      <c r="AC783">
        <v>1</v>
      </c>
      <c r="AD783">
        <v>11</v>
      </c>
      <c r="AE783">
        <v>60199858260211</v>
      </c>
      <c r="AF783" t="s">
        <v>4500</v>
      </c>
      <c r="AG783">
        <v>1</v>
      </c>
      <c r="AH783">
        <v>0</v>
      </c>
    </row>
    <row r="784" spans="1:34">
      <c r="A784">
        <v>2026</v>
      </c>
      <c r="B784" s="1">
        <v>46023</v>
      </c>
      <c r="C784" t="s">
        <v>2657</v>
      </c>
      <c r="D784" t="s">
        <v>4505</v>
      </c>
      <c r="E784" s="43">
        <v>46037.828424525462</v>
      </c>
      <c r="F784" s="1">
        <v>46037</v>
      </c>
      <c r="G784" s="43">
        <v>46048.584635520834</v>
      </c>
      <c r="H784" t="s">
        <v>2701</v>
      </c>
      <c r="I784" t="s">
        <v>2719</v>
      </c>
      <c r="J784" t="s">
        <v>37</v>
      </c>
      <c r="L784" t="s">
        <v>2351</v>
      </c>
      <c r="M784">
        <v>1096087678002</v>
      </c>
      <c r="N784" t="s">
        <v>2661</v>
      </c>
      <c r="O784" s="1">
        <v>46028</v>
      </c>
      <c r="T784" t="s">
        <v>2662</v>
      </c>
      <c r="U784" t="s">
        <v>4506</v>
      </c>
      <c r="V784">
        <v>7</v>
      </c>
      <c r="W784" t="s">
        <v>2677</v>
      </c>
      <c r="X784">
        <v>1</v>
      </c>
      <c r="Y784" t="s">
        <v>2760</v>
      </c>
      <c r="AA784">
        <v>1096087678002</v>
      </c>
      <c r="AB784" t="s">
        <v>2372</v>
      </c>
      <c r="AC784">
        <v>0</v>
      </c>
      <c r="AD784">
        <v>3</v>
      </c>
      <c r="AE784">
        <v>10960876780023</v>
      </c>
      <c r="AF784" t="s">
        <v>4507</v>
      </c>
      <c r="AG784">
        <v>1</v>
      </c>
      <c r="AH784">
        <v>1</v>
      </c>
    </row>
    <row r="785" spans="1:34">
      <c r="A785">
        <v>2026</v>
      </c>
      <c r="B785" s="1">
        <v>46023</v>
      </c>
      <c r="C785" t="s">
        <v>2657</v>
      </c>
      <c r="D785" t="s">
        <v>4508</v>
      </c>
      <c r="E785" s="43">
        <v>46048.830767928244</v>
      </c>
      <c r="F785" s="1">
        <v>46048</v>
      </c>
      <c r="G785" s="43">
        <v>46048.830767928244</v>
      </c>
      <c r="H785" t="s">
        <v>2701</v>
      </c>
      <c r="I785" t="s">
        <v>2660</v>
      </c>
      <c r="J785" t="s">
        <v>37</v>
      </c>
      <c r="L785" t="s">
        <v>2351</v>
      </c>
      <c r="M785">
        <v>1096087678002</v>
      </c>
      <c r="N785" t="s">
        <v>2661</v>
      </c>
      <c r="O785" s="1">
        <v>46028</v>
      </c>
      <c r="T785" t="s">
        <v>2662</v>
      </c>
      <c r="U785" t="s">
        <v>4509</v>
      </c>
      <c r="V785">
        <v>0</v>
      </c>
      <c r="W785" t="s">
        <v>2671</v>
      </c>
      <c r="X785">
        <v>1</v>
      </c>
      <c r="Y785" t="s">
        <v>2695</v>
      </c>
      <c r="AA785">
        <v>1096087678002</v>
      </c>
      <c r="AB785" t="s">
        <v>2372</v>
      </c>
      <c r="AC785">
        <v>0</v>
      </c>
      <c r="AD785">
        <v>5</v>
      </c>
      <c r="AE785">
        <v>10960876780025</v>
      </c>
      <c r="AF785" t="s">
        <v>4507</v>
      </c>
      <c r="AG785">
        <v>1</v>
      </c>
      <c r="AH785">
        <v>0</v>
      </c>
    </row>
    <row r="786" spans="1:34">
      <c r="A786">
        <v>2026</v>
      </c>
      <c r="B786" s="1">
        <v>46023</v>
      </c>
      <c r="C786" t="s">
        <v>2657</v>
      </c>
      <c r="D786" t="s">
        <v>4510</v>
      </c>
      <c r="E786" s="43">
        <v>46048.832120729166</v>
      </c>
      <c r="F786" s="1">
        <v>46048</v>
      </c>
      <c r="G786" s="43">
        <v>46065.585938506942</v>
      </c>
      <c r="H786" t="s">
        <v>2701</v>
      </c>
      <c r="I786" t="s">
        <v>2660</v>
      </c>
      <c r="J786" t="s">
        <v>37</v>
      </c>
      <c r="L786" t="s">
        <v>2351</v>
      </c>
      <c r="M786">
        <v>731694233402</v>
      </c>
      <c r="N786" t="s">
        <v>2661</v>
      </c>
      <c r="O786" s="1">
        <v>46028</v>
      </c>
      <c r="T786" t="s">
        <v>2662</v>
      </c>
      <c r="U786" t="s">
        <v>4511</v>
      </c>
      <c r="V786">
        <v>13</v>
      </c>
      <c r="W786" t="s">
        <v>2677</v>
      </c>
      <c r="X786">
        <v>1</v>
      </c>
      <c r="Y786" t="s">
        <v>2760</v>
      </c>
      <c r="AA786">
        <v>1096087678002</v>
      </c>
      <c r="AB786" t="s">
        <v>2372</v>
      </c>
      <c r="AC786">
        <v>0</v>
      </c>
      <c r="AD786">
        <v>5</v>
      </c>
      <c r="AE786">
        <v>10960876780025</v>
      </c>
      <c r="AF786" t="s">
        <v>4507</v>
      </c>
      <c r="AG786">
        <v>0</v>
      </c>
      <c r="AH786">
        <v>0</v>
      </c>
    </row>
    <row r="787" spans="1:34">
      <c r="A787">
        <v>2025</v>
      </c>
      <c r="B787" s="1">
        <v>45992</v>
      </c>
      <c r="C787" t="s">
        <v>2657</v>
      </c>
      <c r="D787" s="44" t="s">
        <v>4512</v>
      </c>
      <c r="E787" s="43">
        <v>45994.520714409722</v>
      </c>
      <c r="F787" s="1">
        <v>45994</v>
      </c>
      <c r="G787" s="43">
        <v>46003.811206666665</v>
      </c>
      <c r="H787" t="s">
        <v>2686</v>
      </c>
      <c r="I787" t="s">
        <v>2669</v>
      </c>
      <c r="J787" t="s">
        <v>2735</v>
      </c>
      <c r="L787" t="s">
        <v>2362</v>
      </c>
      <c r="M787">
        <v>361885515402</v>
      </c>
      <c r="N787" t="s">
        <v>2746</v>
      </c>
      <c r="O787" s="1">
        <v>45669</v>
      </c>
      <c r="T787" t="s">
        <v>2662</v>
      </c>
      <c r="U787" t="s">
        <v>4513</v>
      </c>
      <c r="V787">
        <v>7</v>
      </c>
      <c r="W787" t="s">
        <v>2677</v>
      </c>
      <c r="X787">
        <v>1</v>
      </c>
      <c r="Y787" t="s">
        <v>2760</v>
      </c>
      <c r="Z787" t="s">
        <v>2834</v>
      </c>
      <c r="AA787">
        <v>361885515402</v>
      </c>
      <c r="AB787" t="s">
        <v>1603</v>
      </c>
      <c r="AC787">
        <v>0</v>
      </c>
      <c r="AD787">
        <v>49</v>
      </c>
      <c r="AE787">
        <v>36188551540249</v>
      </c>
      <c r="AF787" t="s">
        <v>4514</v>
      </c>
      <c r="AG787">
        <v>1</v>
      </c>
      <c r="AH787">
        <v>1</v>
      </c>
    </row>
    <row r="788" spans="1:34">
      <c r="A788">
        <v>2025</v>
      </c>
      <c r="B788" s="1">
        <v>45992</v>
      </c>
      <c r="C788" t="s">
        <v>2657</v>
      </c>
      <c r="D788" t="s">
        <v>4515</v>
      </c>
      <c r="E788" s="43">
        <v>46003.521798692127</v>
      </c>
      <c r="F788" s="1">
        <v>46003</v>
      </c>
      <c r="G788" s="43">
        <v>46003.781724409724</v>
      </c>
      <c r="H788" t="s">
        <v>2686</v>
      </c>
      <c r="I788" t="s">
        <v>2681</v>
      </c>
      <c r="J788" t="s">
        <v>2735</v>
      </c>
      <c r="L788" t="s">
        <v>2362</v>
      </c>
      <c r="M788">
        <v>361885515402</v>
      </c>
      <c r="N788" t="s">
        <v>2746</v>
      </c>
      <c r="O788" s="1">
        <v>45669</v>
      </c>
      <c r="T788" t="s">
        <v>2662</v>
      </c>
      <c r="U788" t="s">
        <v>4516</v>
      </c>
      <c r="V788">
        <v>0</v>
      </c>
      <c r="W788" t="s">
        <v>2743</v>
      </c>
      <c r="X788">
        <v>1</v>
      </c>
      <c r="Y788" t="s">
        <v>2764</v>
      </c>
      <c r="AA788">
        <v>361885515402</v>
      </c>
      <c r="AB788" t="s">
        <v>1603</v>
      </c>
      <c r="AC788">
        <v>0</v>
      </c>
      <c r="AD788">
        <v>50</v>
      </c>
      <c r="AE788">
        <v>36188551540250</v>
      </c>
      <c r="AF788" t="s">
        <v>4514</v>
      </c>
      <c r="AG788">
        <v>1</v>
      </c>
      <c r="AH788">
        <v>0</v>
      </c>
    </row>
    <row r="789" spans="1:34">
      <c r="A789">
        <v>2025</v>
      </c>
      <c r="B789" s="1">
        <v>45992</v>
      </c>
      <c r="C789" t="s">
        <v>2657</v>
      </c>
      <c r="D789" t="s">
        <v>4517</v>
      </c>
      <c r="E789" s="43">
        <v>46013.644677962962</v>
      </c>
      <c r="F789" s="1">
        <v>46013</v>
      </c>
      <c r="G789" s="43">
        <v>46014.614233796296</v>
      </c>
      <c r="H789" t="s">
        <v>2686</v>
      </c>
      <c r="I789" t="s">
        <v>2660</v>
      </c>
      <c r="J789" t="s">
        <v>2735</v>
      </c>
      <c r="L789" t="s">
        <v>2362</v>
      </c>
      <c r="M789">
        <v>361885515402</v>
      </c>
      <c r="N789" t="s">
        <v>2746</v>
      </c>
      <c r="O789" s="1">
        <v>45669</v>
      </c>
      <c r="T789" t="s">
        <v>2662</v>
      </c>
      <c r="U789" t="s">
        <v>4518</v>
      </c>
      <c r="V789">
        <v>1</v>
      </c>
      <c r="W789" t="s">
        <v>2743</v>
      </c>
      <c r="X789">
        <v>1</v>
      </c>
      <c r="Y789" t="s">
        <v>2931</v>
      </c>
      <c r="AA789">
        <v>361885515402</v>
      </c>
      <c r="AB789" t="s">
        <v>1603</v>
      </c>
      <c r="AC789">
        <v>0</v>
      </c>
      <c r="AD789">
        <v>52</v>
      </c>
      <c r="AE789">
        <v>36188551540252</v>
      </c>
      <c r="AF789" t="s">
        <v>4514</v>
      </c>
      <c r="AG789">
        <v>1</v>
      </c>
      <c r="AH789">
        <v>0</v>
      </c>
    </row>
    <row r="790" spans="1:34">
      <c r="A790">
        <v>2026</v>
      </c>
      <c r="B790" s="1">
        <v>46054</v>
      </c>
      <c r="C790" t="s">
        <v>2657</v>
      </c>
      <c r="D790" s="44" t="s">
        <v>4519</v>
      </c>
      <c r="E790" s="43">
        <v>46055.753350902778</v>
      </c>
      <c r="F790" s="1">
        <v>46055</v>
      </c>
      <c r="G790" s="43">
        <v>46057.864354999998</v>
      </c>
      <c r="H790" t="s">
        <v>2725</v>
      </c>
      <c r="I790" t="s">
        <v>2669</v>
      </c>
      <c r="J790" t="s">
        <v>39</v>
      </c>
      <c r="L790" t="s">
        <v>2408</v>
      </c>
      <c r="M790">
        <v>11613361102</v>
      </c>
      <c r="N790" t="s">
        <v>2746</v>
      </c>
      <c r="O790" s="1">
        <v>45294</v>
      </c>
      <c r="T790" t="s">
        <v>2662</v>
      </c>
      <c r="U790" t="s">
        <v>4520</v>
      </c>
      <c r="V790">
        <v>2</v>
      </c>
      <c r="W790" t="s">
        <v>2704</v>
      </c>
      <c r="X790">
        <v>1</v>
      </c>
      <c r="Y790" t="s">
        <v>2710</v>
      </c>
      <c r="AA790">
        <v>11613361102</v>
      </c>
      <c r="AB790" t="s">
        <v>1880</v>
      </c>
      <c r="AC790">
        <v>0</v>
      </c>
      <c r="AD790">
        <v>6</v>
      </c>
      <c r="AE790">
        <v>116133611026</v>
      </c>
      <c r="AF790" t="s">
        <v>4521</v>
      </c>
      <c r="AG790">
        <v>1</v>
      </c>
      <c r="AH790">
        <v>1</v>
      </c>
    </row>
    <row r="791" spans="1:34">
      <c r="A791">
        <v>2026</v>
      </c>
      <c r="B791" s="1">
        <v>46054</v>
      </c>
      <c r="C791" t="s">
        <v>2657</v>
      </c>
      <c r="D791" t="s">
        <v>4522</v>
      </c>
      <c r="E791" s="43">
        <v>46058.61847342593</v>
      </c>
      <c r="F791" s="1">
        <v>46058</v>
      </c>
      <c r="G791" s="43">
        <v>46078.66627184028</v>
      </c>
      <c r="H791" t="s">
        <v>2725</v>
      </c>
      <c r="I791" t="s">
        <v>2669</v>
      </c>
      <c r="J791" t="s">
        <v>39</v>
      </c>
      <c r="L791" t="s">
        <v>2408</v>
      </c>
      <c r="M791">
        <v>11613361102</v>
      </c>
      <c r="N791" t="s">
        <v>2746</v>
      </c>
      <c r="O791" s="1">
        <v>45294</v>
      </c>
      <c r="T791" t="s">
        <v>2662</v>
      </c>
      <c r="U791" t="s">
        <v>4523</v>
      </c>
      <c r="V791">
        <v>14</v>
      </c>
      <c r="W791" t="s">
        <v>2743</v>
      </c>
      <c r="X791">
        <v>1</v>
      </c>
      <c r="Y791" t="s">
        <v>2699</v>
      </c>
      <c r="Z791" t="s">
        <v>2684</v>
      </c>
      <c r="AA791">
        <v>11613361102</v>
      </c>
      <c r="AB791" t="s">
        <v>1880</v>
      </c>
      <c r="AC791">
        <v>0</v>
      </c>
      <c r="AD791">
        <v>6</v>
      </c>
      <c r="AE791">
        <v>116133611026</v>
      </c>
      <c r="AF791" t="s">
        <v>4521</v>
      </c>
      <c r="AG791">
        <v>0</v>
      </c>
      <c r="AH791">
        <v>0</v>
      </c>
    </row>
    <row r="792" spans="1:34">
      <c r="A792">
        <v>2026</v>
      </c>
      <c r="B792" s="1">
        <v>46054</v>
      </c>
      <c r="C792" t="s">
        <v>2657</v>
      </c>
      <c r="D792" t="s">
        <v>4524</v>
      </c>
      <c r="E792" s="43">
        <v>46073.69156013889</v>
      </c>
      <c r="F792" s="1">
        <v>46073</v>
      </c>
      <c r="G792" s="43">
        <v>46073.773058402781</v>
      </c>
      <c r="H792" t="s">
        <v>2725</v>
      </c>
      <c r="I792" t="s">
        <v>2719</v>
      </c>
      <c r="J792" t="s">
        <v>39</v>
      </c>
      <c r="L792" t="s">
        <v>2408</v>
      </c>
      <c r="M792">
        <v>847074348102</v>
      </c>
      <c r="N792" t="s">
        <v>2746</v>
      </c>
      <c r="O792" s="1">
        <v>45457</v>
      </c>
      <c r="T792" t="s">
        <v>2662</v>
      </c>
      <c r="U792" t="s">
        <v>4525</v>
      </c>
      <c r="V792">
        <v>0</v>
      </c>
      <c r="W792" t="s">
        <v>2664</v>
      </c>
      <c r="X792">
        <v>1</v>
      </c>
      <c r="AA792">
        <v>11613361102</v>
      </c>
      <c r="AB792" t="s">
        <v>1880</v>
      </c>
      <c r="AC792">
        <v>0</v>
      </c>
      <c r="AD792">
        <v>8</v>
      </c>
      <c r="AE792">
        <v>116133611028</v>
      </c>
      <c r="AF792" t="s">
        <v>4521</v>
      </c>
      <c r="AG792">
        <v>1</v>
      </c>
      <c r="AH792">
        <v>0</v>
      </c>
    </row>
    <row r="793" spans="1:34">
      <c r="A793">
        <v>2026</v>
      </c>
      <c r="B793" s="1">
        <v>46054</v>
      </c>
      <c r="C793" t="s">
        <v>2657</v>
      </c>
      <c r="D793" t="s">
        <v>4526</v>
      </c>
      <c r="E793" s="43">
        <v>46080.613551215276</v>
      </c>
      <c r="F793" s="1">
        <v>46080</v>
      </c>
      <c r="G793" s="43">
        <v>46080.613551215276</v>
      </c>
      <c r="H793" t="s">
        <v>2725</v>
      </c>
      <c r="I793" t="s">
        <v>2660</v>
      </c>
      <c r="J793" t="s">
        <v>39</v>
      </c>
      <c r="L793" t="s">
        <v>2408</v>
      </c>
      <c r="M793">
        <v>11613361102</v>
      </c>
      <c r="N793" t="s">
        <v>2746</v>
      </c>
      <c r="O793" s="1">
        <v>45294</v>
      </c>
      <c r="T793" t="s">
        <v>2662</v>
      </c>
      <c r="U793" t="s">
        <v>4527</v>
      </c>
      <c r="V793">
        <v>0</v>
      </c>
      <c r="W793" t="s">
        <v>2743</v>
      </c>
      <c r="X793">
        <v>1</v>
      </c>
      <c r="Y793" t="s">
        <v>2931</v>
      </c>
      <c r="AA793">
        <v>11613361102</v>
      </c>
      <c r="AB793" t="s">
        <v>1880</v>
      </c>
      <c r="AC793">
        <v>1</v>
      </c>
      <c r="AD793">
        <v>9</v>
      </c>
      <c r="AE793">
        <v>116133611029</v>
      </c>
      <c r="AF793" t="s">
        <v>4521</v>
      </c>
      <c r="AG793">
        <v>0</v>
      </c>
      <c r="AH793">
        <v>0</v>
      </c>
    </row>
    <row r="794" spans="1:34">
      <c r="A794">
        <v>2026</v>
      </c>
      <c r="B794" s="1">
        <v>46054</v>
      </c>
      <c r="C794" t="s">
        <v>2657</v>
      </c>
      <c r="D794" t="s">
        <v>4528</v>
      </c>
      <c r="E794" s="43">
        <v>46079.556384791664</v>
      </c>
      <c r="F794" s="1">
        <v>46079</v>
      </c>
      <c r="G794" s="43">
        <v>46086.635385821763</v>
      </c>
      <c r="H794" t="s">
        <v>2725</v>
      </c>
      <c r="I794" t="s">
        <v>2660</v>
      </c>
      <c r="J794" t="s">
        <v>39</v>
      </c>
      <c r="L794" t="s">
        <v>2408</v>
      </c>
      <c r="M794">
        <v>847074348102</v>
      </c>
      <c r="N794" t="s">
        <v>2746</v>
      </c>
      <c r="O794" s="1">
        <v>45457</v>
      </c>
      <c r="T794" t="s">
        <v>2662</v>
      </c>
      <c r="U794" t="s">
        <v>4529</v>
      </c>
      <c r="V794">
        <v>5</v>
      </c>
      <c r="W794" t="s">
        <v>2677</v>
      </c>
      <c r="X794">
        <v>1</v>
      </c>
      <c r="Y794" t="s">
        <v>2779</v>
      </c>
      <c r="AA794">
        <v>11613361102</v>
      </c>
      <c r="AB794" t="s">
        <v>1880</v>
      </c>
      <c r="AC794">
        <v>0</v>
      </c>
      <c r="AD794">
        <v>9</v>
      </c>
      <c r="AE794">
        <v>116133611029</v>
      </c>
      <c r="AF794" t="s">
        <v>4521</v>
      </c>
      <c r="AG794">
        <v>1</v>
      </c>
      <c r="AH794">
        <v>0</v>
      </c>
    </row>
    <row r="795" spans="1:34">
      <c r="A795">
        <v>2025</v>
      </c>
      <c r="B795" s="1">
        <v>45901</v>
      </c>
      <c r="C795" t="s">
        <v>2657</v>
      </c>
      <c r="D795" t="s">
        <v>4530</v>
      </c>
      <c r="E795" s="43">
        <v>45912.599415821758</v>
      </c>
      <c r="F795" s="1">
        <v>45912</v>
      </c>
      <c r="G795" s="43">
        <v>45912.599415821758</v>
      </c>
      <c r="H795" t="s">
        <v>2734</v>
      </c>
      <c r="I795" t="s">
        <v>2681</v>
      </c>
      <c r="J795" t="s">
        <v>2735</v>
      </c>
      <c r="L795" t="s">
        <v>2408</v>
      </c>
      <c r="M795">
        <v>10369153302</v>
      </c>
      <c r="N795" t="s">
        <v>2746</v>
      </c>
      <c r="O795" s="1">
        <v>45751</v>
      </c>
      <c r="T795" t="s">
        <v>2662</v>
      </c>
      <c r="U795" t="s">
        <v>4531</v>
      </c>
      <c r="V795">
        <v>0</v>
      </c>
      <c r="W795" t="s">
        <v>2671</v>
      </c>
      <c r="X795">
        <v>1</v>
      </c>
      <c r="Y795" t="s">
        <v>2672</v>
      </c>
      <c r="AA795">
        <v>10369153302</v>
      </c>
      <c r="AB795" t="s">
        <v>329</v>
      </c>
      <c r="AC795">
        <v>0</v>
      </c>
      <c r="AD795">
        <v>37</v>
      </c>
      <c r="AE795">
        <v>1036915330237</v>
      </c>
      <c r="AF795" t="s">
        <v>4532</v>
      </c>
      <c r="AG795">
        <v>1</v>
      </c>
      <c r="AH795">
        <v>1</v>
      </c>
    </row>
    <row r="796" spans="1:34">
      <c r="A796">
        <v>2025</v>
      </c>
      <c r="B796" s="1">
        <v>45901</v>
      </c>
      <c r="C796" t="s">
        <v>2657</v>
      </c>
      <c r="D796" t="s">
        <v>4533</v>
      </c>
      <c r="E796" s="43">
        <v>45916.606225682874</v>
      </c>
      <c r="F796" s="1">
        <v>45916</v>
      </c>
      <c r="G796" s="43">
        <v>45917.660122847221</v>
      </c>
      <c r="H796" t="s">
        <v>2734</v>
      </c>
      <c r="I796" t="s">
        <v>2719</v>
      </c>
      <c r="J796" t="s">
        <v>2735</v>
      </c>
      <c r="L796" t="s">
        <v>2408</v>
      </c>
      <c r="M796">
        <v>10369153302</v>
      </c>
      <c r="N796" t="s">
        <v>2746</v>
      </c>
      <c r="O796" s="1">
        <v>45751</v>
      </c>
      <c r="T796" t="s">
        <v>2662</v>
      </c>
      <c r="U796" t="s">
        <v>4534</v>
      </c>
      <c r="V796">
        <v>1</v>
      </c>
      <c r="W796" t="s">
        <v>2671</v>
      </c>
      <c r="X796">
        <v>1</v>
      </c>
      <c r="Y796" t="s">
        <v>2764</v>
      </c>
      <c r="AA796">
        <v>10369153302</v>
      </c>
      <c r="AB796" t="s">
        <v>329</v>
      </c>
      <c r="AC796">
        <v>0</v>
      </c>
      <c r="AD796">
        <v>38</v>
      </c>
      <c r="AE796">
        <v>1036915330238</v>
      </c>
      <c r="AF796" t="s">
        <v>4532</v>
      </c>
      <c r="AG796">
        <v>0</v>
      </c>
      <c r="AH796">
        <v>0</v>
      </c>
    </row>
    <row r="797" spans="1:34">
      <c r="A797">
        <v>2025</v>
      </c>
      <c r="B797" s="1">
        <v>45901</v>
      </c>
      <c r="C797" t="s">
        <v>2657</v>
      </c>
      <c r="D797" t="s">
        <v>4535</v>
      </c>
      <c r="E797" s="43">
        <v>45917.560192233796</v>
      </c>
      <c r="F797" s="1">
        <v>45917</v>
      </c>
      <c r="G797" s="43">
        <v>45917.560192233796</v>
      </c>
      <c r="H797" t="s">
        <v>2734</v>
      </c>
      <c r="I797" t="s">
        <v>2719</v>
      </c>
      <c r="J797" t="s">
        <v>2735</v>
      </c>
      <c r="L797" t="s">
        <v>2408</v>
      </c>
      <c r="M797">
        <v>10369153302</v>
      </c>
      <c r="N797" t="s">
        <v>2746</v>
      </c>
      <c r="O797" s="1">
        <v>45751</v>
      </c>
      <c r="T797" t="s">
        <v>2662</v>
      </c>
      <c r="U797" t="s">
        <v>4536</v>
      </c>
      <c r="V797">
        <v>0</v>
      </c>
      <c r="W797" t="s">
        <v>2985</v>
      </c>
      <c r="X797">
        <v>1</v>
      </c>
      <c r="Y797" t="s">
        <v>2695</v>
      </c>
      <c r="AA797">
        <v>10369153302</v>
      </c>
      <c r="AB797" t="s">
        <v>329</v>
      </c>
      <c r="AC797">
        <v>0</v>
      </c>
      <c r="AD797">
        <v>38</v>
      </c>
      <c r="AE797">
        <v>1036915330238</v>
      </c>
      <c r="AF797" t="s">
        <v>4532</v>
      </c>
      <c r="AG797">
        <v>0</v>
      </c>
      <c r="AH797">
        <v>0</v>
      </c>
    </row>
    <row r="798" spans="1:34">
      <c r="A798">
        <v>2025</v>
      </c>
      <c r="B798" s="1">
        <v>45901</v>
      </c>
      <c r="C798" t="s">
        <v>2657</v>
      </c>
      <c r="D798" t="s">
        <v>4537</v>
      </c>
      <c r="E798" s="43">
        <v>45915.689569456015</v>
      </c>
      <c r="F798" s="1">
        <v>45915</v>
      </c>
      <c r="G798" s="43">
        <v>45915.689569456015</v>
      </c>
      <c r="H798" t="s">
        <v>2734</v>
      </c>
      <c r="I798" t="s">
        <v>2719</v>
      </c>
      <c r="J798" t="s">
        <v>2735</v>
      </c>
      <c r="L798" t="s">
        <v>2408</v>
      </c>
      <c r="M798">
        <v>10369153302</v>
      </c>
      <c r="N798" t="s">
        <v>2746</v>
      </c>
      <c r="O798" s="1">
        <v>45751</v>
      </c>
      <c r="T798" t="s">
        <v>2662</v>
      </c>
      <c r="U798" t="s">
        <v>4538</v>
      </c>
      <c r="V798">
        <v>0</v>
      </c>
      <c r="W798" t="s">
        <v>2671</v>
      </c>
      <c r="X798">
        <v>1</v>
      </c>
      <c r="Y798" t="s">
        <v>2672</v>
      </c>
      <c r="AA798">
        <v>10369153302</v>
      </c>
      <c r="AB798" t="s">
        <v>329</v>
      </c>
      <c r="AC798">
        <v>0</v>
      </c>
      <c r="AD798">
        <v>38</v>
      </c>
      <c r="AE798">
        <v>1036915330238</v>
      </c>
      <c r="AF798" t="s">
        <v>4532</v>
      </c>
      <c r="AG798">
        <v>1</v>
      </c>
      <c r="AH798">
        <v>0</v>
      </c>
    </row>
    <row r="799" spans="1:34">
      <c r="A799">
        <v>2025</v>
      </c>
      <c r="B799" s="1">
        <v>45901</v>
      </c>
      <c r="C799" t="s">
        <v>2657</v>
      </c>
      <c r="D799" t="s">
        <v>4539</v>
      </c>
      <c r="E799" s="43">
        <v>45918.715911643521</v>
      </c>
      <c r="F799" s="1">
        <v>45918</v>
      </c>
      <c r="G799" s="43">
        <v>45923.484233414354</v>
      </c>
      <c r="H799" t="s">
        <v>2734</v>
      </c>
      <c r="I799" t="s">
        <v>2719</v>
      </c>
      <c r="J799" t="s">
        <v>2735</v>
      </c>
      <c r="L799" t="s">
        <v>2408</v>
      </c>
      <c r="M799">
        <v>639050652002</v>
      </c>
      <c r="N799" t="s">
        <v>2746</v>
      </c>
      <c r="O799" s="1">
        <v>45751</v>
      </c>
      <c r="T799" t="s">
        <v>2662</v>
      </c>
      <c r="U799" t="s">
        <v>4540</v>
      </c>
      <c r="V799">
        <v>3</v>
      </c>
      <c r="W799" t="s">
        <v>2677</v>
      </c>
      <c r="X799">
        <v>1</v>
      </c>
      <c r="Y799" t="s">
        <v>2772</v>
      </c>
      <c r="Z799" t="s">
        <v>2684</v>
      </c>
      <c r="AA799">
        <v>10369153302</v>
      </c>
      <c r="AB799" t="s">
        <v>329</v>
      </c>
      <c r="AC799">
        <v>0</v>
      </c>
      <c r="AD799">
        <v>38</v>
      </c>
      <c r="AE799">
        <v>1036915330238</v>
      </c>
      <c r="AF799" t="s">
        <v>4532</v>
      </c>
      <c r="AG799">
        <v>0</v>
      </c>
      <c r="AH799">
        <v>0</v>
      </c>
    </row>
    <row r="800" spans="1:34">
      <c r="A800">
        <v>2026</v>
      </c>
      <c r="B800" s="1">
        <v>46054</v>
      </c>
      <c r="C800" t="s">
        <v>2657</v>
      </c>
      <c r="D800" t="s">
        <v>4541</v>
      </c>
      <c r="E800" s="43">
        <v>46055.720085810186</v>
      </c>
      <c r="F800" s="1">
        <v>46055</v>
      </c>
      <c r="G800" s="43">
        <v>46056.589039166669</v>
      </c>
      <c r="H800" t="s">
        <v>2725</v>
      </c>
      <c r="I800" t="s">
        <v>2669</v>
      </c>
      <c r="J800" t="s">
        <v>38</v>
      </c>
      <c r="L800" t="s">
        <v>2342</v>
      </c>
      <c r="M800">
        <v>755841394202</v>
      </c>
      <c r="N800" t="s">
        <v>2702</v>
      </c>
      <c r="O800" s="1">
        <v>45411</v>
      </c>
      <c r="T800" t="s">
        <v>2662</v>
      </c>
      <c r="U800" t="s">
        <v>4542</v>
      </c>
      <c r="V800">
        <v>1</v>
      </c>
      <c r="W800" t="s">
        <v>2677</v>
      </c>
      <c r="X800">
        <v>1</v>
      </c>
      <c r="Y800" t="s">
        <v>2807</v>
      </c>
      <c r="AA800">
        <v>755841394202</v>
      </c>
      <c r="AB800" t="s">
        <v>376</v>
      </c>
      <c r="AC800">
        <v>0</v>
      </c>
      <c r="AD800">
        <v>6</v>
      </c>
      <c r="AE800">
        <v>7558413942026</v>
      </c>
      <c r="AF800" t="s">
        <v>4543</v>
      </c>
      <c r="AG800">
        <v>1</v>
      </c>
      <c r="AH800">
        <v>1</v>
      </c>
    </row>
    <row r="801" spans="1:34">
      <c r="A801">
        <v>2026</v>
      </c>
      <c r="B801" s="1">
        <v>46054</v>
      </c>
      <c r="C801" t="s">
        <v>2657</v>
      </c>
      <c r="D801" t="s">
        <v>4544</v>
      </c>
      <c r="E801" s="43">
        <v>46063.811816238427</v>
      </c>
      <c r="F801" s="1">
        <v>46063</v>
      </c>
      <c r="G801" s="43">
        <v>46063.811816238427</v>
      </c>
      <c r="H801" t="s">
        <v>2725</v>
      </c>
      <c r="I801" t="s">
        <v>2681</v>
      </c>
      <c r="J801" t="s">
        <v>38</v>
      </c>
      <c r="L801" t="s">
        <v>2342</v>
      </c>
      <c r="M801">
        <v>755841394202</v>
      </c>
      <c r="N801" t="s">
        <v>2702</v>
      </c>
      <c r="O801" s="1">
        <v>45411</v>
      </c>
      <c r="T801" t="s">
        <v>2662</v>
      </c>
      <c r="U801" t="s">
        <v>4545</v>
      </c>
      <c r="V801">
        <v>0</v>
      </c>
      <c r="W801" t="s">
        <v>2671</v>
      </c>
      <c r="X801">
        <v>1</v>
      </c>
      <c r="Y801" t="s">
        <v>2683</v>
      </c>
      <c r="AA801">
        <v>755841394202</v>
      </c>
      <c r="AB801" t="s">
        <v>376</v>
      </c>
      <c r="AC801">
        <v>0</v>
      </c>
      <c r="AD801">
        <v>7</v>
      </c>
      <c r="AE801">
        <v>7558413942027</v>
      </c>
      <c r="AF801" t="s">
        <v>4543</v>
      </c>
      <c r="AG801">
        <v>0</v>
      </c>
      <c r="AH801">
        <v>0</v>
      </c>
    </row>
    <row r="802" spans="1:34">
      <c r="A802">
        <v>2026</v>
      </c>
      <c r="B802" s="1">
        <v>46054</v>
      </c>
      <c r="C802" t="s">
        <v>2657</v>
      </c>
      <c r="D802" t="s">
        <v>4546</v>
      </c>
      <c r="E802" s="43">
        <v>46066.554191134259</v>
      </c>
      <c r="F802" s="1">
        <v>46066</v>
      </c>
      <c r="G802" s="43">
        <v>46066.554191134259</v>
      </c>
      <c r="H802" t="s">
        <v>2725</v>
      </c>
      <c r="I802" t="s">
        <v>2681</v>
      </c>
      <c r="J802" t="s">
        <v>38</v>
      </c>
      <c r="L802" t="s">
        <v>2342</v>
      </c>
      <c r="M802">
        <v>755841394202</v>
      </c>
      <c r="N802" t="s">
        <v>2702</v>
      </c>
      <c r="O802" s="1">
        <v>45411</v>
      </c>
      <c r="T802" t="s">
        <v>2662</v>
      </c>
      <c r="U802" t="s">
        <v>4547</v>
      </c>
      <c r="V802">
        <v>0</v>
      </c>
      <c r="W802" t="s">
        <v>2664</v>
      </c>
      <c r="X802">
        <v>1</v>
      </c>
      <c r="Y802" t="s">
        <v>2695</v>
      </c>
      <c r="AA802">
        <v>755841394202</v>
      </c>
      <c r="AB802" t="s">
        <v>376</v>
      </c>
      <c r="AC802">
        <v>0</v>
      </c>
      <c r="AD802">
        <v>7</v>
      </c>
      <c r="AE802">
        <v>7558413942027</v>
      </c>
      <c r="AF802" t="s">
        <v>4543</v>
      </c>
      <c r="AG802">
        <v>0</v>
      </c>
      <c r="AH802">
        <v>0</v>
      </c>
    </row>
    <row r="803" spans="1:34">
      <c r="A803">
        <v>2026</v>
      </c>
      <c r="B803" s="1">
        <v>46054</v>
      </c>
      <c r="C803" t="s">
        <v>2657</v>
      </c>
      <c r="D803" t="s">
        <v>4548</v>
      </c>
      <c r="E803" s="43">
        <v>46063.810960590279</v>
      </c>
      <c r="F803" s="1">
        <v>46063</v>
      </c>
      <c r="G803" s="43">
        <v>46084.75921546296</v>
      </c>
      <c r="H803" t="s">
        <v>2725</v>
      </c>
      <c r="I803" t="s">
        <v>2681</v>
      </c>
      <c r="J803" t="s">
        <v>38</v>
      </c>
      <c r="L803" t="s">
        <v>2342</v>
      </c>
      <c r="M803">
        <v>755841394202</v>
      </c>
      <c r="N803" t="s">
        <v>2702</v>
      </c>
      <c r="O803" s="1">
        <v>45411</v>
      </c>
      <c r="T803" t="s">
        <v>2662</v>
      </c>
      <c r="U803" t="s">
        <v>4549</v>
      </c>
      <c r="V803">
        <v>15</v>
      </c>
      <c r="W803" t="s">
        <v>2671</v>
      </c>
      <c r="X803">
        <v>1</v>
      </c>
      <c r="Y803" t="s">
        <v>2772</v>
      </c>
      <c r="AA803">
        <v>755841394202</v>
      </c>
      <c r="AB803" t="s">
        <v>376</v>
      </c>
      <c r="AC803">
        <v>0</v>
      </c>
      <c r="AD803">
        <v>7</v>
      </c>
      <c r="AE803">
        <v>7558413942027</v>
      </c>
      <c r="AF803" t="s">
        <v>4543</v>
      </c>
      <c r="AG803">
        <v>1</v>
      </c>
      <c r="AH803">
        <v>0</v>
      </c>
    </row>
    <row r="804" spans="1:34">
      <c r="A804">
        <v>2026</v>
      </c>
      <c r="B804" s="1">
        <v>46082</v>
      </c>
      <c r="C804" t="s">
        <v>2657</v>
      </c>
      <c r="D804" t="s">
        <v>4550</v>
      </c>
      <c r="E804" s="43">
        <v>46093.609170578704</v>
      </c>
      <c r="F804" s="1">
        <v>46093</v>
      </c>
      <c r="G804" s="43">
        <v>46093.609170578704</v>
      </c>
      <c r="H804" t="s">
        <v>2668</v>
      </c>
      <c r="I804" t="s">
        <v>2681</v>
      </c>
      <c r="J804" t="s">
        <v>39</v>
      </c>
      <c r="L804" t="s">
        <v>2353</v>
      </c>
      <c r="M804">
        <v>597004571302</v>
      </c>
      <c r="N804" t="s">
        <v>2675</v>
      </c>
      <c r="O804" s="1">
        <v>45294</v>
      </c>
      <c r="T804" t="s">
        <v>2798</v>
      </c>
      <c r="U804" t="s">
        <v>4551</v>
      </c>
      <c r="V804">
        <v>1</v>
      </c>
      <c r="W804" t="s">
        <v>2677</v>
      </c>
      <c r="X804">
        <v>0</v>
      </c>
      <c r="Y804" t="s">
        <v>2678</v>
      </c>
      <c r="AA804">
        <v>597004571302</v>
      </c>
      <c r="AB804" t="s">
        <v>2203</v>
      </c>
      <c r="AC804">
        <v>1</v>
      </c>
      <c r="AD804">
        <v>11</v>
      </c>
      <c r="AE804">
        <v>59700457130211</v>
      </c>
      <c r="AF804" t="s">
        <v>4552</v>
      </c>
      <c r="AG804">
        <v>1</v>
      </c>
      <c r="AH804">
        <v>1</v>
      </c>
    </row>
    <row r="805" spans="1:34">
      <c r="A805">
        <v>2025</v>
      </c>
      <c r="B805" s="1">
        <v>45962</v>
      </c>
      <c r="C805" t="s">
        <v>2657</v>
      </c>
      <c r="D805" t="s">
        <v>4553</v>
      </c>
      <c r="E805" s="43">
        <v>45968.674375659721</v>
      </c>
      <c r="F805" s="1">
        <v>45968</v>
      </c>
      <c r="G805" s="43">
        <v>45971.839997083334</v>
      </c>
      <c r="H805" t="s">
        <v>2802</v>
      </c>
      <c r="I805" t="s">
        <v>2669</v>
      </c>
      <c r="J805" t="s">
        <v>2735</v>
      </c>
      <c r="L805" t="s">
        <v>2362</v>
      </c>
      <c r="M805">
        <v>58401384302</v>
      </c>
      <c r="N805" t="s">
        <v>2746</v>
      </c>
      <c r="O805" s="1">
        <v>45680</v>
      </c>
      <c r="T805" t="s">
        <v>2662</v>
      </c>
      <c r="U805" t="s">
        <v>4554</v>
      </c>
      <c r="V805">
        <v>1</v>
      </c>
      <c r="X805">
        <v>1</v>
      </c>
      <c r="Y805" t="s">
        <v>2757</v>
      </c>
      <c r="AA805">
        <v>58401384302</v>
      </c>
      <c r="AB805" t="s">
        <v>1152</v>
      </c>
      <c r="AC805">
        <v>0</v>
      </c>
      <c r="AD805">
        <v>45</v>
      </c>
      <c r="AE805">
        <v>5840138430245</v>
      </c>
      <c r="AF805" t="s">
        <v>4555</v>
      </c>
      <c r="AG805">
        <v>1</v>
      </c>
      <c r="AH805">
        <v>1</v>
      </c>
    </row>
    <row r="806" spans="1:34">
      <c r="A806">
        <v>2025</v>
      </c>
      <c r="B806" s="1">
        <v>45962</v>
      </c>
      <c r="C806" t="s">
        <v>2657</v>
      </c>
      <c r="D806" t="s">
        <v>4556</v>
      </c>
      <c r="E806" s="43">
        <v>45975.619211516205</v>
      </c>
      <c r="F806" s="1">
        <v>45975</v>
      </c>
      <c r="G806" s="43">
        <v>45975.759388854167</v>
      </c>
      <c r="H806" t="s">
        <v>2802</v>
      </c>
      <c r="I806" t="s">
        <v>2681</v>
      </c>
      <c r="J806" t="s">
        <v>2735</v>
      </c>
      <c r="L806" t="s">
        <v>2362</v>
      </c>
      <c r="M806">
        <v>58401384302</v>
      </c>
      <c r="N806" t="s">
        <v>2746</v>
      </c>
      <c r="O806" s="1">
        <v>45680</v>
      </c>
      <c r="T806" t="s">
        <v>2662</v>
      </c>
      <c r="U806" t="s">
        <v>4557</v>
      </c>
      <c r="V806">
        <v>0</v>
      </c>
      <c r="W806" t="s">
        <v>2664</v>
      </c>
      <c r="X806">
        <v>1</v>
      </c>
      <c r="Y806" t="s">
        <v>2665</v>
      </c>
      <c r="AA806">
        <v>58401384302</v>
      </c>
      <c r="AB806" t="s">
        <v>1152</v>
      </c>
      <c r="AC806">
        <v>0</v>
      </c>
      <c r="AD806">
        <v>46</v>
      </c>
      <c r="AE806">
        <v>5840138430246</v>
      </c>
      <c r="AF806" t="s">
        <v>4555</v>
      </c>
      <c r="AG806">
        <v>1</v>
      </c>
      <c r="AH806">
        <v>0</v>
      </c>
    </row>
    <row r="807" spans="1:34">
      <c r="A807">
        <v>2025</v>
      </c>
      <c r="B807" s="1">
        <v>45962</v>
      </c>
      <c r="C807" t="s">
        <v>2657</v>
      </c>
      <c r="D807" s="44" t="s">
        <v>4558</v>
      </c>
      <c r="E807" s="43">
        <v>45980.560167974538</v>
      </c>
      <c r="F807" s="1">
        <v>45980</v>
      </c>
      <c r="G807" s="43">
        <v>45980.560167974538</v>
      </c>
      <c r="H807" t="s">
        <v>2802</v>
      </c>
      <c r="I807" t="s">
        <v>2719</v>
      </c>
      <c r="J807" t="s">
        <v>2735</v>
      </c>
      <c r="L807" t="s">
        <v>2362</v>
      </c>
      <c r="M807">
        <v>58401384302</v>
      </c>
      <c r="N807" t="s">
        <v>2746</v>
      </c>
      <c r="O807" s="1">
        <v>45680</v>
      </c>
      <c r="T807" t="s">
        <v>2662</v>
      </c>
      <c r="V807">
        <v>0</v>
      </c>
      <c r="W807" t="s">
        <v>2704</v>
      </c>
      <c r="X807">
        <v>1</v>
      </c>
      <c r="Y807" t="s">
        <v>2717</v>
      </c>
      <c r="AA807">
        <v>58401384302</v>
      </c>
      <c r="AB807" t="s">
        <v>1152</v>
      </c>
      <c r="AC807">
        <v>0</v>
      </c>
      <c r="AD807">
        <v>47</v>
      </c>
      <c r="AE807">
        <v>5840138430247</v>
      </c>
      <c r="AF807" t="s">
        <v>4555</v>
      </c>
      <c r="AG807">
        <v>1</v>
      </c>
      <c r="AH807">
        <v>0</v>
      </c>
    </row>
    <row r="808" spans="1:34">
      <c r="A808">
        <v>2025</v>
      </c>
      <c r="B808" s="1">
        <v>45992</v>
      </c>
      <c r="C808" t="s">
        <v>2657</v>
      </c>
      <c r="D808" t="s">
        <v>4559</v>
      </c>
      <c r="E808" s="43">
        <v>45999.855465462962</v>
      </c>
      <c r="F808" s="1">
        <v>45999</v>
      </c>
      <c r="G808" s="43">
        <v>46001.621830300923</v>
      </c>
      <c r="H808" t="s">
        <v>2686</v>
      </c>
      <c r="I808" t="s">
        <v>2681</v>
      </c>
      <c r="J808" t="s">
        <v>37</v>
      </c>
      <c r="L808" t="s">
        <v>2364</v>
      </c>
      <c r="M808">
        <v>291732783002</v>
      </c>
      <c r="N808" t="s">
        <v>2661</v>
      </c>
      <c r="O808" s="1">
        <v>45593</v>
      </c>
      <c r="T808" t="s">
        <v>2662</v>
      </c>
      <c r="U808" t="s">
        <v>4560</v>
      </c>
      <c r="V808">
        <v>2</v>
      </c>
      <c r="W808" t="s">
        <v>2671</v>
      </c>
      <c r="X808">
        <v>1</v>
      </c>
      <c r="Y808" t="s">
        <v>2695</v>
      </c>
      <c r="AA808">
        <v>434163431202</v>
      </c>
      <c r="AB808" t="s">
        <v>1258</v>
      </c>
      <c r="AC808">
        <v>0</v>
      </c>
      <c r="AD808">
        <v>50</v>
      </c>
      <c r="AE808">
        <v>43416343120250</v>
      </c>
      <c r="AF808" t="s">
        <v>4561</v>
      </c>
      <c r="AG808">
        <v>1</v>
      </c>
      <c r="AH808">
        <v>1</v>
      </c>
    </row>
    <row r="809" spans="1:34">
      <c r="A809">
        <v>2025</v>
      </c>
      <c r="B809" s="1">
        <v>45931</v>
      </c>
      <c r="C809" t="s">
        <v>2657</v>
      </c>
      <c r="D809" t="s">
        <v>4562</v>
      </c>
      <c r="E809" s="1">
        <v>45943.833495370367</v>
      </c>
      <c r="F809" s="1">
        <v>45943</v>
      </c>
      <c r="G809" s="43">
        <v>45945.66394510417</v>
      </c>
      <c r="H809" t="s">
        <v>2659</v>
      </c>
      <c r="I809" t="s">
        <v>2681</v>
      </c>
      <c r="J809" t="s">
        <v>2735</v>
      </c>
      <c r="L809" t="s">
        <v>2355</v>
      </c>
      <c r="M809">
        <v>6127997902</v>
      </c>
      <c r="N809" t="s">
        <v>2702</v>
      </c>
      <c r="O809" s="1">
        <v>44952</v>
      </c>
      <c r="T809" t="s">
        <v>2662</v>
      </c>
      <c r="U809" t="s">
        <v>3426</v>
      </c>
      <c r="V809">
        <v>2</v>
      </c>
      <c r="W809" t="s">
        <v>2677</v>
      </c>
      <c r="X809">
        <v>1</v>
      </c>
      <c r="Y809" t="s">
        <v>2807</v>
      </c>
      <c r="AA809">
        <v>366327938802</v>
      </c>
      <c r="AB809" t="s">
        <v>1985</v>
      </c>
      <c r="AC809">
        <v>0</v>
      </c>
      <c r="AD809">
        <v>42</v>
      </c>
      <c r="AE809">
        <v>36632793880242</v>
      </c>
      <c r="AF809" t="s">
        <v>4563</v>
      </c>
      <c r="AG809">
        <v>1</v>
      </c>
      <c r="AH809">
        <v>1</v>
      </c>
    </row>
    <row r="810" spans="1:34">
      <c r="A810">
        <v>2025</v>
      </c>
      <c r="B810" s="1">
        <v>45931</v>
      </c>
      <c r="C810" t="s">
        <v>2657</v>
      </c>
      <c r="D810" t="s">
        <v>4564</v>
      </c>
      <c r="E810" s="43">
        <v>45943.838042002317</v>
      </c>
      <c r="F810" s="1">
        <v>45943</v>
      </c>
      <c r="G810" s="43">
        <v>45945.66391797454</v>
      </c>
      <c r="H810" t="s">
        <v>2659</v>
      </c>
      <c r="I810" t="s">
        <v>2681</v>
      </c>
      <c r="J810" t="s">
        <v>2735</v>
      </c>
      <c r="L810" t="s">
        <v>2355</v>
      </c>
      <c r="M810">
        <v>6127997902</v>
      </c>
      <c r="N810" t="s">
        <v>2702</v>
      </c>
      <c r="O810" s="1">
        <v>44952</v>
      </c>
      <c r="T810" t="s">
        <v>2662</v>
      </c>
      <c r="U810" t="s">
        <v>4565</v>
      </c>
      <c r="V810">
        <v>2</v>
      </c>
      <c r="W810" t="s">
        <v>2677</v>
      </c>
      <c r="X810">
        <v>1</v>
      </c>
      <c r="AA810">
        <v>366327938802</v>
      </c>
      <c r="AB810" t="s">
        <v>1985</v>
      </c>
      <c r="AC810">
        <v>0</v>
      </c>
      <c r="AD810">
        <v>42</v>
      </c>
      <c r="AE810">
        <v>36632793880242</v>
      </c>
      <c r="AF810" t="s">
        <v>4563</v>
      </c>
      <c r="AG810">
        <v>0</v>
      </c>
      <c r="AH810">
        <v>0</v>
      </c>
    </row>
    <row r="811" spans="1:34">
      <c r="A811">
        <v>2025</v>
      </c>
      <c r="B811" s="1">
        <v>45931</v>
      </c>
      <c r="C811" t="s">
        <v>2657</v>
      </c>
      <c r="D811" t="s">
        <v>4566</v>
      </c>
      <c r="E811" s="43">
        <v>45945.822912673611</v>
      </c>
      <c r="F811" s="1">
        <v>45945</v>
      </c>
      <c r="G811" s="43">
        <v>45952.659889270835</v>
      </c>
      <c r="H811" t="s">
        <v>2659</v>
      </c>
      <c r="I811" t="s">
        <v>2719</v>
      </c>
      <c r="J811" t="s">
        <v>2735</v>
      </c>
      <c r="L811" t="s">
        <v>2355</v>
      </c>
      <c r="M811">
        <v>6127997902</v>
      </c>
      <c r="N811" t="s">
        <v>2702</v>
      </c>
      <c r="O811" s="1">
        <v>44952</v>
      </c>
      <c r="T811" t="s">
        <v>2662</v>
      </c>
      <c r="U811" t="s">
        <v>4567</v>
      </c>
      <c r="V811">
        <v>5</v>
      </c>
      <c r="W811" t="s">
        <v>2677</v>
      </c>
      <c r="X811">
        <v>1</v>
      </c>
      <c r="Y811" t="s">
        <v>2779</v>
      </c>
      <c r="Z811" t="s">
        <v>2684</v>
      </c>
      <c r="AA811">
        <v>366327938802</v>
      </c>
      <c r="AB811" t="s">
        <v>1985</v>
      </c>
      <c r="AC811">
        <v>0</v>
      </c>
      <c r="AD811">
        <v>42</v>
      </c>
      <c r="AE811">
        <v>36632793880242</v>
      </c>
      <c r="AF811" t="s">
        <v>4563</v>
      </c>
      <c r="AG811">
        <v>0</v>
      </c>
      <c r="AH811">
        <v>0</v>
      </c>
    </row>
    <row r="812" spans="1:34">
      <c r="A812">
        <v>2025</v>
      </c>
      <c r="B812" s="1">
        <v>45931</v>
      </c>
      <c r="C812" t="s">
        <v>2657</v>
      </c>
      <c r="D812" t="s">
        <v>4568</v>
      </c>
      <c r="E812" s="43">
        <v>45954.549812997684</v>
      </c>
      <c r="F812" s="1">
        <v>45954</v>
      </c>
      <c r="G812" s="43">
        <v>45957.486308344909</v>
      </c>
      <c r="H812" t="s">
        <v>2659</v>
      </c>
      <c r="I812" t="s">
        <v>2660</v>
      </c>
      <c r="J812" t="s">
        <v>2735</v>
      </c>
      <c r="L812" t="s">
        <v>2355</v>
      </c>
      <c r="M812">
        <v>6127997902</v>
      </c>
      <c r="N812" t="s">
        <v>2702</v>
      </c>
      <c r="O812" s="1">
        <v>44952</v>
      </c>
      <c r="T812" t="s">
        <v>2662</v>
      </c>
      <c r="U812" t="s">
        <v>4569</v>
      </c>
      <c r="V812">
        <v>1</v>
      </c>
      <c r="W812" t="s">
        <v>2664</v>
      </c>
      <c r="X812">
        <v>1</v>
      </c>
      <c r="Y812" t="s">
        <v>2931</v>
      </c>
      <c r="AA812">
        <v>366327938802</v>
      </c>
      <c r="AB812" t="s">
        <v>1985</v>
      </c>
      <c r="AC812">
        <v>0</v>
      </c>
      <c r="AD812">
        <v>43</v>
      </c>
      <c r="AE812">
        <v>36632793880243</v>
      </c>
      <c r="AF812" t="s">
        <v>4563</v>
      </c>
      <c r="AG812">
        <v>1</v>
      </c>
      <c r="AH812">
        <v>0</v>
      </c>
    </row>
    <row r="813" spans="1:34">
      <c r="A813">
        <v>2025</v>
      </c>
      <c r="B813" s="1">
        <v>45870</v>
      </c>
      <c r="C813" t="s">
        <v>2657</v>
      </c>
      <c r="D813" t="s">
        <v>4570</v>
      </c>
      <c r="E813" s="43">
        <v>45870.620401099535</v>
      </c>
      <c r="F813" s="1">
        <v>45870</v>
      </c>
      <c r="G813" s="43">
        <v>45894.658138553241</v>
      </c>
      <c r="H813" t="s">
        <v>3088</v>
      </c>
      <c r="I813" t="s">
        <v>2669</v>
      </c>
      <c r="J813" t="s">
        <v>2735</v>
      </c>
      <c r="L813" t="s">
        <v>2421</v>
      </c>
      <c r="M813">
        <v>55427353102</v>
      </c>
      <c r="N813" t="s">
        <v>2661</v>
      </c>
      <c r="O813" s="1">
        <v>45294</v>
      </c>
      <c r="T813" t="s">
        <v>2662</v>
      </c>
      <c r="U813" t="s">
        <v>4571</v>
      </c>
      <c r="V813">
        <v>16</v>
      </c>
      <c r="W813" t="s">
        <v>2677</v>
      </c>
      <c r="X813">
        <v>1</v>
      </c>
      <c r="Y813" t="s">
        <v>2807</v>
      </c>
      <c r="Z813" t="s">
        <v>2684</v>
      </c>
      <c r="AA813">
        <v>55427353102</v>
      </c>
      <c r="AB813" t="s">
        <v>1972</v>
      </c>
      <c r="AC813">
        <v>0</v>
      </c>
      <c r="AD813">
        <v>31</v>
      </c>
      <c r="AE813">
        <v>5542735310231</v>
      </c>
      <c r="AF813" t="s">
        <v>4572</v>
      </c>
      <c r="AG813">
        <v>0</v>
      </c>
      <c r="AH813">
        <v>1</v>
      </c>
    </row>
    <row r="814" spans="1:34">
      <c r="A814">
        <v>2025</v>
      </c>
      <c r="B814" s="1">
        <v>45870</v>
      </c>
      <c r="C814" t="s">
        <v>2657</v>
      </c>
      <c r="D814" t="s">
        <v>4573</v>
      </c>
      <c r="E814" s="43">
        <v>45873.51520736111</v>
      </c>
      <c r="F814" s="1">
        <v>45873</v>
      </c>
      <c r="G814" s="43">
        <v>45888.860494155095</v>
      </c>
      <c r="H814" t="s">
        <v>3088</v>
      </c>
      <c r="I814" t="s">
        <v>2669</v>
      </c>
      <c r="J814" t="s">
        <v>2735</v>
      </c>
      <c r="L814" t="s">
        <v>2421</v>
      </c>
      <c r="M814">
        <v>55427353102</v>
      </c>
      <c r="N814" t="s">
        <v>2661</v>
      </c>
      <c r="O814" s="1">
        <v>45294</v>
      </c>
      <c r="T814" t="s">
        <v>2662</v>
      </c>
      <c r="U814" t="s">
        <v>4574</v>
      </c>
      <c r="V814">
        <v>11</v>
      </c>
      <c r="W814" t="s">
        <v>2677</v>
      </c>
      <c r="X814">
        <v>1</v>
      </c>
      <c r="Y814" t="s">
        <v>2807</v>
      </c>
      <c r="AA814">
        <v>55427353102</v>
      </c>
      <c r="AB814" t="s">
        <v>1972</v>
      </c>
      <c r="AC814">
        <v>0</v>
      </c>
      <c r="AD814">
        <v>32</v>
      </c>
      <c r="AE814">
        <v>5542735310232</v>
      </c>
      <c r="AF814" t="s">
        <v>4572</v>
      </c>
      <c r="AG814">
        <v>1</v>
      </c>
      <c r="AH814">
        <v>0</v>
      </c>
    </row>
    <row r="815" spans="1:34">
      <c r="A815">
        <v>2025</v>
      </c>
      <c r="B815" s="1">
        <v>45870</v>
      </c>
      <c r="C815" t="s">
        <v>2657</v>
      </c>
      <c r="D815" t="s">
        <v>4575</v>
      </c>
      <c r="E815" s="43">
        <v>45889.663435949071</v>
      </c>
      <c r="F815" s="1">
        <v>45889</v>
      </c>
      <c r="G815" s="43">
        <v>45901.620538148149</v>
      </c>
      <c r="H815" t="s">
        <v>3088</v>
      </c>
      <c r="I815" t="s">
        <v>2719</v>
      </c>
      <c r="J815" t="s">
        <v>2735</v>
      </c>
      <c r="L815" t="s">
        <v>2421</v>
      </c>
      <c r="M815">
        <v>55427353102</v>
      </c>
      <c r="N815" t="s">
        <v>2661</v>
      </c>
      <c r="O815" s="1">
        <v>45294</v>
      </c>
      <c r="T815" t="s">
        <v>2662</v>
      </c>
      <c r="U815" t="s">
        <v>4576</v>
      </c>
      <c r="V815">
        <v>8</v>
      </c>
      <c r="W815" t="s">
        <v>2671</v>
      </c>
      <c r="X815">
        <v>1</v>
      </c>
      <c r="Y815" t="s">
        <v>2683</v>
      </c>
      <c r="Z815" t="s">
        <v>2684</v>
      </c>
      <c r="AA815">
        <v>55427353102</v>
      </c>
      <c r="AB815" t="s">
        <v>1972</v>
      </c>
      <c r="AC815">
        <v>0</v>
      </c>
      <c r="AD815">
        <v>34</v>
      </c>
      <c r="AE815">
        <v>5542735310234</v>
      </c>
      <c r="AF815" t="s">
        <v>4572</v>
      </c>
      <c r="AG815">
        <v>1</v>
      </c>
      <c r="AH815">
        <v>0</v>
      </c>
    </row>
    <row r="816" spans="1:34">
      <c r="A816">
        <v>2025</v>
      </c>
      <c r="B816" s="1">
        <v>45870</v>
      </c>
      <c r="C816" t="s">
        <v>2657</v>
      </c>
      <c r="D816" t="s">
        <v>4577</v>
      </c>
      <c r="E816" s="43">
        <v>45890.602226886571</v>
      </c>
      <c r="F816" s="1">
        <v>45890</v>
      </c>
      <c r="G816" s="43">
        <v>45890.722699502316</v>
      </c>
      <c r="H816" t="s">
        <v>3088</v>
      </c>
      <c r="I816" t="s">
        <v>2719</v>
      </c>
      <c r="J816" t="s">
        <v>2735</v>
      </c>
      <c r="L816" t="s">
        <v>2421</v>
      </c>
      <c r="M816">
        <v>55427353102</v>
      </c>
      <c r="N816" t="s">
        <v>2661</v>
      </c>
      <c r="O816" s="1">
        <v>45294</v>
      </c>
      <c r="T816" t="s">
        <v>2662</v>
      </c>
      <c r="U816" t="s">
        <v>4578</v>
      </c>
      <c r="V816">
        <v>0</v>
      </c>
      <c r="W816" t="s">
        <v>2671</v>
      </c>
      <c r="X816">
        <v>1</v>
      </c>
      <c r="Y816" t="s">
        <v>2764</v>
      </c>
      <c r="AA816">
        <v>55427353102</v>
      </c>
      <c r="AB816" t="s">
        <v>1972</v>
      </c>
      <c r="AC816">
        <v>0</v>
      </c>
      <c r="AD816">
        <v>34</v>
      </c>
      <c r="AE816">
        <v>5542735310234</v>
      </c>
      <c r="AF816" t="s">
        <v>4572</v>
      </c>
      <c r="AG816">
        <v>0</v>
      </c>
      <c r="AH816">
        <v>0</v>
      </c>
    </row>
    <row r="817" spans="1:34">
      <c r="A817">
        <v>2025</v>
      </c>
      <c r="B817" s="1">
        <v>45870</v>
      </c>
      <c r="C817" t="s">
        <v>2657</v>
      </c>
      <c r="D817" t="s">
        <v>4579</v>
      </c>
      <c r="E817" s="43">
        <v>45897.512062037036</v>
      </c>
      <c r="F817" s="1">
        <v>45897</v>
      </c>
      <c r="G817" s="43">
        <v>45897.512062037036</v>
      </c>
      <c r="H817" t="s">
        <v>3088</v>
      </c>
      <c r="I817" t="s">
        <v>2660</v>
      </c>
      <c r="J817" t="s">
        <v>2735</v>
      </c>
      <c r="L817" t="s">
        <v>2421</v>
      </c>
      <c r="M817">
        <v>55427353102</v>
      </c>
      <c r="N817" t="s">
        <v>2661</v>
      </c>
      <c r="O817" s="1">
        <v>45294</v>
      </c>
      <c r="T817" t="s">
        <v>2662</v>
      </c>
      <c r="U817" t="s">
        <v>4580</v>
      </c>
      <c r="V817">
        <v>0</v>
      </c>
      <c r="W817" t="s">
        <v>2985</v>
      </c>
      <c r="X817">
        <v>1</v>
      </c>
      <c r="Y817" t="s">
        <v>2695</v>
      </c>
      <c r="AA817">
        <v>55427353102</v>
      </c>
      <c r="AB817" t="s">
        <v>1972</v>
      </c>
      <c r="AC817">
        <v>0</v>
      </c>
      <c r="AD817">
        <v>35</v>
      </c>
      <c r="AE817">
        <v>5542735310235</v>
      </c>
      <c r="AF817" t="s">
        <v>4572</v>
      </c>
      <c r="AG817">
        <v>1</v>
      </c>
      <c r="AH817">
        <v>0</v>
      </c>
    </row>
    <row r="818" spans="1:34">
      <c r="A818">
        <v>2025</v>
      </c>
      <c r="B818" s="1">
        <v>45962</v>
      </c>
      <c r="C818" t="s">
        <v>2657</v>
      </c>
      <c r="D818" t="s">
        <v>4581</v>
      </c>
      <c r="E818" s="43">
        <v>45968.663904675923</v>
      </c>
      <c r="F818" s="1">
        <v>45968</v>
      </c>
      <c r="G818" s="43">
        <v>45971.634649768515</v>
      </c>
      <c r="H818" t="s">
        <v>2802</v>
      </c>
      <c r="I818" t="s">
        <v>2669</v>
      </c>
      <c r="J818" t="s">
        <v>2735</v>
      </c>
      <c r="L818" t="s">
        <v>2336</v>
      </c>
      <c r="M818">
        <v>449549597602</v>
      </c>
      <c r="N818" t="s">
        <v>2702</v>
      </c>
      <c r="O818" s="1">
        <v>45358</v>
      </c>
      <c r="T818" t="s">
        <v>2662</v>
      </c>
      <c r="U818" t="s">
        <v>4582</v>
      </c>
      <c r="V818">
        <v>1</v>
      </c>
      <c r="W818" t="s">
        <v>2677</v>
      </c>
      <c r="X818">
        <v>1</v>
      </c>
      <c r="Y818" t="s">
        <v>2678</v>
      </c>
      <c r="AA818">
        <v>449549597602</v>
      </c>
      <c r="AB818" t="s">
        <v>1726</v>
      </c>
      <c r="AC818">
        <v>0</v>
      </c>
      <c r="AD818">
        <v>45</v>
      </c>
      <c r="AE818">
        <v>44954959760245</v>
      </c>
      <c r="AF818" t="s">
        <v>4583</v>
      </c>
      <c r="AG818">
        <v>0</v>
      </c>
      <c r="AH818">
        <v>0</v>
      </c>
    </row>
    <row r="819" spans="1:34">
      <c r="A819">
        <v>2025</v>
      </c>
      <c r="B819" s="1">
        <v>45962</v>
      </c>
      <c r="C819" t="s">
        <v>2657</v>
      </c>
      <c r="D819" s="44" t="s">
        <v>4584</v>
      </c>
      <c r="E819" s="1">
        <v>45968.729212962964</v>
      </c>
      <c r="F819" s="1">
        <v>45968</v>
      </c>
      <c r="G819" s="43">
        <v>45978.786022881941</v>
      </c>
      <c r="H819" t="s">
        <v>2802</v>
      </c>
      <c r="I819" t="s">
        <v>2669</v>
      </c>
      <c r="J819" t="s">
        <v>2735</v>
      </c>
      <c r="L819" t="s">
        <v>2336</v>
      </c>
      <c r="M819">
        <v>449549597602</v>
      </c>
      <c r="N819" t="s">
        <v>2702</v>
      </c>
      <c r="O819" s="1">
        <v>45358</v>
      </c>
      <c r="T819" t="s">
        <v>2662</v>
      </c>
      <c r="U819" t="s">
        <v>4585</v>
      </c>
      <c r="V819">
        <v>6</v>
      </c>
      <c r="W819" t="s">
        <v>2677</v>
      </c>
      <c r="X819">
        <v>1</v>
      </c>
      <c r="Y819" t="s">
        <v>2678</v>
      </c>
      <c r="AA819">
        <v>449549597602</v>
      </c>
      <c r="AB819" t="s">
        <v>1726</v>
      </c>
      <c r="AC819">
        <v>0</v>
      </c>
      <c r="AD819">
        <v>45</v>
      </c>
      <c r="AE819">
        <v>44954959760245</v>
      </c>
      <c r="AF819" t="s">
        <v>4583</v>
      </c>
      <c r="AG819">
        <v>0</v>
      </c>
      <c r="AH819">
        <v>0</v>
      </c>
    </row>
    <row r="820" spans="1:34">
      <c r="A820">
        <v>2025</v>
      </c>
      <c r="B820" s="1">
        <v>45962</v>
      </c>
      <c r="C820" t="s">
        <v>2657</v>
      </c>
      <c r="D820" t="s">
        <v>4586</v>
      </c>
      <c r="E820" s="43">
        <v>45964.562801597225</v>
      </c>
      <c r="F820" s="1">
        <v>45964</v>
      </c>
      <c r="G820" s="43">
        <v>45967.539459293985</v>
      </c>
      <c r="H820" t="s">
        <v>2802</v>
      </c>
      <c r="I820" t="s">
        <v>2669</v>
      </c>
      <c r="J820" t="s">
        <v>2735</v>
      </c>
      <c r="L820" t="s">
        <v>2336</v>
      </c>
      <c r="M820">
        <v>449549597602</v>
      </c>
      <c r="N820" t="s">
        <v>2702</v>
      </c>
      <c r="O820" s="1">
        <v>45358</v>
      </c>
      <c r="T820" t="s">
        <v>2662</v>
      </c>
      <c r="U820" t="s">
        <v>4587</v>
      </c>
      <c r="V820">
        <v>3</v>
      </c>
      <c r="W820" t="s">
        <v>2677</v>
      </c>
      <c r="X820">
        <v>1</v>
      </c>
      <c r="Y820" t="s">
        <v>2678</v>
      </c>
      <c r="AA820">
        <v>449549597602</v>
      </c>
      <c r="AB820" t="s">
        <v>1726</v>
      </c>
      <c r="AC820">
        <v>0</v>
      </c>
      <c r="AD820">
        <v>45</v>
      </c>
      <c r="AE820">
        <v>44954959760245</v>
      </c>
      <c r="AF820" t="s">
        <v>4583</v>
      </c>
      <c r="AG820">
        <v>1</v>
      </c>
      <c r="AH820">
        <v>1</v>
      </c>
    </row>
    <row r="821" spans="1:34">
      <c r="A821">
        <v>2025</v>
      </c>
      <c r="B821" s="1">
        <v>45962</v>
      </c>
      <c r="C821" t="s">
        <v>2657</v>
      </c>
      <c r="D821" t="s">
        <v>4588</v>
      </c>
      <c r="E821" s="43">
        <v>45964.840322164353</v>
      </c>
      <c r="F821" s="1">
        <v>45964</v>
      </c>
      <c r="G821" s="43">
        <v>45975.659336805555</v>
      </c>
      <c r="H821" t="s">
        <v>2802</v>
      </c>
      <c r="I821" t="s">
        <v>2669</v>
      </c>
      <c r="J821" t="s">
        <v>2735</v>
      </c>
      <c r="L821" t="s">
        <v>2336</v>
      </c>
      <c r="M821">
        <v>449549597602</v>
      </c>
      <c r="N821" t="s">
        <v>2702</v>
      </c>
      <c r="O821" s="1">
        <v>45358</v>
      </c>
      <c r="T821" t="s">
        <v>2662</v>
      </c>
      <c r="U821" t="s">
        <v>3335</v>
      </c>
      <c r="V821">
        <v>9</v>
      </c>
      <c r="W821" t="s">
        <v>2677</v>
      </c>
      <c r="X821">
        <v>1</v>
      </c>
      <c r="Y821" t="s">
        <v>2678</v>
      </c>
      <c r="AA821">
        <v>449549597602</v>
      </c>
      <c r="AB821" t="s">
        <v>1726</v>
      </c>
      <c r="AC821">
        <v>0</v>
      </c>
      <c r="AD821">
        <v>45</v>
      </c>
      <c r="AE821">
        <v>44954959760245</v>
      </c>
      <c r="AF821" t="s">
        <v>4583</v>
      </c>
      <c r="AG821">
        <v>0</v>
      </c>
      <c r="AH821">
        <v>0</v>
      </c>
    </row>
    <row r="822" spans="1:34">
      <c r="A822">
        <v>2025</v>
      </c>
      <c r="B822" s="1">
        <v>45962</v>
      </c>
      <c r="C822" t="s">
        <v>2657</v>
      </c>
      <c r="D822" t="s">
        <v>4589</v>
      </c>
      <c r="E822" s="43">
        <v>45965.615165150462</v>
      </c>
      <c r="F822" s="1">
        <v>45965</v>
      </c>
      <c r="G822" s="43">
        <v>45968.654349502314</v>
      </c>
      <c r="H822" t="s">
        <v>2802</v>
      </c>
      <c r="I822" t="s">
        <v>2669</v>
      </c>
      <c r="J822" t="s">
        <v>2735</v>
      </c>
      <c r="L822" t="s">
        <v>2336</v>
      </c>
      <c r="M822">
        <v>449549597602</v>
      </c>
      <c r="N822" t="s">
        <v>2702</v>
      </c>
      <c r="O822" s="1">
        <v>45358</v>
      </c>
      <c r="T822" t="s">
        <v>2662</v>
      </c>
      <c r="U822" t="s">
        <v>4590</v>
      </c>
      <c r="V822">
        <v>3</v>
      </c>
      <c r="W822" t="s">
        <v>2677</v>
      </c>
      <c r="X822">
        <v>1</v>
      </c>
      <c r="Y822" t="s">
        <v>2678</v>
      </c>
      <c r="AA822">
        <v>449549597602</v>
      </c>
      <c r="AB822" t="s">
        <v>1726</v>
      </c>
      <c r="AC822">
        <v>0</v>
      </c>
      <c r="AD822">
        <v>45</v>
      </c>
      <c r="AE822">
        <v>44954959760245</v>
      </c>
      <c r="AF822" t="s">
        <v>4583</v>
      </c>
      <c r="AG822">
        <v>0</v>
      </c>
      <c r="AH822">
        <v>0</v>
      </c>
    </row>
    <row r="823" spans="1:34">
      <c r="A823">
        <v>2025</v>
      </c>
      <c r="B823" s="1">
        <v>45962</v>
      </c>
      <c r="C823" t="s">
        <v>2657</v>
      </c>
      <c r="D823" t="s">
        <v>4591</v>
      </c>
      <c r="E823" s="43">
        <v>45973.736593564812</v>
      </c>
      <c r="F823" s="1">
        <v>45973</v>
      </c>
      <c r="G823" s="43">
        <v>45974.535463645836</v>
      </c>
      <c r="H823" t="s">
        <v>2802</v>
      </c>
      <c r="I823" t="s">
        <v>2681</v>
      </c>
      <c r="J823" t="s">
        <v>2735</v>
      </c>
      <c r="L823" t="s">
        <v>2336</v>
      </c>
      <c r="M823">
        <v>449549597602</v>
      </c>
      <c r="N823" t="s">
        <v>2702</v>
      </c>
      <c r="O823" s="1">
        <v>45358</v>
      </c>
      <c r="T823" t="s">
        <v>2662</v>
      </c>
      <c r="U823" t="s">
        <v>4592</v>
      </c>
      <c r="V823">
        <v>1</v>
      </c>
      <c r="W823" t="s">
        <v>2677</v>
      </c>
      <c r="X823">
        <v>1</v>
      </c>
      <c r="Y823" t="s">
        <v>2807</v>
      </c>
      <c r="AA823">
        <v>449549597602</v>
      </c>
      <c r="AB823" t="s">
        <v>1726</v>
      </c>
      <c r="AC823">
        <v>0</v>
      </c>
      <c r="AD823">
        <v>46</v>
      </c>
      <c r="AE823">
        <v>44954959760246</v>
      </c>
      <c r="AF823" t="s">
        <v>4583</v>
      </c>
      <c r="AG823">
        <v>0</v>
      </c>
      <c r="AH823">
        <v>0</v>
      </c>
    </row>
    <row r="824" spans="1:34">
      <c r="A824">
        <v>2025</v>
      </c>
      <c r="B824" s="1">
        <v>45962</v>
      </c>
      <c r="C824" t="s">
        <v>2657</v>
      </c>
      <c r="D824" t="s">
        <v>4593</v>
      </c>
      <c r="E824" s="43">
        <v>45974.556962812501</v>
      </c>
      <c r="F824" s="1">
        <v>45974</v>
      </c>
      <c r="G824" s="43">
        <v>45974.556962812501</v>
      </c>
      <c r="H824" t="s">
        <v>2802</v>
      </c>
      <c r="I824" t="s">
        <v>2681</v>
      </c>
      <c r="J824" t="s">
        <v>2735</v>
      </c>
      <c r="L824" t="s">
        <v>2336</v>
      </c>
      <c r="M824">
        <v>449549597602</v>
      </c>
      <c r="N824" t="s">
        <v>2702</v>
      </c>
      <c r="O824" s="1">
        <v>45358</v>
      </c>
      <c r="T824" t="s">
        <v>2662</v>
      </c>
      <c r="U824" t="s">
        <v>4594</v>
      </c>
      <c r="V824">
        <v>0</v>
      </c>
      <c r="W824" t="s">
        <v>2671</v>
      </c>
      <c r="X824">
        <v>1</v>
      </c>
      <c r="Y824" t="s">
        <v>2695</v>
      </c>
      <c r="AA824">
        <v>449549597602</v>
      </c>
      <c r="AB824" t="s">
        <v>1726</v>
      </c>
      <c r="AC824">
        <v>0</v>
      </c>
      <c r="AD824">
        <v>46</v>
      </c>
      <c r="AE824">
        <v>44954959760246</v>
      </c>
      <c r="AF824" t="s">
        <v>4583</v>
      </c>
      <c r="AG824">
        <v>0</v>
      </c>
      <c r="AH824">
        <v>0</v>
      </c>
    </row>
    <row r="825" spans="1:34">
      <c r="A825">
        <v>2025</v>
      </c>
      <c r="B825" s="1">
        <v>45962</v>
      </c>
      <c r="C825" t="s">
        <v>2657</v>
      </c>
      <c r="D825" t="s">
        <v>4595</v>
      </c>
      <c r="E825" s="43">
        <v>45974.813515231479</v>
      </c>
      <c r="F825" s="1">
        <v>45974</v>
      </c>
      <c r="G825" s="43">
        <v>45979.538775729168</v>
      </c>
      <c r="H825" t="s">
        <v>2802</v>
      </c>
      <c r="I825" t="s">
        <v>2681</v>
      </c>
      <c r="J825" t="s">
        <v>2735</v>
      </c>
      <c r="L825" t="s">
        <v>2336</v>
      </c>
      <c r="M825">
        <v>449549597602</v>
      </c>
      <c r="N825" t="s">
        <v>2702</v>
      </c>
      <c r="O825" s="1">
        <v>45358</v>
      </c>
      <c r="T825" t="s">
        <v>2662</v>
      </c>
      <c r="U825" t="s">
        <v>4596</v>
      </c>
      <c r="V825">
        <v>3</v>
      </c>
      <c r="W825" t="s">
        <v>2677</v>
      </c>
      <c r="X825">
        <v>1</v>
      </c>
      <c r="Y825" t="s">
        <v>2678</v>
      </c>
      <c r="Z825" t="s">
        <v>2684</v>
      </c>
      <c r="AA825">
        <v>449549597602</v>
      </c>
      <c r="AB825" t="s">
        <v>1726</v>
      </c>
      <c r="AC825">
        <v>0</v>
      </c>
      <c r="AD825">
        <v>46</v>
      </c>
      <c r="AE825">
        <v>44954959760246</v>
      </c>
      <c r="AF825" t="s">
        <v>4583</v>
      </c>
      <c r="AG825">
        <v>0</v>
      </c>
      <c r="AH825">
        <v>0</v>
      </c>
    </row>
    <row r="826" spans="1:34">
      <c r="A826">
        <v>2025</v>
      </c>
      <c r="B826" s="1">
        <v>45962</v>
      </c>
      <c r="C826" t="s">
        <v>2657</v>
      </c>
      <c r="D826" t="s">
        <v>4597</v>
      </c>
      <c r="E826" s="43">
        <v>45973.609609965279</v>
      </c>
      <c r="F826" s="1">
        <v>45973</v>
      </c>
      <c r="G826" s="43">
        <v>45975.756500613425</v>
      </c>
      <c r="H826" t="s">
        <v>2802</v>
      </c>
      <c r="I826" t="s">
        <v>2681</v>
      </c>
      <c r="J826" t="s">
        <v>2735</v>
      </c>
      <c r="L826" t="s">
        <v>2336</v>
      </c>
      <c r="M826">
        <v>449549597602</v>
      </c>
      <c r="N826" t="s">
        <v>2702</v>
      </c>
      <c r="O826" s="1">
        <v>45358</v>
      </c>
      <c r="T826" t="s">
        <v>2662</v>
      </c>
      <c r="U826" t="s">
        <v>4598</v>
      </c>
      <c r="V826">
        <v>2</v>
      </c>
      <c r="W826" t="s">
        <v>2677</v>
      </c>
      <c r="X826">
        <v>1</v>
      </c>
      <c r="Y826" t="s">
        <v>2807</v>
      </c>
      <c r="AA826">
        <v>449549597602</v>
      </c>
      <c r="AB826" t="s">
        <v>1726</v>
      </c>
      <c r="AC826">
        <v>0</v>
      </c>
      <c r="AD826">
        <v>46</v>
      </c>
      <c r="AE826">
        <v>44954959760246</v>
      </c>
      <c r="AF826" t="s">
        <v>4583</v>
      </c>
      <c r="AG826">
        <v>0</v>
      </c>
      <c r="AH826">
        <v>0</v>
      </c>
    </row>
    <row r="827" spans="1:34">
      <c r="A827">
        <v>2025</v>
      </c>
      <c r="B827" s="1">
        <v>45962</v>
      </c>
      <c r="C827" t="s">
        <v>2657</v>
      </c>
      <c r="D827" t="s">
        <v>4599</v>
      </c>
      <c r="E827" s="43">
        <v>45975.828660104169</v>
      </c>
      <c r="F827" s="1">
        <v>45975</v>
      </c>
      <c r="G827" s="43">
        <v>45979.579050671295</v>
      </c>
      <c r="H827" t="s">
        <v>2802</v>
      </c>
      <c r="I827" t="s">
        <v>2681</v>
      </c>
      <c r="J827" t="s">
        <v>2735</v>
      </c>
      <c r="L827" t="s">
        <v>2336</v>
      </c>
      <c r="M827">
        <v>449549597602</v>
      </c>
      <c r="N827" t="s">
        <v>2702</v>
      </c>
      <c r="O827" s="1">
        <v>45358</v>
      </c>
      <c r="T827" t="s">
        <v>2662</v>
      </c>
      <c r="U827" t="s">
        <v>4600</v>
      </c>
      <c r="V827">
        <v>2</v>
      </c>
      <c r="W827" t="s">
        <v>2677</v>
      </c>
      <c r="X827">
        <v>1</v>
      </c>
      <c r="Y827" t="s">
        <v>2807</v>
      </c>
      <c r="AA827">
        <v>449549597602</v>
      </c>
      <c r="AB827" t="s">
        <v>1726</v>
      </c>
      <c r="AC827">
        <v>0</v>
      </c>
      <c r="AD827">
        <v>46</v>
      </c>
      <c r="AE827">
        <v>44954959760246</v>
      </c>
      <c r="AF827" t="s">
        <v>4583</v>
      </c>
      <c r="AG827">
        <v>0</v>
      </c>
      <c r="AH827">
        <v>0</v>
      </c>
    </row>
    <row r="828" spans="1:34">
      <c r="A828">
        <v>2025</v>
      </c>
      <c r="B828" s="1">
        <v>45962</v>
      </c>
      <c r="C828" t="s">
        <v>2657</v>
      </c>
      <c r="D828" s="44" t="s">
        <v>4601</v>
      </c>
      <c r="E828" s="43">
        <v>45975.60315476852</v>
      </c>
      <c r="F828" s="1">
        <v>45975</v>
      </c>
      <c r="G828" s="43">
        <v>45975.734920138886</v>
      </c>
      <c r="H828" t="s">
        <v>2802</v>
      </c>
      <c r="I828" t="s">
        <v>2681</v>
      </c>
      <c r="J828" t="s">
        <v>2735</v>
      </c>
      <c r="L828" t="s">
        <v>2336</v>
      </c>
      <c r="M828">
        <v>449549597602</v>
      </c>
      <c r="N828" t="s">
        <v>2702</v>
      </c>
      <c r="O828" s="1">
        <v>45358</v>
      </c>
      <c r="T828" t="s">
        <v>2662</v>
      </c>
      <c r="U828" t="s">
        <v>4602</v>
      </c>
      <c r="V828">
        <v>0</v>
      </c>
      <c r="W828" t="s">
        <v>2704</v>
      </c>
      <c r="X828">
        <v>1</v>
      </c>
      <c r="Y828" t="s">
        <v>2764</v>
      </c>
      <c r="AA828">
        <v>449549597602</v>
      </c>
      <c r="AB828" t="s">
        <v>1726</v>
      </c>
      <c r="AC828">
        <v>0</v>
      </c>
      <c r="AD828">
        <v>46</v>
      </c>
      <c r="AE828">
        <v>44954959760246</v>
      </c>
      <c r="AF828" t="s">
        <v>4583</v>
      </c>
      <c r="AG828">
        <v>0</v>
      </c>
      <c r="AH828">
        <v>0</v>
      </c>
    </row>
    <row r="829" spans="1:34">
      <c r="A829">
        <v>2025</v>
      </c>
      <c r="B829" s="1">
        <v>45962</v>
      </c>
      <c r="C829" t="s">
        <v>2657</v>
      </c>
      <c r="D829" t="s">
        <v>4603</v>
      </c>
      <c r="E829" s="43">
        <v>45973.608919224534</v>
      </c>
      <c r="F829" s="1">
        <v>45973</v>
      </c>
      <c r="G829" s="43">
        <v>45974.665274826388</v>
      </c>
      <c r="H829" t="s">
        <v>2802</v>
      </c>
      <c r="I829" t="s">
        <v>2681</v>
      </c>
      <c r="J829" t="s">
        <v>2735</v>
      </c>
      <c r="L829" t="s">
        <v>2336</v>
      </c>
      <c r="M829">
        <v>449549597602</v>
      </c>
      <c r="N829" t="s">
        <v>2702</v>
      </c>
      <c r="O829" s="1">
        <v>45358</v>
      </c>
      <c r="T829" t="s">
        <v>2662</v>
      </c>
      <c r="U829" t="s">
        <v>4604</v>
      </c>
      <c r="V829">
        <v>1</v>
      </c>
      <c r="W829" t="s">
        <v>2677</v>
      </c>
      <c r="X829">
        <v>1</v>
      </c>
      <c r="AA829">
        <v>449549597602</v>
      </c>
      <c r="AB829" t="s">
        <v>1726</v>
      </c>
      <c r="AC829">
        <v>0</v>
      </c>
      <c r="AD829">
        <v>46</v>
      </c>
      <c r="AE829">
        <v>44954959760246</v>
      </c>
      <c r="AF829" t="s">
        <v>4583</v>
      </c>
      <c r="AG829">
        <v>1</v>
      </c>
      <c r="AH829">
        <v>0</v>
      </c>
    </row>
    <row r="830" spans="1:34">
      <c r="A830">
        <v>2025</v>
      </c>
      <c r="B830" s="1">
        <v>45962</v>
      </c>
      <c r="C830" t="s">
        <v>2657</v>
      </c>
      <c r="D830" t="s">
        <v>4605</v>
      </c>
      <c r="E830" s="43">
        <v>45978.498866631948</v>
      </c>
      <c r="F830" s="1">
        <v>45978</v>
      </c>
      <c r="G830" s="43">
        <v>45980.788889479169</v>
      </c>
      <c r="H830" t="s">
        <v>2802</v>
      </c>
      <c r="I830" t="s">
        <v>2719</v>
      </c>
      <c r="J830" t="s">
        <v>2735</v>
      </c>
      <c r="L830" t="s">
        <v>2336</v>
      </c>
      <c r="M830">
        <v>449549597602</v>
      </c>
      <c r="N830" t="s">
        <v>2702</v>
      </c>
      <c r="O830" s="1">
        <v>45358</v>
      </c>
      <c r="T830" t="s">
        <v>2662</v>
      </c>
      <c r="U830" t="s">
        <v>4606</v>
      </c>
      <c r="V830">
        <v>2</v>
      </c>
      <c r="W830" t="s">
        <v>2704</v>
      </c>
      <c r="X830">
        <v>1</v>
      </c>
      <c r="Y830" t="s">
        <v>2764</v>
      </c>
      <c r="AA830">
        <v>449549597602</v>
      </c>
      <c r="AB830" t="s">
        <v>1726</v>
      </c>
      <c r="AC830">
        <v>0</v>
      </c>
      <c r="AD830">
        <v>47</v>
      </c>
      <c r="AE830">
        <v>44954959760247</v>
      </c>
      <c r="AF830" t="s">
        <v>4583</v>
      </c>
      <c r="AG830">
        <v>1</v>
      </c>
      <c r="AH830">
        <v>0</v>
      </c>
    </row>
    <row r="831" spans="1:34">
      <c r="A831">
        <v>2025</v>
      </c>
      <c r="B831" s="1">
        <v>45962</v>
      </c>
      <c r="C831" t="s">
        <v>2657</v>
      </c>
      <c r="D831" t="s">
        <v>4607</v>
      </c>
      <c r="E831" s="43">
        <v>45979.722900624998</v>
      </c>
      <c r="F831" s="1">
        <v>45979</v>
      </c>
      <c r="G831" s="43">
        <v>45985.669868437501</v>
      </c>
      <c r="H831" t="s">
        <v>2802</v>
      </c>
      <c r="I831" t="s">
        <v>2719</v>
      </c>
      <c r="J831" t="s">
        <v>2735</v>
      </c>
      <c r="L831" t="s">
        <v>2336</v>
      </c>
      <c r="M831">
        <v>449549597602</v>
      </c>
      <c r="N831" t="s">
        <v>2702</v>
      </c>
      <c r="O831" s="1">
        <v>45358</v>
      </c>
      <c r="T831" t="s">
        <v>2662</v>
      </c>
      <c r="U831" t="s">
        <v>4608</v>
      </c>
      <c r="V831">
        <v>4</v>
      </c>
      <c r="W831" t="s">
        <v>2677</v>
      </c>
      <c r="X831">
        <v>1</v>
      </c>
      <c r="Y831" t="s">
        <v>2678</v>
      </c>
      <c r="AA831">
        <v>449549597602</v>
      </c>
      <c r="AB831" t="s">
        <v>1726</v>
      </c>
      <c r="AC831">
        <v>0</v>
      </c>
      <c r="AD831">
        <v>47</v>
      </c>
      <c r="AE831">
        <v>44954959760247</v>
      </c>
      <c r="AF831" t="s">
        <v>4583</v>
      </c>
      <c r="AG831">
        <v>0</v>
      </c>
      <c r="AH831">
        <v>0</v>
      </c>
    </row>
    <row r="832" spans="1:34">
      <c r="A832">
        <v>2025</v>
      </c>
      <c r="B832" s="1">
        <v>45962</v>
      </c>
      <c r="C832" t="s">
        <v>2657</v>
      </c>
      <c r="D832" t="s">
        <v>4609</v>
      </c>
      <c r="E832" s="43">
        <v>45978.764653680555</v>
      </c>
      <c r="F832" s="1">
        <v>45978</v>
      </c>
      <c r="G832" s="43">
        <v>45978.855435682868</v>
      </c>
      <c r="H832" t="s">
        <v>2802</v>
      </c>
      <c r="I832" t="s">
        <v>2719</v>
      </c>
      <c r="J832" t="s">
        <v>2735</v>
      </c>
      <c r="L832" t="s">
        <v>2336</v>
      </c>
      <c r="M832">
        <v>449549597602</v>
      </c>
      <c r="N832" t="s">
        <v>2702</v>
      </c>
      <c r="O832" s="1">
        <v>45358</v>
      </c>
      <c r="T832" t="s">
        <v>2662</v>
      </c>
      <c r="U832" t="s">
        <v>4610</v>
      </c>
      <c r="V832">
        <v>0</v>
      </c>
      <c r="W832" t="s">
        <v>2677</v>
      </c>
      <c r="X832">
        <v>1</v>
      </c>
      <c r="Y832" t="s">
        <v>2807</v>
      </c>
      <c r="AA832">
        <v>449549597602</v>
      </c>
      <c r="AB832" t="s">
        <v>1726</v>
      </c>
      <c r="AC832">
        <v>0</v>
      </c>
      <c r="AD832">
        <v>47</v>
      </c>
      <c r="AE832">
        <v>44954959760247</v>
      </c>
      <c r="AF832" t="s">
        <v>4583</v>
      </c>
      <c r="AG832">
        <v>0</v>
      </c>
      <c r="AH832">
        <v>0</v>
      </c>
    </row>
    <row r="833" spans="1:34">
      <c r="A833">
        <v>2025</v>
      </c>
      <c r="B833" s="1">
        <v>45962</v>
      </c>
      <c r="C833" t="s">
        <v>2657</v>
      </c>
      <c r="D833" t="s">
        <v>4611</v>
      </c>
      <c r="E833" s="43">
        <v>45985.779172893519</v>
      </c>
      <c r="F833" s="1">
        <v>45985</v>
      </c>
      <c r="G833" s="43">
        <v>45986.792706770837</v>
      </c>
      <c r="H833" t="s">
        <v>2802</v>
      </c>
      <c r="I833" t="s">
        <v>2660</v>
      </c>
      <c r="J833" t="s">
        <v>2735</v>
      </c>
      <c r="L833" t="s">
        <v>2336</v>
      </c>
      <c r="M833">
        <v>449549597602</v>
      </c>
      <c r="N833" t="s">
        <v>2702</v>
      </c>
      <c r="O833" s="1">
        <v>45358</v>
      </c>
      <c r="T833" t="s">
        <v>2662</v>
      </c>
      <c r="U833" t="s">
        <v>4612</v>
      </c>
      <c r="V833">
        <v>1</v>
      </c>
      <c r="W833" t="s">
        <v>2677</v>
      </c>
      <c r="X833">
        <v>1</v>
      </c>
      <c r="Y833" t="s">
        <v>2807</v>
      </c>
      <c r="AA833">
        <v>449549597602</v>
      </c>
      <c r="AB833" t="s">
        <v>1726</v>
      </c>
      <c r="AC833">
        <v>0</v>
      </c>
      <c r="AD833">
        <v>48</v>
      </c>
      <c r="AE833">
        <v>44954959760248</v>
      </c>
      <c r="AF833" t="s">
        <v>4583</v>
      </c>
      <c r="AG833">
        <v>1</v>
      </c>
      <c r="AH833">
        <v>0</v>
      </c>
    </row>
    <row r="834" spans="1:34">
      <c r="A834">
        <v>2025</v>
      </c>
      <c r="B834" s="1">
        <v>45962</v>
      </c>
      <c r="C834" t="s">
        <v>2657</v>
      </c>
      <c r="D834" t="s">
        <v>4613</v>
      </c>
      <c r="E834" s="43">
        <v>45985.806452395831</v>
      </c>
      <c r="F834" s="1">
        <v>45985</v>
      </c>
      <c r="G834" s="43">
        <v>45985.807814872685</v>
      </c>
      <c r="H834" t="s">
        <v>2802</v>
      </c>
      <c r="I834" t="s">
        <v>2660</v>
      </c>
      <c r="J834" t="s">
        <v>2735</v>
      </c>
      <c r="L834" t="s">
        <v>2336</v>
      </c>
      <c r="M834">
        <v>449549597602</v>
      </c>
      <c r="N834" t="s">
        <v>2702</v>
      </c>
      <c r="O834" s="1">
        <v>45358</v>
      </c>
      <c r="T834" t="s">
        <v>2662</v>
      </c>
      <c r="V834">
        <v>0</v>
      </c>
      <c r="W834" t="s">
        <v>2677</v>
      </c>
      <c r="X834">
        <v>1</v>
      </c>
      <c r="Y834" t="s">
        <v>2695</v>
      </c>
      <c r="AA834">
        <v>449549597602</v>
      </c>
      <c r="AB834" t="s">
        <v>1726</v>
      </c>
      <c r="AC834">
        <v>0</v>
      </c>
      <c r="AD834">
        <v>48</v>
      </c>
      <c r="AE834">
        <v>44954959760248</v>
      </c>
      <c r="AF834" t="s">
        <v>4583</v>
      </c>
      <c r="AG834">
        <v>0</v>
      </c>
      <c r="AH834">
        <v>0</v>
      </c>
    </row>
    <row r="835" spans="1:34">
      <c r="A835">
        <v>2026</v>
      </c>
      <c r="B835" s="1">
        <v>46054</v>
      </c>
      <c r="C835" t="s">
        <v>2657</v>
      </c>
      <c r="D835" t="s">
        <v>4614</v>
      </c>
      <c r="E835" s="43">
        <v>46058.568147048609</v>
      </c>
      <c r="F835" s="1">
        <v>46058</v>
      </c>
      <c r="G835" s="43">
        <v>46066.525259930553</v>
      </c>
      <c r="H835" t="s">
        <v>2725</v>
      </c>
      <c r="I835" t="s">
        <v>2669</v>
      </c>
      <c r="J835" t="s">
        <v>36</v>
      </c>
      <c r="L835" t="s">
        <v>2472</v>
      </c>
      <c r="M835">
        <v>774839834202</v>
      </c>
      <c r="N835" t="s">
        <v>2702</v>
      </c>
      <c r="O835" s="1">
        <v>46021</v>
      </c>
      <c r="T835" t="s">
        <v>2662</v>
      </c>
      <c r="U835" t="s">
        <v>4615</v>
      </c>
      <c r="V835">
        <v>6</v>
      </c>
      <c r="W835" t="s">
        <v>2664</v>
      </c>
      <c r="X835">
        <v>1</v>
      </c>
      <c r="Y835" t="s">
        <v>2717</v>
      </c>
      <c r="AA835">
        <v>774839834202</v>
      </c>
      <c r="AB835" t="s">
        <v>2470</v>
      </c>
      <c r="AC835">
        <v>0</v>
      </c>
      <c r="AD835">
        <v>6</v>
      </c>
      <c r="AE835">
        <v>7748398342026</v>
      </c>
      <c r="AF835" t="s">
        <v>4616</v>
      </c>
      <c r="AG835">
        <v>1</v>
      </c>
      <c r="AH835">
        <v>1</v>
      </c>
    </row>
    <row r="836" spans="1:34">
      <c r="A836">
        <v>2025</v>
      </c>
      <c r="B836" s="1">
        <v>45962</v>
      </c>
      <c r="C836" t="s">
        <v>2657</v>
      </c>
      <c r="D836" t="s">
        <v>4617</v>
      </c>
      <c r="E836" s="43">
        <v>45968.623312418982</v>
      </c>
      <c r="F836" s="1">
        <v>45968</v>
      </c>
      <c r="G836" s="43">
        <v>45980.875793703701</v>
      </c>
      <c r="H836" t="s">
        <v>2802</v>
      </c>
      <c r="I836" t="s">
        <v>2669</v>
      </c>
      <c r="J836" t="s">
        <v>36</v>
      </c>
      <c r="L836" t="s">
        <v>2355</v>
      </c>
      <c r="M836">
        <v>94015899402</v>
      </c>
      <c r="N836" t="s">
        <v>2702</v>
      </c>
      <c r="O836" s="1">
        <v>45362</v>
      </c>
      <c r="T836" t="s">
        <v>2662</v>
      </c>
      <c r="U836" t="s">
        <v>4618</v>
      </c>
      <c r="V836">
        <v>8</v>
      </c>
      <c r="X836">
        <v>1</v>
      </c>
      <c r="Y836" t="s">
        <v>2699</v>
      </c>
      <c r="AA836">
        <v>94015899402</v>
      </c>
      <c r="AB836" t="s">
        <v>2469</v>
      </c>
      <c r="AC836">
        <v>0</v>
      </c>
      <c r="AD836">
        <v>45</v>
      </c>
      <c r="AE836">
        <v>9401589940245</v>
      </c>
      <c r="AF836" t="s">
        <v>4619</v>
      </c>
      <c r="AG836">
        <v>0</v>
      </c>
      <c r="AH836">
        <v>0</v>
      </c>
    </row>
    <row r="837" spans="1:34">
      <c r="A837">
        <v>2025</v>
      </c>
      <c r="B837" s="1">
        <v>45962</v>
      </c>
      <c r="C837" t="s">
        <v>2657</v>
      </c>
      <c r="D837" t="s">
        <v>4620</v>
      </c>
      <c r="E837" s="43">
        <v>45965.661668877314</v>
      </c>
      <c r="F837" s="1">
        <v>45965</v>
      </c>
      <c r="G837" s="43">
        <v>45965.661668877314</v>
      </c>
      <c r="H837" t="s">
        <v>2802</v>
      </c>
      <c r="I837" t="s">
        <v>2669</v>
      </c>
      <c r="J837" t="s">
        <v>36</v>
      </c>
      <c r="L837" t="s">
        <v>2355</v>
      </c>
      <c r="M837">
        <v>94015899402</v>
      </c>
      <c r="N837" t="s">
        <v>2702</v>
      </c>
      <c r="O837" s="1">
        <v>45362</v>
      </c>
      <c r="T837" t="s">
        <v>2662</v>
      </c>
      <c r="U837" t="s">
        <v>4621</v>
      </c>
      <c r="V837">
        <v>0</v>
      </c>
      <c r="X837">
        <v>1</v>
      </c>
      <c r="Y837" t="s">
        <v>2699</v>
      </c>
      <c r="AA837">
        <v>94015899402</v>
      </c>
      <c r="AB837" t="s">
        <v>2469</v>
      </c>
      <c r="AC837">
        <v>0</v>
      </c>
      <c r="AD837">
        <v>45</v>
      </c>
      <c r="AE837">
        <v>9401589940245</v>
      </c>
      <c r="AF837" t="s">
        <v>4619</v>
      </c>
      <c r="AG837">
        <v>1</v>
      </c>
      <c r="AH837">
        <v>1</v>
      </c>
    </row>
    <row r="838" spans="1:34">
      <c r="A838">
        <v>2025</v>
      </c>
      <c r="B838" s="1">
        <v>45962</v>
      </c>
      <c r="C838" t="s">
        <v>2657</v>
      </c>
      <c r="D838" t="s">
        <v>4622</v>
      </c>
      <c r="E838" s="43">
        <v>45965.680248124998</v>
      </c>
      <c r="F838" s="1">
        <v>45965</v>
      </c>
      <c r="G838" s="43">
        <v>45968.579425173608</v>
      </c>
      <c r="H838" t="s">
        <v>2802</v>
      </c>
      <c r="I838" t="s">
        <v>2669</v>
      </c>
      <c r="J838" t="s">
        <v>36</v>
      </c>
      <c r="L838" t="s">
        <v>2355</v>
      </c>
      <c r="M838">
        <v>94015899402</v>
      </c>
      <c r="N838" t="s">
        <v>2702</v>
      </c>
      <c r="O838" s="1">
        <v>45362</v>
      </c>
      <c r="T838" t="s">
        <v>2662</v>
      </c>
      <c r="U838" t="s">
        <v>4623</v>
      </c>
      <c r="V838">
        <v>3</v>
      </c>
      <c r="X838">
        <v>1</v>
      </c>
      <c r="Y838" t="s">
        <v>2699</v>
      </c>
      <c r="AA838">
        <v>94015899402</v>
      </c>
      <c r="AB838" t="s">
        <v>2469</v>
      </c>
      <c r="AC838">
        <v>0</v>
      </c>
      <c r="AD838">
        <v>45</v>
      </c>
      <c r="AE838">
        <v>9401589940245</v>
      </c>
      <c r="AF838" t="s">
        <v>4619</v>
      </c>
      <c r="AG838">
        <v>0</v>
      </c>
      <c r="AH838">
        <v>0</v>
      </c>
    </row>
    <row r="839" spans="1:34">
      <c r="A839">
        <v>2025</v>
      </c>
      <c r="B839" s="1">
        <v>45962</v>
      </c>
      <c r="C839" t="s">
        <v>2657</v>
      </c>
      <c r="D839" t="s">
        <v>4624</v>
      </c>
      <c r="E839" s="43">
        <v>45980.785512604169</v>
      </c>
      <c r="F839" s="1">
        <v>45980</v>
      </c>
      <c r="G839" s="43">
        <v>45980.788159687501</v>
      </c>
      <c r="H839" t="s">
        <v>2802</v>
      </c>
      <c r="I839" t="s">
        <v>2719</v>
      </c>
      <c r="J839" t="s">
        <v>36</v>
      </c>
      <c r="L839" t="s">
        <v>2355</v>
      </c>
      <c r="M839">
        <v>94015899402</v>
      </c>
      <c r="N839" t="s">
        <v>2702</v>
      </c>
      <c r="O839" s="1">
        <v>45362</v>
      </c>
      <c r="T839" t="s">
        <v>2662</v>
      </c>
      <c r="U839" t="s">
        <v>4625</v>
      </c>
      <c r="V839">
        <v>0</v>
      </c>
      <c r="W839" t="s">
        <v>2677</v>
      </c>
      <c r="X839">
        <v>1</v>
      </c>
      <c r="Y839" t="s">
        <v>2807</v>
      </c>
      <c r="AA839">
        <v>94015899402</v>
      </c>
      <c r="AB839" t="s">
        <v>2469</v>
      </c>
      <c r="AC839">
        <v>0</v>
      </c>
      <c r="AD839">
        <v>47</v>
      </c>
      <c r="AE839">
        <v>9401589940247</v>
      </c>
      <c r="AF839" t="s">
        <v>4619</v>
      </c>
      <c r="AG839">
        <v>1</v>
      </c>
      <c r="AH839">
        <v>0</v>
      </c>
    </row>
    <row r="840" spans="1:34">
      <c r="A840">
        <v>2025</v>
      </c>
      <c r="B840" s="1">
        <v>45962</v>
      </c>
      <c r="C840" t="s">
        <v>2657</v>
      </c>
      <c r="D840" t="s">
        <v>4626</v>
      </c>
      <c r="E840" s="43">
        <v>45980.787615381945</v>
      </c>
      <c r="F840" s="1">
        <v>45980</v>
      </c>
      <c r="G840" s="43">
        <v>45986.531396192127</v>
      </c>
      <c r="H840" t="s">
        <v>2802</v>
      </c>
      <c r="I840" t="s">
        <v>2719</v>
      </c>
      <c r="J840" t="s">
        <v>36</v>
      </c>
      <c r="L840" t="s">
        <v>2355</v>
      </c>
      <c r="M840">
        <v>94015899402</v>
      </c>
      <c r="N840" t="s">
        <v>2702</v>
      </c>
      <c r="O840" s="1">
        <v>45362</v>
      </c>
      <c r="T840" t="s">
        <v>2662</v>
      </c>
      <c r="U840" t="s">
        <v>4627</v>
      </c>
      <c r="V840">
        <v>4</v>
      </c>
      <c r="W840" t="s">
        <v>2664</v>
      </c>
      <c r="X840">
        <v>1</v>
      </c>
      <c r="Y840" t="s">
        <v>2717</v>
      </c>
      <c r="AA840">
        <v>94015899402</v>
      </c>
      <c r="AB840" t="s">
        <v>2469</v>
      </c>
      <c r="AC840">
        <v>0</v>
      </c>
      <c r="AD840">
        <v>47</v>
      </c>
      <c r="AE840">
        <v>9401589940247</v>
      </c>
      <c r="AF840" t="s">
        <v>4619</v>
      </c>
      <c r="AG840">
        <v>0</v>
      </c>
      <c r="AH840">
        <v>0</v>
      </c>
    </row>
    <row r="841" spans="1:34">
      <c r="A841">
        <v>2025</v>
      </c>
      <c r="B841" s="1">
        <v>45962</v>
      </c>
      <c r="C841" t="s">
        <v>2657</v>
      </c>
      <c r="D841" t="s">
        <v>4628</v>
      </c>
      <c r="E841" s="43">
        <v>45968.793670891202</v>
      </c>
      <c r="F841" s="1">
        <v>45968</v>
      </c>
      <c r="G841" s="43">
        <v>45985.588781527775</v>
      </c>
      <c r="H841" t="s">
        <v>2802</v>
      </c>
      <c r="I841" t="s">
        <v>2669</v>
      </c>
      <c r="J841" t="s">
        <v>100</v>
      </c>
      <c r="L841" t="s">
        <v>2381</v>
      </c>
      <c r="M841">
        <v>24558652202</v>
      </c>
      <c r="N841" t="s">
        <v>2702</v>
      </c>
      <c r="O841" s="1">
        <v>45669</v>
      </c>
      <c r="T841" t="s">
        <v>2662</v>
      </c>
      <c r="U841" t="s">
        <v>4629</v>
      </c>
      <c r="V841">
        <v>11</v>
      </c>
      <c r="W841" t="s">
        <v>2704</v>
      </c>
      <c r="X841">
        <v>1</v>
      </c>
      <c r="Y841" t="s">
        <v>2678</v>
      </c>
      <c r="AA841">
        <v>24558652202</v>
      </c>
      <c r="AB841" t="s">
        <v>102</v>
      </c>
      <c r="AC841">
        <v>0</v>
      </c>
      <c r="AD841">
        <v>45</v>
      </c>
      <c r="AE841">
        <v>2455865220245</v>
      </c>
      <c r="AF841" t="s">
        <v>4630</v>
      </c>
      <c r="AG841">
        <v>0</v>
      </c>
      <c r="AH841">
        <v>0</v>
      </c>
    </row>
    <row r="842" spans="1:34">
      <c r="A842">
        <v>2025</v>
      </c>
      <c r="B842" s="1">
        <v>45962</v>
      </c>
      <c r="C842" t="s">
        <v>2657</v>
      </c>
      <c r="D842" t="s">
        <v>4631</v>
      </c>
      <c r="E842" s="43">
        <v>45964.767323310189</v>
      </c>
      <c r="F842" s="1">
        <v>45964</v>
      </c>
      <c r="G842" s="43">
        <v>45985.588842638892</v>
      </c>
      <c r="H842" t="s">
        <v>2802</v>
      </c>
      <c r="I842" t="s">
        <v>2669</v>
      </c>
      <c r="J842" t="s">
        <v>100</v>
      </c>
      <c r="L842" t="s">
        <v>2381</v>
      </c>
      <c r="M842">
        <v>24558652202</v>
      </c>
      <c r="N842" t="s">
        <v>2702</v>
      </c>
      <c r="O842" s="1">
        <v>45669</v>
      </c>
      <c r="T842" t="s">
        <v>2662</v>
      </c>
      <c r="U842" t="s">
        <v>4632</v>
      </c>
      <c r="V842">
        <v>15</v>
      </c>
      <c r="W842" t="s">
        <v>2704</v>
      </c>
      <c r="X842">
        <v>1</v>
      </c>
      <c r="Y842" t="s">
        <v>2717</v>
      </c>
      <c r="AA842">
        <v>24558652202</v>
      </c>
      <c r="AB842" t="s">
        <v>102</v>
      </c>
      <c r="AC842">
        <v>0</v>
      </c>
      <c r="AD842">
        <v>45</v>
      </c>
      <c r="AE842">
        <v>2455865220245</v>
      </c>
      <c r="AF842" t="s">
        <v>4630</v>
      </c>
      <c r="AG842">
        <v>1</v>
      </c>
      <c r="AH842">
        <v>1</v>
      </c>
    </row>
    <row r="843" spans="1:34">
      <c r="A843">
        <v>2025</v>
      </c>
      <c r="B843" s="1">
        <v>45962</v>
      </c>
      <c r="C843" t="s">
        <v>2657</v>
      </c>
      <c r="D843" t="s">
        <v>4633</v>
      </c>
      <c r="E843" s="43">
        <v>45974.802520034726</v>
      </c>
      <c r="F843" s="1">
        <v>45974</v>
      </c>
      <c r="G843" s="43">
        <v>46035.559014930557</v>
      </c>
      <c r="H843" t="s">
        <v>2802</v>
      </c>
      <c r="I843" t="s">
        <v>2681</v>
      </c>
      <c r="J843" t="s">
        <v>100</v>
      </c>
      <c r="L843" t="s">
        <v>2381</v>
      </c>
      <c r="M843">
        <v>24558652202</v>
      </c>
      <c r="N843" t="s">
        <v>2702</v>
      </c>
      <c r="O843" s="1">
        <v>45669</v>
      </c>
      <c r="T843" t="s">
        <v>2662</v>
      </c>
      <c r="U843" t="s">
        <v>3026</v>
      </c>
      <c r="V843">
        <v>43</v>
      </c>
      <c r="W843" t="s">
        <v>2664</v>
      </c>
      <c r="X843">
        <v>1</v>
      </c>
      <c r="Y843" t="s">
        <v>2665</v>
      </c>
      <c r="AA843">
        <v>24558652202</v>
      </c>
      <c r="AB843" t="s">
        <v>102</v>
      </c>
      <c r="AC843">
        <v>0</v>
      </c>
      <c r="AD843">
        <v>46</v>
      </c>
      <c r="AE843">
        <v>2455865220246</v>
      </c>
      <c r="AF843" t="s">
        <v>4630</v>
      </c>
      <c r="AG843">
        <v>1</v>
      </c>
      <c r="AH843">
        <v>0</v>
      </c>
    </row>
    <row r="844" spans="1:34">
      <c r="A844">
        <v>2025</v>
      </c>
      <c r="B844" s="1">
        <v>45962</v>
      </c>
      <c r="C844" t="s">
        <v>2657</v>
      </c>
      <c r="D844" s="44" t="s">
        <v>4634</v>
      </c>
      <c r="E844" s="43">
        <v>45989.766290300926</v>
      </c>
      <c r="F844" s="1">
        <v>45989</v>
      </c>
      <c r="G844" s="43">
        <v>45995.805374351854</v>
      </c>
      <c r="H844" t="s">
        <v>2802</v>
      </c>
      <c r="I844" t="s">
        <v>2660</v>
      </c>
      <c r="J844" t="s">
        <v>100</v>
      </c>
      <c r="L844" t="s">
        <v>2381</v>
      </c>
      <c r="M844">
        <v>858804576502</v>
      </c>
      <c r="N844" t="s">
        <v>2702</v>
      </c>
      <c r="O844" s="1">
        <v>45669</v>
      </c>
      <c r="T844" t="s">
        <v>2662</v>
      </c>
      <c r="U844" t="s">
        <v>4635</v>
      </c>
      <c r="V844">
        <v>4</v>
      </c>
      <c r="X844">
        <v>1</v>
      </c>
      <c r="Y844" t="s">
        <v>2688</v>
      </c>
      <c r="AA844">
        <v>24558652202</v>
      </c>
      <c r="AB844" t="s">
        <v>102</v>
      </c>
      <c r="AC844">
        <v>0</v>
      </c>
      <c r="AD844">
        <v>48</v>
      </c>
      <c r="AE844">
        <v>2455865220248</v>
      </c>
      <c r="AF844" t="s">
        <v>4630</v>
      </c>
      <c r="AG844">
        <v>0</v>
      </c>
      <c r="AH844">
        <v>0</v>
      </c>
    </row>
    <row r="845" spans="1:34">
      <c r="A845">
        <v>2025</v>
      </c>
      <c r="B845" s="1">
        <v>45962</v>
      </c>
      <c r="C845" t="s">
        <v>2657</v>
      </c>
      <c r="D845" t="s">
        <v>4636</v>
      </c>
      <c r="E845" s="43">
        <v>45987.757188402778</v>
      </c>
      <c r="F845" s="1">
        <v>45987</v>
      </c>
      <c r="G845" s="43">
        <v>45993.811012719911</v>
      </c>
      <c r="H845" t="s">
        <v>2802</v>
      </c>
      <c r="I845" t="s">
        <v>2660</v>
      </c>
      <c r="J845" t="s">
        <v>100</v>
      </c>
      <c r="L845" t="s">
        <v>2381</v>
      </c>
      <c r="M845">
        <v>858804576502</v>
      </c>
      <c r="N845" t="s">
        <v>2702</v>
      </c>
      <c r="O845" s="1">
        <v>45669</v>
      </c>
      <c r="T845" t="s">
        <v>2798</v>
      </c>
      <c r="U845" t="s">
        <v>4637</v>
      </c>
      <c r="V845">
        <v>77</v>
      </c>
      <c r="X845">
        <v>0</v>
      </c>
      <c r="AA845">
        <v>24558652202</v>
      </c>
      <c r="AB845" t="s">
        <v>102</v>
      </c>
      <c r="AC845">
        <v>0</v>
      </c>
      <c r="AD845">
        <v>48</v>
      </c>
      <c r="AE845">
        <v>2455865220248</v>
      </c>
      <c r="AF845" t="s">
        <v>4630</v>
      </c>
      <c r="AG845">
        <v>1</v>
      </c>
      <c r="AH845">
        <v>0</v>
      </c>
    </row>
    <row r="846" spans="1:34">
      <c r="A846">
        <v>2025</v>
      </c>
      <c r="B846" s="1">
        <v>45901</v>
      </c>
      <c r="C846" t="s">
        <v>2657</v>
      </c>
      <c r="D846" s="44" t="s">
        <v>4638</v>
      </c>
      <c r="E846" s="43">
        <v>45916.641800011574</v>
      </c>
      <c r="F846" s="1">
        <v>45916</v>
      </c>
      <c r="G846" s="43">
        <v>45931.654102430555</v>
      </c>
      <c r="H846" t="s">
        <v>2734</v>
      </c>
      <c r="I846" t="s">
        <v>2719</v>
      </c>
      <c r="J846" t="s">
        <v>2735</v>
      </c>
      <c r="L846" t="s">
        <v>2408</v>
      </c>
      <c r="M846">
        <v>861076042402</v>
      </c>
      <c r="N846" t="s">
        <v>2746</v>
      </c>
      <c r="O846" s="1">
        <v>45669</v>
      </c>
      <c r="T846" t="s">
        <v>2662</v>
      </c>
      <c r="U846" t="s">
        <v>4639</v>
      </c>
      <c r="V846">
        <v>11</v>
      </c>
      <c r="W846" t="s">
        <v>2671</v>
      </c>
      <c r="X846">
        <v>1</v>
      </c>
      <c r="Y846" t="s">
        <v>2699</v>
      </c>
      <c r="AA846">
        <v>508996769902</v>
      </c>
      <c r="AB846" t="s">
        <v>2193</v>
      </c>
      <c r="AC846">
        <v>0</v>
      </c>
      <c r="AD846">
        <v>38</v>
      </c>
      <c r="AE846">
        <v>50899676990238</v>
      </c>
      <c r="AF846" t="s">
        <v>4640</v>
      </c>
      <c r="AG846">
        <v>0</v>
      </c>
      <c r="AH846">
        <v>0</v>
      </c>
    </row>
    <row r="847" spans="1:34">
      <c r="A847">
        <v>2025</v>
      </c>
      <c r="B847" s="1">
        <v>45901</v>
      </c>
      <c r="C847" t="s">
        <v>2657</v>
      </c>
      <c r="D847" t="s">
        <v>4641</v>
      </c>
      <c r="E847" s="43">
        <v>45915.612401458333</v>
      </c>
      <c r="F847" s="1">
        <v>45915</v>
      </c>
      <c r="G847" s="43">
        <v>45917.660340393515</v>
      </c>
      <c r="H847" t="s">
        <v>2734</v>
      </c>
      <c r="I847" t="s">
        <v>2719</v>
      </c>
      <c r="J847" t="s">
        <v>2735</v>
      </c>
      <c r="L847" t="s">
        <v>2408</v>
      </c>
      <c r="M847">
        <v>861076042402</v>
      </c>
      <c r="N847" t="s">
        <v>2746</v>
      </c>
      <c r="O847" s="1">
        <v>45669</v>
      </c>
      <c r="T847" t="s">
        <v>2662</v>
      </c>
      <c r="U847" t="s">
        <v>4534</v>
      </c>
      <c r="V847">
        <v>2</v>
      </c>
      <c r="W847" t="s">
        <v>2671</v>
      </c>
      <c r="X847">
        <v>1</v>
      </c>
      <c r="Y847" t="s">
        <v>2764</v>
      </c>
      <c r="AA847">
        <v>508996769902</v>
      </c>
      <c r="AB847" t="s">
        <v>2193</v>
      </c>
      <c r="AC847">
        <v>0</v>
      </c>
      <c r="AD847">
        <v>38</v>
      </c>
      <c r="AE847">
        <v>50899676990238</v>
      </c>
      <c r="AF847" t="s">
        <v>4640</v>
      </c>
      <c r="AG847">
        <v>1</v>
      </c>
      <c r="AH847">
        <v>1</v>
      </c>
    </row>
    <row r="848" spans="1:34">
      <c r="A848">
        <v>2025</v>
      </c>
      <c r="B848" s="1">
        <v>45901</v>
      </c>
      <c r="C848" t="s">
        <v>2657</v>
      </c>
      <c r="D848" t="s">
        <v>4642</v>
      </c>
      <c r="E848" s="43">
        <v>45918.798096921295</v>
      </c>
      <c r="F848" s="1">
        <v>45918</v>
      </c>
      <c r="G848" s="43">
        <v>45919.607519537036</v>
      </c>
      <c r="H848" t="s">
        <v>2734</v>
      </c>
      <c r="I848" t="s">
        <v>2719</v>
      </c>
      <c r="J848" t="s">
        <v>2735</v>
      </c>
      <c r="L848" t="s">
        <v>2408</v>
      </c>
      <c r="M848">
        <v>861076042402</v>
      </c>
      <c r="N848" t="s">
        <v>2746</v>
      </c>
      <c r="O848" s="1">
        <v>45669</v>
      </c>
      <c r="T848" t="s">
        <v>2662</v>
      </c>
      <c r="U848" t="s">
        <v>4643</v>
      </c>
      <c r="V848">
        <v>1</v>
      </c>
      <c r="W848" t="s">
        <v>2677</v>
      </c>
      <c r="X848">
        <v>1</v>
      </c>
      <c r="Y848" t="s">
        <v>2678</v>
      </c>
      <c r="AA848">
        <v>508996769902</v>
      </c>
      <c r="AB848" t="s">
        <v>2193</v>
      </c>
      <c r="AC848">
        <v>0</v>
      </c>
      <c r="AD848">
        <v>38</v>
      </c>
      <c r="AE848">
        <v>50899676990238</v>
      </c>
      <c r="AF848" t="s">
        <v>4640</v>
      </c>
      <c r="AG848">
        <v>0</v>
      </c>
      <c r="AH848">
        <v>0</v>
      </c>
    </row>
    <row r="849" spans="1:34">
      <c r="A849">
        <v>2025</v>
      </c>
      <c r="B849" s="1">
        <v>45901</v>
      </c>
      <c r="C849" t="s">
        <v>2657</v>
      </c>
      <c r="D849" t="s">
        <v>4644</v>
      </c>
      <c r="E849" s="43">
        <v>45918.812140092596</v>
      </c>
      <c r="F849" s="1">
        <v>45918</v>
      </c>
      <c r="G849" s="43">
        <v>45919.61954821759</v>
      </c>
      <c r="H849" t="s">
        <v>2734</v>
      </c>
      <c r="I849" t="s">
        <v>2719</v>
      </c>
      <c r="J849" t="s">
        <v>2735</v>
      </c>
      <c r="L849" t="s">
        <v>2408</v>
      </c>
      <c r="M849">
        <v>861076042402</v>
      </c>
      <c r="N849" t="s">
        <v>2746</v>
      </c>
      <c r="O849" s="1">
        <v>45669</v>
      </c>
      <c r="T849" t="s">
        <v>2662</v>
      </c>
      <c r="U849" t="s">
        <v>4645</v>
      </c>
      <c r="V849">
        <v>1</v>
      </c>
      <c r="W849" t="s">
        <v>2677</v>
      </c>
      <c r="X849">
        <v>1</v>
      </c>
      <c r="Y849" t="s">
        <v>2779</v>
      </c>
      <c r="AA849">
        <v>508996769902</v>
      </c>
      <c r="AB849" t="s">
        <v>2193</v>
      </c>
      <c r="AC849">
        <v>0</v>
      </c>
      <c r="AD849">
        <v>38</v>
      </c>
      <c r="AE849">
        <v>50899676990238</v>
      </c>
      <c r="AF849" t="s">
        <v>4640</v>
      </c>
      <c r="AG849">
        <v>0</v>
      </c>
      <c r="AH849">
        <v>0</v>
      </c>
    </row>
    <row r="850" spans="1:34">
      <c r="A850">
        <v>2025</v>
      </c>
      <c r="B850" s="1">
        <v>45901</v>
      </c>
      <c r="C850" t="s">
        <v>2657</v>
      </c>
      <c r="D850" t="s">
        <v>4646</v>
      </c>
      <c r="E850" s="43">
        <v>45917.805166736114</v>
      </c>
      <c r="F850" s="1">
        <v>45917</v>
      </c>
      <c r="G850" s="43">
        <v>45918.803997164352</v>
      </c>
      <c r="H850" t="s">
        <v>2734</v>
      </c>
      <c r="I850" t="s">
        <v>2719</v>
      </c>
      <c r="J850" t="s">
        <v>2735</v>
      </c>
      <c r="L850" t="s">
        <v>2408</v>
      </c>
      <c r="M850">
        <v>861076042402</v>
      </c>
      <c r="N850" t="s">
        <v>2746</v>
      </c>
      <c r="O850" s="1">
        <v>45669</v>
      </c>
      <c r="T850" t="s">
        <v>2662</v>
      </c>
      <c r="U850" t="s">
        <v>4647</v>
      </c>
      <c r="V850">
        <v>1</v>
      </c>
      <c r="W850" t="s">
        <v>2677</v>
      </c>
      <c r="X850">
        <v>1</v>
      </c>
      <c r="Y850" t="s">
        <v>2807</v>
      </c>
      <c r="AA850">
        <v>508996769902</v>
      </c>
      <c r="AB850" t="s">
        <v>2193</v>
      </c>
      <c r="AC850">
        <v>0</v>
      </c>
      <c r="AD850">
        <v>38</v>
      </c>
      <c r="AE850">
        <v>50899676990238</v>
      </c>
      <c r="AF850" t="s">
        <v>4640</v>
      </c>
      <c r="AG850">
        <v>0</v>
      </c>
      <c r="AH850">
        <v>0</v>
      </c>
    </row>
    <row r="851" spans="1:34">
      <c r="A851">
        <v>2025</v>
      </c>
      <c r="B851" s="1">
        <v>45901</v>
      </c>
      <c r="C851" t="s">
        <v>2657</v>
      </c>
      <c r="D851" t="s">
        <v>4648</v>
      </c>
      <c r="E851" s="43">
        <v>45917.572579074076</v>
      </c>
      <c r="F851" s="1">
        <v>45917</v>
      </c>
      <c r="G851" s="43">
        <v>45922.570031539355</v>
      </c>
      <c r="H851" t="s">
        <v>2734</v>
      </c>
      <c r="I851" t="s">
        <v>2719</v>
      </c>
      <c r="J851" t="s">
        <v>2735</v>
      </c>
      <c r="L851" t="s">
        <v>2408</v>
      </c>
      <c r="M851">
        <v>861076042402</v>
      </c>
      <c r="N851" t="s">
        <v>2746</v>
      </c>
      <c r="O851" s="1">
        <v>45669</v>
      </c>
      <c r="T851" t="s">
        <v>2662</v>
      </c>
      <c r="U851" t="s">
        <v>4649</v>
      </c>
      <c r="V851">
        <v>3</v>
      </c>
      <c r="W851" t="s">
        <v>2671</v>
      </c>
      <c r="X851">
        <v>1</v>
      </c>
      <c r="Y851" t="s">
        <v>2760</v>
      </c>
      <c r="Z851" t="s">
        <v>2684</v>
      </c>
      <c r="AA851">
        <v>508996769902</v>
      </c>
      <c r="AB851" t="s">
        <v>2193</v>
      </c>
      <c r="AC851">
        <v>0</v>
      </c>
      <c r="AD851">
        <v>38</v>
      </c>
      <c r="AE851">
        <v>50899676990238</v>
      </c>
      <c r="AF851" t="s">
        <v>4640</v>
      </c>
      <c r="AG851">
        <v>0</v>
      </c>
      <c r="AH851">
        <v>0</v>
      </c>
    </row>
    <row r="852" spans="1:34">
      <c r="A852">
        <v>2025</v>
      </c>
      <c r="B852" s="1">
        <v>45901</v>
      </c>
      <c r="C852" t="s">
        <v>2657</v>
      </c>
      <c r="D852" t="s">
        <v>4650</v>
      </c>
      <c r="E852" s="43">
        <v>45923.70876898148</v>
      </c>
      <c r="F852" s="1">
        <v>45923</v>
      </c>
      <c r="G852" s="43">
        <v>45924.489934375</v>
      </c>
      <c r="H852" t="s">
        <v>2734</v>
      </c>
      <c r="I852" t="s">
        <v>2660</v>
      </c>
      <c r="J852" t="s">
        <v>2735</v>
      </c>
      <c r="L852" t="s">
        <v>2408</v>
      </c>
      <c r="M852">
        <v>861076042402</v>
      </c>
      <c r="N852" t="s">
        <v>2746</v>
      </c>
      <c r="O852" s="1">
        <v>45669</v>
      </c>
      <c r="T852" t="s">
        <v>2662</v>
      </c>
      <c r="U852" t="s">
        <v>4651</v>
      </c>
      <c r="V852">
        <v>1</v>
      </c>
      <c r="W852" t="s">
        <v>2677</v>
      </c>
      <c r="X852">
        <v>1</v>
      </c>
      <c r="Y852" t="s">
        <v>2678</v>
      </c>
      <c r="AA852">
        <v>508996769902</v>
      </c>
      <c r="AB852" t="s">
        <v>2193</v>
      </c>
      <c r="AC852">
        <v>0</v>
      </c>
      <c r="AD852">
        <v>39</v>
      </c>
      <c r="AE852">
        <v>50899676990239</v>
      </c>
      <c r="AF852" t="s">
        <v>4640</v>
      </c>
      <c r="AG852">
        <v>0</v>
      </c>
      <c r="AH852">
        <v>0</v>
      </c>
    </row>
    <row r="853" spans="1:34">
      <c r="A853">
        <v>2025</v>
      </c>
      <c r="B853" s="1">
        <v>45901</v>
      </c>
      <c r="C853" t="s">
        <v>2657</v>
      </c>
      <c r="D853" t="s">
        <v>4652</v>
      </c>
      <c r="E853" s="43">
        <v>45925.477108877312</v>
      </c>
      <c r="F853" s="1">
        <v>45925</v>
      </c>
      <c r="G853" s="43">
        <v>45925.827290775465</v>
      </c>
      <c r="H853" t="s">
        <v>2734</v>
      </c>
      <c r="I853" t="s">
        <v>2660</v>
      </c>
      <c r="J853" t="s">
        <v>2735</v>
      </c>
      <c r="L853" t="s">
        <v>2408</v>
      </c>
      <c r="M853">
        <v>861076042402</v>
      </c>
      <c r="N853" t="s">
        <v>2746</v>
      </c>
      <c r="O853" s="1">
        <v>45669</v>
      </c>
      <c r="T853" t="s">
        <v>2662</v>
      </c>
      <c r="U853" t="s">
        <v>4653</v>
      </c>
      <c r="V853">
        <v>0</v>
      </c>
      <c r="W853" t="s">
        <v>2671</v>
      </c>
      <c r="X853">
        <v>1</v>
      </c>
      <c r="Y853" t="s">
        <v>2695</v>
      </c>
      <c r="AA853">
        <v>508996769902</v>
      </c>
      <c r="AB853" t="s">
        <v>2193</v>
      </c>
      <c r="AC853">
        <v>0</v>
      </c>
      <c r="AD853">
        <v>39</v>
      </c>
      <c r="AE853">
        <v>50899676990239</v>
      </c>
      <c r="AF853" t="s">
        <v>4640</v>
      </c>
      <c r="AG853">
        <v>0</v>
      </c>
      <c r="AH853">
        <v>0</v>
      </c>
    </row>
    <row r="854" spans="1:34">
      <c r="A854">
        <v>2025</v>
      </c>
      <c r="B854" s="1">
        <v>45901</v>
      </c>
      <c r="C854" t="s">
        <v>2657</v>
      </c>
      <c r="D854" t="s">
        <v>4654</v>
      </c>
      <c r="E854" s="43">
        <v>45922.653315648146</v>
      </c>
      <c r="F854" s="1">
        <v>45922</v>
      </c>
      <c r="G854" s="43">
        <v>45924.490301504629</v>
      </c>
      <c r="H854" t="s">
        <v>2734</v>
      </c>
      <c r="I854" t="s">
        <v>2660</v>
      </c>
      <c r="J854" t="s">
        <v>2735</v>
      </c>
      <c r="L854" t="s">
        <v>2408</v>
      </c>
      <c r="M854">
        <v>508996769902</v>
      </c>
      <c r="N854" t="s">
        <v>2746</v>
      </c>
      <c r="O854" s="1">
        <v>45669</v>
      </c>
      <c r="T854" t="s">
        <v>2662</v>
      </c>
      <c r="U854" t="s">
        <v>4655</v>
      </c>
      <c r="V854">
        <v>2</v>
      </c>
      <c r="W854" t="s">
        <v>2677</v>
      </c>
      <c r="X854">
        <v>1</v>
      </c>
      <c r="Y854" t="s">
        <v>2772</v>
      </c>
      <c r="Z854" t="s">
        <v>2684</v>
      </c>
      <c r="AA854">
        <v>508996769902</v>
      </c>
      <c r="AB854" t="s">
        <v>2193</v>
      </c>
      <c r="AC854">
        <v>0</v>
      </c>
      <c r="AD854">
        <v>39</v>
      </c>
      <c r="AE854">
        <v>50899676990239</v>
      </c>
      <c r="AF854" t="s">
        <v>4640</v>
      </c>
      <c r="AG854">
        <v>0</v>
      </c>
      <c r="AH854">
        <v>0</v>
      </c>
    </row>
    <row r="855" spans="1:34">
      <c r="A855">
        <v>2025</v>
      </c>
      <c r="B855" s="1">
        <v>45901</v>
      </c>
      <c r="C855" t="s">
        <v>2657</v>
      </c>
      <c r="D855" t="s">
        <v>4656</v>
      </c>
      <c r="E855" s="43">
        <v>45922.652156446762</v>
      </c>
      <c r="F855" s="1">
        <v>45922</v>
      </c>
      <c r="G855" s="43">
        <v>45945.607823773149</v>
      </c>
      <c r="H855" t="s">
        <v>2734</v>
      </c>
      <c r="I855" t="s">
        <v>2660</v>
      </c>
      <c r="J855" t="s">
        <v>2735</v>
      </c>
      <c r="L855" t="s">
        <v>2408</v>
      </c>
      <c r="M855">
        <v>508996769902</v>
      </c>
      <c r="N855" t="s">
        <v>2746</v>
      </c>
      <c r="O855" s="1">
        <v>45669</v>
      </c>
      <c r="T855" t="s">
        <v>2662</v>
      </c>
      <c r="U855" t="s">
        <v>4657</v>
      </c>
      <c r="V855">
        <v>17</v>
      </c>
      <c r="W855" t="s">
        <v>2677</v>
      </c>
      <c r="X855">
        <v>1</v>
      </c>
      <c r="Y855" t="s">
        <v>2772</v>
      </c>
      <c r="Z855" t="s">
        <v>2684</v>
      </c>
      <c r="AA855">
        <v>508996769902</v>
      </c>
      <c r="AB855" t="s">
        <v>2193</v>
      </c>
      <c r="AC855">
        <v>0</v>
      </c>
      <c r="AD855">
        <v>39</v>
      </c>
      <c r="AE855">
        <v>50899676990239</v>
      </c>
      <c r="AF855" t="s">
        <v>4640</v>
      </c>
      <c r="AG855">
        <v>1</v>
      </c>
      <c r="AH855">
        <v>0</v>
      </c>
    </row>
    <row r="856" spans="1:34">
      <c r="A856">
        <v>2025</v>
      </c>
      <c r="B856" s="1">
        <v>45901</v>
      </c>
      <c r="C856" t="s">
        <v>2657</v>
      </c>
      <c r="D856" t="s">
        <v>4658</v>
      </c>
      <c r="E856" s="43">
        <v>45925.822659212965</v>
      </c>
      <c r="F856" s="1">
        <v>45925</v>
      </c>
      <c r="G856" s="43">
        <v>45927.6036680787</v>
      </c>
      <c r="H856" t="s">
        <v>2734</v>
      </c>
      <c r="I856" t="s">
        <v>2660</v>
      </c>
      <c r="J856" t="s">
        <v>2735</v>
      </c>
      <c r="L856" t="s">
        <v>2408</v>
      </c>
      <c r="M856">
        <v>861076042402</v>
      </c>
      <c r="N856" t="s">
        <v>2746</v>
      </c>
      <c r="O856" s="1">
        <v>45669</v>
      </c>
      <c r="T856" t="s">
        <v>2662</v>
      </c>
      <c r="U856" t="s">
        <v>2760</v>
      </c>
      <c r="V856">
        <v>1</v>
      </c>
      <c r="W856" t="s">
        <v>2677</v>
      </c>
      <c r="X856">
        <v>1</v>
      </c>
      <c r="Y856" t="s">
        <v>2760</v>
      </c>
      <c r="AA856">
        <v>508996769902</v>
      </c>
      <c r="AB856" t="s">
        <v>2193</v>
      </c>
      <c r="AC856">
        <v>0</v>
      </c>
      <c r="AD856">
        <v>39</v>
      </c>
      <c r="AE856">
        <v>50899676990239</v>
      </c>
      <c r="AF856" t="s">
        <v>4640</v>
      </c>
      <c r="AG856">
        <v>0</v>
      </c>
      <c r="AH856">
        <v>0</v>
      </c>
    </row>
    <row r="857" spans="1:34">
      <c r="A857">
        <v>2025</v>
      </c>
      <c r="B857" s="1">
        <v>45901</v>
      </c>
      <c r="C857" t="s">
        <v>2657</v>
      </c>
      <c r="D857" t="s">
        <v>4659</v>
      </c>
      <c r="E857" s="43">
        <v>45922.65455900463</v>
      </c>
      <c r="F857" s="1">
        <v>45922</v>
      </c>
      <c r="G857" s="43">
        <v>45926.587198113426</v>
      </c>
      <c r="H857" t="s">
        <v>2734</v>
      </c>
      <c r="I857" t="s">
        <v>2660</v>
      </c>
      <c r="J857" t="s">
        <v>2735</v>
      </c>
      <c r="L857" t="s">
        <v>2408</v>
      </c>
      <c r="M857">
        <v>861076042402</v>
      </c>
      <c r="N857" t="s">
        <v>2746</v>
      </c>
      <c r="O857" s="1">
        <v>45669</v>
      </c>
      <c r="T857" t="s">
        <v>2662</v>
      </c>
      <c r="U857" t="s">
        <v>4660</v>
      </c>
      <c r="V857">
        <v>4</v>
      </c>
      <c r="W857" t="s">
        <v>2677</v>
      </c>
      <c r="X857">
        <v>1</v>
      </c>
      <c r="Y857" t="s">
        <v>2767</v>
      </c>
      <c r="AA857">
        <v>508996769902</v>
      </c>
      <c r="AB857" t="s">
        <v>2193</v>
      </c>
      <c r="AC857">
        <v>0</v>
      </c>
      <c r="AD857">
        <v>39</v>
      </c>
      <c r="AE857">
        <v>50899676990239</v>
      </c>
      <c r="AF857" t="s">
        <v>4640</v>
      </c>
      <c r="AG857">
        <v>0</v>
      </c>
      <c r="AH857">
        <v>0</v>
      </c>
    </row>
    <row r="858" spans="1:34">
      <c r="A858">
        <v>2026</v>
      </c>
      <c r="B858" s="1">
        <v>46082</v>
      </c>
      <c r="C858" t="s">
        <v>2657</v>
      </c>
      <c r="D858" t="s">
        <v>4661</v>
      </c>
      <c r="E858" s="43">
        <v>46083.526888356479</v>
      </c>
      <c r="F858" s="1">
        <v>46083</v>
      </c>
      <c r="G858" s="43">
        <v>46084.947398090277</v>
      </c>
      <c r="H858" t="s">
        <v>2668</v>
      </c>
      <c r="I858" t="s">
        <v>2669</v>
      </c>
      <c r="J858" t="s">
        <v>36</v>
      </c>
      <c r="L858" t="s">
        <v>2472</v>
      </c>
      <c r="M858">
        <v>283888426602</v>
      </c>
      <c r="N858" t="s">
        <v>2702</v>
      </c>
      <c r="O858" s="1">
        <v>46020</v>
      </c>
      <c r="T858" t="s">
        <v>2662</v>
      </c>
      <c r="U858" t="s">
        <v>4662</v>
      </c>
      <c r="V858">
        <v>1</v>
      </c>
      <c r="W858" t="s">
        <v>2671</v>
      </c>
      <c r="X858">
        <v>1</v>
      </c>
      <c r="Y858" t="s">
        <v>2672</v>
      </c>
      <c r="AA858">
        <v>283888426602</v>
      </c>
      <c r="AB858" t="s">
        <v>2485</v>
      </c>
      <c r="AC858">
        <v>0</v>
      </c>
      <c r="AD858">
        <v>10</v>
      </c>
      <c r="AE858">
        <v>28388842660210</v>
      </c>
      <c r="AF858" t="s">
        <v>4663</v>
      </c>
      <c r="AG858">
        <v>1</v>
      </c>
      <c r="AH858">
        <v>1</v>
      </c>
    </row>
    <row r="859" spans="1:34">
      <c r="A859">
        <v>2026</v>
      </c>
      <c r="B859" s="1">
        <v>46082</v>
      </c>
      <c r="C859" t="s">
        <v>2657</v>
      </c>
      <c r="D859" t="s">
        <v>4664</v>
      </c>
      <c r="E859" s="43">
        <v>46084.948238553239</v>
      </c>
      <c r="F859" s="1">
        <v>46084</v>
      </c>
      <c r="G859" s="43">
        <v>46085.584962314817</v>
      </c>
      <c r="H859" t="s">
        <v>2668</v>
      </c>
      <c r="I859" t="s">
        <v>2669</v>
      </c>
      <c r="J859" t="s">
        <v>36</v>
      </c>
      <c r="L859" t="s">
        <v>2472</v>
      </c>
      <c r="M859">
        <v>283888426602</v>
      </c>
      <c r="N859" t="s">
        <v>2702</v>
      </c>
      <c r="O859" s="1">
        <v>46020</v>
      </c>
      <c r="T859" t="s">
        <v>2662</v>
      </c>
      <c r="U859" t="s">
        <v>4665</v>
      </c>
      <c r="V859">
        <v>1</v>
      </c>
      <c r="W859" t="s">
        <v>2671</v>
      </c>
      <c r="X859">
        <v>1</v>
      </c>
      <c r="Y859" t="s">
        <v>2672</v>
      </c>
      <c r="AA859">
        <v>283888426602</v>
      </c>
      <c r="AB859" t="s">
        <v>2485</v>
      </c>
      <c r="AC859">
        <v>0</v>
      </c>
      <c r="AD859">
        <v>10</v>
      </c>
      <c r="AE859">
        <v>28388842660210</v>
      </c>
      <c r="AF859" t="s">
        <v>4663</v>
      </c>
      <c r="AG859">
        <v>0</v>
      </c>
      <c r="AH859">
        <v>0</v>
      </c>
    </row>
    <row r="860" spans="1:34">
      <c r="A860">
        <v>2026</v>
      </c>
      <c r="B860" s="1">
        <v>46082</v>
      </c>
      <c r="C860" t="s">
        <v>2657</v>
      </c>
      <c r="D860" t="s">
        <v>4666</v>
      </c>
      <c r="E860" s="43">
        <v>46090.586168240741</v>
      </c>
      <c r="F860" s="1">
        <v>46090</v>
      </c>
      <c r="G860" s="43">
        <v>46093.585084999999</v>
      </c>
      <c r="H860" t="s">
        <v>2668</v>
      </c>
      <c r="I860" t="s">
        <v>2681</v>
      </c>
      <c r="J860" t="s">
        <v>36</v>
      </c>
      <c r="L860" t="s">
        <v>2472</v>
      </c>
      <c r="M860">
        <v>283888426602</v>
      </c>
      <c r="N860" t="s">
        <v>2702</v>
      </c>
      <c r="O860" s="1">
        <v>46020</v>
      </c>
      <c r="T860" t="s">
        <v>2662</v>
      </c>
      <c r="U860" t="s">
        <v>4667</v>
      </c>
      <c r="V860">
        <v>3</v>
      </c>
      <c r="W860" t="s">
        <v>2671</v>
      </c>
      <c r="X860">
        <v>1</v>
      </c>
      <c r="Y860" t="s">
        <v>2683</v>
      </c>
      <c r="AA860">
        <v>283888426602</v>
      </c>
      <c r="AB860" t="s">
        <v>2485</v>
      </c>
      <c r="AC860">
        <v>1</v>
      </c>
      <c r="AD860">
        <v>11</v>
      </c>
      <c r="AE860">
        <v>28388842660211</v>
      </c>
      <c r="AF860" t="s">
        <v>4663</v>
      </c>
      <c r="AG860">
        <v>1</v>
      </c>
      <c r="AH860">
        <v>0</v>
      </c>
    </row>
    <row r="861" spans="1:34">
      <c r="A861">
        <v>2025</v>
      </c>
      <c r="B861" s="1">
        <v>45870</v>
      </c>
      <c r="C861" t="s">
        <v>2657</v>
      </c>
      <c r="D861" t="s">
        <v>4668</v>
      </c>
      <c r="E861" s="43">
        <v>45880.59259896991</v>
      </c>
      <c r="F861" s="1">
        <v>45880</v>
      </c>
      <c r="G861" s="43">
        <v>45894.656976458333</v>
      </c>
      <c r="H861" t="s">
        <v>3088</v>
      </c>
      <c r="I861" t="s">
        <v>2681</v>
      </c>
      <c r="J861" t="s">
        <v>2735</v>
      </c>
      <c r="L861" t="s">
        <v>2336</v>
      </c>
      <c r="M861">
        <v>506559759302</v>
      </c>
      <c r="N861" t="s">
        <v>2746</v>
      </c>
      <c r="O861" s="1">
        <v>45324</v>
      </c>
      <c r="T861" t="s">
        <v>2662</v>
      </c>
      <c r="U861" t="s">
        <v>4669</v>
      </c>
      <c r="V861">
        <v>10</v>
      </c>
      <c r="W861" t="s">
        <v>2677</v>
      </c>
      <c r="X861">
        <v>1</v>
      </c>
      <c r="Y861" t="s">
        <v>2764</v>
      </c>
      <c r="Z861" t="s">
        <v>2684</v>
      </c>
      <c r="AA861">
        <v>1041281178802</v>
      </c>
      <c r="AB861" t="s">
        <v>726</v>
      </c>
      <c r="AC861">
        <v>0</v>
      </c>
      <c r="AD861">
        <v>33</v>
      </c>
      <c r="AE861">
        <v>104128117880233</v>
      </c>
      <c r="AF861" t="s">
        <v>4670</v>
      </c>
      <c r="AG861">
        <v>1</v>
      </c>
      <c r="AH861">
        <v>1</v>
      </c>
    </row>
    <row r="862" spans="1:34">
      <c r="A862">
        <v>2025</v>
      </c>
      <c r="B862" s="1">
        <v>45870</v>
      </c>
      <c r="C862" t="s">
        <v>2657</v>
      </c>
      <c r="D862" t="s">
        <v>4671</v>
      </c>
      <c r="E862" s="43">
        <v>45887.617760474539</v>
      </c>
      <c r="F862" s="1">
        <v>45887</v>
      </c>
      <c r="G862" s="43">
        <v>45889.553674317132</v>
      </c>
      <c r="H862" t="s">
        <v>3088</v>
      </c>
      <c r="I862" t="s">
        <v>2719</v>
      </c>
      <c r="J862" t="s">
        <v>2735</v>
      </c>
      <c r="L862" t="s">
        <v>2336</v>
      </c>
      <c r="M862">
        <v>506559759302</v>
      </c>
      <c r="N862" t="s">
        <v>2746</v>
      </c>
      <c r="O862" s="1">
        <v>45324</v>
      </c>
      <c r="T862" t="s">
        <v>2662</v>
      </c>
      <c r="U862" t="s">
        <v>4672</v>
      </c>
      <c r="V862">
        <v>2</v>
      </c>
      <c r="W862" t="s">
        <v>2677</v>
      </c>
      <c r="X862">
        <v>1</v>
      </c>
      <c r="Y862" t="s">
        <v>2683</v>
      </c>
      <c r="AA862">
        <v>1041281178802</v>
      </c>
      <c r="AB862" t="s">
        <v>726</v>
      </c>
      <c r="AC862">
        <v>0</v>
      </c>
      <c r="AD862">
        <v>34</v>
      </c>
      <c r="AE862">
        <v>104128117880234</v>
      </c>
      <c r="AF862" t="s">
        <v>4670</v>
      </c>
      <c r="AG862">
        <v>1</v>
      </c>
      <c r="AH862">
        <v>0</v>
      </c>
    </row>
    <row r="863" spans="1:34">
      <c r="A863">
        <v>2026</v>
      </c>
      <c r="B863" s="1">
        <v>46023</v>
      </c>
      <c r="C863" t="s">
        <v>2657</v>
      </c>
      <c r="D863" t="s">
        <v>4673</v>
      </c>
      <c r="E863" s="43">
        <v>46030.85098599537</v>
      </c>
      <c r="F863" s="1">
        <v>46030</v>
      </c>
      <c r="G863" s="43">
        <v>46031.592539375</v>
      </c>
      <c r="H863" t="s">
        <v>2701</v>
      </c>
      <c r="I863" t="s">
        <v>2681</v>
      </c>
      <c r="J863" t="s">
        <v>38</v>
      </c>
      <c r="L863" t="s">
        <v>2393</v>
      </c>
      <c r="M863">
        <v>13351599302</v>
      </c>
      <c r="N863" t="s">
        <v>2702</v>
      </c>
      <c r="O863" s="1">
        <v>44991</v>
      </c>
      <c r="T863" t="s">
        <v>2662</v>
      </c>
      <c r="U863" t="s">
        <v>4674</v>
      </c>
      <c r="V863">
        <v>1</v>
      </c>
      <c r="X863">
        <v>1</v>
      </c>
      <c r="Y863" t="s">
        <v>2710</v>
      </c>
      <c r="AA863">
        <v>13351599302</v>
      </c>
      <c r="AB863" t="s">
        <v>1583</v>
      </c>
      <c r="AC863">
        <v>0</v>
      </c>
      <c r="AD863">
        <v>2</v>
      </c>
      <c r="AE863">
        <v>133515993022</v>
      </c>
      <c r="AF863" t="s">
        <v>4675</v>
      </c>
      <c r="AG863">
        <v>1</v>
      </c>
      <c r="AH863">
        <v>1</v>
      </c>
    </row>
    <row r="864" spans="1:34">
      <c r="A864">
        <v>2026</v>
      </c>
      <c r="B864" s="1">
        <v>46023</v>
      </c>
      <c r="C864" t="s">
        <v>2657</v>
      </c>
      <c r="D864" s="44" t="s">
        <v>4676</v>
      </c>
      <c r="E864" s="43">
        <v>46034.610146099534</v>
      </c>
      <c r="F864" s="1">
        <v>46034</v>
      </c>
      <c r="G864" s="43">
        <v>46036.702534606484</v>
      </c>
      <c r="H864" t="s">
        <v>2701</v>
      </c>
      <c r="I864" t="s">
        <v>2681</v>
      </c>
      <c r="J864" t="s">
        <v>38</v>
      </c>
      <c r="L864" t="s">
        <v>2393</v>
      </c>
      <c r="M864">
        <v>13351599302</v>
      </c>
      <c r="N864" t="s">
        <v>2702</v>
      </c>
      <c r="O864" s="1">
        <v>44991</v>
      </c>
      <c r="T864" t="s">
        <v>2662</v>
      </c>
      <c r="U864" t="s">
        <v>4677</v>
      </c>
      <c r="V864">
        <v>2</v>
      </c>
      <c r="W864" t="s">
        <v>2664</v>
      </c>
      <c r="X864">
        <v>1</v>
      </c>
      <c r="Y864" t="s">
        <v>2717</v>
      </c>
      <c r="AA864">
        <v>13351599302</v>
      </c>
      <c r="AB864" t="s">
        <v>1583</v>
      </c>
      <c r="AC864">
        <v>0</v>
      </c>
      <c r="AD864">
        <v>3</v>
      </c>
      <c r="AE864">
        <v>133515993023</v>
      </c>
      <c r="AF864" t="s">
        <v>4675</v>
      </c>
      <c r="AG864">
        <v>1</v>
      </c>
      <c r="AH864">
        <v>0</v>
      </c>
    </row>
    <row r="865" spans="1:34">
      <c r="A865">
        <v>2026</v>
      </c>
      <c r="B865" s="1">
        <v>46023</v>
      </c>
      <c r="C865" t="s">
        <v>2657</v>
      </c>
      <c r="D865" t="s">
        <v>4678</v>
      </c>
      <c r="E865" s="43">
        <v>46043.75510357639</v>
      </c>
      <c r="F865" s="1">
        <v>46043</v>
      </c>
      <c r="G865" s="43">
        <v>46049.762617118053</v>
      </c>
      <c r="H865" t="s">
        <v>2701</v>
      </c>
      <c r="I865" t="s">
        <v>2719</v>
      </c>
      <c r="J865" t="s">
        <v>38</v>
      </c>
      <c r="L865" t="s">
        <v>2393</v>
      </c>
      <c r="M865">
        <v>13351599302</v>
      </c>
      <c r="N865" t="s">
        <v>2702</v>
      </c>
      <c r="O865" s="1">
        <v>44991</v>
      </c>
      <c r="T865" t="s">
        <v>2662</v>
      </c>
      <c r="U865" t="s">
        <v>4679</v>
      </c>
      <c r="V865">
        <v>4</v>
      </c>
      <c r="W865" t="s">
        <v>2704</v>
      </c>
      <c r="X865">
        <v>1</v>
      </c>
      <c r="Y865" t="s">
        <v>2710</v>
      </c>
      <c r="AA865">
        <v>13351599302</v>
      </c>
      <c r="AB865" t="s">
        <v>1583</v>
      </c>
      <c r="AC865">
        <v>0</v>
      </c>
      <c r="AD865">
        <v>4</v>
      </c>
      <c r="AE865">
        <v>133515993024</v>
      </c>
      <c r="AF865" t="s">
        <v>4675</v>
      </c>
      <c r="AG865">
        <v>1</v>
      </c>
      <c r="AH865">
        <v>0</v>
      </c>
    </row>
    <row r="866" spans="1:34">
      <c r="A866">
        <v>2026</v>
      </c>
      <c r="B866" s="1">
        <v>46023</v>
      </c>
      <c r="C866" t="s">
        <v>2657</v>
      </c>
      <c r="D866" t="s">
        <v>4680</v>
      </c>
      <c r="E866" s="43">
        <v>46048.812815451391</v>
      </c>
      <c r="F866" s="1">
        <v>46048</v>
      </c>
      <c r="G866" s="43">
        <v>46050.849156099539</v>
      </c>
      <c r="H866" t="s">
        <v>2701</v>
      </c>
      <c r="I866" t="s">
        <v>2660</v>
      </c>
      <c r="J866" t="s">
        <v>38</v>
      </c>
      <c r="L866" t="s">
        <v>2393</v>
      </c>
      <c r="M866">
        <v>13351599302</v>
      </c>
      <c r="N866" t="s">
        <v>2702</v>
      </c>
      <c r="O866" s="1">
        <v>44991</v>
      </c>
      <c r="T866" t="s">
        <v>2662</v>
      </c>
      <c r="U866" t="s">
        <v>4681</v>
      </c>
      <c r="V866">
        <v>2</v>
      </c>
      <c r="W866" t="s">
        <v>2664</v>
      </c>
      <c r="X866">
        <v>1</v>
      </c>
      <c r="Y866" t="s">
        <v>2717</v>
      </c>
      <c r="AA866">
        <v>13351599302</v>
      </c>
      <c r="AB866" t="s">
        <v>1583</v>
      </c>
      <c r="AC866">
        <v>0</v>
      </c>
      <c r="AD866">
        <v>5</v>
      </c>
      <c r="AE866">
        <v>133515993025</v>
      </c>
      <c r="AF866" t="s">
        <v>4675</v>
      </c>
      <c r="AG866">
        <v>1</v>
      </c>
      <c r="AH866">
        <v>0</v>
      </c>
    </row>
    <row r="867" spans="1:34">
      <c r="A867">
        <v>2026</v>
      </c>
      <c r="B867" s="1">
        <v>46023</v>
      </c>
      <c r="C867" t="s">
        <v>2657</v>
      </c>
      <c r="D867" t="s">
        <v>4682</v>
      </c>
      <c r="E867" s="43">
        <v>46049.780097939816</v>
      </c>
      <c r="F867" s="1">
        <v>46049</v>
      </c>
      <c r="G867" s="43">
        <v>46050.554705972223</v>
      </c>
      <c r="H867" t="s">
        <v>2701</v>
      </c>
      <c r="I867" t="s">
        <v>2660</v>
      </c>
      <c r="J867" t="s">
        <v>38</v>
      </c>
      <c r="L867" t="s">
        <v>2393</v>
      </c>
      <c r="M867">
        <v>13351599302</v>
      </c>
      <c r="N867" t="s">
        <v>2702</v>
      </c>
      <c r="O867" s="1">
        <v>44991</v>
      </c>
      <c r="T867" t="s">
        <v>2662</v>
      </c>
      <c r="U867" t="s">
        <v>4683</v>
      </c>
      <c r="V867">
        <v>1</v>
      </c>
      <c r="W867" t="s">
        <v>2704</v>
      </c>
      <c r="X867">
        <v>1</v>
      </c>
      <c r="Y867" t="s">
        <v>2710</v>
      </c>
      <c r="AA867">
        <v>13351599302</v>
      </c>
      <c r="AB867" t="s">
        <v>1583</v>
      </c>
      <c r="AC867">
        <v>0</v>
      </c>
      <c r="AD867">
        <v>5</v>
      </c>
      <c r="AE867">
        <v>133515993025</v>
      </c>
      <c r="AF867" t="s">
        <v>4675</v>
      </c>
      <c r="AG867">
        <v>0</v>
      </c>
      <c r="AH867">
        <v>0</v>
      </c>
    </row>
    <row r="868" spans="1:34">
      <c r="A868">
        <v>2025</v>
      </c>
      <c r="B868" s="1">
        <v>45931</v>
      </c>
      <c r="C868" t="s">
        <v>2657</v>
      </c>
      <c r="D868" t="s">
        <v>4684</v>
      </c>
      <c r="E868" s="43">
        <v>45954.651109722225</v>
      </c>
      <c r="F868" s="1">
        <v>45954</v>
      </c>
      <c r="G868" s="43">
        <v>46036.831227743052</v>
      </c>
      <c r="H868" t="s">
        <v>2659</v>
      </c>
      <c r="I868" t="s">
        <v>2660</v>
      </c>
      <c r="J868" t="s">
        <v>100</v>
      </c>
      <c r="L868" t="s">
        <v>2361</v>
      </c>
      <c r="M868">
        <v>16137818802</v>
      </c>
      <c r="N868" t="s">
        <v>2746</v>
      </c>
      <c r="O868" s="1">
        <v>45294</v>
      </c>
      <c r="T868" t="s">
        <v>2662</v>
      </c>
      <c r="U868" t="s">
        <v>4685</v>
      </c>
      <c r="V868">
        <v>58</v>
      </c>
      <c r="W868" t="s">
        <v>2664</v>
      </c>
      <c r="X868">
        <v>1</v>
      </c>
      <c r="Y868" t="s">
        <v>2665</v>
      </c>
      <c r="Z868" t="s">
        <v>2834</v>
      </c>
      <c r="AA868">
        <v>16137818802</v>
      </c>
      <c r="AB868" t="s">
        <v>1088</v>
      </c>
      <c r="AC868">
        <v>0</v>
      </c>
      <c r="AD868">
        <v>43</v>
      </c>
      <c r="AE868">
        <v>1613781880243</v>
      </c>
      <c r="AF868" t="s">
        <v>4686</v>
      </c>
      <c r="AG868">
        <v>1</v>
      </c>
      <c r="AH868">
        <v>1</v>
      </c>
    </row>
    <row r="869" spans="1:34">
      <c r="A869">
        <v>2025</v>
      </c>
      <c r="B869" s="1">
        <v>45931</v>
      </c>
      <c r="C869" t="s">
        <v>2657</v>
      </c>
      <c r="D869" t="s">
        <v>4687</v>
      </c>
      <c r="E869" s="43">
        <v>45936.797943807869</v>
      </c>
      <c r="F869" s="1">
        <v>45936</v>
      </c>
      <c r="G869" s="43">
        <v>45937.794712615738</v>
      </c>
      <c r="H869" t="s">
        <v>2659</v>
      </c>
      <c r="I869" t="s">
        <v>2669</v>
      </c>
      <c r="J869" t="s">
        <v>38</v>
      </c>
      <c r="L869" t="s">
        <v>2352</v>
      </c>
      <c r="M869">
        <v>642633814402</v>
      </c>
      <c r="N869" t="s">
        <v>2702</v>
      </c>
      <c r="O869" s="1">
        <v>45669</v>
      </c>
      <c r="T869" t="s">
        <v>2662</v>
      </c>
      <c r="U869" t="s">
        <v>4688</v>
      </c>
      <c r="V869">
        <v>1</v>
      </c>
      <c r="W869" t="s">
        <v>2677</v>
      </c>
      <c r="X869">
        <v>1</v>
      </c>
      <c r="Y869" t="s">
        <v>2760</v>
      </c>
      <c r="AA869">
        <v>93900917902</v>
      </c>
      <c r="AB869" t="s">
        <v>2018</v>
      </c>
      <c r="AC869">
        <v>0</v>
      </c>
      <c r="AD869">
        <v>41</v>
      </c>
      <c r="AE869">
        <v>9390091790241</v>
      </c>
      <c r="AF869" t="s">
        <v>4689</v>
      </c>
      <c r="AG869">
        <v>1</v>
      </c>
      <c r="AH869">
        <v>1</v>
      </c>
    </row>
    <row r="870" spans="1:34">
      <c r="A870">
        <v>2025</v>
      </c>
      <c r="B870" s="1">
        <v>45931</v>
      </c>
      <c r="C870" t="s">
        <v>2657</v>
      </c>
      <c r="D870" t="s">
        <v>4690</v>
      </c>
      <c r="E870" s="43">
        <v>45947.754453414353</v>
      </c>
      <c r="F870" s="1">
        <v>45947</v>
      </c>
      <c r="G870" s="43">
        <v>45947.849496678238</v>
      </c>
      <c r="H870" t="s">
        <v>2659</v>
      </c>
      <c r="I870" t="s">
        <v>2719</v>
      </c>
      <c r="J870" t="s">
        <v>36</v>
      </c>
      <c r="L870" t="s">
        <v>2352</v>
      </c>
      <c r="M870">
        <v>642633814402</v>
      </c>
      <c r="N870" t="s">
        <v>2702</v>
      </c>
      <c r="O870" s="1">
        <v>45669</v>
      </c>
      <c r="T870" t="s">
        <v>2662</v>
      </c>
      <c r="U870" t="s">
        <v>4691</v>
      </c>
      <c r="V870">
        <v>0</v>
      </c>
      <c r="W870" t="s">
        <v>2677</v>
      </c>
      <c r="X870">
        <v>1</v>
      </c>
      <c r="Y870" t="s">
        <v>2678</v>
      </c>
      <c r="AA870">
        <v>93900917902</v>
      </c>
      <c r="AB870" t="s">
        <v>2018</v>
      </c>
      <c r="AC870">
        <v>0</v>
      </c>
      <c r="AD870">
        <v>42</v>
      </c>
      <c r="AE870">
        <v>9390091790242</v>
      </c>
      <c r="AF870" t="s">
        <v>4689</v>
      </c>
      <c r="AG870">
        <v>0</v>
      </c>
      <c r="AH870">
        <v>0</v>
      </c>
    </row>
    <row r="871" spans="1:34">
      <c r="A871">
        <v>2025</v>
      </c>
      <c r="B871" s="1">
        <v>45931</v>
      </c>
      <c r="C871" t="s">
        <v>2657</v>
      </c>
      <c r="D871" t="s">
        <v>4692</v>
      </c>
      <c r="E871" s="43">
        <v>45946.685997777779</v>
      </c>
      <c r="F871" s="1">
        <v>45946</v>
      </c>
      <c r="G871" s="43">
        <v>45947.464520532405</v>
      </c>
      <c r="H871" t="s">
        <v>2659</v>
      </c>
      <c r="I871" t="s">
        <v>2719</v>
      </c>
      <c r="J871" t="s">
        <v>36</v>
      </c>
      <c r="L871" t="s">
        <v>2352</v>
      </c>
      <c r="M871">
        <v>642633814402</v>
      </c>
      <c r="N871" t="s">
        <v>2702</v>
      </c>
      <c r="O871" s="1">
        <v>45669</v>
      </c>
      <c r="T871" t="s">
        <v>2662</v>
      </c>
      <c r="U871" t="s">
        <v>4693</v>
      </c>
      <c r="V871">
        <v>1</v>
      </c>
      <c r="W871" t="s">
        <v>2671</v>
      </c>
      <c r="X871">
        <v>1</v>
      </c>
      <c r="Y871" t="s">
        <v>2672</v>
      </c>
      <c r="AA871">
        <v>93900917902</v>
      </c>
      <c r="AB871" t="s">
        <v>2018</v>
      </c>
      <c r="AC871">
        <v>0</v>
      </c>
      <c r="AD871">
        <v>42</v>
      </c>
      <c r="AE871">
        <v>9390091790242</v>
      </c>
      <c r="AF871" t="s">
        <v>4689</v>
      </c>
      <c r="AG871">
        <v>1</v>
      </c>
      <c r="AH871">
        <v>0</v>
      </c>
    </row>
    <row r="872" spans="1:34">
      <c r="A872">
        <v>2025</v>
      </c>
      <c r="B872" s="1">
        <v>45992</v>
      </c>
      <c r="C872" t="s">
        <v>2657</v>
      </c>
      <c r="D872" t="s">
        <v>4694</v>
      </c>
      <c r="E872" s="43">
        <v>45993.746138344904</v>
      </c>
      <c r="F872" s="1">
        <v>45993</v>
      </c>
      <c r="G872" s="43">
        <v>46006.680916620367</v>
      </c>
      <c r="H872" t="s">
        <v>2686</v>
      </c>
      <c r="I872" t="s">
        <v>2669</v>
      </c>
      <c r="J872" t="s">
        <v>38</v>
      </c>
      <c r="L872" t="s">
        <v>2379</v>
      </c>
      <c r="M872">
        <v>244366726002</v>
      </c>
      <c r="N872" t="s">
        <v>2675</v>
      </c>
      <c r="O872" s="1">
        <v>45448</v>
      </c>
      <c r="T872" t="s">
        <v>2662</v>
      </c>
      <c r="U872" t="s">
        <v>4695</v>
      </c>
      <c r="V872">
        <v>9</v>
      </c>
      <c r="W872" t="s">
        <v>2743</v>
      </c>
      <c r="X872">
        <v>1</v>
      </c>
      <c r="Y872" t="s">
        <v>2721</v>
      </c>
      <c r="AA872">
        <v>244366726002</v>
      </c>
      <c r="AB872" t="s">
        <v>398</v>
      </c>
      <c r="AC872">
        <v>0</v>
      </c>
      <c r="AD872">
        <v>49</v>
      </c>
      <c r="AE872">
        <v>24436672600249</v>
      </c>
      <c r="AF872" t="s">
        <v>4696</v>
      </c>
      <c r="AG872">
        <v>1</v>
      </c>
      <c r="AH872">
        <v>1</v>
      </c>
    </row>
    <row r="873" spans="1:34">
      <c r="A873">
        <v>2025</v>
      </c>
      <c r="B873" s="1">
        <v>45992</v>
      </c>
      <c r="C873" t="s">
        <v>2657</v>
      </c>
      <c r="D873" t="s">
        <v>4697</v>
      </c>
      <c r="E873" s="43">
        <v>46002.870005254626</v>
      </c>
      <c r="F873" s="1">
        <v>46002</v>
      </c>
      <c r="G873" s="43">
        <v>46002.870005254626</v>
      </c>
      <c r="H873" t="s">
        <v>2686</v>
      </c>
      <c r="I873" t="s">
        <v>2681</v>
      </c>
      <c r="J873" t="s">
        <v>38</v>
      </c>
      <c r="L873" t="s">
        <v>2379</v>
      </c>
      <c r="M873">
        <v>244366726002</v>
      </c>
      <c r="N873" t="s">
        <v>2675</v>
      </c>
      <c r="O873" s="1">
        <v>45448</v>
      </c>
      <c r="T873" t="s">
        <v>2662</v>
      </c>
      <c r="U873" t="s">
        <v>4698</v>
      </c>
      <c r="V873">
        <v>0</v>
      </c>
      <c r="W873" t="s">
        <v>2704</v>
      </c>
      <c r="X873">
        <v>1</v>
      </c>
      <c r="Y873" t="s">
        <v>2695</v>
      </c>
      <c r="AA873">
        <v>244366726002</v>
      </c>
      <c r="AB873" t="s">
        <v>398</v>
      </c>
      <c r="AC873">
        <v>0</v>
      </c>
      <c r="AD873">
        <v>50</v>
      </c>
      <c r="AE873">
        <v>24436672600250</v>
      </c>
      <c r="AF873" t="s">
        <v>4696</v>
      </c>
      <c r="AG873">
        <v>1</v>
      </c>
      <c r="AH873">
        <v>0</v>
      </c>
    </row>
    <row r="874" spans="1:34">
      <c r="A874">
        <v>2025</v>
      </c>
      <c r="B874" s="1">
        <v>45931</v>
      </c>
      <c r="C874" t="s">
        <v>2657</v>
      </c>
      <c r="D874" t="s">
        <v>4699</v>
      </c>
      <c r="E874" s="43">
        <v>45938.540119722224</v>
      </c>
      <c r="F874" s="1">
        <v>45938</v>
      </c>
      <c r="G874" s="43">
        <v>45938.729471874998</v>
      </c>
      <c r="H874" t="s">
        <v>2659</v>
      </c>
      <c r="I874" t="s">
        <v>2681</v>
      </c>
      <c r="J874" t="s">
        <v>2735</v>
      </c>
      <c r="L874" t="s">
        <v>2408</v>
      </c>
      <c r="M874">
        <v>11613361102</v>
      </c>
      <c r="N874" t="s">
        <v>2746</v>
      </c>
      <c r="O874" s="1">
        <v>45294</v>
      </c>
      <c r="T874" t="s">
        <v>2662</v>
      </c>
      <c r="U874" t="s">
        <v>4700</v>
      </c>
      <c r="V874">
        <v>0</v>
      </c>
      <c r="W874" t="s">
        <v>2743</v>
      </c>
      <c r="X874">
        <v>1</v>
      </c>
      <c r="Y874" t="s">
        <v>2699</v>
      </c>
      <c r="Z874" t="s">
        <v>2684</v>
      </c>
      <c r="AA874">
        <v>11613361102</v>
      </c>
      <c r="AB874" t="s">
        <v>1880</v>
      </c>
      <c r="AC874">
        <v>0</v>
      </c>
      <c r="AD874">
        <v>41</v>
      </c>
      <c r="AE874">
        <v>1161336110241</v>
      </c>
      <c r="AF874" t="s">
        <v>4701</v>
      </c>
      <c r="AG874">
        <v>1</v>
      </c>
      <c r="AH874">
        <v>1</v>
      </c>
    </row>
    <row r="875" spans="1:34">
      <c r="A875">
        <v>2025</v>
      </c>
      <c r="B875" s="1">
        <v>45931</v>
      </c>
      <c r="C875" t="s">
        <v>2657</v>
      </c>
      <c r="D875" t="s">
        <v>4702</v>
      </c>
      <c r="E875" s="43">
        <v>45957.653236192127</v>
      </c>
      <c r="F875" s="1">
        <v>45957</v>
      </c>
      <c r="G875" s="43">
        <v>45959.616622905094</v>
      </c>
      <c r="H875" t="s">
        <v>2659</v>
      </c>
      <c r="I875" t="s">
        <v>2660</v>
      </c>
      <c r="J875" t="s">
        <v>2735</v>
      </c>
      <c r="L875" t="s">
        <v>2408</v>
      </c>
      <c r="M875">
        <v>11613361102</v>
      </c>
      <c r="N875" t="s">
        <v>2746</v>
      </c>
      <c r="O875" s="1">
        <v>45294</v>
      </c>
      <c r="T875" t="s">
        <v>2662</v>
      </c>
      <c r="U875" t="s">
        <v>4703</v>
      </c>
      <c r="V875">
        <v>2</v>
      </c>
      <c r="W875" t="s">
        <v>2743</v>
      </c>
      <c r="X875">
        <v>1</v>
      </c>
      <c r="Y875" t="s">
        <v>2721</v>
      </c>
      <c r="Z875" t="s">
        <v>2684</v>
      </c>
      <c r="AA875">
        <v>11613361102</v>
      </c>
      <c r="AB875" t="s">
        <v>1880</v>
      </c>
      <c r="AC875">
        <v>0</v>
      </c>
      <c r="AD875">
        <v>44</v>
      </c>
      <c r="AE875">
        <v>1161336110244</v>
      </c>
      <c r="AF875" t="s">
        <v>4701</v>
      </c>
      <c r="AG875">
        <v>1</v>
      </c>
      <c r="AH875">
        <v>0</v>
      </c>
    </row>
    <row r="876" spans="1:34">
      <c r="A876">
        <v>2025</v>
      </c>
      <c r="B876" s="1">
        <v>45931</v>
      </c>
      <c r="C876" t="s">
        <v>2657</v>
      </c>
      <c r="D876" t="s">
        <v>4704</v>
      </c>
      <c r="E876" s="43">
        <v>45958.527892835649</v>
      </c>
      <c r="F876" s="1">
        <v>45958</v>
      </c>
      <c r="G876" s="43">
        <v>45958.527892835649</v>
      </c>
      <c r="H876" t="s">
        <v>2659</v>
      </c>
      <c r="I876" t="s">
        <v>2660</v>
      </c>
      <c r="J876" t="s">
        <v>2735</v>
      </c>
      <c r="L876" t="s">
        <v>2408</v>
      </c>
      <c r="M876">
        <v>847074348102</v>
      </c>
      <c r="N876" t="s">
        <v>2746</v>
      </c>
      <c r="O876" s="1">
        <v>45457</v>
      </c>
      <c r="T876" t="s">
        <v>2662</v>
      </c>
      <c r="U876" t="s">
        <v>4705</v>
      </c>
      <c r="V876">
        <v>0</v>
      </c>
      <c r="W876" t="s">
        <v>2671</v>
      </c>
      <c r="X876">
        <v>1</v>
      </c>
      <c r="Y876" t="s">
        <v>2692</v>
      </c>
      <c r="AA876">
        <v>11613361102</v>
      </c>
      <c r="AB876" t="s">
        <v>1880</v>
      </c>
      <c r="AC876">
        <v>0</v>
      </c>
      <c r="AD876">
        <v>44</v>
      </c>
      <c r="AE876">
        <v>1161336110244</v>
      </c>
      <c r="AF876" t="s">
        <v>4701</v>
      </c>
      <c r="AG876">
        <v>0</v>
      </c>
      <c r="AH876">
        <v>0</v>
      </c>
    </row>
    <row r="877" spans="1:34">
      <c r="A877">
        <v>2025</v>
      </c>
      <c r="B877" s="1">
        <v>45931</v>
      </c>
      <c r="C877" t="s">
        <v>2657</v>
      </c>
      <c r="D877" t="s">
        <v>4706</v>
      </c>
      <c r="E877" s="43">
        <v>45958.609099236113</v>
      </c>
      <c r="F877" s="1">
        <v>45958</v>
      </c>
      <c r="G877" s="43">
        <v>45958.818546319446</v>
      </c>
      <c r="H877" t="s">
        <v>2659</v>
      </c>
      <c r="I877" t="s">
        <v>2660</v>
      </c>
      <c r="J877" t="s">
        <v>2735</v>
      </c>
      <c r="L877" t="s">
        <v>2408</v>
      </c>
      <c r="M877">
        <v>11613361102</v>
      </c>
      <c r="N877" t="s">
        <v>2746</v>
      </c>
      <c r="O877" s="1">
        <v>45294</v>
      </c>
      <c r="T877" t="s">
        <v>2662</v>
      </c>
      <c r="U877" t="s">
        <v>4707</v>
      </c>
      <c r="V877">
        <v>0</v>
      </c>
      <c r="W877" t="s">
        <v>2704</v>
      </c>
      <c r="X877">
        <v>1</v>
      </c>
      <c r="Y877" t="s">
        <v>2710</v>
      </c>
      <c r="Z877" t="s">
        <v>2684</v>
      </c>
      <c r="AA877">
        <v>11613361102</v>
      </c>
      <c r="AB877" t="s">
        <v>1880</v>
      </c>
      <c r="AC877">
        <v>0</v>
      </c>
      <c r="AD877">
        <v>44</v>
      </c>
      <c r="AE877">
        <v>1161336110244</v>
      </c>
      <c r="AF877" t="s">
        <v>4701</v>
      </c>
      <c r="AG877">
        <v>0</v>
      </c>
      <c r="AH877">
        <v>0</v>
      </c>
    </row>
    <row r="878" spans="1:34">
      <c r="A878">
        <v>2025</v>
      </c>
      <c r="B878" s="1">
        <v>45931</v>
      </c>
      <c r="C878" t="s">
        <v>2657</v>
      </c>
      <c r="D878" t="s">
        <v>4708</v>
      </c>
      <c r="E878" s="43">
        <v>45952.802809733796</v>
      </c>
      <c r="F878" s="1">
        <v>45952</v>
      </c>
      <c r="G878" s="43">
        <v>45953.658991608798</v>
      </c>
      <c r="H878" t="s">
        <v>2659</v>
      </c>
      <c r="I878" t="s">
        <v>2660</v>
      </c>
      <c r="J878" t="s">
        <v>2735</v>
      </c>
      <c r="L878" t="s">
        <v>2408</v>
      </c>
      <c r="M878">
        <v>11613361102</v>
      </c>
      <c r="N878" t="s">
        <v>2746</v>
      </c>
      <c r="O878" s="1">
        <v>45294</v>
      </c>
      <c r="T878" t="s">
        <v>2662</v>
      </c>
      <c r="U878" t="s">
        <v>4709</v>
      </c>
      <c r="V878">
        <v>1</v>
      </c>
      <c r="W878" t="s">
        <v>2743</v>
      </c>
      <c r="X878">
        <v>1</v>
      </c>
      <c r="Y878" t="s">
        <v>2764</v>
      </c>
      <c r="AA878">
        <v>11613361102</v>
      </c>
      <c r="AB878" t="s">
        <v>1880</v>
      </c>
      <c r="AC878">
        <v>0</v>
      </c>
      <c r="AD878">
        <v>43</v>
      </c>
      <c r="AE878">
        <v>1161336110243</v>
      </c>
      <c r="AF878" t="s">
        <v>4701</v>
      </c>
      <c r="AG878">
        <v>1</v>
      </c>
      <c r="AH878">
        <v>0</v>
      </c>
    </row>
    <row r="879" spans="1:34">
      <c r="A879">
        <v>2025</v>
      </c>
      <c r="B879" s="1">
        <v>45931</v>
      </c>
      <c r="C879" t="s">
        <v>2657</v>
      </c>
      <c r="D879" t="s">
        <v>4710</v>
      </c>
      <c r="E879" s="43">
        <v>45953.809250196762</v>
      </c>
      <c r="F879" s="1">
        <v>45953</v>
      </c>
      <c r="G879" s="43">
        <v>45953.809250196762</v>
      </c>
      <c r="H879" t="s">
        <v>2659</v>
      </c>
      <c r="I879" t="s">
        <v>2660</v>
      </c>
      <c r="J879" t="s">
        <v>2735</v>
      </c>
      <c r="L879" t="s">
        <v>2408</v>
      </c>
      <c r="M879">
        <v>847074348102</v>
      </c>
      <c r="N879" t="s">
        <v>2746</v>
      </c>
      <c r="O879" s="1">
        <v>45457</v>
      </c>
      <c r="T879" t="s">
        <v>2662</v>
      </c>
      <c r="U879" t="s">
        <v>4711</v>
      </c>
      <c r="V879">
        <v>0</v>
      </c>
      <c r="W879" t="s">
        <v>2671</v>
      </c>
      <c r="X879">
        <v>1</v>
      </c>
      <c r="Y879" t="s">
        <v>2695</v>
      </c>
      <c r="AA879">
        <v>11613361102</v>
      </c>
      <c r="AB879" t="s">
        <v>1880</v>
      </c>
      <c r="AC879">
        <v>0</v>
      </c>
      <c r="AD879">
        <v>43</v>
      </c>
      <c r="AE879">
        <v>1161336110243</v>
      </c>
      <c r="AF879" t="s">
        <v>4701</v>
      </c>
      <c r="AG879">
        <v>0</v>
      </c>
      <c r="AH879">
        <v>0</v>
      </c>
    </row>
    <row r="880" spans="1:34">
      <c r="A880">
        <v>2025</v>
      </c>
      <c r="B880" s="1">
        <v>45931</v>
      </c>
      <c r="C880" t="s">
        <v>2657</v>
      </c>
      <c r="D880" t="s">
        <v>4712</v>
      </c>
      <c r="E880" s="43">
        <v>45953.770829652778</v>
      </c>
      <c r="F880" s="1">
        <v>45953</v>
      </c>
      <c r="G880" s="43">
        <v>45953.770829652778</v>
      </c>
      <c r="H880" t="s">
        <v>2659</v>
      </c>
      <c r="I880" t="s">
        <v>2660</v>
      </c>
      <c r="J880" t="s">
        <v>2735</v>
      </c>
      <c r="L880" t="s">
        <v>2408</v>
      </c>
      <c r="M880">
        <v>847074348102</v>
      </c>
      <c r="N880" t="s">
        <v>2746</v>
      </c>
      <c r="O880" s="1">
        <v>45457</v>
      </c>
      <c r="T880" t="s">
        <v>2662</v>
      </c>
      <c r="U880" t="s">
        <v>4713</v>
      </c>
      <c r="V880">
        <v>0</v>
      </c>
      <c r="W880" t="s">
        <v>2671</v>
      </c>
      <c r="X880">
        <v>1</v>
      </c>
      <c r="Y880" t="s">
        <v>2695</v>
      </c>
      <c r="AA880">
        <v>11613361102</v>
      </c>
      <c r="AB880" t="s">
        <v>1880</v>
      </c>
      <c r="AC880">
        <v>0</v>
      </c>
      <c r="AD880">
        <v>43</v>
      </c>
      <c r="AE880">
        <v>1161336110243</v>
      </c>
      <c r="AF880" t="s">
        <v>4701</v>
      </c>
      <c r="AG880">
        <v>0</v>
      </c>
      <c r="AH880">
        <v>0</v>
      </c>
    </row>
    <row r="881" spans="1:34">
      <c r="A881">
        <v>2025</v>
      </c>
      <c r="B881" s="1">
        <v>45992</v>
      </c>
      <c r="C881" t="s">
        <v>2657</v>
      </c>
      <c r="D881" t="s">
        <v>4714</v>
      </c>
      <c r="E881" s="43">
        <v>45993.595889155091</v>
      </c>
      <c r="F881" s="1">
        <v>45993</v>
      </c>
      <c r="G881" s="43">
        <v>45994.530327835651</v>
      </c>
      <c r="H881" t="s">
        <v>2686</v>
      </c>
      <c r="I881" t="s">
        <v>2669</v>
      </c>
      <c r="J881" t="s">
        <v>38</v>
      </c>
      <c r="L881" t="s">
        <v>2342</v>
      </c>
      <c r="M881">
        <v>639370275302</v>
      </c>
      <c r="N881" t="s">
        <v>2702</v>
      </c>
      <c r="O881" s="1">
        <v>45661</v>
      </c>
      <c r="T881" t="s">
        <v>2662</v>
      </c>
      <c r="U881" t="s">
        <v>4715</v>
      </c>
      <c r="V881">
        <v>1</v>
      </c>
      <c r="W881" t="s">
        <v>2704</v>
      </c>
      <c r="X881">
        <v>1</v>
      </c>
      <c r="Y881" t="s">
        <v>2760</v>
      </c>
      <c r="AA881">
        <v>639370275302</v>
      </c>
      <c r="AB881" t="s">
        <v>301</v>
      </c>
      <c r="AC881">
        <v>0</v>
      </c>
      <c r="AD881">
        <v>49</v>
      </c>
      <c r="AE881">
        <v>63937027530249</v>
      </c>
      <c r="AF881" t="s">
        <v>4716</v>
      </c>
      <c r="AG881">
        <v>1</v>
      </c>
      <c r="AH881">
        <v>1</v>
      </c>
    </row>
    <row r="882" spans="1:34">
      <c r="A882">
        <v>2025</v>
      </c>
      <c r="B882" s="1">
        <v>45992</v>
      </c>
      <c r="C882" t="s">
        <v>2657</v>
      </c>
      <c r="D882" t="s">
        <v>4717</v>
      </c>
      <c r="E882" s="43">
        <v>46003.749458541664</v>
      </c>
      <c r="F882" s="1">
        <v>46003</v>
      </c>
      <c r="G882" s="43">
        <v>46003.749458541664</v>
      </c>
      <c r="H882" t="s">
        <v>2686</v>
      </c>
      <c r="I882" t="s">
        <v>2681</v>
      </c>
      <c r="J882" t="s">
        <v>38</v>
      </c>
      <c r="L882" t="s">
        <v>2342</v>
      </c>
      <c r="M882">
        <v>639370275302</v>
      </c>
      <c r="N882" t="s">
        <v>2702</v>
      </c>
      <c r="O882" s="1">
        <v>45661</v>
      </c>
      <c r="T882" t="s">
        <v>2662</v>
      </c>
      <c r="U882" t="s">
        <v>4718</v>
      </c>
      <c r="V882">
        <v>0</v>
      </c>
      <c r="X882">
        <v>1</v>
      </c>
      <c r="Y882" t="s">
        <v>2695</v>
      </c>
      <c r="AA882">
        <v>639370275302</v>
      </c>
      <c r="AB882" t="s">
        <v>301</v>
      </c>
      <c r="AC882">
        <v>1</v>
      </c>
      <c r="AD882">
        <v>50</v>
      </c>
      <c r="AE882">
        <v>63937027530250</v>
      </c>
      <c r="AF882" t="s">
        <v>4716</v>
      </c>
      <c r="AG882">
        <v>1</v>
      </c>
      <c r="AH882">
        <v>0</v>
      </c>
    </row>
    <row r="883" spans="1:34">
      <c r="A883">
        <v>2025</v>
      </c>
      <c r="B883" s="1">
        <v>45870</v>
      </c>
      <c r="C883" t="s">
        <v>2657</v>
      </c>
      <c r="D883" t="s">
        <v>4719</v>
      </c>
      <c r="E883" s="43">
        <v>45877.583089502317</v>
      </c>
      <c r="F883" s="1">
        <v>45877</v>
      </c>
      <c r="G883" s="43">
        <v>45887.745892928244</v>
      </c>
      <c r="H883" t="s">
        <v>3088</v>
      </c>
      <c r="I883" t="s">
        <v>2681</v>
      </c>
      <c r="J883" t="s">
        <v>2735</v>
      </c>
      <c r="L883" t="s">
        <v>2336</v>
      </c>
      <c r="M883">
        <v>16116314302</v>
      </c>
      <c r="N883" t="s">
        <v>2746</v>
      </c>
      <c r="O883" s="1">
        <v>45358</v>
      </c>
      <c r="T883" t="s">
        <v>2662</v>
      </c>
      <c r="U883" t="s">
        <v>4720</v>
      </c>
      <c r="V883">
        <v>6</v>
      </c>
      <c r="W883" t="s">
        <v>2743</v>
      </c>
      <c r="X883">
        <v>1</v>
      </c>
      <c r="Y883" t="s">
        <v>2695</v>
      </c>
      <c r="AA883">
        <v>16116314302</v>
      </c>
      <c r="AB883" t="s">
        <v>1654</v>
      </c>
      <c r="AC883">
        <v>0</v>
      </c>
      <c r="AD883">
        <v>32</v>
      </c>
      <c r="AE883">
        <v>1611631430232</v>
      </c>
      <c r="AF883" t="s">
        <v>4721</v>
      </c>
      <c r="AG883">
        <v>1</v>
      </c>
      <c r="AH883">
        <v>1</v>
      </c>
    </row>
    <row r="884" spans="1:34">
      <c r="A884">
        <v>2025</v>
      </c>
      <c r="B884" s="1">
        <v>45870</v>
      </c>
      <c r="C884" t="s">
        <v>2657</v>
      </c>
      <c r="D884" s="44" t="s">
        <v>4722</v>
      </c>
      <c r="E884" s="43">
        <v>45898.526418252317</v>
      </c>
      <c r="F884" s="1">
        <v>45898</v>
      </c>
      <c r="G884" s="43">
        <v>45902.651306261578</v>
      </c>
      <c r="H884" t="s">
        <v>3088</v>
      </c>
      <c r="I884" t="s">
        <v>2697</v>
      </c>
      <c r="J884" t="s">
        <v>2735</v>
      </c>
      <c r="L884" t="s">
        <v>2336</v>
      </c>
      <c r="M884">
        <v>16116314302</v>
      </c>
      <c r="N884" t="s">
        <v>2746</v>
      </c>
      <c r="O884" s="1">
        <v>45358</v>
      </c>
      <c r="T884" t="s">
        <v>2662</v>
      </c>
      <c r="U884" t="s">
        <v>4723</v>
      </c>
      <c r="V884">
        <v>2</v>
      </c>
      <c r="W884" t="s">
        <v>2743</v>
      </c>
      <c r="X884">
        <v>1</v>
      </c>
      <c r="Y884" t="s">
        <v>2717</v>
      </c>
      <c r="Z884" t="s">
        <v>2834</v>
      </c>
      <c r="AA884">
        <v>16116314302</v>
      </c>
      <c r="AB884" t="s">
        <v>1654</v>
      </c>
      <c r="AC884">
        <v>0</v>
      </c>
      <c r="AD884">
        <v>35</v>
      </c>
      <c r="AE884">
        <v>1611631430235</v>
      </c>
      <c r="AF884" t="s">
        <v>4721</v>
      </c>
      <c r="AG884">
        <v>1</v>
      </c>
      <c r="AH884">
        <v>0</v>
      </c>
    </row>
    <row r="885" spans="1:34">
      <c r="A885">
        <v>2025</v>
      </c>
      <c r="B885" s="1">
        <v>45992</v>
      </c>
      <c r="C885" t="s">
        <v>2657</v>
      </c>
      <c r="D885" t="s">
        <v>4724</v>
      </c>
      <c r="E885" s="43">
        <v>46001.535852152774</v>
      </c>
      <c r="F885" s="1">
        <v>46001</v>
      </c>
      <c r="G885" s="43">
        <v>46008.580526967591</v>
      </c>
      <c r="H885" t="s">
        <v>2686</v>
      </c>
      <c r="I885" t="s">
        <v>2681</v>
      </c>
      <c r="J885" t="s">
        <v>36</v>
      </c>
      <c r="L885" t="s">
        <v>2355</v>
      </c>
      <c r="M885">
        <v>230755558102</v>
      </c>
      <c r="N885" t="s">
        <v>2702</v>
      </c>
      <c r="O885" s="1">
        <v>45294</v>
      </c>
      <c r="T885" t="s">
        <v>2662</v>
      </c>
      <c r="U885" t="s">
        <v>4725</v>
      </c>
      <c r="V885">
        <v>5</v>
      </c>
      <c r="W885" t="s">
        <v>2743</v>
      </c>
      <c r="X885">
        <v>1</v>
      </c>
      <c r="Y885" t="s">
        <v>2688</v>
      </c>
      <c r="AA885">
        <v>230755558102</v>
      </c>
      <c r="AB885" t="s">
        <v>2297</v>
      </c>
      <c r="AC885">
        <v>0</v>
      </c>
      <c r="AD885">
        <v>50</v>
      </c>
      <c r="AE885">
        <v>23075555810250</v>
      </c>
      <c r="AF885" t="s">
        <v>4726</v>
      </c>
      <c r="AG885">
        <v>1</v>
      </c>
      <c r="AH885">
        <v>1</v>
      </c>
    </row>
    <row r="886" spans="1:34">
      <c r="A886">
        <v>2025</v>
      </c>
      <c r="B886" s="1">
        <v>45992</v>
      </c>
      <c r="C886" t="s">
        <v>2657</v>
      </c>
      <c r="D886" t="s">
        <v>4727</v>
      </c>
      <c r="E886" s="43">
        <v>46007.686452326387</v>
      </c>
      <c r="F886" s="1">
        <v>46007</v>
      </c>
      <c r="G886" s="43">
        <v>46027.843544976851</v>
      </c>
      <c r="H886" t="s">
        <v>2686</v>
      </c>
      <c r="I886" t="s">
        <v>2719</v>
      </c>
      <c r="J886" t="s">
        <v>36</v>
      </c>
      <c r="L886" t="s">
        <v>2355</v>
      </c>
      <c r="M886">
        <v>230755558102</v>
      </c>
      <c r="N886" t="s">
        <v>2702</v>
      </c>
      <c r="O886" s="1">
        <v>45294</v>
      </c>
      <c r="T886" t="s">
        <v>2662</v>
      </c>
      <c r="U886" t="s">
        <v>4728</v>
      </c>
      <c r="V886">
        <v>14</v>
      </c>
      <c r="W886" t="s">
        <v>2677</v>
      </c>
      <c r="X886">
        <v>1</v>
      </c>
      <c r="Y886" t="s">
        <v>2772</v>
      </c>
      <c r="Z886" t="s">
        <v>2684</v>
      </c>
      <c r="AA886">
        <v>230755558102</v>
      </c>
      <c r="AB886" t="s">
        <v>2297</v>
      </c>
      <c r="AC886">
        <v>0</v>
      </c>
      <c r="AD886">
        <v>51</v>
      </c>
      <c r="AE886">
        <v>23075555810251</v>
      </c>
      <c r="AF886" t="s">
        <v>4726</v>
      </c>
      <c r="AG886">
        <v>0</v>
      </c>
      <c r="AH886">
        <v>0</v>
      </c>
    </row>
    <row r="887" spans="1:34">
      <c r="A887">
        <v>2025</v>
      </c>
      <c r="B887" s="1">
        <v>45992</v>
      </c>
      <c r="C887" t="s">
        <v>2657</v>
      </c>
      <c r="D887" t="s">
        <v>4729</v>
      </c>
      <c r="E887" s="43">
        <v>46007.687755578707</v>
      </c>
      <c r="F887" s="1">
        <v>46007</v>
      </c>
      <c r="G887" s="43">
        <v>46008.578928425923</v>
      </c>
      <c r="H887" t="s">
        <v>2686</v>
      </c>
      <c r="I887" t="s">
        <v>2719</v>
      </c>
      <c r="J887" t="s">
        <v>36</v>
      </c>
      <c r="L887" t="s">
        <v>2355</v>
      </c>
      <c r="M887">
        <v>230755558102</v>
      </c>
      <c r="N887" t="s">
        <v>2702</v>
      </c>
      <c r="O887" s="1">
        <v>45294</v>
      </c>
      <c r="T887" t="s">
        <v>2662</v>
      </c>
      <c r="U887" t="s">
        <v>4730</v>
      </c>
      <c r="V887">
        <v>1</v>
      </c>
      <c r="W887" t="s">
        <v>2677</v>
      </c>
      <c r="X887">
        <v>1</v>
      </c>
      <c r="Y887" t="s">
        <v>2772</v>
      </c>
      <c r="AA887">
        <v>230755558102</v>
      </c>
      <c r="AB887" t="s">
        <v>2297</v>
      </c>
      <c r="AC887">
        <v>0</v>
      </c>
      <c r="AD887">
        <v>51</v>
      </c>
      <c r="AE887">
        <v>23075555810251</v>
      </c>
      <c r="AF887" t="s">
        <v>4726</v>
      </c>
      <c r="AG887">
        <v>0</v>
      </c>
      <c r="AH887">
        <v>0</v>
      </c>
    </row>
    <row r="888" spans="1:34">
      <c r="A888">
        <v>2025</v>
      </c>
      <c r="B888" s="1">
        <v>45992</v>
      </c>
      <c r="C888" t="s">
        <v>2657</v>
      </c>
      <c r="D888" t="s">
        <v>4731</v>
      </c>
      <c r="E888" s="43">
        <v>46007.685430844911</v>
      </c>
      <c r="F888" s="1">
        <v>46007</v>
      </c>
      <c r="G888" s="43">
        <v>46021.472411967596</v>
      </c>
      <c r="H888" t="s">
        <v>2686</v>
      </c>
      <c r="I888" t="s">
        <v>2719</v>
      </c>
      <c r="J888" t="s">
        <v>36</v>
      </c>
      <c r="L888" t="s">
        <v>2355</v>
      </c>
      <c r="M888">
        <v>230755558102</v>
      </c>
      <c r="N888" t="s">
        <v>2702</v>
      </c>
      <c r="O888" s="1">
        <v>45294</v>
      </c>
      <c r="T888" t="s">
        <v>2662</v>
      </c>
      <c r="U888" t="s">
        <v>4732</v>
      </c>
      <c r="V888">
        <v>10</v>
      </c>
      <c r="W888" t="s">
        <v>2677</v>
      </c>
      <c r="X888">
        <v>1</v>
      </c>
      <c r="Y888" t="s">
        <v>2772</v>
      </c>
      <c r="AA888">
        <v>230755558102</v>
      </c>
      <c r="AB888" t="s">
        <v>2297</v>
      </c>
      <c r="AC888">
        <v>0</v>
      </c>
      <c r="AD888">
        <v>51</v>
      </c>
      <c r="AE888">
        <v>23075555810251</v>
      </c>
      <c r="AF888" t="s">
        <v>4726</v>
      </c>
      <c r="AG888">
        <v>1</v>
      </c>
      <c r="AH888">
        <v>0</v>
      </c>
    </row>
    <row r="889" spans="1:34">
      <c r="A889">
        <v>2026</v>
      </c>
      <c r="B889" s="1">
        <v>46023</v>
      </c>
      <c r="C889" t="s">
        <v>2657</v>
      </c>
      <c r="D889" s="44" t="s">
        <v>4733</v>
      </c>
      <c r="E889" s="43">
        <v>46042.679114652776</v>
      </c>
      <c r="F889" s="1">
        <v>46042</v>
      </c>
      <c r="G889" s="43">
        <v>46077.826047511575</v>
      </c>
      <c r="H889" t="s">
        <v>2701</v>
      </c>
      <c r="I889" t="s">
        <v>2719</v>
      </c>
      <c r="J889" t="s">
        <v>100</v>
      </c>
      <c r="L889" t="s">
        <v>2393</v>
      </c>
      <c r="M889">
        <v>128174680202</v>
      </c>
      <c r="N889" t="s">
        <v>2702</v>
      </c>
      <c r="O889" s="1">
        <v>44685</v>
      </c>
      <c r="T889" t="s">
        <v>2798</v>
      </c>
      <c r="U889" t="s">
        <v>4734</v>
      </c>
      <c r="V889">
        <v>38</v>
      </c>
      <c r="W889" t="s">
        <v>2664</v>
      </c>
      <c r="X889">
        <v>0</v>
      </c>
      <c r="Y889" t="s">
        <v>2767</v>
      </c>
      <c r="Z889" t="s">
        <v>2684</v>
      </c>
      <c r="AA889">
        <v>128174680202</v>
      </c>
      <c r="AB889" t="s">
        <v>978</v>
      </c>
      <c r="AC889">
        <v>0</v>
      </c>
      <c r="AD889">
        <v>4</v>
      </c>
      <c r="AE889">
        <v>1281746802024</v>
      </c>
      <c r="AF889" t="s">
        <v>4735</v>
      </c>
      <c r="AG889">
        <v>1</v>
      </c>
      <c r="AH889">
        <v>1</v>
      </c>
    </row>
    <row r="890" spans="1:34">
      <c r="A890">
        <v>2025</v>
      </c>
      <c r="B890" s="1">
        <v>45962</v>
      </c>
      <c r="C890" t="s">
        <v>2657</v>
      </c>
      <c r="D890" t="s">
        <v>4736</v>
      </c>
      <c r="E890" s="43">
        <v>45978.569691122684</v>
      </c>
      <c r="F890" s="1">
        <v>45978</v>
      </c>
      <c r="G890" s="43">
        <v>45979.598174479164</v>
      </c>
      <c r="H890" t="s">
        <v>2802</v>
      </c>
      <c r="I890" t="s">
        <v>2719</v>
      </c>
      <c r="J890" t="s">
        <v>38</v>
      </c>
      <c r="L890" t="s">
        <v>2342</v>
      </c>
      <c r="M890">
        <v>840556373002</v>
      </c>
      <c r="N890" t="s">
        <v>2702</v>
      </c>
      <c r="O890" s="1">
        <v>45673</v>
      </c>
      <c r="T890" t="s">
        <v>2662</v>
      </c>
      <c r="U890" t="s">
        <v>4737</v>
      </c>
      <c r="V890">
        <v>1</v>
      </c>
      <c r="W890" t="s">
        <v>2671</v>
      </c>
      <c r="X890">
        <v>1</v>
      </c>
      <c r="Y890" t="s">
        <v>2672</v>
      </c>
      <c r="AA890">
        <v>639370275302</v>
      </c>
      <c r="AB890" t="s">
        <v>301</v>
      </c>
      <c r="AC890">
        <v>0</v>
      </c>
      <c r="AD890">
        <v>47</v>
      </c>
      <c r="AE890">
        <v>63937027530247</v>
      </c>
      <c r="AF890" t="s">
        <v>4738</v>
      </c>
      <c r="AG890">
        <v>1</v>
      </c>
      <c r="AH890">
        <v>1</v>
      </c>
    </row>
    <row r="891" spans="1:34">
      <c r="A891">
        <v>2025</v>
      </c>
      <c r="B891" s="1">
        <v>45962</v>
      </c>
      <c r="C891" t="s">
        <v>2657</v>
      </c>
      <c r="D891" t="s">
        <v>4739</v>
      </c>
      <c r="E891" s="43">
        <v>45979.590591562497</v>
      </c>
      <c r="F891" s="1">
        <v>45979</v>
      </c>
      <c r="G891" s="43">
        <v>45982.717452210651</v>
      </c>
      <c r="H891" t="s">
        <v>2802</v>
      </c>
      <c r="I891" t="s">
        <v>2719</v>
      </c>
      <c r="J891" t="s">
        <v>38</v>
      </c>
      <c r="L891" t="s">
        <v>2342</v>
      </c>
      <c r="M891">
        <v>840556373002</v>
      </c>
      <c r="N891" t="s">
        <v>2702</v>
      </c>
      <c r="O891" s="1">
        <v>45673</v>
      </c>
      <c r="T891" t="s">
        <v>2662</v>
      </c>
      <c r="U891" t="s">
        <v>4740</v>
      </c>
      <c r="V891">
        <v>3</v>
      </c>
      <c r="W891" t="s">
        <v>2671</v>
      </c>
      <c r="X891">
        <v>1</v>
      </c>
      <c r="Y891" t="s">
        <v>2744</v>
      </c>
      <c r="AA891">
        <v>639370275302</v>
      </c>
      <c r="AB891" t="s">
        <v>301</v>
      </c>
      <c r="AC891">
        <v>0</v>
      </c>
      <c r="AD891">
        <v>47</v>
      </c>
      <c r="AE891">
        <v>63937027530247</v>
      </c>
      <c r="AF891" t="s">
        <v>4738</v>
      </c>
      <c r="AG891">
        <v>0</v>
      </c>
      <c r="AH891">
        <v>0</v>
      </c>
    </row>
    <row r="892" spans="1:34">
      <c r="A892">
        <v>2025</v>
      </c>
      <c r="B892" s="1">
        <v>45901</v>
      </c>
      <c r="C892" t="s">
        <v>2657</v>
      </c>
      <c r="D892" t="s">
        <v>4741</v>
      </c>
      <c r="E892" s="43">
        <v>45904.82234943287</v>
      </c>
      <c r="F892" s="1">
        <v>45904</v>
      </c>
      <c r="G892" s="43">
        <v>45904.82234943287</v>
      </c>
      <c r="H892" t="s">
        <v>2734</v>
      </c>
      <c r="I892" t="s">
        <v>2669</v>
      </c>
      <c r="J892" t="s">
        <v>38</v>
      </c>
      <c r="L892" t="s">
        <v>2351</v>
      </c>
      <c r="M892">
        <v>1030040901202</v>
      </c>
      <c r="N892" t="s">
        <v>2661</v>
      </c>
      <c r="O892" s="1">
        <v>45702</v>
      </c>
      <c r="T892" t="s">
        <v>2662</v>
      </c>
      <c r="U892" t="s">
        <v>4742</v>
      </c>
      <c r="V892">
        <v>0</v>
      </c>
      <c r="W892" t="s">
        <v>2664</v>
      </c>
      <c r="X892">
        <v>1</v>
      </c>
      <c r="Y892" t="s">
        <v>2695</v>
      </c>
      <c r="AA892">
        <v>1030040901202</v>
      </c>
      <c r="AB892" t="s">
        <v>810</v>
      </c>
      <c r="AC892">
        <v>0</v>
      </c>
      <c r="AD892">
        <v>36</v>
      </c>
      <c r="AE892">
        <v>103004090120236</v>
      </c>
      <c r="AF892" t="s">
        <v>4743</v>
      </c>
      <c r="AG892">
        <v>1</v>
      </c>
      <c r="AH892">
        <v>1</v>
      </c>
    </row>
    <row r="893" spans="1:34">
      <c r="A893">
        <v>2025</v>
      </c>
      <c r="B893" s="1">
        <v>45962</v>
      </c>
      <c r="C893" t="s">
        <v>2657</v>
      </c>
      <c r="D893" t="s">
        <v>4744</v>
      </c>
      <c r="E893" s="43">
        <v>45973.56133866898</v>
      </c>
      <c r="F893" s="1">
        <v>45973</v>
      </c>
      <c r="G893" s="43">
        <v>45973.56133866898</v>
      </c>
      <c r="H893" t="s">
        <v>2802</v>
      </c>
      <c r="I893" t="s">
        <v>2681</v>
      </c>
      <c r="J893" t="s">
        <v>37</v>
      </c>
      <c r="L893" t="s">
        <v>2351</v>
      </c>
      <c r="M893">
        <v>838524899602</v>
      </c>
      <c r="N893" t="s">
        <v>2661</v>
      </c>
      <c r="O893" s="1">
        <v>45880</v>
      </c>
      <c r="T893" t="s">
        <v>2662</v>
      </c>
      <c r="U893" t="s">
        <v>4745</v>
      </c>
      <c r="V893">
        <v>0</v>
      </c>
      <c r="W893" t="s">
        <v>2664</v>
      </c>
      <c r="X893">
        <v>1</v>
      </c>
      <c r="Y893" t="s">
        <v>2695</v>
      </c>
      <c r="AA893">
        <v>734743947702</v>
      </c>
      <c r="AB893" t="s">
        <v>2588</v>
      </c>
      <c r="AC893">
        <v>0</v>
      </c>
      <c r="AD893">
        <v>46</v>
      </c>
      <c r="AE893">
        <v>73474394770246</v>
      </c>
      <c r="AF893" t="s">
        <v>4746</v>
      </c>
      <c r="AG893">
        <v>1</v>
      </c>
      <c r="AH893">
        <v>1</v>
      </c>
    </row>
    <row r="894" spans="1:34">
      <c r="A894">
        <v>2025</v>
      </c>
      <c r="B894" s="1">
        <v>45901</v>
      </c>
      <c r="C894" t="s">
        <v>2657</v>
      </c>
      <c r="D894" t="s">
        <v>4747</v>
      </c>
      <c r="E894" s="43">
        <v>45902.83756039352</v>
      </c>
      <c r="F894" s="1">
        <v>45902</v>
      </c>
      <c r="G894" s="43">
        <v>45917.579622037039</v>
      </c>
      <c r="H894" t="s">
        <v>2734</v>
      </c>
      <c r="I894" t="s">
        <v>2669</v>
      </c>
      <c r="J894" t="s">
        <v>2735</v>
      </c>
      <c r="L894" t="s">
        <v>2336</v>
      </c>
      <c r="M894">
        <v>449549597602</v>
      </c>
      <c r="N894" t="s">
        <v>2702</v>
      </c>
      <c r="O894" s="1">
        <v>45358</v>
      </c>
      <c r="T894" t="s">
        <v>2662</v>
      </c>
      <c r="U894" t="s">
        <v>4748</v>
      </c>
      <c r="V894">
        <v>11</v>
      </c>
      <c r="W894" t="s">
        <v>2671</v>
      </c>
      <c r="X894">
        <v>1</v>
      </c>
      <c r="Y894" t="s">
        <v>2717</v>
      </c>
      <c r="Z894" t="s">
        <v>2684</v>
      </c>
      <c r="AA894">
        <v>449549597602</v>
      </c>
      <c r="AB894" t="s">
        <v>1726</v>
      </c>
      <c r="AC894">
        <v>0</v>
      </c>
      <c r="AD894">
        <v>36</v>
      </c>
      <c r="AE894">
        <v>44954959760236</v>
      </c>
      <c r="AF894" t="s">
        <v>4749</v>
      </c>
      <c r="AG894">
        <v>1</v>
      </c>
      <c r="AH894">
        <v>1</v>
      </c>
    </row>
    <row r="895" spans="1:34">
      <c r="A895">
        <v>2025</v>
      </c>
      <c r="B895" s="1">
        <v>45901</v>
      </c>
      <c r="C895" t="s">
        <v>2657</v>
      </c>
      <c r="D895" t="s">
        <v>4750</v>
      </c>
      <c r="E895" s="43">
        <v>45916.521219189817</v>
      </c>
      <c r="F895" s="1">
        <v>45916</v>
      </c>
      <c r="G895" s="43">
        <v>45936.66092159722</v>
      </c>
      <c r="H895" t="s">
        <v>2734</v>
      </c>
      <c r="I895" t="s">
        <v>2719</v>
      </c>
      <c r="J895" t="s">
        <v>2735</v>
      </c>
      <c r="L895" t="s">
        <v>2336</v>
      </c>
      <c r="M895">
        <v>449549597602</v>
      </c>
      <c r="N895" t="s">
        <v>2702</v>
      </c>
      <c r="O895" s="1">
        <v>45358</v>
      </c>
      <c r="T895" t="s">
        <v>2662</v>
      </c>
      <c r="U895" t="s">
        <v>4751</v>
      </c>
      <c r="V895">
        <v>14</v>
      </c>
      <c r="W895" t="s">
        <v>2664</v>
      </c>
      <c r="X895">
        <v>1</v>
      </c>
      <c r="Y895" t="s">
        <v>2665</v>
      </c>
      <c r="AA895">
        <v>449549597602</v>
      </c>
      <c r="AB895" t="s">
        <v>1726</v>
      </c>
      <c r="AC895">
        <v>0</v>
      </c>
      <c r="AD895">
        <v>38</v>
      </c>
      <c r="AE895">
        <v>44954959760238</v>
      </c>
      <c r="AF895" t="s">
        <v>4749</v>
      </c>
      <c r="AG895">
        <v>1</v>
      </c>
      <c r="AH895">
        <v>0</v>
      </c>
    </row>
    <row r="896" spans="1:34">
      <c r="A896">
        <v>2025</v>
      </c>
      <c r="B896" s="1">
        <v>45962</v>
      </c>
      <c r="C896" t="s">
        <v>2657</v>
      </c>
      <c r="D896" t="s">
        <v>4752</v>
      </c>
      <c r="E896" s="43">
        <v>45973.816787268515</v>
      </c>
      <c r="F896" s="1">
        <v>45973</v>
      </c>
      <c r="G896" s="43">
        <v>45985.564899803241</v>
      </c>
      <c r="H896" t="s">
        <v>2802</v>
      </c>
      <c r="I896" t="s">
        <v>2681</v>
      </c>
      <c r="J896" t="s">
        <v>37</v>
      </c>
      <c r="L896" t="s">
        <v>2344</v>
      </c>
      <c r="M896">
        <v>125288528002</v>
      </c>
      <c r="N896" t="s">
        <v>2661</v>
      </c>
      <c r="O896" s="1">
        <v>45884</v>
      </c>
      <c r="T896" t="s">
        <v>2662</v>
      </c>
      <c r="U896" t="s">
        <v>4753</v>
      </c>
      <c r="V896">
        <v>8</v>
      </c>
      <c r="W896" t="s">
        <v>2664</v>
      </c>
      <c r="X896">
        <v>1</v>
      </c>
      <c r="Y896" t="s">
        <v>3994</v>
      </c>
      <c r="AA896">
        <v>125288528002</v>
      </c>
      <c r="AB896" t="s">
        <v>668</v>
      </c>
      <c r="AC896">
        <v>0</v>
      </c>
      <c r="AD896">
        <v>46</v>
      </c>
      <c r="AE896">
        <v>12528852800246</v>
      </c>
      <c r="AF896" t="s">
        <v>4754</v>
      </c>
      <c r="AG896">
        <v>1</v>
      </c>
      <c r="AH896">
        <v>1</v>
      </c>
    </row>
    <row r="897" spans="1:35">
      <c r="A897">
        <v>2025</v>
      </c>
      <c r="B897" s="1">
        <v>45962</v>
      </c>
      <c r="C897" t="s">
        <v>2657</v>
      </c>
      <c r="D897" t="s">
        <v>4755</v>
      </c>
      <c r="E897" s="43">
        <v>45978.780536064813</v>
      </c>
      <c r="F897" s="1">
        <v>45978</v>
      </c>
      <c r="G897" s="43">
        <v>45985.576932546297</v>
      </c>
      <c r="H897" t="s">
        <v>2802</v>
      </c>
      <c r="I897" t="s">
        <v>2719</v>
      </c>
      <c r="J897" t="s">
        <v>37</v>
      </c>
      <c r="L897" t="s">
        <v>2344</v>
      </c>
      <c r="M897">
        <v>125288528002</v>
      </c>
      <c r="N897" t="s">
        <v>2661</v>
      </c>
      <c r="O897" s="1">
        <v>45884</v>
      </c>
      <c r="T897" t="s">
        <v>2662</v>
      </c>
      <c r="U897" t="s">
        <v>4756</v>
      </c>
      <c r="V897">
        <v>5</v>
      </c>
      <c r="W897" t="s">
        <v>2671</v>
      </c>
      <c r="X897">
        <v>1</v>
      </c>
      <c r="Y897" t="s">
        <v>2683</v>
      </c>
      <c r="AA897">
        <v>125288528002</v>
      </c>
      <c r="AB897" t="s">
        <v>668</v>
      </c>
      <c r="AC897">
        <v>0</v>
      </c>
      <c r="AD897">
        <v>47</v>
      </c>
      <c r="AE897">
        <v>12528852800247</v>
      </c>
      <c r="AF897" t="s">
        <v>4754</v>
      </c>
      <c r="AG897">
        <v>0</v>
      </c>
      <c r="AH897">
        <v>0</v>
      </c>
    </row>
    <row r="898" spans="1:35">
      <c r="A898">
        <v>2025</v>
      </c>
      <c r="B898" s="1">
        <v>45962</v>
      </c>
      <c r="C898" t="s">
        <v>2657</v>
      </c>
      <c r="D898" t="s">
        <v>4757</v>
      </c>
      <c r="E898" s="43">
        <v>45978.777685347224</v>
      </c>
      <c r="F898" s="1">
        <v>45978</v>
      </c>
      <c r="G898" s="43">
        <v>45979.599843009259</v>
      </c>
      <c r="H898" t="s">
        <v>2802</v>
      </c>
      <c r="I898" t="s">
        <v>2719</v>
      </c>
      <c r="J898" t="s">
        <v>37</v>
      </c>
      <c r="L898" t="s">
        <v>2344</v>
      </c>
      <c r="M898">
        <v>125288528002</v>
      </c>
      <c r="N898" t="s">
        <v>2661</v>
      </c>
      <c r="O898" s="1">
        <v>45884</v>
      </c>
      <c r="T898" t="s">
        <v>2662</v>
      </c>
      <c r="U898" t="s">
        <v>4758</v>
      </c>
      <c r="V898">
        <v>1</v>
      </c>
      <c r="W898" t="s">
        <v>2664</v>
      </c>
      <c r="X898">
        <v>1</v>
      </c>
      <c r="Y898" t="s">
        <v>2695</v>
      </c>
      <c r="AA898">
        <v>125288528002</v>
      </c>
      <c r="AB898" t="s">
        <v>668</v>
      </c>
      <c r="AC898">
        <v>0</v>
      </c>
      <c r="AD898">
        <v>47</v>
      </c>
      <c r="AE898">
        <v>12528852800247</v>
      </c>
      <c r="AF898" t="s">
        <v>4754</v>
      </c>
      <c r="AG898">
        <v>1</v>
      </c>
      <c r="AH898">
        <v>0</v>
      </c>
    </row>
    <row r="899" spans="1:35">
      <c r="A899">
        <v>2025</v>
      </c>
      <c r="B899" s="1">
        <v>45962</v>
      </c>
      <c r="C899" t="s">
        <v>2657</v>
      </c>
      <c r="D899" t="s">
        <v>4759</v>
      </c>
      <c r="E899" s="43">
        <v>45985.599914733793</v>
      </c>
      <c r="F899" s="1">
        <v>45985</v>
      </c>
      <c r="G899" s="43">
        <v>45989.81500466435</v>
      </c>
      <c r="H899" t="s">
        <v>2802</v>
      </c>
      <c r="I899" t="s">
        <v>2660</v>
      </c>
      <c r="J899" t="s">
        <v>37</v>
      </c>
      <c r="L899" t="s">
        <v>2344</v>
      </c>
      <c r="M899">
        <v>125288528002</v>
      </c>
      <c r="N899" t="s">
        <v>2661</v>
      </c>
      <c r="O899" s="1">
        <v>45884</v>
      </c>
      <c r="T899" t="s">
        <v>2662</v>
      </c>
      <c r="U899" t="s">
        <v>4760</v>
      </c>
      <c r="V899">
        <v>4</v>
      </c>
      <c r="W899" t="s">
        <v>2704</v>
      </c>
      <c r="X899">
        <v>1</v>
      </c>
      <c r="Y899" t="s">
        <v>2688</v>
      </c>
      <c r="AA899">
        <v>125288528002</v>
      </c>
      <c r="AB899" t="s">
        <v>668</v>
      </c>
      <c r="AC899">
        <v>0</v>
      </c>
      <c r="AD899">
        <v>48</v>
      </c>
      <c r="AE899">
        <v>12528852800248</v>
      </c>
      <c r="AF899" t="s">
        <v>4754</v>
      </c>
      <c r="AG899">
        <v>1</v>
      </c>
      <c r="AH899">
        <v>0</v>
      </c>
    </row>
    <row r="900" spans="1:35">
      <c r="A900">
        <v>2025</v>
      </c>
      <c r="B900" s="1">
        <v>45962</v>
      </c>
      <c r="C900" t="s">
        <v>2657</v>
      </c>
      <c r="D900" t="s">
        <v>4761</v>
      </c>
      <c r="E900" s="43">
        <v>45985.601769629633</v>
      </c>
      <c r="F900" s="1">
        <v>45985</v>
      </c>
      <c r="G900" s="43">
        <v>45989.815097071762</v>
      </c>
      <c r="H900" t="s">
        <v>2802</v>
      </c>
      <c r="I900" t="s">
        <v>2660</v>
      </c>
      <c r="J900" t="s">
        <v>37</v>
      </c>
      <c r="L900" t="s">
        <v>2344</v>
      </c>
      <c r="M900">
        <v>125288528002</v>
      </c>
      <c r="N900" t="s">
        <v>2661</v>
      </c>
      <c r="O900" s="1">
        <v>45884</v>
      </c>
      <c r="T900" t="s">
        <v>2662</v>
      </c>
      <c r="U900" t="s">
        <v>4762</v>
      </c>
      <c r="V900">
        <v>4</v>
      </c>
      <c r="W900" t="s">
        <v>2671</v>
      </c>
      <c r="X900">
        <v>1</v>
      </c>
      <c r="Y900" t="s">
        <v>2779</v>
      </c>
      <c r="AA900">
        <v>125288528002</v>
      </c>
      <c r="AB900" t="s">
        <v>668</v>
      </c>
      <c r="AC900">
        <v>0</v>
      </c>
      <c r="AD900">
        <v>48</v>
      </c>
      <c r="AE900">
        <v>12528852800248</v>
      </c>
      <c r="AF900" t="s">
        <v>4754</v>
      </c>
      <c r="AG900">
        <v>0</v>
      </c>
      <c r="AH900">
        <v>0</v>
      </c>
    </row>
    <row r="901" spans="1:35">
      <c r="A901">
        <v>2026</v>
      </c>
      <c r="B901" s="1">
        <v>46054</v>
      </c>
      <c r="C901" t="s">
        <v>2657</v>
      </c>
      <c r="D901" t="s">
        <v>4763</v>
      </c>
      <c r="E901" s="43">
        <v>46056.516896342589</v>
      </c>
      <c r="F901" s="1">
        <v>46056</v>
      </c>
      <c r="G901" s="43">
        <v>46063.849280625</v>
      </c>
      <c r="H901" t="s">
        <v>2725</v>
      </c>
      <c r="I901" t="s">
        <v>2669</v>
      </c>
      <c r="J901" t="s">
        <v>39</v>
      </c>
      <c r="L901" t="s">
        <v>2362</v>
      </c>
      <c r="M901">
        <v>25248213105</v>
      </c>
      <c r="N901" t="s">
        <v>2746</v>
      </c>
      <c r="O901" s="1">
        <v>45294</v>
      </c>
      <c r="T901" t="s">
        <v>2662</v>
      </c>
      <c r="U901" t="s">
        <v>4764</v>
      </c>
      <c r="V901">
        <v>5</v>
      </c>
      <c r="W901" t="s">
        <v>2677</v>
      </c>
      <c r="X901">
        <v>1</v>
      </c>
      <c r="Y901" t="s">
        <v>2779</v>
      </c>
      <c r="Z901" t="s">
        <v>2684</v>
      </c>
      <c r="AA901">
        <v>25248213105</v>
      </c>
      <c r="AB901" t="s">
        <v>1611</v>
      </c>
      <c r="AC901">
        <v>0</v>
      </c>
      <c r="AD901">
        <v>6</v>
      </c>
      <c r="AE901">
        <v>252482131056</v>
      </c>
      <c r="AF901" t="s">
        <v>4765</v>
      </c>
      <c r="AG901">
        <v>1</v>
      </c>
      <c r="AH901">
        <v>1</v>
      </c>
    </row>
    <row r="902" spans="1:35">
      <c r="A902">
        <v>2026</v>
      </c>
      <c r="B902" s="1">
        <v>46054</v>
      </c>
      <c r="C902" t="s">
        <v>2657</v>
      </c>
      <c r="D902" t="s">
        <v>4766</v>
      </c>
      <c r="E902" s="43">
        <v>46058.52212306713</v>
      </c>
      <c r="F902" s="1">
        <v>46058</v>
      </c>
      <c r="G902" s="43">
        <v>46058.52212306713</v>
      </c>
      <c r="H902" t="s">
        <v>2725</v>
      </c>
      <c r="I902" t="s">
        <v>2669</v>
      </c>
      <c r="J902" t="s">
        <v>39</v>
      </c>
      <c r="L902" t="s">
        <v>2362</v>
      </c>
      <c r="M902">
        <v>25248213105</v>
      </c>
      <c r="N902" t="s">
        <v>2746</v>
      </c>
      <c r="O902" s="1">
        <v>45294</v>
      </c>
      <c r="T902" t="s">
        <v>2662</v>
      </c>
      <c r="U902" t="s">
        <v>4767</v>
      </c>
      <c r="V902">
        <v>0</v>
      </c>
      <c r="W902" t="s">
        <v>2677</v>
      </c>
      <c r="X902">
        <v>1</v>
      </c>
      <c r="Y902" t="s">
        <v>2760</v>
      </c>
      <c r="AA902">
        <v>25248213105</v>
      </c>
      <c r="AB902" t="s">
        <v>1611</v>
      </c>
      <c r="AC902">
        <v>0</v>
      </c>
      <c r="AD902">
        <v>6</v>
      </c>
      <c r="AE902">
        <v>252482131056</v>
      </c>
      <c r="AF902" t="s">
        <v>4765</v>
      </c>
      <c r="AG902">
        <v>0</v>
      </c>
      <c r="AH902">
        <v>0</v>
      </c>
      <c r="AI902" t="s">
        <v>3001</v>
      </c>
    </row>
    <row r="903" spans="1:35">
      <c r="A903">
        <v>2026</v>
      </c>
      <c r="B903" s="1">
        <v>46054</v>
      </c>
      <c r="C903" t="s">
        <v>2657</v>
      </c>
      <c r="D903" t="s">
        <v>4768</v>
      </c>
      <c r="E903" s="43">
        <v>46073.538567962962</v>
      </c>
      <c r="F903" s="1">
        <v>46073</v>
      </c>
      <c r="G903" s="43">
        <v>46080.622694861115</v>
      </c>
      <c r="H903" t="s">
        <v>2725</v>
      </c>
      <c r="I903" t="s">
        <v>2719</v>
      </c>
      <c r="J903" t="s">
        <v>39</v>
      </c>
      <c r="L903" t="s">
        <v>2362</v>
      </c>
      <c r="M903">
        <v>25248213105</v>
      </c>
      <c r="N903" t="s">
        <v>2746</v>
      </c>
      <c r="O903" s="1">
        <v>45294</v>
      </c>
      <c r="T903" t="s">
        <v>2662</v>
      </c>
      <c r="U903" t="s">
        <v>4769</v>
      </c>
      <c r="V903">
        <v>5</v>
      </c>
      <c r="W903" t="s">
        <v>2677</v>
      </c>
      <c r="X903">
        <v>1</v>
      </c>
      <c r="Y903" t="s">
        <v>2760</v>
      </c>
      <c r="AA903">
        <v>25248213105</v>
      </c>
      <c r="AB903" t="s">
        <v>1611</v>
      </c>
      <c r="AC903">
        <v>0</v>
      </c>
      <c r="AD903">
        <v>8</v>
      </c>
      <c r="AE903">
        <v>252482131058</v>
      </c>
      <c r="AF903" t="s">
        <v>4765</v>
      </c>
      <c r="AG903">
        <v>0</v>
      </c>
      <c r="AH903">
        <v>0</v>
      </c>
    </row>
    <row r="904" spans="1:35">
      <c r="A904">
        <v>2026</v>
      </c>
      <c r="B904" s="1">
        <v>46054</v>
      </c>
      <c r="C904" t="s">
        <v>2657</v>
      </c>
      <c r="D904" t="s">
        <v>4770</v>
      </c>
      <c r="E904" s="43">
        <v>46072.576683657404</v>
      </c>
      <c r="F904" s="1">
        <v>46072</v>
      </c>
      <c r="G904" s="43">
        <v>46078.519318206017</v>
      </c>
      <c r="H904" t="s">
        <v>2725</v>
      </c>
      <c r="I904" t="s">
        <v>2719</v>
      </c>
      <c r="J904" t="s">
        <v>39</v>
      </c>
      <c r="L904" t="s">
        <v>2362</v>
      </c>
      <c r="M904">
        <v>25248213105</v>
      </c>
      <c r="N904" t="s">
        <v>2746</v>
      </c>
      <c r="O904" s="1">
        <v>45294</v>
      </c>
      <c r="T904" t="s">
        <v>2662</v>
      </c>
      <c r="U904" t="s">
        <v>4771</v>
      </c>
      <c r="V904">
        <v>4</v>
      </c>
      <c r="W904" t="s">
        <v>2677</v>
      </c>
      <c r="X904">
        <v>1</v>
      </c>
      <c r="Y904" t="s">
        <v>2678</v>
      </c>
      <c r="Z904" t="s">
        <v>2684</v>
      </c>
      <c r="AA904">
        <v>25248213105</v>
      </c>
      <c r="AB904" t="s">
        <v>1611</v>
      </c>
      <c r="AC904">
        <v>0</v>
      </c>
      <c r="AD904">
        <v>8</v>
      </c>
      <c r="AE904">
        <v>252482131058</v>
      </c>
      <c r="AF904" t="s">
        <v>4765</v>
      </c>
      <c r="AG904">
        <v>1</v>
      </c>
      <c r="AH904">
        <v>0</v>
      </c>
    </row>
    <row r="905" spans="1:35">
      <c r="A905">
        <v>2026</v>
      </c>
      <c r="B905" s="1">
        <v>46054</v>
      </c>
      <c r="C905" t="s">
        <v>2657</v>
      </c>
      <c r="D905" t="s">
        <v>4772</v>
      </c>
      <c r="E905" s="43">
        <v>46079.578781840275</v>
      </c>
      <c r="F905" s="1">
        <v>46079</v>
      </c>
      <c r="G905" s="43">
        <v>46080.631246053243</v>
      </c>
      <c r="H905" t="s">
        <v>2725</v>
      </c>
      <c r="I905" t="s">
        <v>2660</v>
      </c>
      <c r="J905" t="s">
        <v>39</v>
      </c>
      <c r="L905" t="s">
        <v>2362</v>
      </c>
      <c r="M905">
        <v>25248213105</v>
      </c>
      <c r="N905" t="s">
        <v>2746</v>
      </c>
      <c r="O905" s="1">
        <v>45294</v>
      </c>
      <c r="T905" t="s">
        <v>2662</v>
      </c>
      <c r="U905" t="s">
        <v>4773</v>
      </c>
      <c r="V905">
        <v>1</v>
      </c>
      <c r="W905" t="s">
        <v>2677</v>
      </c>
      <c r="X905">
        <v>1</v>
      </c>
      <c r="Y905" t="s">
        <v>2767</v>
      </c>
      <c r="AA905">
        <v>25248213105</v>
      </c>
      <c r="AB905" t="s">
        <v>1611</v>
      </c>
      <c r="AC905">
        <v>0</v>
      </c>
      <c r="AD905">
        <v>9</v>
      </c>
      <c r="AE905">
        <v>252482131059</v>
      </c>
      <c r="AF905" t="s">
        <v>4765</v>
      </c>
      <c r="AG905">
        <v>0</v>
      </c>
      <c r="AH905">
        <v>0</v>
      </c>
    </row>
    <row r="906" spans="1:35">
      <c r="A906">
        <v>2026</v>
      </c>
      <c r="B906" s="1">
        <v>46054</v>
      </c>
      <c r="C906" t="s">
        <v>2657</v>
      </c>
      <c r="D906" s="44" t="s">
        <v>4774</v>
      </c>
      <c r="E906" s="43">
        <v>46076.549234803242</v>
      </c>
      <c r="F906" s="1">
        <v>46076</v>
      </c>
      <c r="G906" s="43">
        <v>46078.51917846065</v>
      </c>
      <c r="H906" t="s">
        <v>2725</v>
      </c>
      <c r="I906" t="s">
        <v>2660</v>
      </c>
      <c r="J906" t="s">
        <v>39</v>
      </c>
      <c r="L906" t="s">
        <v>2362</v>
      </c>
      <c r="M906">
        <v>25248213105</v>
      </c>
      <c r="N906" t="s">
        <v>2746</v>
      </c>
      <c r="O906" s="1">
        <v>45294</v>
      </c>
      <c r="T906" t="s">
        <v>2662</v>
      </c>
      <c r="U906" t="s">
        <v>4775</v>
      </c>
      <c r="V906">
        <v>2</v>
      </c>
      <c r="W906" t="s">
        <v>2671</v>
      </c>
      <c r="X906">
        <v>1</v>
      </c>
      <c r="Y906" t="s">
        <v>2683</v>
      </c>
      <c r="AA906">
        <v>25248213105</v>
      </c>
      <c r="AB906" t="s">
        <v>1611</v>
      </c>
      <c r="AC906">
        <v>0</v>
      </c>
      <c r="AD906">
        <v>9</v>
      </c>
      <c r="AE906">
        <v>252482131059</v>
      </c>
      <c r="AF906" t="s">
        <v>4765</v>
      </c>
      <c r="AG906">
        <v>1</v>
      </c>
      <c r="AH906">
        <v>0</v>
      </c>
    </row>
    <row r="907" spans="1:35">
      <c r="A907">
        <v>2026</v>
      </c>
      <c r="B907" s="1">
        <v>46054</v>
      </c>
      <c r="C907" t="s">
        <v>2657</v>
      </c>
      <c r="D907" t="s">
        <v>4776</v>
      </c>
      <c r="E907" s="43">
        <v>46079.579695740744</v>
      </c>
      <c r="F907" s="1">
        <v>46079</v>
      </c>
      <c r="G907" s="43">
        <v>46085.57001236111</v>
      </c>
      <c r="H907" t="s">
        <v>2725</v>
      </c>
      <c r="I907" t="s">
        <v>2660</v>
      </c>
      <c r="J907" t="s">
        <v>39</v>
      </c>
      <c r="L907" t="s">
        <v>2362</v>
      </c>
      <c r="M907">
        <v>25248213105</v>
      </c>
      <c r="N907" t="s">
        <v>2746</v>
      </c>
      <c r="O907" s="1">
        <v>45294</v>
      </c>
      <c r="T907" t="s">
        <v>2662</v>
      </c>
      <c r="U907" t="s">
        <v>4777</v>
      </c>
      <c r="V907">
        <v>4</v>
      </c>
      <c r="W907" t="s">
        <v>2677</v>
      </c>
      <c r="X907">
        <v>1</v>
      </c>
      <c r="Y907" t="s">
        <v>2678</v>
      </c>
      <c r="AA907">
        <v>25248213105</v>
      </c>
      <c r="AB907" t="s">
        <v>1611</v>
      </c>
      <c r="AC907">
        <v>0</v>
      </c>
      <c r="AD907">
        <v>9</v>
      </c>
      <c r="AE907">
        <v>252482131059</v>
      </c>
      <c r="AF907" t="s">
        <v>4765</v>
      </c>
      <c r="AG907">
        <v>0</v>
      </c>
      <c r="AH907">
        <v>0</v>
      </c>
    </row>
    <row r="908" spans="1:35">
      <c r="A908">
        <v>2026</v>
      </c>
      <c r="B908" s="1">
        <v>46082</v>
      </c>
      <c r="C908" t="s">
        <v>2657</v>
      </c>
      <c r="D908" t="s">
        <v>4778</v>
      </c>
      <c r="E908" s="43">
        <v>46094.721365868056</v>
      </c>
      <c r="F908" s="1">
        <v>46094</v>
      </c>
      <c r="G908" s="43">
        <v>46094.721365868056</v>
      </c>
      <c r="H908" t="s">
        <v>2668</v>
      </c>
      <c r="I908" t="s">
        <v>2681</v>
      </c>
      <c r="J908" t="s">
        <v>39</v>
      </c>
      <c r="L908" t="s">
        <v>2378</v>
      </c>
      <c r="M908">
        <v>492005792302</v>
      </c>
      <c r="N908" t="s">
        <v>2746</v>
      </c>
      <c r="O908" s="1">
        <v>46070</v>
      </c>
      <c r="T908" t="s">
        <v>2798</v>
      </c>
      <c r="U908" t="s">
        <v>4779</v>
      </c>
      <c r="V908">
        <v>0</v>
      </c>
      <c r="W908" t="s">
        <v>2664</v>
      </c>
      <c r="X908">
        <v>0</v>
      </c>
      <c r="Y908" t="s">
        <v>2757</v>
      </c>
      <c r="AA908">
        <v>492005792302</v>
      </c>
      <c r="AB908" t="s">
        <v>2577</v>
      </c>
      <c r="AC908">
        <v>1</v>
      </c>
      <c r="AD908">
        <v>11</v>
      </c>
      <c r="AE908">
        <v>49200579230211</v>
      </c>
      <c r="AF908" t="s">
        <v>4780</v>
      </c>
      <c r="AG908">
        <v>1</v>
      </c>
      <c r="AH908">
        <v>1</v>
      </c>
    </row>
    <row r="909" spans="1:35">
      <c r="A909">
        <v>2025</v>
      </c>
      <c r="B909" s="1">
        <v>45839</v>
      </c>
      <c r="C909" t="s">
        <v>2657</v>
      </c>
      <c r="D909" t="s">
        <v>4781</v>
      </c>
      <c r="E909" s="43">
        <v>45863.777050578705</v>
      </c>
      <c r="F909" s="1">
        <v>45863</v>
      </c>
      <c r="G909" s="43">
        <v>45936.558862569444</v>
      </c>
      <c r="H909" t="s">
        <v>2869</v>
      </c>
      <c r="I909" t="s">
        <v>2660</v>
      </c>
      <c r="J909" t="s">
        <v>38</v>
      </c>
      <c r="L909" t="s">
        <v>2472</v>
      </c>
      <c r="M909">
        <v>596977542502</v>
      </c>
      <c r="N909" t="s">
        <v>2702</v>
      </c>
      <c r="O909" s="1">
        <v>45524</v>
      </c>
      <c r="T909" t="s">
        <v>2662</v>
      </c>
      <c r="U909" t="s">
        <v>4782</v>
      </c>
      <c r="V909">
        <v>51</v>
      </c>
      <c r="W909" t="s">
        <v>2671</v>
      </c>
      <c r="X909">
        <v>1</v>
      </c>
      <c r="Y909" t="s">
        <v>2807</v>
      </c>
      <c r="AA909">
        <v>509224899302</v>
      </c>
      <c r="AB909" t="s">
        <v>1857</v>
      </c>
      <c r="AC909">
        <v>0</v>
      </c>
      <c r="AD909">
        <v>30</v>
      </c>
      <c r="AE909">
        <v>50922489930230</v>
      </c>
      <c r="AF909" t="s">
        <v>4783</v>
      </c>
      <c r="AG909">
        <v>1</v>
      </c>
      <c r="AH909">
        <v>1</v>
      </c>
    </row>
    <row r="910" spans="1:35">
      <c r="A910">
        <v>2025</v>
      </c>
      <c r="B910" s="1">
        <v>45901</v>
      </c>
      <c r="C910" t="s">
        <v>2657</v>
      </c>
      <c r="D910" t="s">
        <v>4784</v>
      </c>
      <c r="E910" s="43">
        <v>45902.776235879632</v>
      </c>
      <c r="F910" s="1">
        <v>45902</v>
      </c>
      <c r="G910" s="43">
        <v>45936.618380694446</v>
      </c>
      <c r="H910" t="s">
        <v>2734</v>
      </c>
      <c r="I910" t="s">
        <v>2669</v>
      </c>
      <c r="J910" t="s">
        <v>2735</v>
      </c>
      <c r="L910" t="s">
        <v>2336</v>
      </c>
      <c r="M910">
        <v>902277407302</v>
      </c>
      <c r="N910" t="s">
        <v>2746</v>
      </c>
      <c r="O910" s="1">
        <v>45661</v>
      </c>
      <c r="T910" t="s">
        <v>2662</v>
      </c>
      <c r="U910" t="s">
        <v>4785</v>
      </c>
      <c r="V910">
        <v>24</v>
      </c>
      <c r="W910" t="s">
        <v>2677</v>
      </c>
      <c r="X910">
        <v>1</v>
      </c>
      <c r="Y910" t="s">
        <v>2727</v>
      </c>
      <c r="AA910">
        <v>92771955402</v>
      </c>
      <c r="AB910" t="s">
        <v>645</v>
      </c>
      <c r="AC910">
        <v>0</v>
      </c>
      <c r="AD910">
        <v>36</v>
      </c>
      <c r="AE910">
        <v>9277195540236</v>
      </c>
      <c r="AF910" t="s">
        <v>4786</v>
      </c>
      <c r="AG910">
        <v>1</v>
      </c>
      <c r="AH910">
        <v>1</v>
      </c>
    </row>
    <row r="911" spans="1:35">
      <c r="A911">
        <v>2025</v>
      </c>
      <c r="B911" s="1">
        <v>45901</v>
      </c>
      <c r="C911" t="s">
        <v>2657</v>
      </c>
      <c r="D911" t="s">
        <v>4787</v>
      </c>
      <c r="E911" s="43">
        <v>45922.683324155092</v>
      </c>
      <c r="F911" s="1">
        <v>45922</v>
      </c>
      <c r="G911" s="43">
        <v>45951.851689826392</v>
      </c>
      <c r="H911" t="s">
        <v>2734</v>
      </c>
      <c r="I911" t="s">
        <v>2660</v>
      </c>
      <c r="J911" t="s">
        <v>2735</v>
      </c>
      <c r="L911" t="s">
        <v>2336</v>
      </c>
      <c r="M911">
        <v>902277407302</v>
      </c>
      <c r="N911" t="s">
        <v>2746</v>
      </c>
      <c r="O911" s="1">
        <v>45661</v>
      </c>
      <c r="T911" t="s">
        <v>2662</v>
      </c>
      <c r="U911" t="s">
        <v>4788</v>
      </c>
      <c r="V911">
        <v>21</v>
      </c>
      <c r="W911" t="s">
        <v>2671</v>
      </c>
      <c r="X911">
        <v>1</v>
      </c>
      <c r="Y911" t="s">
        <v>2683</v>
      </c>
      <c r="AA911">
        <v>92771955402</v>
      </c>
      <c r="AB911" t="s">
        <v>645</v>
      </c>
      <c r="AC911">
        <v>0</v>
      </c>
      <c r="AD911">
        <v>39</v>
      </c>
      <c r="AE911">
        <v>9277195540239</v>
      </c>
      <c r="AF911" t="s">
        <v>4786</v>
      </c>
      <c r="AG911">
        <v>1</v>
      </c>
      <c r="AH911">
        <v>0</v>
      </c>
    </row>
    <row r="912" spans="1:35">
      <c r="A912">
        <v>2025</v>
      </c>
      <c r="B912" s="1">
        <v>45962</v>
      </c>
      <c r="C912" t="s">
        <v>2657</v>
      </c>
      <c r="D912" t="s">
        <v>4789</v>
      </c>
      <c r="E912" s="43">
        <v>45964.659394317132</v>
      </c>
      <c r="F912" s="1">
        <v>45964</v>
      </c>
      <c r="G912" s="43">
        <v>45965.809363946762</v>
      </c>
      <c r="H912" t="s">
        <v>2802</v>
      </c>
      <c r="I912" t="s">
        <v>2669</v>
      </c>
      <c r="J912" t="s">
        <v>2735</v>
      </c>
      <c r="L912" t="s">
        <v>2361</v>
      </c>
      <c r="M912">
        <v>794325328902</v>
      </c>
      <c r="N912" t="s">
        <v>2746</v>
      </c>
      <c r="O912" s="1">
        <v>45457</v>
      </c>
      <c r="T912" t="s">
        <v>2662</v>
      </c>
      <c r="U912" t="s">
        <v>4790</v>
      </c>
      <c r="V912">
        <v>1</v>
      </c>
      <c r="X912">
        <v>1</v>
      </c>
      <c r="Y912" t="s">
        <v>2717</v>
      </c>
      <c r="AA912">
        <v>97759973202</v>
      </c>
      <c r="AB912" t="s">
        <v>2118</v>
      </c>
      <c r="AC912">
        <v>0</v>
      </c>
      <c r="AD912">
        <v>45</v>
      </c>
      <c r="AE912">
        <v>9775997320245</v>
      </c>
      <c r="AF912" t="s">
        <v>4791</v>
      </c>
      <c r="AG912">
        <v>1</v>
      </c>
      <c r="AH912">
        <v>1</v>
      </c>
    </row>
    <row r="913" spans="1:34">
      <c r="A913">
        <v>2025</v>
      </c>
      <c r="B913" s="1">
        <v>45962</v>
      </c>
      <c r="C913" t="s">
        <v>2657</v>
      </c>
      <c r="D913" t="s">
        <v>4792</v>
      </c>
      <c r="E913" s="43">
        <v>45966.581996759262</v>
      </c>
      <c r="F913" s="1">
        <v>45966</v>
      </c>
      <c r="G913" s="43">
        <v>45966.581996759262</v>
      </c>
      <c r="H913" t="s">
        <v>2802</v>
      </c>
      <c r="I913" t="s">
        <v>2669</v>
      </c>
      <c r="J913" t="s">
        <v>2735</v>
      </c>
      <c r="L913" t="s">
        <v>2361</v>
      </c>
      <c r="M913">
        <v>794325328902</v>
      </c>
      <c r="N913" t="s">
        <v>2746</v>
      </c>
      <c r="O913" s="1">
        <v>45457</v>
      </c>
      <c r="T913" t="s">
        <v>2662</v>
      </c>
      <c r="U913" t="s">
        <v>4793</v>
      </c>
      <c r="V913">
        <v>0</v>
      </c>
      <c r="W913" t="s">
        <v>2677</v>
      </c>
      <c r="X913">
        <v>1</v>
      </c>
      <c r="Y913" t="s">
        <v>2695</v>
      </c>
      <c r="AA913">
        <v>97759973202</v>
      </c>
      <c r="AB913" t="s">
        <v>2118</v>
      </c>
      <c r="AC913">
        <v>0</v>
      </c>
      <c r="AD913">
        <v>45</v>
      </c>
      <c r="AE913">
        <v>9775997320245</v>
      </c>
      <c r="AF913" t="s">
        <v>4791</v>
      </c>
      <c r="AG913">
        <v>0</v>
      </c>
      <c r="AH913">
        <v>0</v>
      </c>
    </row>
    <row r="914" spans="1:34">
      <c r="A914">
        <v>2025</v>
      </c>
      <c r="B914" s="1">
        <v>45962</v>
      </c>
      <c r="C914" t="s">
        <v>2657</v>
      </c>
      <c r="D914" s="44" t="s">
        <v>4794</v>
      </c>
      <c r="E914" s="43">
        <v>45974.672575671299</v>
      </c>
      <c r="F914" s="1">
        <v>45974</v>
      </c>
      <c r="G914" s="43">
        <v>45979.601738541664</v>
      </c>
      <c r="H914" t="s">
        <v>2802</v>
      </c>
      <c r="I914" t="s">
        <v>2681</v>
      </c>
      <c r="J914" t="s">
        <v>2735</v>
      </c>
      <c r="L914" t="s">
        <v>2361</v>
      </c>
      <c r="M914">
        <v>97759973202</v>
      </c>
      <c r="N914" t="s">
        <v>2746</v>
      </c>
      <c r="O914" s="1">
        <v>45294</v>
      </c>
      <c r="T914" t="s">
        <v>2662</v>
      </c>
      <c r="U914" t="s">
        <v>4795</v>
      </c>
      <c r="V914">
        <v>3</v>
      </c>
      <c r="W914" t="s">
        <v>2677</v>
      </c>
      <c r="X914">
        <v>1</v>
      </c>
      <c r="Y914" t="s">
        <v>2807</v>
      </c>
      <c r="AA914">
        <v>97759973202</v>
      </c>
      <c r="AB914" t="s">
        <v>2118</v>
      </c>
      <c r="AC914">
        <v>0</v>
      </c>
      <c r="AD914">
        <v>46</v>
      </c>
      <c r="AE914">
        <v>9775997320246</v>
      </c>
      <c r="AF914" t="s">
        <v>4791</v>
      </c>
      <c r="AG914">
        <v>0</v>
      </c>
      <c r="AH914">
        <v>0</v>
      </c>
    </row>
    <row r="915" spans="1:34">
      <c r="A915">
        <v>2025</v>
      </c>
      <c r="B915" s="1">
        <v>45962</v>
      </c>
      <c r="C915" t="s">
        <v>2657</v>
      </c>
      <c r="D915" t="s">
        <v>4796</v>
      </c>
      <c r="E915" s="43">
        <v>45971.480445844907</v>
      </c>
      <c r="F915" s="1">
        <v>45971</v>
      </c>
      <c r="G915" s="43">
        <v>45975.658401377317</v>
      </c>
      <c r="H915" t="s">
        <v>2802</v>
      </c>
      <c r="I915" t="s">
        <v>2681</v>
      </c>
      <c r="J915" t="s">
        <v>2735</v>
      </c>
      <c r="L915" t="s">
        <v>2361</v>
      </c>
      <c r="M915">
        <v>794325328902</v>
      </c>
      <c r="N915" t="s">
        <v>2746</v>
      </c>
      <c r="O915" s="1">
        <v>45457</v>
      </c>
      <c r="T915" t="s">
        <v>2662</v>
      </c>
      <c r="U915" t="s">
        <v>4797</v>
      </c>
      <c r="V915">
        <v>4</v>
      </c>
      <c r="X915">
        <v>1</v>
      </c>
      <c r="Y915" t="s">
        <v>2744</v>
      </c>
      <c r="AA915">
        <v>97759973202</v>
      </c>
      <c r="AB915" t="s">
        <v>2118</v>
      </c>
      <c r="AC915">
        <v>0</v>
      </c>
      <c r="AD915">
        <v>46</v>
      </c>
      <c r="AE915">
        <v>9775997320246</v>
      </c>
      <c r="AF915" t="s">
        <v>4791</v>
      </c>
      <c r="AG915">
        <v>1</v>
      </c>
      <c r="AH915">
        <v>0</v>
      </c>
    </row>
    <row r="916" spans="1:34">
      <c r="A916">
        <v>2025</v>
      </c>
      <c r="B916" s="1">
        <v>45962</v>
      </c>
      <c r="C916" t="s">
        <v>2657</v>
      </c>
      <c r="D916" t="s">
        <v>4798</v>
      </c>
      <c r="E916" s="43">
        <v>45985.705554120374</v>
      </c>
      <c r="F916" s="1">
        <v>45985</v>
      </c>
      <c r="G916" s="43">
        <v>45986.477084641207</v>
      </c>
      <c r="H916" t="s">
        <v>2802</v>
      </c>
      <c r="I916" t="s">
        <v>2660</v>
      </c>
      <c r="J916" t="s">
        <v>2735</v>
      </c>
      <c r="L916" t="s">
        <v>2361</v>
      </c>
      <c r="M916">
        <v>97759973202</v>
      </c>
      <c r="N916" t="s">
        <v>2746</v>
      </c>
      <c r="O916" s="1">
        <v>45294</v>
      </c>
      <c r="T916" t="s">
        <v>2662</v>
      </c>
      <c r="U916" t="s">
        <v>4799</v>
      </c>
      <c r="V916">
        <v>1</v>
      </c>
      <c r="W916" t="s">
        <v>2677</v>
      </c>
      <c r="X916">
        <v>1</v>
      </c>
      <c r="Y916" t="s">
        <v>2807</v>
      </c>
      <c r="AA916">
        <v>97759973202</v>
      </c>
      <c r="AB916" t="s">
        <v>2118</v>
      </c>
      <c r="AC916">
        <v>0</v>
      </c>
      <c r="AD916">
        <v>48</v>
      </c>
      <c r="AE916">
        <v>9775997320248</v>
      </c>
      <c r="AF916" t="s">
        <v>4791</v>
      </c>
      <c r="AG916">
        <v>1</v>
      </c>
      <c r="AH916">
        <v>0</v>
      </c>
    </row>
    <row r="917" spans="1:34">
      <c r="A917">
        <v>2025</v>
      </c>
      <c r="B917" s="1">
        <v>45962</v>
      </c>
      <c r="C917" t="s">
        <v>2657</v>
      </c>
      <c r="D917" t="s">
        <v>4800</v>
      </c>
      <c r="E917" s="43">
        <v>45986.584309305559</v>
      </c>
      <c r="F917" s="1">
        <v>45986</v>
      </c>
      <c r="G917" s="43">
        <v>45988.515130891203</v>
      </c>
      <c r="H917" t="s">
        <v>2802</v>
      </c>
      <c r="I917" t="s">
        <v>2660</v>
      </c>
      <c r="J917" t="s">
        <v>2735</v>
      </c>
      <c r="L917" t="s">
        <v>2361</v>
      </c>
      <c r="M917">
        <v>794325328902</v>
      </c>
      <c r="N917" t="s">
        <v>2746</v>
      </c>
      <c r="O917" s="1">
        <v>45457</v>
      </c>
      <c r="T917" t="s">
        <v>2662</v>
      </c>
      <c r="U917" t="s">
        <v>4801</v>
      </c>
      <c r="V917">
        <v>2</v>
      </c>
      <c r="W917" t="s">
        <v>2671</v>
      </c>
      <c r="X917">
        <v>1</v>
      </c>
      <c r="Y917" t="s">
        <v>2764</v>
      </c>
      <c r="AA917">
        <v>97759973202</v>
      </c>
      <c r="AB917" t="s">
        <v>2118</v>
      </c>
      <c r="AC917">
        <v>0</v>
      </c>
      <c r="AD917">
        <v>48</v>
      </c>
      <c r="AE917">
        <v>9775997320248</v>
      </c>
      <c r="AF917" t="s">
        <v>4791</v>
      </c>
      <c r="AG917">
        <v>0</v>
      </c>
      <c r="AH917">
        <v>0</v>
      </c>
    </row>
    <row r="918" spans="1:34">
      <c r="A918">
        <v>2026</v>
      </c>
      <c r="B918" s="1">
        <v>46082</v>
      </c>
      <c r="C918" t="s">
        <v>2657</v>
      </c>
      <c r="D918" t="s">
        <v>4802</v>
      </c>
      <c r="E918" s="43">
        <v>46083.829870185182</v>
      </c>
      <c r="F918" s="1">
        <v>46083</v>
      </c>
      <c r="G918" s="43">
        <v>46090.827341828706</v>
      </c>
      <c r="H918" t="s">
        <v>2668</v>
      </c>
      <c r="I918" t="s">
        <v>2669</v>
      </c>
      <c r="J918" t="s">
        <v>37</v>
      </c>
      <c r="L918" t="s">
        <v>2363</v>
      </c>
      <c r="M918">
        <v>19297108502</v>
      </c>
      <c r="N918" t="s">
        <v>2702</v>
      </c>
      <c r="O918" s="1">
        <v>45994</v>
      </c>
      <c r="T918" t="s">
        <v>2662</v>
      </c>
      <c r="U918" t="s">
        <v>4803</v>
      </c>
      <c r="V918">
        <v>5</v>
      </c>
      <c r="W918" t="s">
        <v>2704</v>
      </c>
      <c r="X918">
        <v>1</v>
      </c>
      <c r="Y918" t="s">
        <v>2721</v>
      </c>
      <c r="AA918">
        <v>19297108502</v>
      </c>
      <c r="AB918" t="s">
        <v>2561</v>
      </c>
      <c r="AC918">
        <v>1</v>
      </c>
      <c r="AD918">
        <v>10</v>
      </c>
      <c r="AE918">
        <v>1929710850210</v>
      </c>
      <c r="AF918" t="s">
        <v>4804</v>
      </c>
      <c r="AG918">
        <v>1</v>
      </c>
      <c r="AH918">
        <v>1</v>
      </c>
    </row>
    <row r="919" spans="1:34">
      <c r="A919">
        <v>2026</v>
      </c>
      <c r="B919" s="1">
        <v>46054</v>
      </c>
      <c r="C919" t="s">
        <v>2657</v>
      </c>
      <c r="D919" t="s">
        <v>4805</v>
      </c>
      <c r="E919" s="43">
        <v>46073.626176319442</v>
      </c>
      <c r="F919" s="1">
        <v>46073</v>
      </c>
      <c r="G919" s="43">
        <v>46076.805373958334</v>
      </c>
      <c r="H919" t="s">
        <v>2725</v>
      </c>
      <c r="I919" t="s">
        <v>2719</v>
      </c>
      <c r="J919" t="s">
        <v>100</v>
      </c>
      <c r="L919" t="s">
        <v>2353</v>
      </c>
      <c r="M919">
        <v>658814193902</v>
      </c>
      <c r="N919" t="s">
        <v>2675</v>
      </c>
      <c r="O919" s="1">
        <v>45299</v>
      </c>
      <c r="T919" t="s">
        <v>2662</v>
      </c>
      <c r="U919" t="s">
        <v>4806</v>
      </c>
      <c r="V919">
        <v>1</v>
      </c>
      <c r="W919" t="s">
        <v>2704</v>
      </c>
      <c r="X919">
        <v>1</v>
      </c>
      <c r="Y919" t="s">
        <v>2721</v>
      </c>
      <c r="AA919">
        <v>658814193902</v>
      </c>
      <c r="AB919" t="s">
        <v>683</v>
      </c>
      <c r="AC919">
        <v>0</v>
      </c>
      <c r="AD919">
        <v>8</v>
      </c>
      <c r="AE919">
        <v>6588141939028</v>
      </c>
      <c r="AF919" t="s">
        <v>4807</v>
      </c>
      <c r="AG919">
        <v>1</v>
      </c>
      <c r="AH919">
        <v>1</v>
      </c>
    </row>
    <row r="920" spans="1:34">
      <c r="A920">
        <v>2025</v>
      </c>
      <c r="B920" s="1">
        <v>45962</v>
      </c>
      <c r="C920" t="s">
        <v>2657</v>
      </c>
      <c r="D920" t="s">
        <v>4808</v>
      </c>
      <c r="E920" s="43">
        <v>45964.601242928242</v>
      </c>
      <c r="F920" s="1">
        <v>45964</v>
      </c>
      <c r="G920" s="43">
        <v>45968.817379722219</v>
      </c>
      <c r="H920" t="s">
        <v>2802</v>
      </c>
      <c r="I920" t="s">
        <v>2669</v>
      </c>
      <c r="J920" t="s">
        <v>38</v>
      </c>
      <c r="L920" t="s">
        <v>2342</v>
      </c>
      <c r="M920">
        <v>755841394202</v>
      </c>
      <c r="N920" t="s">
        <v>2702</v>
      </c>
      <c r="O920" s="1">
        <v>45411</v>
      </c>
      <c r="T920" t="s">
        <v>2662</v>
      </c>
      <c r="U920" t="s">
        <v>4809</v>
      </c>
      <c r="V920">
        <v>4</v>
      </c>
      <c r="W920" t="s">
        <v>2677</v>
      </c>
      <c r="X920">
        <v>1</v>
      </c>
      <c r="Y920" t="s">
        <v>2760</v>
      </c>
      <c r="Z920" t="s">
        <v>2684</v>
      </c>
      <c r="AA920">
        <v>755841394202</v>
      </c>
      <c r="AB920" t="s">
        <v>376</v>
      </c>
      <c r="AC920">
        <v>0</v>
      </c>
      <c r="AD920">
        <v>45</v>
      </c>
      <c r="AE920">
        <v>75584139420245</v>
      </c>
      <c r="AF920" t="s">
        <v>4810</v>
      </c>
      <c r="AG920">
        <v>1</v>
      </c>
      <c r="AH920">
        <v>1</v>
      </c>
    </row>
    <row r="921" spans="1:34">
      <c r="A921">
        <v>2025</v>
      </c>
      <c r="B921" s="1">
        <v>45962</v>
      </c>
      <c r="C921" t="s">
        <v>2657</v>
      </c>
      <c r="D921" t="s">
        <v>4811</v>
      </c>
      <c r="E921" s="43">
        <v>45978.8753950463</v>
      </c>
      <c r="F921" s="1">
        <v>45978</v>
      </c>
      <c r="G921" s="43">
        <v>45987.596625706021</v>
      </c>
      <c r="H921" t="s">
        <v>2802</v>
      </c>
      <c r="I921" t="s">
        <v>2719</v>
      </c>
      <c r="J921" t="s">
        <v>38</v>
      </c>
      <c r="L921" t="s">
        <v>2342</v>
      </c>
      <c r="M921">
        <v>755841394202</v>
      </c>
      <c r="N921" t="s">
        <v>2702</v>
      </c>
      <c r="O921" s="1">
        <v>45411</v>
      </c>
      <c r="T921" t="s">
        <v>2662</v>
      </c>
      <c r="U921" t="s">
        <v>4812</v>
      </c>
      <c r="V921">
        <v>7</v>
      </c>
      <c r="W921" t="s">
        <v>2677</v>
      </c>
      <c r="X921">
        <v>1</v>
      </c>
      <c r="Y921" t="s">
        <v>2760</v>
      </c>
      <c r="Z921" t="s">
        <v>2684</v>
      </c>
      <c r="AA921">
        <v>755841394202</v>
      </c>
      <c r="AB921" t="s">
        <v>376</v>
      </c>
      <c r="AC921">
        <v>0</v>
      </c>
      <c r="AD921">
        <v>47</v>
      </c>
      <c r="AE921">
        <v>75584139420247</v>
      </c>
      <c r="AF921" t="s">
        <v>4810</v>
      </c>
      <c r="AG921">
        <v>0</v>
      </c>
      <c r="AH921">
        <v>0</v>
      </c>
    </row>
    <row r="922" spans="1:34">
      <c r="A922">
        <v>2025</v>
      </c>
      <c r="B922" s="1">
        <v>45962</v>
      </c>
      <c r="C922" t="s">
        <v>2657</v>
      </c>
      <c r="D922" t="s">
        <v>4813</v>
      </c>
      <c r="E922" s="43">
        <v>45978.618389594907</v>
      </c>
      <c r="F922" s="1">
        <v>45978</v>
      </c>
      <c r="G922" s="43">
        <v>45978.618389594907</v>
      </c>
      <c r="H922" t="s">
        <v>2802</v>
      </c>
      <c r="I922" t="s">
        <v>2719</v>
      </c>
      <c r="J922" t="s">
        <v>38</v>
      </c>
      <c r="L922" t="s">
        <v>2342</v>
      </c>
      <c r="M922">
        <v>755841394202</v>
      </c>
      <c r="N922" t="s">
        <v>2702</v>
      </c>
      <c r="O922" s="1">
        <v>45411</v>
      </c>
      <c r="T922" t="s">
        <v>2662</v>
      </c>
      <c r="U922" t="s">
        <v>4814</v>
      </c>
      <c r="V922">
        <v>0</v>
      </c>
      <c r="W922" t="s">
        <v>2677</v>
      </c>
      <c r="X922">
        <v>1</v>
      </c>
      <c r="Y922" t="s">
        <v>2695</v>
      </c>
      <c r="AA922">
        <v>755841394202</v>
      </c>
      <c r="AB922" t="s">
        <v>376</v>
      </c>
      <c r="AC922">
        <v>0</v>
      </c>
      <c r="AD922">
        <v>47</v>
      </c>
      <c r="AE922">
        <v>75584139420247</v>
      </c>
      <c r="AF922" t="s">
        <v>4810</v>
      </c>
      <c r="AG922">
        <v>1</v>
      </c>
      <c r="AH922">
        <v>0</v>
      </c>
    </row>
    <row r="923" spans="1:34">
      <c r="A923">
        <v>2025</v>
      </c>
      <c r="B923" s="1">
        <v>45931</v>
      </c>
      <c r="C923" t="s">
        <v>2657</v>
      </c>
      <c r="D923" t="s">
        <v>4815</v>
      </c>
      <c r="E923" s="43">
        <v>45937.726243472222</v>
      </c>
      <c r="F923" s="1">
        <v>45937</v>
      </c>
      <c r="G923" s="43">
        <v>45938.830640590277</v>
      </c>
      <c r="H923" t="s">
        <v>2659</v>
      </c>
      <c r="I923" t="s">
        <v>2669</v>
      </c>
      <c r="J923" t="s">
        <v>38</v>
      </c>
      <c r="L923" t="s">
        <v>2379</v>
      </c>
      <c r="M923">
        <v>653060435802</v>
      </c>
      <c r="N923" t="s">
        <v>2675</v>
      </c>
      <c r="O923" s="1">
        <v>45294</v>
      </c>
      <c r="T923" t="s">
        <v>2662</v>
      </c>
      <c r="U923" t="s">
        <v>4816</v>
      </c>
      <c r="V923">
        <v>1</v>
      </c>
      <c r="W923" t="s">
        <v>2671</v>
      </c>
      <c r="X923">
        <v>1</v>
      </c>
      <c r="Y923" t="s">
        <v>2672</v>
      </c>
      <c r="AA923">
        <v>653060435802</v>
      </c>
      <c r="AB923" t="s">
        <v>851</v>
      </c>
      <c r="AC923">
        <v>0</v>
      </c>
      <c r="AD923">
        <v>41</v>
      </c>
      <c r="AE923">
        <v>65306043580241</v>
      </c>
      <c r="AF923" t="s">
        <v>4817</v>
      </c>
      <c r="AG923">
        <v>1</v>
      </c>
      <c r="AH923">
        <v>1</v>
      </c>
    </row>
    <row r="924" spans="1:34">
      <c r="A924">
        <v>2025</v>
      </c>
      <c r="B924" s="1">
        <v>45931</v>
      </c>
      <c r="C924" t="s">
        <v>2657</v>
      </c>
      <c r="D924" t="s">
        <v>4818</v>
      </c>
      <c r="E924" s="43">
        <v>45951.610317118058</v>
      </c>
      <c r="F924" s="1">
        <v>45951</v>
      </c>
      <c r="G924" s="43">
        <v>45951.695787858793</v>
      </c>
      <c r="H924" t="s">
        <v>2659</v>
      </c>
      <c r="I924" t="s">
        <v>2719</v>
      </c>
      <c r="J924" t="s">
        <v>38</v>
      </c>
      <c r="L924" t="s">
        <v>2379</v>
      </c>
      <c r="M924">
        <v>653060435802</v>
      </c>
      <c r="N924" t="s">
        <v>2675</v>
      </c>
      <c r="O924" s="1">
        <v>45294</v>
      </c>
      <c r="T924" t="s">
        <v>2662</v>
      </c>
      <c r="U924" t="s">
        <v>4819</v>
      </c>
      <c r="V924">
        <v>0</v>
      </c>
      <c r="W924" t="s">
        <v>2677</v>
      </c>
      <c r="X924">
        <v>1</v>
      </c>
      <c r="Y924" t="s">
        <v>2807</v>
      </c>
      <c r="AA924">
        <v>653060435802</v>
      </c>
      <c r="AB924" t="s">
        <v>851</v>
      </c>
      <c r="AC924">
        <v>0</v>
      </c>
      <c r="AD924">
        <v>43</v>
      </c>
      <c r="AE924">
        <v>65306043580243</v>
      </c>
      <c r="AF924" t="s">
        <v>4817</v>
      </c>
      <c r="AG924">
        <v>1</v>
      </c>
      <c r="AH924">
        <v>0</v>
      </c>
    </row>
    <row r="925" spans="1:34">
      <c r="A925">
        <v>2025</v>
      </c>
      <c r="B925" s="1">
        <v>45931</v>
      </c>
      <c r="C925" t="s">
        <v>2657</v>
      </c>
      <c r="D925" t="s">
        <v>4820</v>
      </c>
      <c r="E925" s="43">
        <v>45957.577538703707</v>
      </c>
      <c r="F925" s="1">
        <v>45957</v>
      </c>
      <c r="G925" s="43">
        <v>45959.586057060187</v>
      </c>
      <c r="H925" t="s">
        <v>2659</v>
      </c>
      <c r="I925" t="s">
        <v>2660</v>
      </c>
      <c r="J925" t="s">
        <v>38</v>
      </c>
      <c r="L925" t="s">
        <v>2379</v>
      </c>
      <c r="M925">
        <v>653060435802</v>
      </c>
      <c r="N925" t="s">
        <v>2675</v>
      </c>
      <c r="O925" s="1">
        <v>45294</v>
      </c>
      <c r="T925" t="s">
        <v>2662</v>
      </c>
      <c r="U925" t="s">
        <v>4821</v>
      </c>
      <c r="V925">
        <v>2</v>
      </c>
      <c r="W925" t="s">
        <v>2677</v>
      </c>
      <c r="X925">
        <v>1</v>
      </c>
      <c r="Y925" t="s">
        <v>2807</v>
      </c>
      <c r="AA925">
        <v>653060435802</v>
      </c>
      <c r="AB925" t="s">
        <v>851</v>
      </c>
      <c r="AC925">
        <v>0</v>
      </c>
      <c r="AD925">
        <v>44</v>
      </c>
      <c r="AE925">
        <v>65306043580244</v>
      </c>
      <c r="AF925" t="s">
        <v>4817</v>
      </c>
      <c r="AG925">
        <v>1</v>
      </c>
      <c r="AH925">
        <v>0</v>
      </c>
    </row>
    <row r="926" spans="1:34">
      <c r="A926">
        <v>2026</v>
      </c>
      <c r="B926" s="1">
        <v>46023</v>
      </c>
      <c r="C926" t="s">
        <v>2657</v>
      </c>
      <c r="D926" t="s">
        <v>4822</v>
      </c>
      <c r="E926" s="43">
        <v>46042.86896709491</v>
      </c>
      <c r="F926" s="1">
        <v>46042</v>
      </c>
      <c r="G926" s="43">
        <v>46064.512099004627</v>
      </c>
      <c r="H926" t="s">
        <v>2701</v>
      </c>
      <c r="I926" t="s">
        <v>2719</v>
      </c>
      <c r="J926" t="s">
        <v>37</v>
      </c>
      <c r="L926" t="s">
        <v>2364</v>
      </c>
      <c r="M926">
        <v>364311616102</v>
      </c>
      <c r="N926" t="s">
        <v>2661</v>
      </c>
      <c r="O926" s="1">
        <v>46020</v>
      </c>
      <c r="T926" t="s">
        <v>2662</v>
      </c>
      <c r="U926" t="s">
        <v>4823</v>
      </c>
      <c r="V926">
        <v>16</v>
      </c>
      <c r="W926" t="s">
        <v>2677</v>
      </c>
      <c r="X926">
        <v>1</v>
      </c>
      <c r="Y926" t="s">
        <v>2760</v>
      </c>
      <c r="AA926">
        <v>364311616102</v>
      </c>
      <c r="AB926" t="s">
        <v>2607</v>
      </c>
      <c r="AC926">
        <v>0</v>
      </c>
      <c r="AD926">
        <v>4</v>
      </c>
      <c r="AE926">
        <v>3643116161024</v>
      </c>
      <c r="AF926" t="s">
        <v>4824</v>
      </c>
      <c r="AG926">
        <v>1</v>
      </c>
      <c r="AH926">
        <v>1</v>
      </c>
    </row>
    <row r="927" spans="1:34">
      <c r="A927">
        <v>2025</v>
      </c>
      <c r="B927" s="1">
        <v>45992</v>
      </c>
      <c r="C927" t="s">
        <v>2657</v>
      </c>
      <c r="D927" t="s">
        <v>4825</v>
      </c>
      <c r="E927" s="43">
        <v>46020.585472708335</v>
      </c>
      <c r="F927" s="1">
        <v>46020</v>
      </c>
      <c r="G927" s="43">
        <v>46043.736391759259</v>
      </c>
      <c r="H927" t="s">
        <v>2686</v>
      </c>
      <c r="I927" t="s">
        <v>2697</v>
      </c>
      <c r="J927" t="s">
        <v>37</v>
      </c>
      <c r="L927" t="s">
        <v>2351</v>
      </c>
      <c r="M927">
        <v>175133439302</v>
      </c>
      <c r="N927" t="s">
        <v>2661</v>
      </c>
      <c r="O927" s="1">
        <v>45320</v>
      </c>
      <c r="T927" t="s">
        <v>2662</v>
      </c>
      <c r="U927" t="s">
        <v>4826</v>
      </c>
      <c r="V927">
        <v>17</v>
      </c>
      <c r="W927" t="s">
        <v>2704</v>
      </c>
      <c r="X927">
        <v>1</v>
      </c>
      <c r="Y927" t="s">
        <v>2717</v>
      </c>
      <c r="AA927">
        <v>175133439302</v>
      </c>
      <c r="AB927" t="s">
        <v>920</v>
      </c>
      <c r="AC927">
        <v>0</v>
      </c>
      <c r="AD927">
        <v>1</v>
      </c>
      <c r="AE927">
        <v>1751334393021</v>
      </c>
      <c r="AF927" t="s">
        <v>4827</v>
      </c>
      <c r="AG927">
        <v>1</v>
      </c>
      <c r="AH927">
        <v>1</v>
      </c>
    </row>
    <row r="928" spans="1:34">
      <c r="A928">
        <v>2025</v>
      </c>
      <c r="B928" s="1">
        <v>45962</v>
      </c>
      <c r="C928" t="s">
        <v>2657</v>
      </c>
      <c r="D928" t="s">
        <v>4828</v>
      </c>
      <c r="E928" s="43">
        <v>45972.883574074076</v>
      </c>
      <c r="F928" s="1">
        <v>45972</v>
      </c>
      <c r="G928" s="43">
        <v>45985.562911678244</v>
      </c>
      <c r="H928" t="s">
        <v>2802</v>
      </c>
      <c r="I928" t="s">
        <v>2681</v>
      </c>
      <c r="J928" t="s">
        <v>37</v>
      </c>
      <c r="L928" t="s">
        <v>2344</v>
      </c>
      <c r="M928">
        <v>686172844702</v>
      </c>
      <c r="N928" t="s">
        <v>2661</v>
      </c>
      <c r="O928" s="1">
        <v>45884</v>
      </c>
      <c r="T928" t="s">
        <v>2662</v>
      </c>
      <c r="U928" t="s">
        <v>4829</v>
      </c>
      <c r="V928">
        <v>9</v>
      </c>
      <c r="W928" t="s">
        <v>2671</v>
      </c>
      <c r="X928">
        <v>1</v>
      </c>
      <c r="Y928" t="s">
        <v>2760</v>
      </c>
      <c r="Z928" t="s">
        <v>2684</v>
      </c>
      <c r="AA928">
        <v>560201489502</v>
      </c>
      <c r="AB928" t="s">
        <v>1032</v>
      </c>
      <c r="AC928">
        <v>0</v>
      </c>
      <c r="AD928">
        <v>46</v>
      </c>
      <c r="AE928">
        <v>56020148950246</v>
      </c>
      <c r="AF928" t="s">
        <v>4830</v>
      </c>
      <c r="AG928">
        <v>1</v>
      </c>
      <c r="AH928">
        <v>1</v>
      </c>
    </row>
    <row r="929" spans="1:34">
      <c r="A929">
        <v>2025</v>
      </c>
      <c r="B929" s="1">
        <v>45962</v>
      </c>
      <c r="C929" t="s">
        <v>2657</v>
      </c>
      <c r="D929" s="44" t="s">
        <v>4831</v>
      </c>
      <c r="E929" s="43">
        <v>45972.893468587965</v>
      </c>
      <c r="F929" s="1">
        <v>45972</v>
      </c>
      <c r="G929" s="43">
        <v>45985.56268145833</v>
      </c>
      <c r="H929" t="s">
        <v>2802</v>
      </c>
      <c r="I929" t="s">
        <v>2681</v>
      </c>
      <c r="J929" t="s">
        <v>37</v>
      </c>
      <c r="L929" t="s">
        <v>2344</v>
      </c>
      <c r="M929">
        <v>686172844702</v>
      </c>
      <c r="N929" t="s">
        <v>2661</v>
      </c>
      <c r="O929" s="1">
        <v>45884</v>
      </c>
      <c r="T929" t="s">
        <v>2662</v>
      </c>
      <c r="U929" t="s">
        <v>4832</v>
      </c>
      <c r="V929">
        <v>9</v>
      </c>
      <c r="W929" t="s">
        <v>2671</v>
      </c>
      <c r="X929">
        <v>1</v>
      </c>
      <c r="Y929" t="s">
        <v>2672</v>
      </c>
      <c r="Z929" t="s">
        <v>2684</v>
      </c>
      <c r="AA929">
        <v>560201489502</v>
      </c>
      <c r="AB929" t="s">
        <v>1032</v>
      </c>
      <c r="AC929">
        <v>0</v>
      </c>
      <c r="AD929">
        <v>46</v>
      </c>
      <c r="AE929">
        <v>56020148950246</v>
      </c>
      <c r="AF929" t="s">
        <v>4830</v>
      </c>
      <c r="AG929">
        <v>0</v>
      </c>
      <c r="AH929">
        <v>0</v>
      </c>
    </row>
    <row r="930" spans="1:34">
      <c r="A930">
        <v>2025</v>
      </c>
      <c r="B930" s="1">
        <v>45870</v>
      </c>
      <c r="C930" t="s">
        <v>2657</v>
      </c>
      <c r="D930" t="s">
        <v>4833</v>
      </c>
      <c r="E930" s="43">
        <v>45875.69975240741</v>
      </c>
      <c r="F930" s="1">
        <v>45875</v>
      </c>
      <c r="G930" s="43">
        <v>45875.722670578703</v>
      </c>
      <c r="H930" t="s">
        <v>3088</v>
      </c>
      <c r="I930" t="s">
        <v>2669</v>
      </c>
      <c r="J930" t="s">
        <v>38</v>
      </c>
      <c r="L930" t="s">
        <v>2342</v>
      </c>
      <c r="M930">
        <v>755841394202</v>
      </c>
      <c r="N930" t="s">
        <v>2702</v>
      </c>
      <c r="O930" s="1">
        <v>45411</v>
      </c>
      <c r="T930" t="s">
        <v>2662</v>
      </c>
      <c r="U930" t="s">
        <v>4834</v>
      </c>
      <c r="V930">
        <v>0</v>
      </c>
      <c r="W930" t="s">
        <v>2671</v>
      </c>
      <c r="X930">
        <v>1</v>
      </c>
      <c r="Y930" t="s">
        <v>2695</v>
      </c>
      <c r="AA930">
        <v>755841394202</v>
      </c>
      <c r="AB930" t="s">
        <v>376</v>
      </c>
      <c r="AC930">
        <v>0</v>
      </c>
      <c r="AD930">
        <v>32</v>
      </c>
      <c r="AE930">
        <v>75584139420232</v>
      </c>
      <c r="AF930" t="s">
        <v>4835</v>
      </c>
      <c r="AG930">
        <v>1</v>
      </c>
      <c r="AH930">
        <v>1</v>
      </c>
    </row>
    <row r="931" spans="1:34">
      <c r="A931">
        <v>2025</v>
      </c>
      <c r="B931" s="1">
        <v>45870</v>
      </c>
      <c r="C931" t="s">
        <v>2657</v>
      </c>
      <c r="D931" t="s">
        <v>4836</v>
      </c>
      <c r="E931" s="43">
        <v>45895.617084513891</v>
      </c>
      <c r="F931" s="1">
        <v>45895</v>
      </c>
      <c r="G931" s="43">
        <v>45895.617084513891</v>
      </c>
      <c r="H931" t="s">
        <v>3088</v>
      </c>
      <c r="I931" t="s">
        <v>2660</v>
      </c>
      <c r="J931" t="s">
        <v>38</v>
      </c>
      <c r="L931" t="s">
        <v>2342</v>
      </c>
      <c r="M931">
        <v>755841394202</v>
      </c>
      <c r="N931" t="s">
        <v>2702</v>
      </c>
      <c r="O931" s="1">
        <v>45411</v>
      </c>
      <c r="T931" t="s">
        <v>2662</v>
      </c>
      <c r="U931" t="s">
        <v>4837</v>
      </c>
      <c r="V931">
        <v>0</v>
      </c>
      <c r="W931" t="s">
        <v>2985</v>
      </c>
      <c r="X931">
        <v>1</v>
      </c>
      <c r="Y931" t="s">
        <v>2695</v>
      </c>
      <c r="AA931">
        <v>755841394202</v>
      </c>
      <c r="AB931" t="s">
        <v>376</v>
      </c>
      <c r="AC931">
        <v>0</v>
      </c>
      <c r="AD931">
        <v>35</v>
      </c>
      <c r="AE931">
        <v>75584139420235</v>
      </c>
      <c r="AF931" t="s">
        <v>4835</v>
      </c>
      <c r="AG931">
        <v>1</v>
      </c>
      <c r="AH931">
        <v>0</v>
      </c>
    </row>
    <row r="932" spans="1:34">
      <c r="A932">
        <v>2025</v>
      </c>
      <c r="B932" s="1">
        <v>45962</v>
      </c>
      <c r="C932" t="s">
        <v>2657</v>
      </c>
      <c r="D932" t="s">
        <v>4838</v>
      </c>
      <c r="E932" s="43">
        <v>45971.510911064812</v>
      </c>
      <c r="F932" s="1">
        <v>45971</v>
      </c>
      <c r="G932" s="43">
        <v>45978.709794560185</v>
      </c>
      <c r="H932" t="s">
        <v>2802</v>
      </c>
      <c r="I932" t="s">
        <v>2681</v>
      </c>
      <c r="J932" t="s">
        <v>37</v>
      </c>
      <c r="L932" t="s">
        <v>2364</v>
      </c>
      <c r="M932">
        <v>291732783002</v>
      </c>
      <c r="N932" t="s">
        <v>2661</v>
      </c>
      <c r="O932" s="1">
        <v>45593</v>
      </c>
      <c r="T932" t="s">
        <v>2662</v>
      </c>
      <c r="U932" t="s">
        <v>4839</v>
      </c>
      <c r="V932">
        <v>5</v>
      </c>
      <c r="W932" t="s">
        <v>2671</v>
      </c>
      <c r="X932">
        <v>1</v>
      </c>
      <c r="Y932" t="s">
        <v>2807</v>
      </c>
      <c r="AA932">
        <v>434163431202</v>
      </c>
      <c r="AB932" t="s">
        <v>1258</v>
      </c>
      <c r="AC932">
        <v>0</v>
      </c>
      <c r="AD932">
        <v>46</v>
      </c>
      <c r="AE932">
        <v>43416343120246</v>
      </c>
      <c r="AF932" t="s">
        <v>4840</v>
      </c>
      <c r="AG932">
        <v>1</v>
      </c>
      <c r="AH932">
        <v>1</v>
      </c>
    </row>
    <row r="933" spans="1:34">
      <c r="A933">
        <v>2026</v>
      </c>
      <c r="B933" s="1">
        <v>46082</v>
      </c>
      <c r="C933" t="s">
        <v>2657</v>
      </c>
      <c r="D933" t="s">
        <v>4841</v>
      </c>
      <c r="E933" s="43">
        <v>46084.712099085649</v>
      </c>
      <c r="F933" s="1">
        <v>46084</v>
      </c>
      <c r="G933" s="43">
        <v>46085.54559509259</v>
      </c>
      <c r="H933" t="s">
        <v>2668</v>
      </c>
      <c r="I933" t="s">
        <v>2669</v>
      </c>
      <c r="J933" t="s">
        <v>38</v>
      </c>
      <c r="L933" t="s">
        <v>2347</v>
      </c>
      <c r="M933">
        <v>655945459902</v>
      </c>
      <c r="N933" t="s">
        <v>2675</v>
      </c>
      <c r="O933" s="1">
        <v>45947</v>
      </c>
      <c r="T933" t="s">
        <v>2662</v>
      </c>
      <c r="U933" t="s">
        <v>4842</v>
      </c>
      <c r="V933">
        <v>1</v>
      </c>
      <c r="W933" t="s">
        <v>2671</v>
      </c>
      <c r="X933">
        <v>1</v>
      </c>
      <c r="Y933" t="s">
        <v>2672</v>
      </c>
      <c r="AA933">
        <v>655945459902</v>
      </c>
      <c r="AB933" t="s">
        <v>312</v>
      </c>
      <c r="AC933">
        <v>0</v>
      </c>
      <c r="AD933">
        <v>10</v>
      </c>
      <c r="AE933">
        <v>65594545990210</v>
      </c>
      <c r="AF933" t="s">
        <v>4843</v>
      </c>
      <c r="AG933">
        <v>1</v>
      </c>
      <c r="AH933">
        <v>1</v>
      </c>
    </row>
    <row r="934" spans="1:34">
      <c r="A934">
        <v>2026</v>
      </c>
      <c r="B934" s="1">
        <v>46082</v>
      </c>
      <c r="C934" t="s">
        <v>2657</v>
      </c>
      <c r="D934" s="44" t="s">
        <v>4844</v>
      </c>
      <c r="E934" s="43">
        <v>46091.608903483793</v>
      </c>
      <c r="F934" s="1">
        <v>46091</v>
      </c>
      <c r="G934" s="43">
        <v>46094.575256550925</v>
      </c>
      <c r="H934" t="s">
        <v>2668</v>
      </c>
      <c r="I934" t="s">
        <v>2681</v>
      </c>
      <c r="J934" t="s">
        <v>38</v>
      </c>
      <c r="L934" t="s">
        <v>2347</v>
      </c>
      <c r="M934">
        <v>655945459902</v>
      </c>
      <c r="N934" t="s">
        <v>2675</v>
      </c>
      <c r="O934" s="1">
        <v>45947</v>
      </c>
      <c r="T934" t="s">
        <v>2662</v>
      </c>
      <c r="U934" t="s">
        <v>4845</v>
      </c>
      <c r="V934">
        <v>3</v>
      </c>
      <c r="W934" t="s">
        <v>2677</v>
      </c>
      <c r="X934">
        <v>1</v>
      </c>
      <c r="Y934" t="s">
        <v>2760</v>
      </c>
      <c r="AA934">
        <v>655945459902</v>
      </c>
      <c r="AB934" t="s">
        <v>312</v>
      </c>
      <c r="AC934">
        <v>1</v>
      </c>
      <c r="AD934">
        <v>11</v>
      </c>
      <c r="AE934">
        <v>65594545990211</v>
      </c>
      <c r="AF934" t="s">
        <v>4843</v>
      </c>
      <c r="AG934">
        <v>1</v>
      </c>
      <c r="AH934">
        <v>0</v>
      </c>
    </row>
    <row r="935" spans="1:34">
      <c r="A935">
        <v>2026</v>
      </c>
      <c r="B935" s="1">
        <v>46082</v>
      </c>
      <c r="C935" t="s">
        <v>2657</v>
      </c>
      <c r="D935" t="s">
        <v>4846</v>
      </c>
      <c r="E935" s="43">
        <v>46084.908860057869</v>
      </c>
      <c r="F935" s="1">
        <v>46084</v>
      </c>
      <c r="G935" s="43">
        <v>46090.83130766204</v>
      </c>
      <c r="H935" t="s">
        <v>2668</v>
      </c>
      <c r="I935" t="s">
        <v>2669</v>
      </c>
      <c r="J935" t="s">
        <v>37</v>
      </c>
      <c r="L935" t="s">
        <v>2344</v>
      </c>
      <c r="M935">
        <v>996604083802</v>
      </c>
      <c r="N935" t="s">
        <v>2661</v>
      </c>
      <c r="O935" s="1">
        <v>45680</v>
      </c>
      <c r="T935" t="s">
        <v>2662</v>
      </c>
      <c r="U935" t="s">
        <v>4847</v>
      </c>
      <c r="V935">
        <v>4</v>
      </c>
      <c r="W935" t="s">
        <v>2677</v>
      </c>
      <c r="X935">
        <v>1</v>
      </c>
      <c r="Y935" t="s">
        <v>2760</v>
      </c>
      <c r="AA935">
        <v>779493596402</v>
      </c>
      <c r="AB935" t="s">
        <v>512</v>
      </c>
      <c r="AC935">
        <v>1</v>
      </c>
      <c r="AD935">
        <v>10</v>
      </c>
      <c r="AE935">
        <v>77949359640210</v>
      </c>
      <c r="AF935" t="s">
        <v>4848</v>
      </c>
      <c r="AG935">
        <v>1</v>
      </c>
      <c r="AH935">
        <v>1</v>
      </c>
    </row>
    <row r="936" spans="1:34">
      <c r="A936">
        <v>2026</v>
      </c>
      <c r="B936" s="1">
        <v>46054</v>
      </c>
      <c r="C936" t="s">
        <v>2657</v>
      </c>
      <c r="D936" t="s">
        <v>4849</v>
      </c>
      <c r="E936" s="43">
        <v>46062.577702465278</v>
      </c>
      <c r="F936" s="1">
        <v>46062</v>
      </c>
      <c r="G936" s="43">
        <v>46066.64720540509</v>
      </c>
      <c r="H936" t="s">
        <v>2725</v>
      </c>
      <c r="I936" t="s">
        <v>2681</v>
      </c>
      <c r="J936" t="s">
        <v>36</v>
      </c>
      <c r="L936" t="s">
        <v>2355</v>
      </c>
      <c r="M936">
        <v>530870446802</v>
      </c>
      <c r="N936" t="s">
        <v>2702</v>
      </c>
      <c r="O936" s="1">
        <v>45661</v>
      </c>
      <c r="T936" t="s">
        <v>2662</v>
      </c>
      <c r="U936" t="s">
        <v>4850</v>
      </c>
      <c r="V936">
        <v>4</v>
      </c>
      <c r="W936" t="s">
        <v>2671</v>
      </c>
      <c r="X936">
        <v>1</v>
      </c>
      <c r="Y936" t="s">
        <v>2672</v>
      </c>
      <c r="AA936">
        <v>530870446802</v>
      </c>
      <c r="AB936" t="s">
        <v>1288</v>
      </c>
      <c r="AC936">
        <v>0</v>
      </c>
      <c r="AD936">
        <v>7</v>
      </c>
      <c r="AE936">
        <v>5308704468027</v>
      </c>
      <c r="AF936" t="s">
        <v>4851</v>
      </c>
      <c r="AG936">
        <v>1</v>
      </c>
      <c r="AH936">
        <v>1</v>
      </c>
    </row>
    <row r="937" spans="1:34">
      <c r="A937">
        <v>2026</v>
      </c>
      <c r="B937" s="1">
        <v>46054</v>
      </c>
      <c r="C937" t="s">
        <v>2657</v>
      </c>
      <c r="D937" s="44" t="s">
        <v>4852</v>
      </c>
      <c r="E937" s="43">
        <v>46065.492402905089</v>
      </c>
      <c r="F937" s="1">
        <v>46065</v>
      </c>
      <c r="G937" s="43">
        <v>46073.865342384262</v>
      </c>
      <c r="H937" t="s">
        <v>2725</v>
      </c>
      <c r="I937" t="s">
        <v>2681</v>
      </c>
      <c r="J937" t="s">
        <v>36</v>
      </c>
      <c r="L937" t="s">
        <v>2355</v>
      </c>
      <c r="M937">
        <v>530870446802</v>
      </c>
      <c r="N937" t="s">
        <v>2702</v>
      </c>
      <c r="O937" s="1">
        <v>45661</v>
      </c>
      <c r="T937" t="s">
        <v>2662</v>
      </c>
      <c r="U937" t="s">
        <v>4853</v>
      </c>
      <c r="V937">
        <v>6</v>
      </c>
      <c r="X937">
        <v>1</v>
      </c>
      <c r="Y937" t="s">
        <v>2721</v>
      </c>
      <c r="AA937">
        <v>530870446802</v>
      </c>
      <c r="AB937" t="s">
        <v>1288</v>
      </c>
      <c r="AC937">
        <v>1</v>
      </c>
      <c r="AD937">
        <v>7</v>
      </c>
      <c r="AE937">
        <v>5308704468027</v>
      </c>
      <c r="AF937" t="s">
        <v>4851</v>
      </c>
      <c r="AG937">
        <v>0</v>
      </c>
      <c r="AH937">
        <v>0</v>
      </c>
    </row>
    <row r="938" spans="1:34">
      <c r="A938">
        <v>2025</v>
      </c>
      <c r="B938" s="1">
        <v>45931</v>
      </c>
      <c r="C938" t="s">
        <v>2657</v>
      </c>
      <c r="D938" t="s">
        <v>4854</v>
      </c>
      <c r="E938" s="43">
        <v>45939.761982442127</v>
      </c>
      <c r="F938" s="1">
        <v>45939</v>
      </c>
      <c r="G938" s="43">
        <v>45946.828986550929</v>
      </c>
      <c r="H938" t="s">
        <v>2659</v>
      </c>
      <c r="I938" t="s">
        <v>2681</v>
      </c>
      <c r="J938" t="s">
        <v>38</v>
      </c>
      <c r="L938" t="s">
        <v>2381</v>
      </c>
      <c r="M938">
        <v>24558652202</v>
      </c>
      <c r="N938" t="s">
        <v>2702</v>
      </c>
      <c r="O938" s="1">
        <v>45669</v>
      </c>
      <c r="T938" t="s">
        <v>2662</v>
      </c>
      <c r="U938" t="s">
        <v>4855</v>
      </c>
      <c r="V938">
        <v>5</v>
      </c>
      <c r="X938">
        <v>1</v>
      </c>
      <c r="Y938" t="s">
        <v>2710</v>
      </c>
      <c r="AA938">
        <v>24558652202</v>
      </c>
      <c r="AB938" t="s">
        <v>102</v>
      </c>
      <c r="AC938">
        <v>0</v>
      </c>
      <c r="AD938">
        <v>41</v>
      </c>
      <c r="AE938">
        <v>2455865220241</v>
      </c>
      <c r="AF938" t="s">
        <v>4856</v>
      </c>
      <c r="AG938">
        <v>1</v>
      </c>
      <c r="AH938">
        <v>1</v>
      </c>
    </row>
    <row r="939" spans="1:34">
      <c r="A939">
        <v>2025</v>
      </c>
      <c r="B939" s="1">
        <v>45931</v>
      </c>
      <c r="C939" t="s">
        <v>2657</v>
      </c>
      <c r="D939" t="s">
        <v>4857</v>
      </c>
      <c r="E939" s="43">
        <v>45944.801088113425</v>
      </c>
      <c r="F939" s="1">
        <v>45944</v>
      </c>
      <c r="G939" s="43">
        <v>45947.841705937499</v>
      </c>
      <c r="H939" t="s">
        <v>2659</v>
      </c>
      <c r="I939" t="s">
        <v>2681</v>
      </c>
      <c r="J939" t="s">
        <v>100</v>
      </c>
      <c r="L939" t="s">
        <v>2381</v>
      </c>
      <c r="M939">
        <v>24558652202</v>
      </c>
      <c r="N939" t="s">
        <v>2702</v>
      </c>
      <c r="O939" s="1">
        <v>45669</v>
      </c>
      <c r="T939" t="s">
        <v>2662</v>
      </c>
      <c r="U939" t="s">
        <v>4858</v>
      </c>
      <c r="V939">
        <v>3</v>
      </c>
      <c r="W939" t="s">
        <v>2704</v>
      </c>
      <c r="X939">
        <v>1</v>
      </c>
      <c r="Y939" t="s">
        <v>2699</v>
      </c>
      <c r="AA939">
        <v>24558652202</v>
      </c>
      <c r="AB939" t="s">
        <v>102</v>
      </c>
      <c r="AC939">
        <v>0</v>
      </c>
      <c r="AD939">
        <v>42</v>
      </c>
      <c r="AE939">
        <v>2455865220242</v>
      </c>
      <c r="AF939" t="s">
        <v>4856</v>
      </c>
      <c r="AG939">
        <v>1</v>
      </c>
      <c r="AH939">
        <v>0</v>
      </c>
    </row>
    <row r="940" spans="1:34">
      <c r="A940">
        <v>2025</v>
      </c>
      <c r="B940" s="1">
        <v>45931</v>
      </c>
      <c r="C940" t="s">
        <v>2657</v>
      </c>
      <c r="D940" t="s">
        <v>4859</v>
      </c>
      <c r="E940" s="43">
        <v>45946.71610140046</v>
      </c>
      <c r="F940" s="1">
        <v>45946</v>
      </c>
      <c r="G940" s="43">
        <v>45957.568622488427</v>
      </c>
      <c r="H940" t="s">
        <v>2659</v>
      </c>
      <c r="I940" t="s">
        <v>2719</v>
      </c>
      <c r="J940" t="s">
        <v>100</v>
      </c>
      <c r="L940" t="s">
        <v>2381</v>
      </c>
      <c r="M940">
        <v>24558652202</v>
      </c>
      <c r="N940" t="s">
        <v>2702</v>
      </c>
      <c r="O940" s="1">
        <v>45669</v>
      </c>
      <c r="T940" t="s">
        <v>2662</v>
      </c>
      <c r="U940" t="s">
        <v>4860</v>
      </c>
      <c r="V940">
        <v>7</v>
      </c>
      <c r="W940" t="s">
        <v>2704</v>
      </c>
      <c r="X940">
        <v>1</v>
      </c>
      <c r="Y940" t="s">
        <v>2699</v>
      </c>
      <c r="AA940">
        <v>24558652202</v>
      </c>
      <c r="AB940" t="s">
        <v>102</v>
      </c>
      <c r="AC940">
        <v>0</v>
      </c>
      <c r="AD940">
        <v>42</v>
      </c>
      <c r="AE940">
        <v>2455865220242</v>
      </c>
      <c r="AF940" t="s">
        <v>4856</v>
      </c>
      <c r="AG940">
        <v>0</v>
      </c>
      <c r="AH940">
        <v>0</v>
      </c>
    </row>
    <row r="941" spans="1:34">
      <c r="A941">
        <v>2025</v>
      </c>
      <c r="B941" s="1">
        <v>45931</v>
      </c>
      <c r="C941" t="s">
        <v>2657</v>
      </c>
      <c r="D941" t="s">
        <v>4861</v>
      </c>
      <c r="E941" s="43">
        <v>45951.810641481483</v>
      </c>
      <c r="F941" s="1">
        <v>45951</v>
      </c>
      <c r="G941" s="43">
        <v>45951.810641481483</v>
      </c>
      <c r="H941" t="s">
        <v>2659</v>
      </c>
      <c r="I941" t="s">
        <v>2719</v>
      </c>
      <c r="J941" t="s">
        <v>100</v>
      </c>
      <c r="L941" t="s">
        <v>2381</v>
      </c>
      <c r="M941">
        <v>24558652202</v>
      </c>
      <c r="N941" t="s">
        <v>2702</v>
      </c>
      <c r="O941" s="1">
        <v>45669</v>
      </c>
      <c r="T941" t="s">
        <v>2662</v>
      </c>
      <c r="U941" t="s">
        <v>4862</v>
      </c>
      <c r="V941">
        <v>0</v>
      </c>
      <c r="W941" t="s">
        <v>2664</v>
      </c>
      <c r="X941">
        <v>1</v>
      </c>
      <c r="Y941" t="s">
        <v>2699</v>
      </c>
      <c r="AA941">
        <v>24558652202</v>
      </c>
      <c r="AB941" t="s">
        <v>102</v>
      </c>
      <c r="AC941">
        <v>0</v>
      </c>
      <c r="AD941">
        <v>43</v>
      </c>
      <c r="AE941">
        <v>2455865220243</v>
      </c>
      <c r="AF941" t="s">
        <v>4856</v>
      </c>
      <c r="AG941">
        <v>1</v>
      </c>
      <c r="AH941">
        <v>0</v>
      </c>
    </row>
    <row r="942" spans="1:34">
      <c r="A942">
        <v>2025</v>
      </c>
      <c r="B942" s="1">
        <v>45931</v>
      </c>
      <c r="C942" t="s">
        <v>2657</v>
      </c>
      <c r="D942" t="s">
        <v>4863</v>
      </c>
      <c r="E942" s="43">
        <v>45958.813555300927</v>
      </c>
      <c r="F942" s="1">
        <v>45958</v>
      </c>
      <c r="G942" s="43">
        <v>45958.813555300927</v>
      </c>
      <c r="H942" t="s">
        <v>2659</v>
      </c>
      <c r="I942" t="s">
        <v>2660</v>
      </c>
      <c r="J942" t="s">
        <v>100</v>
      </c>
      <c r="L942" t="s">
        <v>2381</v>
      </c>
      <c r="M942">
        <v>24558652202</v>
      </c>
      <c r="N942" t="s">
        <v>2702</v>
      </c>
      <c r="O942" s="1">
        <v>45669</v>
      </c>
      <c r="T942" t="s">
        <v>2662</v>
      </c>
      <c r="U942" t="s">
        <v>4864</v>
      </c>
      <c r="V942">
        <v>0</v>
      </c>
      <c r="W942" t="s">
        <v>2704</v>
      </c>
      <c r="X942">
        <v>1</v>
      </c>
      <c r="Y942" t="s">
        <v>2760</v>
      </c>
      <c r="AA942">
        <v>24558652202</v>
      </c>
      <c r="AB942" t="s">
        <v>102</v>
      </c>
      <c r="AC942">
        <v>0</v>
      </c>
      <c r="AD942">
        <v>44</v>
      </c>
      <c r="AE942">
        <v>2455865220244</v>
      </c>
      <c r="AF942" t="s">
        <v>4856</v>
      </c>
      <c r="AG942">
        <v>1</v>
      </c>
      <c r="AH942">
        <v>0</v>
      </c>
    </row>
    <row r="943" spans="1:34">
      <c r="A943">
        <v>2025</v>
      </c>
      <c r="B943" s="1">
        <v>45931</v>
      </c>
      <c r="C943" t="s">
        <v>2657</v>
      </c>
      <c r="D943" t="s">
        <v>4865</v>
      </c>
      <c r="E943" s="43">
        <v>45952.882434108797</v>
      </c>
      <c r="F943" s="1">
        <v>45952</v>
      </c>
      <c r="G943" s="43">
        <v>45978.584327777775</v>
      </c>
      <c r="H943" t="s">
        <v>2659</v>
      </c>
      <c r="I943" t="s">
        <v>2660</v>
      </c>
      <c r="J943" t="s">
        <v>100</v>
      </c>
      <c r="L943" t="s">
        <v>2381</v>
      </c>
      <c r="M943">
        <v>24558652202</v>
      </c>
      <c r="N943" t="s">
        <v>2702</v>
      </c>
      <c r="O943" s="1">
        <v>45669</v>
      </c>
      <c r="T943" t="s">
        <v>2662</v>
      </c>
      <c r="U943" t="s">
        <v>4866</v>
      </c>
      <c r="V943">
        <v>18</v>
      </c>
      <c r="W943" t="s">
        <v>2704</v>
      </c>
      <c r="X943">
        <v>1</v>
      </c>
      <c r="Y943" t="s">
        <v>2699</v>
      </c>
      <c r="Z943" t="s">
        <v>2684</v>
      </c>
      <c r="AA943">
        <v>24558652202</v>
      </c>
      <c r="AB943" t="s">
        <v>102</v>
      </c>
      <c r="AC943">
        <v>0</v>
      </c>
      <c r="AD943">
        <v>43</v>
      </c>
      <c r="AE943">
        <v>2455865220243</v>
      </c>
      <c r="AF943" t="s">
        <v>4856</v>
      </c>
      <c r="AG943">
        <v>0</v>
      </c>
      <c r="AH943">
        <v>0</v>
      </c>
    </row>
    <row r="944" spans="1:34">
      <c r="A944">
        <v>2025</v>
      </c>
      <c r="B944" s="1">
        <v>45931</v>
      </c>
      <c r="C944" t="s">
        <v>2657</v>
      </c>
      <c r="D944" t="s">
        <v>4867</v>
      </c>
      <c r="E944" s="43">
        <v>45954.660029340281</v>
      </c>
      <c r="F944" s="1">
        <v>45954</v>
      </c>
      <c r="G944" s="43">
        <v>45961.611129039353</v>
      </c>
      <c r="H944" t="s">
        <v>2659</v>
      </c>
      <c r="I944" t="s">
        <v>2660</v>
      </c>
      <c r="J944" t="s">
        <v>100</v>
      </c>
      <c r="L944" t="s">
        <v>2381</v>
      </c>
      <c r="M944">
        <v>939067158802</v>
      </c>
      <c r="N944" t="s">
        <v>2702</v>
      </c>
      <c r="O944" s="1">
        <v>45669</v>
      </c>
      <c r="T944" t="s">
        <v>2662</v>
      </c>
      <c r="U944" t="s">
        <v>4868</v>
      </c>
      <c r="V944">
        <v>5</v>
      </c>
      <c r="W944" t="s">
        <v>2664</v>
      </c>
      <c r="X944">
        <v>1</v>
      </c>
      <c r="Y944" t="s">
        <v>2665</v>
      </c>
      <c r="AA944">
        <v>24558652202</v>
      </c>
      <c r="AB944" t="s">
        <v>102</v>
      </c>
      <c r="AC944">
        <v>0</v>
      </c>
      <c r="AD944">
        <v>43</v>
      </c>
      <c r="AE944">
        <v>2455865220243</v>
      </c>
      <c r="AF944" t="s">
        <v>4856</v>
      </c>
      <c r="AG944">
        <v>0</v>
      </c>
      <c r="AH944">
        <v>0</v>
      </c>
    </row>
    <row r="945" spans="1:34">
      <c r="A945">
        <v>2025</v>
      </c>
      <c r="B945" s="1">
        <v>45931</v>
      </c>
      <c r="C945" t="s">
        <v>2657</v>
      </c>
      <c r="D945" s="44" t="s">
        <v>4869</v>
      </c>
      <c r="E945" s="43">
        <v>45954.636264016204</v>
      </c>
      <c r="F945" s="1">
        <v>45954</v>
      </c>
      <c r="G945" s="43">
        <v>45957.874016574075</v>
      </c>
      <c r="H945" t="s">
        <v>2659</v>
      </c>
      <c r="I945" t="s">
        <v>2660</v>
      </c>
      <c r="J945" t="s">
        <v>100</v>
      </c>
      <c r="L945" t="s">
        <v>2381</v>
      </c>
      <c r="M945">
        <v>939067158802</v>
      </c>
      <c r="N945" t="s">
        <v>2702</v>
      </c>
      <c r="O945" s="1">
        <v>45669</v>
      </c>
      <c r="T945" t="s">
        <v>2662</v>
      </c>
      <c r="U945" t="s">
        <v>4870</v>
      </c>
      <c r="V945">
        <v>1</v>
      </c>
      <c r="W945" t="s">
        <v>2704</v>
      </c>
      <c r="X945">
        <v>1</v>
      </c>
      <c r="Y945" t="s">
        <v>2717</v>
      </c>
      <c r="AA945">
        <v>24558652202</v>
      </c>
      <c r="AB945" t="s">
        <v>102</v>
      </c>
      <c r="AC945">
        <v>0</v>
      </c>
      <c r="AD945">
        <v>43</v>
      </c>
      <c r="AE945">
        <v>2455865220243</v>
      </c>
      <c r="AF945" t="s">
        <v>4856</v>
      </c>
      <c r="AG945">
        <v>0</v>
      </c>
      <c r="AH945">
        <v>0</v>
      </c>
    </row>
    <row r="946" spans="1:34">
      <c r="A946">
        <v>2025</v>
      </c>
      <c r="B946" s="1">
        <v>45931</v>
      </c>
      <c r="C946" t="s">
        <v>2657</v>
      </c>
      <c r="D946" t="s">
        <v>4871</v>
      </c>
      <c r="E946" s="43">
        <v>45960.794613460646</v>
      </c>
      <c r="F946" s="1">
        <v>45960</v>
      </c>
      <c r="G946" s="43">
        <v>45985.575197314814</v>
      </c>
      <c r="H946" t="s">
        <v>2659</v>
      </c>
      <c r="I946" t="s">
        <v>2697</v>
      </c>
      <c r="J946" t="s">
        <v>100</v>
      </c>
      <c r="L946" t="s">
        <v>2381</v>
      </c>
      <c r="M946">
        <v>939067158802</v>
      </c>
      <c r="N946" t="s">
        <v>2702</v>
      </c>
      <c r="O946" s="1">
        <v>45669</v>
      </c>
      <c r="T946" t="s">
        <v>2662</v>
      </c>
      <c r="U946" t="s">
        <v>4872</v>
      </c>
      <c r="V946">
        <v>17</v>
      </c>
      <c r="W946" t="s">
        <v>2704</v>
      </c>
      <c r="X946">
        <v>1</v>
      </c>
      <c r="Y946" t="s">
        <v>2710</v>
      </c>
      <c r="AA946">
        <v>24558652202</v>
      </c>
      <c r="AB946" t="s">
        <v>102</v>
      </c>
      <c r="AC946">
        <v>0</v>
      </c>
      <c r="AD946">
        <v>44</v>
      </c>
      <c r="AE946">
        <v>2455865220244</v>
      </c>
      <c r="AF946" t="s">
        <v>4856</v>
      </c>
      <c r="AG946">
        <v>0</v>
      </c>
      <c r="AH946">
        <v>0</v>
      </c>
    </row>
    <row r="947" spans="1:34">
      <c r="A947">
        <v>2025</v>
      </c>
      <c r="B947" s="1">
        <v>45931</v>
      </c>
      <c r="C947" t="s">
        <v>2657</v>
      </c>
      <c r="D947" t="s">
        <v>4873</v>
      </c>
      <c r="E947" s="43">
        <v>45931.70370928241</v>
      </c>
      <c r="F947" s="1">
        <v>45931</v>
      </c>
      <c r="G947" s="43">
        <v>45932.785315173613</v>
      </c>
      <c r="H947" t="s">
        <v>2659</v>
      </c>
      <c r="I947" t="s">
        <v>2669</v>
      </c>
      <c r="J947" t="s">
        <v>2735</v>
      </c>
      <c r="L947" t="s">
        <v>2362</v>
      </c>
      <c r="M947">
        <v>361885515402</v>
      </c>
      <c r="N947" t="s">
        <v>2746</v>
      </c>
      <c r="O947" s="1">
        <v>45669</v>
      </c>
      <c r="T947" t="s">
        <v>2662</v>
      </c>
      <c r="U947" t="s">
        <v>4874</v>
      </c>
      <c r="V947">
        <v>1</v>
      </c>
      <c r="W947" t="s">
        <v>2677</v>
      </c>
      <c r="X947">
        <v>1</v>
      </c>
      <c r="Y947" t="s">
        <v>2807</v>
      </c>
      <c r="AA947">
        <v>361885515402</v>
      </c>
      <c r="AB947" t="s">
        <v>1603</v>
      </c>
      <c r="AC947">
        <v>0</v>
      </c>
      <c r="AD947">
        <v>40</v>
      </c>
      <c r="AE947">
        <v>36188551540240</v>
      </c>
      <c r="AF947" t="s">
        <v>4875</v>
      </c>
      <c r="AG947">
        <v>1</v>
      </c>
      <c r="AH947">
        <v>1</v>
      </c>
    </row>
    <row r="948" spans="1:34">
      <c r="A948">
        <v>2025</v>
      </c>
      <c r="B948" s="1">
        <v>45931</v>
      </c>
      <c r="C948" t="s">
        <v>2657</v>
      </c>
      <c r="D948" t="s">
        <v>4876</v>
      </c>
      <c r="E948" s="43">
        <v>45950.774672129628</v>
      </c>
      <c r="F948" s="1">
        <v>45950</v>
      </c>
      <c r="G948" s="43">
        <v>45951.69700803241</v>
      </c>
      <c r="H948" t="s">
        <v>2659</v>
      </c>
      <c r="I948" t="s">
        <v>2719</v>
      </c>
      <c r="J948" t="s">
        <v>2735</v>
      </c>
      <c r="L948" t="s">
        <v>2362</v>
      </c>
      <c r="M948">
        <v>361885515402</v>
      </c>
      <c r="N948" t="s">
        <v>2746</v>
      </c>
      <c r="O948" s="1">
        <v>45669</v>
      </c>
      <c r="T948" t="s">
        <v>2662</v>
      </c>
      <c r="U948" t="s">
        <v>4877</v>
      </c>
      <c r="V948">
        <v>1</v>
      </c>
      <c r="W948" t="s">
        <v>2743</v>
      </c>
      <c r="X948">
        <v>1</v>
      </c>
      <c r="Y948" t="s">
        <v>2688</v>
      </c>
      <c r="AA948">
        <v>361885515402</v>
      </c>
      <c r="AB948" t="s">
        <v>1603</v>
      </c>
      <c r="AC948">
        <v>0</v>
      </c>
      <c r="AD948">
        <v>43</v>
      </c>
      <c r="AE948">
        <v>36188551540243</v>
      </c>
      <c r="AF948" t="s">
        <v>4875</v>
      </c>
      <c r="AG948">
        <v>1</v>
      </c>
      <c r="AH948">
        <v>0</v>
      </c>
    </row>
    <row r="949" spans="1:34">
      <c r="A949">
        <v>2025</v>
      </c>
      <c r="B949" s="1">
        <v>45931</v>
      </c>
      <c r="C949" t="s">
        <v>2657</v>
      </c>
      <c r="D949" t="s">
        <v>4878</v>
      </c>
      <c r="E949" s="43">
        <v>45954.516309537037</v>
      </c>
      <c r="F949" s="1">
        <v>45954</v>
      </c>
      <c r="G949" s="43">
        <v>45958.483276597224</v>
      </c>
      <c r="H949" t="s">
        <v>2659</v>
      </c>
      <c r="I949" t="s">
        <v>2660</v>
      </c>
      <c r="J949" t="s">
        <v>2735</v>
      </c>
      <c r="L949" t="s">
        <v>2362</v>
      </c>
      <c r="M949">
        <v>361885515402</v>
      </c>
      <c r="N949" t="s">
        <v>2746</v>
      </c>
      <c r="O949" s="1">
        <v>45669</v>
      </c>
      <c r="T949" t="s">
        <v>2662</v>
      </c>
      <c r="U949" t="s">
        <v>2846</v>
      </c>
      <c r="V949">
        <v>2</v>
      </c>
      <c r="W949" t="s">
        <v>2743</v>
      </c>
      <c r="X949">
        <v>1</v>
      </c>
      <c r="Y949" t="s">
        <v>2717</v>
      </c>
      <c r="AA949">
        <v>361885515402</v>
      </c>
      <c r="AB949" t="s">
        <v>1603</v>
      </c>
      <c r="AC949">
        <v>0</v>
      </c>
      <c r="AD949">
        <v>43</v>
      </c>
      <c r="AE949">
        <v>36188551540243</v>
      </c>
      <c r="AF949" t="s">
        <v>4875</v>
      </c>
      <c r="AG949">
        <v>0</v>
      </c>
      <c r="AH949">
        <v>0</v>
      </c>
    </row>
    <row r="950" spans="1:34">
      <c r="A950">
        <v>2025</v>
      </c>
      <c r="B950" s="1">
        <v>45931</v>
      </c>
      <c r="C950" t="s">
        <v>2657</v>
      </c>
      <c r="D950" t="s">
        <v>4879</v>
      </c>
      <c r="E950" s="43">
        <v>45958.848374525463</v>
      </c>
      <c r="F950" s="1">
        <v>45958</v>
      </c>
      <c r="G950" s="43">
        <v>45961.651215509257</v>
      </c>
      <c r="H950" t="s">
        <v>2659</v>
      </c>
      <c r="I950" t="s">
        <v>2660</v>
      </c>
      <c r="J950" t="s">
        <v>2735</v>
      </c>
      <c r="L950" t="s">
        <v>2362</v>
      </c>
      <c r="M950">
        <v>361885515402</v>
      </c>
      <c r="N950" t="s">
        <v>2746</v>
      </c>
      <c r="O950" s="1">
        <v>45669</v>
      </c>
      <c r="T950" t="s">
        <v>2662</v>
      </c>
      <c r="U950" t="s">
        <v>4880</v>
      </c>
      <c r="V950">
        <v>3</v>
      </c>
      <c r="W950" t="s">
        <v>2677</v>
      </c>
      <c r="X950">
        <v>1</v>
      </c>
      <c r="Y950" t="s">
        <v>2807</v>
      </c>
      <c r="AA950">
        <v>361885515402</v>
      </c>
      <c r="AB950" t="s">
        <v>1603</v>
      </c>
      <c r="AC950">
        <v>0</v>
      </c>
      <c r="AD950">
        <v>44</v>
      </c>
      <c r="AE950">
        <v>36188551540244</v>
      </c>
      <c r="AF950" t="s">
        <v>4875</v>
      </c>
      <c r="AG950">
        <v>1</v>
      </c>
      <c r="AH950">
        <v>0</v>
      </c>
    </row>
    <row r="951" spans="1:34">
      <c r="A951">
        <v>2025</v>
      </c>
      <c r="B951" s="1">
        <v>45931</v>
      </c>
      <c r="C951" t="s">
        <v>2657</v>
      </c>
      <c r="D951" t="s">
        <v>4881</v>
      </c>
      <c r="E951" s="43">
        <v>45959.553400127312</v>
      </c>
      <c r="F951" s="1">
        <v>45959</v>
      </c>
      <c r="G951" s="43">
        <v>45959.553400127312</v>
      </c>
      <c r="H951" t="s">
        <v>2659</v>
      </c>
      <c r="I951" t="s">
        <v>2697</v>
      </c>
      <c r="J951" t="s">
        <v>2735</v>
      </c>
      <c r="L951" t="s">
        <v>2362</v>
      </c>
      <c r="M951">
        <v>361885515402</v>
      </c>
      <c r="N951" t="s">
        <v>2746</v>
      </c>
      <c r="O951" s="1">
        <v>45669</v>
      </c>
      <c r="T951" t="s">
        <v>2662</v>
      </c>
      <c r="U951" t="s">
        <v>4882</v>
      </c>
      <c r="V951">
        <v>0</v>
      </c>
      <c r="W951" t="s">
        <v>2677</v>
      </c>
      <c r="X951">
        <v>1</v>
      </c>
      <c r="Y951" t="s">
        <v>3237</v>
      </c>
      <c r="Z951" t="s">
        <v>2684</v>
      </c>
      <c r="AA951">
        <v>361885515402</v>
      </c>
      <c r="AB951" t="s">
        <v>1603</v>
      </c>
      <c r="AC951">
        <v>0</v>
      </c>
      <c r="AD951">
        <v>44</v>
      </c>
      <c r="AE951">
        <v>36188551540244</v>
      </c>
      <c r="AF951" t="s">
        <v>4875</v>
      </c>
      <c r="AG951">
        <v>0</v>
      </c>
      <c r="AH951">
        <v>0</v>
      </c>
    </row>
    <row r="952" spans="1:34">
      <c r="A952">
        <v>2025</v>
      </c>
      <c r="B952" s="1">
        <v>45962</v>
      </c>
      <c r="C952" t="s">
        <v>2657</v>
      </c>
      <c r="D952" s="44" t="s">
        <v>4883</v>
      </c>
      <c r="E952" s="43">
        <v>45964.603070798614</v>
      </c>
      <c r="F952" s="1">
        <v>45964</v>
      </c>
      <c r="G952" s="43">
        <v>45964.603070798614</v>
      </c>
      <c r="H952" t="s">
        <v>2802</v>
      </c>
      <c r="I952" t="s">
        <v>2669</v>
      </c>
      <c r="J952" t="s">
        <v>37</v>
      </c>
      <c r="L952" t="s">
        <v>2344</v>
      </c>
      <c r="M952">
        <v>963780507202</v>
      </c>
      <c r="N952" t="s">
        <v>2661</v>
      </c>
      <c r="O952" s="1">
        <v>45621</v>
      </c>
      <c r="T952" t="s">
        <v>2662</v>
      </c>
      <c r="U952" t="s">
        <v>4884</v>
      </c>
      <c r="V952">
        <v>0</v>
      </c>
      <c r="W952" t="s">
        <v>2664</v>
      </c>
      <c r="X952">
        <v>1</v>
      </c>
      <c r="Y952" t="s">
        <v>2695</v>
      </c>
      <c r="AA952">
        <v>101837981602</v>
      </c>
      <c r="AB952" t="s">
        <v>746</v>
      </c>
      <c r="AC952">
        <v>0</v>
      </c>
      <c r="AD952">
        <v>45</v>
      </c>
      <c r="AE952">
        <v>10183798160245</v>
      </c>
      <c r="AF952" t="s">
        <v>4885</v>
      </c>
      <c r="AG952">
        <v>1</v>
      </c>
      <c r="AH952">
        <v>1</v>
      </c>
    </row>
    <row r="953" spans="1:34">
      <c r="A953">
        <v>2025</v>
      </c>
      <c r="B953" s="1">
        <v>45962</v>
      </c>
      <c r="C953" t="s">
        <v>2657</v>
      </c>
      <c r="D953" t="s">
        <v>4886</v>
      </c>
      <c r="E953" s="43">
        <v>45973.673351527781</v>
      </c>
      <c r="F953" s="1">
        <v>45973</v>
      </c>
      <c r="G953" s="43">
        <v>45985.68713726852</v>
      </c>
      <c r="H953" t="s">
        <v>2802</v>
      </c>
      <c r="I953" t="s">
        <v>2681</v>
      </c>
      <c r="J953" t="s">
        <v>37</v>
      </c>
      <c r="L953" t="s">
        <v>2344</v>
      </c>
      <c r="M953">
        <v>963780507202</v>
      </c>
      <c r="N953" t="s">
        <v>2661</v>
      </c>
      <c r="O953" s="1">
        <v>45621</v>
      </c>
      <c r="T953" t="s">
        <v>2662</v>
      </c>
      <c r="U953" t="s">
        <v>4887</v>
      </c>
      <c r="V953">
        <v>8</v>
      </c>
      <c r="W953" t="s">
        <v>2671</v>
      </c>
      <c r="X953">
        <v>1</v>
      </c>
      <c r="Y953" t="s">
        <v>2760</v>
      </c>
      <c r="AA953">
        <v>101837981602</v>
      </c>
      <c r="AB953" t="s">
        <v>746</v>
      </c>
      <c r="AC953">
        <v>0</v>
      </c>
      <c r="AD953">
        <v>46</v>
      </c>
      <c r="AE953">
        <v>10183798160246</v>
      </c>
      <c r="AF953" t="s">
        <v>4885</v>
      </c>
      <c r="AG953">
        <v>1</v>
      </c>
      <c r="AH953">
        <v>0</v>
      </c>
    </row>
    <row r="954" spans="1:34">
      <c r="A954">
        <v>2025</v>
      </c>
      <c r="B954" s="1">
        <v>45962</v>
      </c>
      <c r="C954" t="s">
        <v>2657</v>
      </c>
      <c r="D954" t="s">
        <v>4888</v>
      </c>
      <c r="E954" s="43">
        <v>45987.667652476855</v>
      </c>
      <c r="F954" s="1">
        <v>45987</v>
      </c>
      <c r="G954" s="43">
        <v>46021.682576087966</v>
      </c>
      <c r="H954" t="s">
        <v>2802</v>
      </c>
      <c r="I954" t="s">
        <v>2660</v>
      </c>
      <c r="J954" t="s">
        <v>37</v>
      </c>
      <c r="L954" t="s">
        <v>2344</v>
      </c>
      <c r="M954">
        <v>963780507202</v>
      </c>
      <c r="N954" t="s">
        <v>2661</v>
      </c>
      <c r="O954" s="1">
        <v>45621</v>
      </c>
      <c r="T954" t="s">
        <v>2662</v>
      </c>
      <c r="U954" t="s">
        <v>4889</v>
      </c>
      <c r="V954">
        <v>24</v>
      </c>
      <c r="W954" t="s">
        <v>2671</v>
      </c>
      <c r="X954">
        <v>1</v>
      </c>
      <c r="Y954" t="s">
        <v>2683</v>
      </c>
      <c r="AA954">
        <v>101837981602</v>
      </c>
      <c r="AB954" t="s">
        <v>746</v>
      </c>
      <c r="AC954">
        <v>0</v>
      </c>
      <c r="AD954">
        <v>48</v>
      </c>
      <c r="AE954">
        <v>10183798160248</v>
      </c>
      <c r="AF954" t="s">
        <v>4885</v>
      </c>
      <c r="AG954">
        <v>1</v>
      </c>
      <c r="AH954">
        <v>0</v>
      </c>
    </row>
    <row r="955" spans="1:34">
      <c r="A955">
        <v>2025</v>
      </c>
      <c r="B955" s="1">
        <v>45901</v>
      </c>
      <c r="C955" t="s">
        <v>2657</v>
      </c>
      <c r="D955" t="s">
        <v>4890</v>
      </c>
      <c r="E955" s="43">
        <v>45918.60873983796</v>
      </c>
      <c r="F955" s="1">
        <v>45918</v>
      </c>
      <c r="G955" s="43">
        <v>45918.60873983796</v>
      </c>
      <c r="H955" t="s">
        <v>2734</v>
      </c>
      <c r="I955" t="s">
        <v>2719</v>
      </c>
      <c r="J955" t="s">
        <v>38</v>
      </c>
      <c r="L955" t="s">
        <v>2351</v>
      </c>
      <c r="M955">
        <v>219314571102</v>
      </c>
      <c r="N955" t="s">
        <v>2661</v>
      </c>
      <c r="O955" s="1">
        <v>45835</v>
      </c>
      <c r="T955" t="s">
        <v>2662</v>
      </c>
      <c r="U955" t="s">
        <v>4891</v>
      </c>
      <c r="V955">
        <v>0</v>
      </c>
      <c r="W955" t="s">
        <v>2671</v>
      </c>
      <c r="X955">
        <v>1</v>
      </c>
      <c r="Y955" t="s">
        <v>2688</v>
      </c>
      <c r="AA955">
        <v>551856008602</v>
      </c>
      <c r="AB955" t="s">
        <v>1248</v>
      </c>
      <c r="AC955">
        <v>0</v>
      </c>
      <c r="AD955">
        <v>38</v>
      </c>
      <c r="AE955">
        <v>55185600860238</v>
      </c>
      <c r="AF955" t="s">
        <v>4892</v>
      </c>
      <c r="AG955">
        <v>1</v>
      </c>
      <c r="AH955">
        <v>1</v>
      </c>
    </row>
    <row r="956" spans="1:34">
      <c r="A956">
        <v>2025</v>
      </c>
      <c r="B956" s="1">
        <v>45870</v>
      </c>
      <c r="C956" t="s">
        <v>2657</v>
      </c>
      <c r="D956" t="s">
        <v>4893</v>
      </c>
      <c r="E956" s="43">
        <v>45876.592174166668</v>
      </c>
      <c r="F956" s="1">
        <v>45876</v>
      </c>
      <c r="G956" s="43">
        <v>45936.550605601849</v>
      </c>
      <c r="H956" t="s">
        <v>3088</v>
      </c>
      <c r="I956" t="s">
        <v>2669</v>
      </c>
      <c r="J956" t="s">
        <v>38</v>
      </c>
      <c r="L956" t="s">
        <v>2472</v>
      </c>
      <c r="M956">
        <v>596977542502</v>
      </c>
      <c r="N956" t="s">
        <v>2702</v>
      </c>
      <c r="O956" s="1">
        <v>45524</v>
      </c>
      <c r="T956" t="s">
        <v>2662</v>
      </c>
      <c r="U956" t="s">
        <v>4894</v>
      </c>
      <c r="V956">
        <v>42</v>
      </c>
      <c r="W956" t="s">
        <v>2671</v>
      </c>
      <c r="X956">
        <v>1</v>
      </c>
      <c r="Y956" t="s">
        <v>2985</v>
      </c>
      <c r="AA956">
        <v>509224899302</v>
      </c>
      <c r="AB956" t="s">
        <v>1857</v>
      </c>
      <c r="AC956">
        <v>0</v>
      </c>
      <c r="AD956">
        <v>32</v>
      </c>
      <c r="AE956">
        <v>50922489930232</v>
      </c>
      <c r="AF956" t="s">
        <v>4895</v>
      </c>
      <c r="AG956">
        <v>1</v>
      </c>
      <c r="AH956">
        <v>1</v>
      </c>
    </row>
    <row r="957" spans="1:34">
      <c r="A957">
        <v>2026</v>
      </c>
      <c r="B957" s="1">
        <v>46054</v>
      </c>
      <c r="C957" t="s">
        <v>2657</v>
      </c>
      <c r="D957" s="44" t="s">
        <v>4896</v>
      </c>
      <c r="E957" s="43">
        <v>46058.537357754627</v>
      </c>
      <c r="F957" s="1">
        <v>46058</v>
      </c>
      <c r="G957" s="43">
        <v>46058.791593298614</v>
      </c>
      <c r="H957" t="s">
        <v>2725</v>
      </c>
      <c r="I957" t="s">
        <v>2669</v>
      </c>
      <c r="J957" t="s">
        <v>39</v>
      </c>
      <c r="L957" t="s">
        <v>2362</v>
      </c>
      <c r="M957">
        <v>103928980802</v>
      </c>
      <c r="N957" t="s">
        <v>2746</v>
      </c>
      <c r="O957" s="1">
        <v>45661</v>
      </c>
      <c r="T957" t="s">
        <v>2662</v>
      </c>
      <c r="U957" t="s">
        <v>4897</v>
      </c>
      <c r="V957">
        <v>0</v>
      </c>
      <c r="W957" t="s">
        <v>2743</v>
      </c>
      <c r="X957">
        <v>1</v>
      </c>
      <c r="Y957" t="s">
        <v>2931</v>
      </c>
      <c r="AA957">
        <v>103928980802</v>
      </c>
      <c r="AB957" t="s">
        <v>1764</v>
      </c>
      <c r="AC957">
        <v>0</v>
      </c>
      <c r="AD957">
        <v>6</v>
      </c>
      <c r="AE957">
        <v>1039289808026</v>
      </c>
      <c r="AF957" t="s">
        <v>4898</v>
      </c>
      <c r="AG957">
        <v>0</v>
      </c>
      <c r="AH957">
        <v>0</v>
      </c>
    </row>
    <row r="958" spans="1:34">
      <c r="A958">
        <v>2026</v>
      </c>
      <c r="B958" s="1">
        <v>46054</v>
      </c>
      <c r="C958" t="s">
        <v>2657</v>
      </c>
      <c r="D958" t="s">
        <v>4899</v>
      </c>
      <c r="E958" s="43">
        <v>46057.536077835648</v>
      </c>
      <c r="F958" s="1">
        <v>46057</v>
      </c>
      <c r="G958" s="43">
        <v>46070.832658599538</v>
      </c>
      <c r="H958" t="s">
        <v>2725</v>
      </c>
      <c r="I958" t="s">
        <v>2669</v>
      </c>
      <c r="J958" t="s">
        <v>39</v>
      </c>
      <c r="L958" t="s">
        <v>2362</v>
      </c>
      <c r="M958">
        <v>103928980802</v>
      </c>
      <c r="N958" t="s">
        <v>2746</v>
      </c>
      <c r="O958" s="1">
        <v>45661</v>
      </c>
      <c r="T958" t="s">
        <v>2662</v>
      </c>
      <c r="U958" t="s">
        <v>4900</v>
      </c>
      <c r="V958">
        <v>9</v>
      </c>
      <c r="W958" t="s">
        <v>2743</v>
      </c>
      <c r="X958">
        <v>1</v>
      </c>
      <c r="Y958" t="s">
        <v>3994</v>
      </c>
      <c r="AA958">
        <v>103928980802</v>
      </c>
      <c r="AB958" t="s">
        <v>1764</v>
      </c>
      <c r="AC958">
        <v>0</v>
      </c>
      <c r="AD958">
        <v>6</v>
      </c>
      <c r="AE958">
        <v>1039289808026</v>
      </c>
      <c r="AF958" t="s">
        <v>4898</v>
      </c>
      <c r="AG958">
        <v>1</v>
      </c>
      <c r="AH958">
        <v>1</v>
      </c>
    </row>
    <row r="959" spans="1:34">
      <c r="A959">
        <v>2025</v>
      </c>
      <c r="B959" s="1">
        <v>45901</v>
      </c>
      <c r="C959" t="s">
        <v>2657</v>
      </c>
      <c r="D959" t="s">
        <v>4901</v>
      </c>
      <c r="E959" s="43">
        <v>45910.731706284721</v>
      </c>
      <c r="F959" s="1">
        <v>45910</v>
      </c>
      <c r="G959" s="43">
        <v>45911.800984328707</v>
      </c>
      <c r="H959" t="s">
        <v>2734</v>
      </c>
      <c r="I959" t="s">
        <v>2681</v>
      </c>
      <c r="J959" t="s">
        <v>2735</v>
      </c>
      <c r="L959" t="s">
        <v>2408</v>
      </c>
      <c r="M959">
        <v>933459575402</v>
      </c>
      <c r="N959" t="s">
        <v>2746</v>
      </c>
      <c r="O959" s="1">
        <v>45595</v>
      </c>
      <c r="T959" t="s">
        <v>2662</v>
      </c>
      <c r="U959" t="s">
        <v>4902</v>
      </c>
      <c r="V959">
        <v>1</v>
      </c>
      <c r="W959" t="s">
        <v>2671</v>
      </c>
      <c r="X959">
        <v>1</v>
      </c>
      <c r="Y959" t="s">
        <v>2683</v>
      </c>
      <c r="Z959" t="s">
        <v>2684</v>
      </c>
      <c r="AA959">
        <v>438747217402</v>
      </c>
      <c r="AB959" t="s">
        <v>1377</v>
      </c>
      <c r="AC959">
        <v>0</v>
      </c>
      <c r="AD959">
        <v>37</v>
      </c>
      <c r="AE959">
        <v>43874721740237</v>
      </c>
      <c r="AF959" t="s">
        <v>4903</v>
      </c>
      <c r="AG959">
        <v>1</v>
      </c>
      <c r="AH959">
        <v>1</v>
      </c>
    </row>
    <row r="960" spans="1:34">
      <c r="A960">
        <v>2025</v>
      </c>
      <c r="B960" s="1">
        <v>45901</v>
      </c>
      <c r="C960" t="s">
        <v>2657</v>
      </c>
      <c r="D960" t="s">
        <v>4904</v>
      </c>
      <c r="E960" s="43">
        <v>45911.575204953704</v>
      </c>
      <c r="F960" s="1">
        <v>45911</v>
      </c>
      <c r="G960" s="43">
        <v>45911.589275868057</v>
      </c>
      <c r="H960" t="s">
        <v>2734</v>
      </c>
      <c r="I960" t="s">
        <v>2681</v>
      </c>
      <c r="J960" t="s">
        <v>2735</v>
      </c>
      <c r="L960" t="s">
        <v>2408</v>
      </c>
      <c r="M960">
        <v>933459575402</v>
      </c>
      <c r="N960" t="s">
        <v>2746</v>
      </c>
      <c r="O960" s="1">
        <v>45595</v>
      </c>
      <c r="T960" t="s">
        <v>2662</v>
      </c>
      <c r="U960" t="s">
        <v>4905</v>
      </c>
      <c r="V960">
        <v>0</v>
      </c>
      <c r="W960" t="s">
        <v>2677</v>
      </c>
      <c r="X960">
        <v>1</v>
      </c>
      <c r="Y960" t="s">
        <v>2772</v>
      </c>
      <c r="Z960" t="s">
        <v>2684</v>
      </c>
      <c r="AA960">
        <v>438747217402</v>
      </c>
      <c r="AB960" t="s">
        <v>1377</v>
      </c>
      <c r="AC960">
        <v>0</v>
      </c>
      <c r="AD960">
        <v>37</v>
      </c>
      <c r="AE960">
        <v>43874721740237</v>
      </c>
      <c r="AF960" t="s">
        <v>4903</v>
      </c>
      <c r="AG960">
        <v>0</v>
      </c>
      <c r="AH960">
        <v>0</v>
      </c>
    </row>
    <row r="961" spans="1:34">
      <c r="A961">
        <v>2025</v>
      </c>
      <c r="B961" s="1">
        <v>45901</v>
      </c>
      <c r="C961" t="s">
        <v>2657</v>
      </c>
      <c r="D961" t="s">
        <v>4906</v>
      </c>
      <c r="E961" s="43">
        <v>45912.51804934028</v>
      </c>
      <c r="F961" s="1">
        <v>45912</v>
      </c>
      <c r="G961" s="43">
        <v>45912.51804934028</v>
      </c>
      <c r="H961" t="s">
        <v>2734</v>
      </c>
      <c r="I961" t="s">
        <v>2681</v>
      </c>
      <c r="J961" t="s">
        <v>2735</v>
      </c>
      <c r="L961" t="s">
        <v>2408</v>
      </c>
      <c r="M961">
        <v>933459575402</v>
      </c>
      <c r="N961" t="s">
        <v>2746</v>
      </c>
      <c r="O961" s="1">
        <v>45595</v>
      </c>
      <c r="T961" t="s">
        <v>2662</v>
      </c>
      <c r="U961" t="s">
        <v>4907</v>
      </c>
      <c r="V961">
        <v>0</v>
      </c>
      <c r="W961" t="s">
        <v>2985</v>
      </c>
      <c r="X961">
        <v>1</v>
      </c>
      <c r="Y961" t="s">
        <v>2695</v>
      </c>
      <c r="AA961">
        <v>438747217402</v>
      </c>
      <c r="AB961" t="s">
        <v>1377</v>
      </c>
      <c r="AC961">
        <v>0</v>
      </c>
      <c r="AD961">
        <v>37</v>
      </c>
      <c r="AE961">
        <v>43874721740237</v>
      </c>
      <c r="AF961" t="s">
        <v>4903</v>
      </c>
      <c r="AG961">
        <v>0</v>
      </c>
      <c r="AH961">
        <v>0</v>
      </c>
    </row>
    <row r="962" spans="1:34">
      <c r="A962">
        <v>2025</v>
      </c>
      <c r="B962" s="1">
        <v>45901</v>
      </c>
      <c r="C962" t="s">
        <v>2657</v>
      </c>
      <c r="D962" t="s">
        <v>4908</v>
      </c>
      <c r="E962" s="43">
        <v>45919.59542863426</v>
      </c>
      <c r="F962" s="1">
        <v>45919</v>
      </c>
      <c r="G962" s="43">
        <v>45919.59542863426</v>
      </c>
      <c r="H962" t="s">
        <v>2734</v>
      </c>
      <c r="I962" t="s">
        <v>2719</v>
      </c>
      <c r="J962" t="s">
        <v>2735</v>
      </c>
      <c r="L962" t="s">
        <v>2408</v>
      </c>
      <c r="M962">
        <v>933459575402</v>
      </c>
      <c r="N962" t="s">
        <v>2746</v>
      </c>
      <c r="O962" s="1">
        <v>45595</v>
      </c>
      <c r="T962" t="s">
        <v>2662</v>
      </c>
      <c r="U962" t="s">
        <v>4909</v>
      </c>
      <c r="V962">
        <v>0</v>
      </c>
      <c r="W962" t="s">
        <v>2671</v>
      </c>
      <c r="X962">
        <v>1</v>
      </c>
      <c r="Y962" t="s">
        <v>2692</v>
      </c>
      <c r="AA962">
        <v>438747217402</v>
      </c>
      <c r="AB962" t="s">
        <v>1377</v>
      </c>
      <c r="AC962">
        <v>0</v>
      </c>
      <c r="AD962">
        <v>38</v>
      </c>
      <c r="AE962">
        <v>43874721740238</v>
      </c>
      <c r="AF962" t="s">
        <v>4903</v>
      </c>
      <c r="AG962">
        <v>0</v>
      </c>
      <c r="AH962">
        <v>0</v>
      </c>
    </row>
    <row r="963" spans="1:34">
      <c r="A963">
        <v>2025</v>
      </c>
      <c r="B963" s="1">
        <v>45901</v>
      </c>
      <c r="C963" t="s">
        <v>2657</v>
      </c>
      <c r="D963" t="s">
        <v>4910</v>
      </c>
      <c r="E963" s="43">
        <v>45918.626675277781</v>
      </c>
      <c r="F963" s="1">
        <v>45918</v>
      </c>
      <c r="G963" s="43">
        <v>45919.605412094905</v>
      </c>
      <c r="H963" t="s">
        <v>2734</v>
      </c>
      <c r="I963" t="s">
        <v>2719</v>
      </c>
      <c r="J963" t="s">
        <v>2735</v>
      </c>
      <c r="L963" t="s">
        <v>2408</v>
      </c>
      <c r="M963">
        <v>933459575402</v>
      </c>
      <c r="N963" t="s">
        <v>2746</v>
      </c>
      <c r="O963" s="1">
        <v>45595</v>
      </c>
      <c r="T963" t="s">
        <v>2662</v>
      </c>
      <c r="U963" t="s">
        <v>4911</v>
      </c>
      <c r="V963">
        <v>1</v>
      </c>
      <c r="W963" t="s">
        <v>2671</v>
      </c>
      <c r="X963">
        <v>1</v>
      </c>
      <c r="Y963" t="s">
        <v>2692</v>
      </c>
      <c r="Z963" t="s">
        <v>2684</v>
      </c>
      <c r="AA963">
        <v>438747217402</v>
      </c>
      <c r="AB963" t="s">
        <v>1377</v>
      </c>
      <c r="AC963">
        <v>0</v>
      </c>
      <c r="AD963">
        <v>38</v>
      </c>
      <c r="AE963">
        <v>43874721740238</v>
      </c>
      <c r="AF963" t="s">
        <v>4903</v>
      </c>
      <c r="AG963">
        <v>1</v>
      </c>
      <c r="AH963">
        <v>0</v>
      </c>
    </row>
    <row r="964" spans="1:34">
      <c r="A964">
        <v>2026</v>
      </c>
      <c r="B964" s="1">
        <v>46054</v>
      </c>
      <c r="C964" t="s">
        <v>2657</v>
      </c>
      <c r="D964" t="s">
        <v>4912</v>
      </c>
      <c r="E964" s="43">
        <v>46057.862397824072</v>
      </c>
      <c r="F964" s="1">
        <v>46057</v>
      </c>
      <c r="G964" s="43">
        <v>46057.862397824072</v>
      </c>
      <c r="H964" t="s">
        <v>2725</v>
      </c>
      <c r="I964" t="s">
        <v>2669</v>
      </c>
      <c r="J964" t="s">
        <v>38</v>
      </c>
      <c r="L964" t="s">
        <v>2342</v>
      </c>
      <c r="M964">
        <v>24674493302</v>
      </c>
      <c r="N964" t="s">
        <v>2702</v>
      </c>
      <c r="O964" s="1">
        <v>45669</v>
      </c>
      <c r="T964" t="s">
        <v>2662</v>
      </c>
      <c r="U964" t="s">
        <v>4913</v>
      </c>
      <c r="V964">
        <v>0</v>
      </c>
      <c r="X964">
        <v>1</v>
      </c>
      <c r="Y964" t="s">
        <v>2710</v>
      </c>
      <c r="AA964">
        <v>24674493302</v>
      </c>
      <c r="AB964" t="s">
        <v>551</v>
      </c>
      <c r="AC964">
        <v>0</v>
      </c>
      <c r="AD964">
        <v>6</v>
      </c>
      <c r="AE964">
        <v>246744933026</v>
      </c>
      <c r="AF964" t="s">
        <v>4914</v>
      </c>
      <c r="AG964">
        <v>1</v>
      </c>
      <c r="AH964">
        <v>1</v>
      </c>
    </row>
    <row r="965" spans="1:34">
      <c r="A965">
        <v>2026</v>
      </c>
      <c r="B965" s="1">
        <v>46054</v>
      </c>
      <c r="C965" t="s">
        <v>2657</v>
      </c>
      <c r="D965" t="s">
        <v>4915</v>
      </c>
      <c r="E965" s="43">
        <v>46059.8248665625</v>
      </c>
      <c r="F965" s="1">
        <v>46059</v>
      </c>
      <c r="G965" s="43">
        <v>46059.8248665625</v>
      </c>
      <c r="H965" t="s">
        <v>2725</v>
      </c>
      <c r="I965" t="s">
        <v>2669</v>
      </c>
      <c r="J965" t="s">
        <v>38</v>
      </c>
      <c r="L965" t="s">
        <v>2342</v>
      </c>
      <c r="M965">
        <v>24674493302</v>
      </c>
      <c r="N965" t="s">
        <v>2702</v>
      </c>
      <c r="O965" s="1">
        <v>45669</v>
      </c>
      <c r="T965" t="s">
        <v>2662</v>
      </c>
      <c r="U965" t="s">
        <v>4916</v>
      </c>
      <c r="V965">
        <v>0</v>
      </c>
      <c r="W965" t="s">
        <v>2664</v>
      </c>
      <c r="X965">
        <v>1</v>
      </c>
      <c r="Y965" t="s">
        <v>2695</v>
      </c>
      <c r="AA965">
        <v>24674493302</v>
      </c>
      <c r="AB965" t="s">
        <v>551</v>
      </c>
      <c r="AC965">
        <v>1</v>
      </c>
      <c r="AD965">
        <v>6</v>
      </c>
      <c r="AE965">
        <v>246744933026</v>
      </c>
      <c r="AF965" t="s">
        <v>4914</v>
      </c>
      <c r="AG965">
        <v>0</v>
      </c>
      <c r="AH965">
        <v>0</v>
      </c>
    </row>
    <row r="966" spans="1:34">
      <c r="A966">
        <v>2025</v>
      </c>
      <c r="B966" s="1">
        <v>45870</v>
      </c>
      <c r="C966" t="s">
        <v>2657</v>
      </c>
      <c r="D966" t="s">
        <v>4917</v>
      </c>
      <c r="E966" s="43">
        <v>45877.564197083331</v>
      </c>
      <c r="F966" s="1">
        <v>45877</v>
      </c>
      <c r="G966" s="43">
        <v>45887.575439664353</v>
      </c>
      <c r="H966" t="s">
        <v>3088</v>
      </c>
      <c r="I966" t="s">
        <v>2681</v>
      </c>
      <c r="J966" t="s">
        <v>2735</v>
      </c>
      <c r="L966" t="s">
        <v>2421</v>
      </c>
      <c r="M966">
        <v>358205651902</v>
      </c>
      <c r="N966" t="s">
        <v>2661</v>
      </c>
      <c r="O966" s="1">
        <v>45294</v>
      </c>
      <c r="T966" t="s">
        <v>2662</v>
      </c>
      <c r="U966" t="s">
        <v>4918</v>
      </c>
      <c r="V966">
        <v>6</v>
      </c>
      <c r="W966" t="s">
        <v>2743</v>
      </c>
      <c r="X966">
        <v>1</v>
      </c>
      <c r="Y966" t="s">
        <v>2672</v>
      </c>
      <c r="Z966" t="s">
        <v>2834</v>
      </c>
      <c r="AA966">
        <v>358205651902</v>
      </c>
      <c r="AB966" t="s">
        <v>1408</v>
      </c>
      <c r="AC966">
        <v>0</v>
      </c>
      <c r="AD966">
        <v>32</v>
      </c>
      <c r="AE966">
        <v>35820565190232</v>
      </c>
      <c r="AF966" t="s">
        <v>4919</v>
      </c>
      <c r="AG966">
        <v>1</v>
      </c>
      <c r="AH966">
        <v>1</v>
      </c>
    </row>
    <row r="967" spans="1:34">
      <c r="A967">
        <v>2025</v>
      </c>
      <c r="B967" s="1">
        <v>45870</v>
      </c>
      <c r="C967" t="s">
        <v>2657</v>
      </c>
      <c r="D967" t="s">
        <v>4920</v>
      </c>
      <c r="E967" s="43">
        <v>45884.568256377315</v>
      </c>
      <c r="F967" s="1">
        <v>45884</v>
      </c>
      <c r="G967" s="43">
        <v>45889.719472743054</v>
      </c>
      <c r="H967" t="s">
        <v>3088</v>
      </c>
      <c r="I967" t="s">
        <v>2719</v>
      </c>
      <c r="J967" t="s">
        <v>2735</v>
      </c>
      <c r="L967" t="s">
        <v>2421</v>
      </c>
      <c r="M967">
        <v>358205651902</v>
      </c>
      <c r="N967" t="s">
        <v>2661</v>
      </c>
      <c r="O967" s="1">
        <v>45294</v>
      </c>
      <c r="T967" t="s">
        <v>2662</v>
      </c>
      <c r="U967" t="s">
        <v>4921</v>
      </c>
      <c r="V967">
        <v>3</v>
      </c>
      <c r="W967" t="s">
        <v>2743</v>
      </c>
      <c r="X967">
        <v>1</v>
      </c>
      <c r="Y967" t="s">
        <v>2699</v>
      </c>
      <c r="AA967">
        <v>358205651902</v>
      </c>
      <c r="AB967" t="s">
        <v>1408</v>
      </c>
      <c r="AC967">
        <v>0</v>
      </c>
      <c r="AD967">
        <v>33</v>
      </c>
      <c r="AE967">
        <v>35820565190233</v>
      </c>
      <c r="AF967" t="s">
        <v>4919</v>
      </c>
      <c r="AG967">
        <v>1</v>
      </c>
      <c r="AH967">
        <v>0</v>
      </c>
    </row>
    <row r="968" spans="1:34">
      <c r="A968">
        <v>2025</v>
      </c>
      <c r="B968" s="1">
        <v>45870</v>
      </c>
      <c r="C968" t="s">
        <v>2657</v>
      </c>
      <c r="D968" t="s">
        <v>4922</v>
      </c>
      <c r="E968" s="43">
        <v>45888.644425127313</v>
      </c>
      <c r="F968" s="1">
        <v>45888</v>
      </c>
      <c r="G968" s="43">
        <v>45889.719711770835</v>
      </c>
      <c r="H968" t="s">
        <v>3088</v>
      </c>
      <c r="I968" t="s">
        <v>2719</v>
      </c>
      <c r="J968" t="s">
        <v>2735</v>
      </c>
      <c r="L968" t="s">
        <v>2421</v>
      </c>
      <c r="M968">
        <v>358205651902</v>
      </c>
      <c r="N968" t="s">
        <v>2661</v>
      </c>
      <c r="O968" s="1">
        <v>45294</v>
      </c>
      <c r="T968" t="s">
        <v>2662</v>
      </c>
      <c r="U968" t="s">
        <v>4923</v>
      </c>
      <c r="V968">
        <v>1</v>
      </c>
      <c r="W968" t="s">
        <v>2985</v>
      </c>
      <c r="X968">
        <v>1</v>
      </c>
      <c r="Y968" t="s">
        <v>2695</v>
      </c>
      <c r="AA968">
        <v>358205651902</v>
      </c>
      <c r="AB968" t="s">
        <v>1408</v>
      </c>
      <c r="AC968">
        <v>0</v>
      </c>
      <c r="AD968">
        <v>34</v>
      </c>
      <c r="AE968">
        <v>35820565190234</v>
      </c>
      <c r="AF968" t="s">
        <v>4919</v>
      </c>
      <c r="AG968">
        <v>1</v>
      </c>
      <c r="AH968">
        <v>0</v>
      </c>
    </row>
    <row r="969" spans="1:34">
      <c r="A969">
        <v>2026</v>
      </c>
      <c r="B969" s="1">
        <v>46023</v>
      </c>
      <c r="C969" t="s">
        <v>2657</v>
      </c>
      <c r="D969" t="s">
        <v>4924</v>
      </c>
      <c r="E969" s="43">
        <v>46049.516582708333</v>
      </c>
      <c r="F969" s="1">
        <v>46049</v>
      </c>
      <c r="G969" s="43">
        <v>46049.516582708333</v>
      </c>
      <c r="H969" t="s">
        <v>2701</v>
      </c>
      <c r="I969" t="s">
        <v>2660</v>
      </c>
      <c r="J969" t="s">
        <v>36</v>
      </c>
      <c r="L969" t="s">
        <v>2472</v>
      </c>
      <c r="M969">
        <v>774839834202</v>
      </c>
      <c r="N969" t="s">
        <v>2702</v>
      </c>
      <c r="O969" s="1">
        <v>46021</v>
      </c>
      <c r="T969" t="s">
        <v>2662</v>
      </c>
      <c r="U969" t="s">
        <v>4925</v>
      </c>
      <c r="V969">
        <v>0</v>
      </c>
      <c r="W969" t="s">
        <v>2664</v>
      </c>
      <c r="X969">
        <v>1</v>
      </c>
      <c r="Y969" t="s">
        <v>2695</v>
      </c>
      <c r="AA969">
        <v>774839834202</v>
      </c>
      <c r="AB969" t="s">
        <v>2470</v>
      </c>
      <c r="AC969">
        <v>0</v>
      </c>
      <c r="AD969">
        <v>5</v>
      </c>
      <c r="AE969">
        <v>7748398342025</v>
      </c>
      <c r="AF969" t="s">
        <v>4926</v>
      </c>
      <c r="AG969">
        <v>1</v>
      </c>
      <c r="AH969">
        <v>1</v>
      </c>
    </row>
    <row r="970" spans="1:34">
      <c r="A970">
        <v>2026</v>
      </c>
      <c r="B970" s="1">
        <v>46054</v>
      </c>
      <c r="C970" t="s">
        <v>2657</v>
      </c>
      <c r="D970" t="s">
        <v>4927</v>
      </c>
      <c r="E970" s="43">
        <v>46058.867935486109</v>
      </c>
      <c r="F970" s="1">
        <v>46058</v>
      </c>
      <c r="G970" s="43">
        <v>46059.716308657407</v>
      </c>
      <c r="H970" t="s">
        <v>2725</v>
      </c>
      <c r="I970" t="s">
        <v>2669</v>
      </c>
      <c r="J970" t="s">
        <v>38</v>
      </c>
      <c r="L970" t="s">
        <v>2379</v>
      </c>
      <c r="M970">
        <v>653955892602</v>
      </c>
      <c r="N970" t="s">
        <v>2675</v>
      </c>
      <c r="O970" s="1">
        <v>45926</v>
      </c>
      <c r="T970" t="s">
        <v>2662</v>
      </c>
      <c r="U970" t="s">
        <v>4928</v>
      </c>
      <c r="V970">
        <v>1</v>
      </c>
      <c r="X970">
        <v>1</v>
      </c>
      <c r="Y970" t="s">
        <v>2688</v>
      </c>
      <c r="AA970">
        <v>653955892602</v>
      </c>
      <c r="AB970" t="s">
        <v>860</v>
      </c>
      <c r="AC970">
        <v>0</v>
      </c>
      <c r="AD970">
        <v>6</v>
      </c>
      <c r="AE970">
        <v>6539558926026</v>
      </c>
      <c r="AF970" t="s">
        <v>4929</v>
      </c>
      <c r="AG970">
        <v>1</v>
      </c>
      <c r="AH970">
        <v>1</v>
      </c>
    </row>
    <row r="971" spans="1:34">
      <c r="A971">
        <v>2026</v>
      </c>
      <c r="B971" s="1">
        <v>46054</v>
      </c>
      <c r="C971" t="s">
        <v>2657</v>
      </c>
      <c r="D971" t="s">
        <v>4930</v>
      </c>
      <c r="E971" s="43">
        <v>46062.81103409722</v>
      </c>
      <c r="F971" s="1">
        <v>46062</v>
      </c>
      <c r="G971" s="43">
        <v>46062.81103409722</v>
      </c>
      <c r="H971" t="s">
        <v>2725</v>
      </c>
      <c r="I971" t="s">
        <v>2681</v>
      </c>
      <c r="J971" t="s">
        <v>38</v>
      </c>
      <c r="L971" t="s">
        <v>2379</v>
      </c>
      <c r="M971">
        <v>653955892602</v>
      </c>
      <c r="N971" t="s">
        <v>2675</v>
      </c>
      <c r="O971" s="1">
        <v>45926</v>
      </c>
      <c r="T971" t="s">
        <v>2662</v>
      </c>
      <c r="U971" t="s">
        <v>4931</v>
      </c>
      <c r="V971">
        <v>0</v>
      </c>
      <c r="X971">
        <v>1</v>
      </c>
      <c r="Y971" t="s">
        <v>2688</v>
      </c>
      <c r="AA971">
        <v>653955892602</v>
      </c>
      <c r="AB971" t="s">
        <v>860</v>
      </c>
      <c r="AC971">
        <v>1</v>
      </c>
      <c r="AD971">
        <v>7</v>
      </c>
      <c r="AE971">
        <v>6539558926027</v>
      </c>
      <c r="AF971" t="s">
        <v>4929</v>
      </c>
      <c r="AG971">
        <v>1</v>
      </c>
      <c r="AH971">
        <v>0</v>
      </c>
    </row>
    <row r="972" spans="1:34">
      <c r="A972">
        <v>2026</v>
      </c>
      <c r="B972" s="1">
        <v>46023</v>
      </c>
      <c r="C972" t="s">
        <v>2657</v>
      </c>
      <c r="D972" s="44" t="s">
        <v>4932</v>
      </c>
      <c r="E972" s="43">
        <v>46043.82344954861</v>
      </c>
      <c r="F972" s="1">
        <v>46043</v>
      </c>
      <c r="G972" s="43">
        <v>46063.541245115739</v>
      </c>
      <c r="H972" t="s">
        <v>2701</v>
      </c>
      <c r="I972" t="s">
        <v>2719</v>
      </c>
      <c r="J972" t="s">
        <v>39</v>
      </c>
      <c r="L972" t="s">
        <v>2362</v>
      </c>
      <c r="M972">
        <v>801134136002</v>
      </c>
      <c r="N972" t="s">
        <v>2746</v>
      </c>
      <c r="O972" s="1">
        <v>45994</v>
      </c>
      <c r="T972" t="s">
        <v>2662</v>
      </c>
      <c r="U972" t="s">
        <v>4933</v>
      </c>
      <c r="V972">
        <v>14</v>
      </c>
      <c r="W972" t="s">
        <v>2664</v>
      </c>
      <c r="X972">
        <v>1</v>
      </c>
      <c r="Y972" t="s">
        <v>2665</v>
      </c>
      <c r="AA972">
        <v>801134136002</v>
      </c>
      <c r="AB972" t="s">
        <v>2599</v>
      </c>
      <c r="AC972">
        <v>0</v>
      </c>
      <c r="AD972">
        <v>4</v>
      </c>
      <c r="AE972">
        <v>8011341360024</v>
      </c>
      <c r="AF972" t="s">
        <v>4934</v>
      </c>
      <c r="AG972">
        <v>1</v>
      </c>
      <c r="AH972">
        <v>1</v>
      </c>
    </row>
    <row r="973" spans="1:34">
      <c r="A973">
        <v>2025</v>
      </c>
      <c r="B973" s="1">
        <v>45962</v>
      </c>
      <c r="C973" t="s">
        <v>2657</v>
      </c>
      <c r="D973" t="s">
        <v>4935</v>
      </c>
      <c r="E973" s="43">
        <v>45966.81909247685</v>
      </c>
      <c r="F973" s="1">
        <v>45966</v>
      </c>
      <c r="G973" s="43">
        <v>45971.609563969905</v>
      </c>
      <c r="H973" t="s">
        <v>2802</v>
      </c>
      <c r="I973" t="s">
        <v>2669</v>
      </c>
      <c r="J973" t="s">
        <v>2735</v>
      </c>
      <c r="L973" t="s">
        <v>2355</v>
      </c>
      <c r="M973">
        <v>6127997902</v>
      </c>
      <c r="N973" t="s">
        <v>2702</v>
      </c>
      <c r="O973" s="1">
        <v>44952</v>
      </c>
      <c r="T973" t="s">
        <v>2662</v>
      </c>
      <c r="U973" t="s">
        <v>4936</v>
      </c>
      <c r="V973">
        <v>3</v>
      </c>
      <c r="W973" t="s">
        <v>2677</v>
      </c>
      <c r="X973">
        <v>1</v>
      </c>
      <c r="Y973" t="s">
        <v>2807</v>
      </c>
      <c r="AA973">
        <v>366327938802</v>
      </c>
      <c r="AB973" t="s">
        <v>1985</v>
      </c>
      <c r="AC973">
        <v>0</v>
      </c>
      <c r="AD973">
        <v>45</v>
      </c>
      <c r="AE973">
        <v>36632793880245</v>
      </c>
      <c r="AF973" t="s">
        <v>4937</v>
      </c>
      <c r="AG973">
        <v>0</v>
      </c>
      <c r="AH973">
        <v>0</v>
      </c>
    </row>
    <row r="974" spans="1:34">
      <c r="A974">
        <v>2025</v>
      </c>
      <c r="B974" s="1">
        <v>45962</v>
      </c>
      <c r="C974" t="s">
        <v>2657</v>
      </c>
      <c r="D974" t="s">
        <v>4938</v>
      </c>
      <c r="E974" s="43">
        <v>45965.638494895837</v>
      </c>
      <c r="F974" s="1">
        <v>45965</v>
      </c>
      <c r="G974" s="43">
        <v>45966.822465289355</v>
      </c>
      <c r="H974" t="s">
        <v>2802</v>
      </c>
      <c r="I974" t="s">
        <v>2669</v>
      </c>
      <c r="J974" t="s">
        <v>2735</v>
      </c>
      <c r="L974" t="s">
        <v>2355</v>
      </c>
      <c r="M974">
        <v>366327938802</v>
      </c>
      <c r="N974" t="s">
        <v>2746</v>
      </c>
      <c r="O974" s="1">
        <v>45197</v>
      </c>
      <c r="T974" t="s">
        <v>2662</v>
      </c>
      <c r="U974" t="s">
        <v>4939</v>
      </c>
      <c r="V974">
        <v>1</v>
      </c>
      <c r="W974" t="s">
        <v>2677</v>
      </c>
      <c r="X974">
        <v>1</v>
      </c>
      <c r="Y974" t="s">
        <v>2807</v>
      </c>
      <c r="AA974">
        <v>366327938802</v>
      </c>
      <c r="AB974" t="s">
        <v>1985</v>
      </c>
      <c r="AC974">
        <v>0</v>
      </c>
      <c r="AD974">
        <v>45</v>
      </c>
      <c r="AE974">
        <v>36632793880245</v>
      </c>
      <c r="AF974" t="s">
        <v>4937</v>
      </c>
      <c r="AG974">
        <v>1</v>
      </c>
      <c r="AH974">
        <v>1</v>
      </c>
    </row>
    <row r="975" spans="1:34">
      <c r="A975">
        <v>2025</v>
      </c>
      <c r="B975" s="1">
        <v>45962</v>
      </c>
      <c r="C975" t="s">
        <v>2657</v>
      </c>
      <c r="D975" t="s">
        <v>4940</v>
      </c>
      <c r="E975" s="43">
        <v>45971.5762890162</v>
      </c>
      <c r="F975" s="1">
        <v>45971</v>
      </c>
      <c r="G975" s="43">
        <v>45971.5762890162</v>
      </c>
      <c r="H975" t="s">
        <v>2802</v>
      </c>
      <c r="I975" t="s">
        <v>2681</v>
      </c>
      <c r="J975" t="s">
        <v>2735</v>
      </c>
      <c r="L975" t="s">
        <v>2355</v>
      </c>
      <c r="M975">
        <v>6127997902</v>
      </c>
      <c r="N975" t="s">
        <v>2702</v>
      </c>
      <c r="O975" s="1">
        <v>44952</v>
      </c>
      <c r="T975" t="s">
        <v>2662</v>
      </c>
      <c r="U975" t="s">
        <v>4941</v>
      </c>
      <c r="V975">
        <v>0</v>
      </c>
      <c r="W975" t="s">
        <v>2677</v>
      </c>
      <c r="X975">
        <v>1</v>
      </c>
      <c r="Y975" t="s">
        <v>2695</v>
      </c>
      <c r="AA975">
        <v>366327938802</v>
      </c>
      <c r="AB975" t="s">
        <v>1985</v>
      </c>
      <c r="AC975">
        <v>0</v>
      </c>
      <c r="AD975">
        <v>46</v>
      </c>
      <c r="AE975">
        <v>36632793880246</v>
      </c>
      <c r="AF975" t="s">
        <v>4937</v>
      </c>
      <c r="AG975">
        <v>1</v>
      </c>
      <c r="AH975">
        <v>0</v>
      </c>
    </row>
    <row r="976" spans="1:34">
      <c r="A976">
        <v>2025</v>
      </c>
      <c r="B976" s="1">
        <v>45962</v>
      </c>
      <c r="C976" t="s">
        <v>2657</v>
      </c>
      <c r="D976" t="s">
        <v>4942</v>
      </c>
      <c r="E976" s="43">
        <v>45975.541144988427</v>
      </c>
      <c r="F976" s="1">
        <v>45975</v>
      </c>
      <c r="G976" s="43">
        <v>45975.797120081021</v>
      </c>
      <c r="H976" t="s">
        <v>2802</v>
      </c>
      <c r="I976" t="s">
        <v>2681</v>
      </c>
      <c r="J976" t="s">
        <v>2735</v>
      </c>
      <c r="L976" t="s">
        <v>2355</v>
      </c>
      <c r="M976">
        <v>6127997902</v>
      </c>
      <c r="N976" t="s">
        <v>2702</v>
      </c>
      <c r="O976" s="1">
        <v>44952</v>
      </c>
      <c r="T976" t="s">
        <v>2662</v>
      </c>
      <c r="U976" t="s">
        <v>4943</v>
      </c>
      <c r="V976">
        <v>0</v>
      </c>
      <c r="W976" t="s">
        <v>2677</v>
      </c>
      <c r="X976">
        <v>1</v>
      </c>
      <c r="Y976" t="s">
        <v>2779</v>
      </c>
      <c r="AA976">
        <v>366327938802</v>
      </c>
      <c r="AB976" t="s">
        <v>1985</v>
      </c>
      <c r="AC976">
        <v>0</v>
      </c>
      <c r="AD976">
        <v>46</v>
      </c>
      <c r="AE976">
        <v>36632793880246</v>
      </c>
      <c r="AF976" t="s">
        <v>4937</v>
      </c>
      <c r="AG976">
        <v>0</v>
      </c>
      <c r="AH976">
        <v>0</v>
      </c>
    </row>
    <row r="977" spans="1:34">
      <c r="A977">
        <v>2025</v>
      </c>
      <c r="B977" s="1">
        <v>45962</v>
      </c>
      <c r="C977" t="s">
        <v>2657</v>
      </c>
      <c r="D977" t="s">
        <v>4944</v>
      </c>
      <c r="E977" s="43">
        <v>45972.842046053243</v>
      </c>
      <c r="F977" s="1">
        <v>45972</v>
      </c>
      <c r="G977" s="43">
        <v>45973.548503344908</v>
      </c>
      <c r="H977" t="s">
        <v>2802</v>
      </c>
      <c r="I977" t="s">
        <v>2681</v>
      </c>
      <c r="J977" t="s">
        <v>2735</v>
      </c>
      <c r="L977" t="s">
        <v>2355</v>
      </c>
      <c r="M977">
        <v>366327938802</v>
      </c>
      <c r="N977" t="s">
        <v>2746</v>
      </c>
      <c r="O977" s="1">
        <v>45197</v>
      </c>
      <c r="T977" t="s">
        <v>2662</v>
      </c>
      <c r="U977" t="s">
        <v>4945</v>
      </c>
      <c r="V977">
        <v>1</v>
      </c>
      <c r="X977">
        <v>1</v>
      </c>
      <c r="Y977" t="s">
        <v>2688</v>
      </c>
      <c r="AA977">
        <v>366327938802</v>
      </c>
      <c r="AB977" t="s">
        <v>1985</v>
      </c>
      <c r="AC977">
        <v>0</v>
      </c>
      <c r="AD977">
        <v>46</v>
      </c>
      <c r="AE977">
        <v>36632793880246</v>
      </c>
      <c r="AF977" t="s">
        <v>4937</v>
      </c>
      <c r="AG977">
        <v>0</v>
      </c>
      <c r="AH977">
        <v>0</v>
      </c>
    </row>
    <row r="978" spans="1:34">
      <c r="A978">
        <v>2025</v>
      </c>
      <c r="B978" s="1">
        <v>45962</v>
      </c>
      <c r="C978" t="s">
        <v>2657</v>
      </c>
      <c r="D978" t="s">
        <v>4946</v>
      </c>
      <c r="E978" s="43">
        <v>45985.815133854165</v>
      </c>
      <c r="F978" s="1">
        <v>45985</v>
      </c>
      <c r="G978" s="43">
        <v>45988.515261250002</v>
      </c>
      <c r="H978" t="s">
        <v>2802</v>
      </c>
      <c r="I978" t="s">
        <v>2660</v>
      </c>
      <c r="J978" t="s">
        <v>2735</v>
      </c>
      <c r="L978" t="s">
        <v>2355</v>
      </c>
      <c r="M978">
        <v>6127997902</v>
      </c>
      <c r="N978" t="s">
        <v>2702</v>
      </c>
      <c r="O978" s="1">
        <v>44952</v>
      </c>
      <c r="T978" t="s">
        <v>2662</v>
      </c>
      <c r="U978" t="s">
        <v>4947</v>
      </c>
      <c r="V978">
        <v>3</v>
      </c>
      <c r="W978" t="s">
        <v>2677</v>
      </c>
      <c r="X978">
        <v>1</v>
      </c>
      <c r="Y978" t="s">
        <v>2807</v>
      </c>
      <c r="AA978">
        <v>366327938802</v>
      </c>
      <c r="AB978" t="s">
        <v>1985</v>
      </c>
      <c r="AC978">
        <v>0</v>
      </c>
      <c r="AD978">
        <v>48</v>
      </c>
      <c r="AE978">
        <v>36632793880248</v>
      </c>
      <c r="AF978" t="s">
        <v>4937</v>
      </c>
      <c r="AG978">
        <v>1</v>
      </c>
      <c r="AH978">
        <v>0</v>
      </c>
    </row>
    <row r="979" spans="1:34">
      <c r="A979">
        <v>2025</v>
      </c>
      <c r="B979" s="1">
        <v>45962</v>
      </c>
      <c r="C979" t="s">
        <v>2657</v>
      </c>
      <c r="D979" t="s">
        <v>4948</v>
      </c>
      <c r="E979" s="43">
        <v>45988.814546875001</v>
      </c>
      <c r="F979" s="1">
        <v>45988</v>
      </c>
      <c r="G979" s="43">
        <v>45992.539084143522</v>
      </c>
      <c r="H979" t="s">
        <v>2802</v>
      </c>
      <c r="I979" t="s">
        <v>2660</v>
      </c>
      <c r="J979" t="s">
        <v>2735</v>
      </c>
      <c r="L979" t="s">
        <v>2355</v>
      </c>
      <c r="M979">
        <v>6127997902</v>
      </c>
      <c r="N979" t="s">
        <v>2702</v>
      </c>
      <c r="O979" s="1">
        <v>44952</v>
      </c>
      <c r="T979" t="s">
        <v>2662</v>
      </c>
      <c r="U979" t="s">
        <v>4949</v>
      </c>
      <c r="V979">
        <v>2</v>
      </c>
      <c r="W979" t="s">
        <v>2677</v>
      </c>
      <c r="X979">
        <v>1</v>
      </c>
      <c r="Y979" t="s">
        <v>2807</v>
      </c>
      <c r="AA979">
        <v>366327938802</v>
      </c>
      <c r="AB979" t="s">
        <v>1985</v>
      </c>
      <c r="AC979">
        <v>0</v>
      </c>
      <c r="AD979">
        <v>48</v>
      </c>
      <c r="AE979">
        <v>36632793880248</v>
      </c>
      <c r="AF979" t="s">
        <v>4937</v>
      </c>
      <c r="AG979">
        <v>0</v>
      </c>
      <c r="AH979">
        <v>0</v>
      </c>
    </row>
    <row r="980" spans="1:34">
      <c r="A980">
        <v>2025</v>
      </c>
      <c r="B980" s="1">
        <v>45962</v>
      </c>
      <c r="C980" t="s">
        <v>2657</v>
      </c>
      <c r="D980" t="s">
        <v>4950</v>
      </c>
      <c r="E980" s="43">
        <v>45987.633324166665</v>
      </c>
      <c r="F980" s="1">
        <v>45987</v>
      </c>
      <c r="G980" s="43">
        <v>45988.515037951387</v>
      </c>
      <c r="H980" t="s">
        <v>2802</v>
      </c>
      <c r="I980" t="s">
        <v>2660</v>
      </c>
      <c r="J980" t="s">
        <v>2735</v>
      </c>
      <c r="L980" t="s">
        <v>2355</v>
      </c>
      <c r="M980">
        <v>366327938802</v>
      </c>
      <c r="N980" t="s">
        <v>2746</v>
      </c>
      <c r="O980" s="1">
        <v>45197</v>
      </c>
      <c r="T980" t="s">
        <v>2662</v>
      </c>
      <c r="U980" t="s">
        <v>4951</v>
      </c>
      <c r="V980">
        <v>1</v>
      </c>
      <c r="W980" t="s">
        <v>2677</v>
      </c>
      <c r="X980">
        <v>1</v>
      </c>
      <c r="Y980" t="s">
        <v>2807</v>
      </c>
      <c r="AA980">
        <v>366327938802</v>
      </c>
      <c r="AB980" t="s">
        <v>1985</v>
      </c>
      <c r="AC980">
        <v>0</v>
      </c>
      <c r="AD980">
        <v>48</v>
      </c>
      <c r="AE980">
        <v>36632793880248</v>
      </c>
      <c r="AF980" t="s">
        <v>4937</v>
      </c>
      <c r="AG980">
        <v>0</v>
      </c>
      <c r="AH980">
        <v>0</v>
      </c>
    </row>
    <row r="981" spans="1:34">
      <c r="A981">
        <v>2026</v>
      </c>
      <c r="B981" s="1">
        <v>46054</v>
      </c>
      <c r="C981" t="s">
        <v>2657</v>
      </c>
      <c r="D981" t="s">
        <v>4952</v>
      </c>
      <c r="E981" s="43">
        <v>46057.683394699074</v>
      </c>
      <c r="F981" s="1">
        <v>46057</v>
      </c>
      <c r="G981" s="43">
        <v>46058.573982152775</v>
      </c>
      <c r="H981" t="s">
        <v>2725</v>
      </c>
      <c r="I981" t="s">
        <v>2669</v>
      </c>
      <c r="J981" t="s">
        <v>100</v>
      </c>
      <c r="L981" t="s">
        <v>2363</v>
      </c>
      <c r="M981">
        <v>19297108502</v>
      </c>
      <c r="N981" t="s">
        <v>2702</v>
      </c>
      <c r="O981" s="1">
        <v>45994</v>
      </c>
      <c r="T981" t="s">
        <v>2662</v>
      </c>
      <c r="U981" t="s">
        <v>4953</v>
      </c>
      <c r="V981">
        <v>1</v>
      </c>
      <c r="W981" t="s">
        <v>2704</v>
      </c>
      <c r="X981">
        <v>1</v>
      </c>
      <c r="Y981" t="s">
        <v>2699</v>
      </c>
      <c r="AA981">
        <v>19297108502</v>
      </c>
      <c r="AB981" t="s">
        <v>2561</v>
      </c>
      <c r="AC981">
        <v>0</v>
      </c>
      <c r="AD981">
        <v>6</v>
      </c>
      <c r="AE981">
        <v>192971085026</v>
      </c>
      <c r="AF981" t="s">
        <v>4954</v>
      </c>
      <c r="AG981">
        <v>1</v>
      </c>
      <c r="AH981">
        <v>1</v>
      </c>
    </row>
    <row r="982" spans="1:34">
      <c r="A982">
        <v>2025</v>
      </c>
      <c r="B982" s="1">
        <v>45931</v>
      </c>
      <c r="C982" t="s">
        <v>2657</v>
      </c>
      <c r="D982" t="s">
        <v>4955</v>
      </c>
      <c r="E982" s="43">
        <v>45932.778301481485</v>
      </c>
      <c r="F982" s="1">
        <v>45932</v>
      </c>
      <c r="G982" s="43">
        <v>45936.540208402781</v>
      </c>
      <c r="H982" t="s">
        <v>2659</v>
      </c>
      <c r="I982" t="s">
        <v>2669</v>
      </c>
      <c r="J982" t="s">
        <v>2735</v>
      </c>
      <c r="L982" t="s">
        <v>2408</v>
      </c>
      <c r="M982">
        <v>24386750602</v>
      </c>
      <c r="N982" t="s">
        <v>2746</v>
      </c>
      <c r="O982" s="1">
        <v>45294</v>
      </c>
      <c r="T982" t="s">
        <v>2662</v>
      </c>
      <c r="U982" t="s">
        <v>4956</v>
      </c>
      <c r="V982">
        <v>2</v>
      </c>
      <c r="W982" t="s">
        <v>2743</v>
      </c>
      <c r="X982">
        <v>1</v>
      </c>
      <c r="Y982" t="s">
        <v>2678</v>
      </c>
      <c r="AA982">
        <v>24386750602</v>
      </c>
      <c r="AB982" t="s">
        <v>1847</v>
      </c>
      <c r="AC982">
        <v>0</v>
      </c>
      <c r="AD982">
        <v>40</v>
      </c>
      <c r="AE982">
        <v>2438675060240</v>
      </c>
      <c r="AF982" t="s">
        <v>4957</v>
      </c>
      <c r="AG982">
        <v>0</v>
      </c>
      <c r="AH982">
        <v>0</v>
      </c>
    </row>
    <row r="983" spans="1:34">
      <c r="A983">
        <v>2025</v>
      </c>
      <c r="B983" s="1">
        <v>45931</v>
      </c>
      <c r="C983" t="s">
        <v>2657</v>
      </c>
      <c r="D983" t="s">
        <v>4958</v>
      </c>
      <c r="E983" s="43">
        <v>45931.510829699073</v>
      </c>
      <c r="F983" s="1">
        <v>45931</v>
      </c>
      <c r="G983" s="43">
        <v>45940.632349143518</v>
      </c>
      <c r="H983" t="s">
        <v>2659</v>
      </c>
      <c r="I983" t="s">
        <v>2669</v>
      </c>
      <c r="J983" t="s">
        <v>2735</v>
      </c>
      <c r="L983" t="s">
        <v>2408</v>
      </c>
      <c r="M983">
        <v>24386750602</v>
      </c>
      <c r="N983" t="s">
        <v>2746</v>
      </c>
      <c r="O983" s="1">
        <v>45294</v>
      </c>
      <c r="T983" t="s">
        <v>2662</v>
      </c>
      <c r="U983" t="s">
        <v>4959</v>
      </c>
      <c r="V983">
        <v>7</v>
      </c>
      <c r="W983" t="s">
        <v>2743</v>
      </c>
      <c r="X983">
        <v>1</v>
      </c>
      <c r="Y983" t="s">
        <v>2699</v>
      </c>
      <c r="Z983" t="s">
        <v>2834</v>
      </c>
      <c r="AA983">
        <v>24386750602</v>
      </c>
      <c r="AB983" t="s">
        <v>1847</v>
      </c>
      <c r="AC983">
        <v>0</v>
      </c>
      <c r="AD983">
        <v>40</v>
      </c>
      <c r="AE983">
        <v>2438675060240</v>
      </c>
      <c r="AF983" t="s">
        <v>4957</v>
      </c>
      <c r="AG983">
        <v>1</v>
      </c>
      <c r="AH983">
        <v>1</v>
      </c>
    </row>
    <row r="984" spans="1:34">
      <c r="A984">
        <v>2025</v>
      </c>
      <c r="B984" s="1">
        <v>45931</v>
      </c>
      <c r="C984" t="s">
        <v>2657</v>
      </c>
      <c r="D984" t="s">
        <v>4960</v>
      </c>
      <c r="E984" s="43">
        <v>45938.817773275463</v>
      </c>
      <c r="F984" s="1">
        <v>45938</v>
      </c>
      <c r="G984" s="43">
        <v>45940.638718865739</v>
      </c>
      <c r="H984" t="s">
        <v>2659</v>
      </c>
      <c r="I984" t="s">
        <v>2681</v>
      </c>
      <c r="J984" t="s">
        <v>2735</v>
      </c>
      <c r="L984" t="s">
        <v>2408</v>
      </c>
      <c r="M984">
        <v>24386750602</v>
      </c>
      <c r="N984" t="s">
        <v>2746</v>
      </c>
      <c r="O984" s="1">
        <v>45294</v>
      </c>
      <c r="T984" t="s">
        <v>2662</v>
      </c>
      <c r="U984" t="s">
        <v>4961</v>
      </c>
      <c r="V984">
        <v>2</v>
      </c>
      <c r="W984" t="s">
        <v>2743</v>
      </c>
      <c r="X984">
        <v>1</v>
      </c>
      <c r="Y984" t="s">
        <v>2695</v>
      </c>
      <c r="AA984">
        <v>24386750602</v>
      </c>
      <c r="AB984" t="s">
        <v>1847</v>
      </c>
      <c r="AC984">
        <v>0</v>
      </c>
      <c r="AD984">
        <v>41</v>
      </c>
      <c r="AE984">
        <v>2438675060241</v>
      </c>
      <c r="AF984" t="s">
        <v>4957</v>
      </c>
      <c r="AG984">
        <v>1</v>
      </c>
      <c r="AH984">
        <v>0</v>
      </c>
    </row>
    <row r="985" spans="1:34">
      <c r="A985">
        <v>2025</v>
      </c>
      <c r="B985" s="1">
        <v>45931</v>
      </c>
      <c r="C985" t="s">
        <v>2657</v>
      </c>
      <c r="D985" t="s">
        <v>4962</v>
      </c>
      <c r="E985" s="43">
        <v>45944.866679039354</v>
      </c>
      <c r="F985" s="1">
        <v>45944</v>
      </c>
      <c r="G985" s="43">
        <v>45952.617618923614</v>
      </c>
      <c r="H985" t="s">
        <v>2659</v>
      </c>
      <c r="I985" t="s">
        <v>2681</v>
      </c>
      <c r="J985" t="s">
        <v>2735</v>
      </c>
      <c r="L985" t="s">
        <v>2408</v>
      </c>
      <c r="M985">
        <v>24386750602</v>
      </c>
      <c r="N985" t="s">
        <v>2746</v>
      </c>
      <c r="O985" s="1">
        <v>45294</v>
      </c>
      <c r="T985" t="s">
        <v>2662</v>
      </c>
      <c r="U985" t="s">
        <v>4963</v>
      </c>
      <c r="V985">
        <v>6</v>
      </c>
      <c r="W985" t="s">
        <v>2677</v>
      </c>
      <c r="X985">
        <v>1</v>
      </c>
      <c r="Y985" t="s">
        <v>2678</v>
      </c>
      <c r="Z985" t="s">
        <v>2684</v>
      </c>
      <c r="AA985">
        <v>24386750602</v>
      </c>
      <c r="AB985" t="s">
        <v>1847</v>
      </c>
      <c r="AC985">
        <v>0</v>
      </c>
      <c r="AD985">
        <v>42</v>
      </c>
      <c r="AE985">
        <v>2438675060242</v>
      </c>
      <c r="AF985" t="s">
        <v>4957</v>
      </c>
      <c r="AG985">
        <v>1</v>
      </c>
      <c r="AH985">
        <v>0</v>
      </c>
    </row>
    <row r="986" spans="1:34">
      <c r="A986">
        <v>2025</v>
      </c>
      <c r="B986" s="1">
        <v>45931</v>
      </c>
      <c r="C986" t="s">
        <v>2657</v>
      </c>
      <c r="D986" t="s">
        <v>4964</v>
      </c>
      <c r="E986" s="43">
        <v>45951.786670324072</v>
      </c>
      <c r="F986" s="1">
        <v>45951</v>
      </c>
      <c r="G986" s="43">
        <v>45961.612341168984</v>
      </c>
      <c r="H986" t="s">
        <v>2659</v>
      </c>
      <c r="I986" t="s">
        <v>2719</v>
      </c>
      <c r="J986" t="s">
        <v>2735</v>
      </c>
      <c r="L986" t="s">
        <v>2408</v>
      </c>
      <c r="M986">
        <v>24386750602</v>
      </c>
      <c r="N986" t="s">
        <v>2746</v>
      </c>
      <c r="O986" s="1">
        <v>45294</v>
      </c>
      <c r="T986" t="s">
        <v>2662</v>
      </c>
      <c r="U986" t="s">
        <v>4965</v>
      </c>
      <c r="V986">
        <v>8</v>
      </c>
      <c r="W986" t="s">
        <v>2677</v>
      </c>
      <c r="X986">
        <v>1</v>
      </c>
      <c r="Y986" t="s">
        <v>2678</v>
      </c>
      <c r="Z986" t="s">
        <v>2684</v>
      </c>
      <c r="AA986">
        <v>24386750602</v>
      </c>
      <c r="AB986" t="s">
        <v>1847</v>
      </c>
      <c r="AC986">
        <v>0</v>
      </c>
      <c r="AD986">
        <v>43</v>
      </c>
      <c r="AE986">
        <v>2438675060243</v>
      </c>
      <c r="AF986" t="s">
        <v>4957</v>
      </c>
      <c r="AG986">
        <v>1</v>
      </c>
      <c r="AH986">
        <v>0</v>
      </c>
    </row>
    <row r="987" spans="1:34">
      <c r="A987">
        <v>2025</v>
      </c>
      <c r="B987" s="1">
        <v>45931</v>
      </c>
      <c r="C987" t="s">
        <v>2657</v>
      </c>
      <c r="D987" t="s">
        <v>4966</v>
      </c>
      <c r="E987" s="43">
        <v>45946.607984340277</v>
      </c>
      <c r="F987" s="1">
        <v>45946</v>
      </c>
      <c r="G987" s="43">
        <v>45947.671732800925</v>
      </c>
      <c r="H987" t="s">
        <v>2659</v>
      </c>
      <c r="I987" t="s">
        <v>2719</v>
      </c>
      <c r="J987" t="s">
        <v>2735</v>
      </c>
      <c r="L987" t="s">
        <v>2408</v>
      </c>
      <c r="M987">
        <v>24386750602</v>
      </c>
      <c r="N987" t="s">
        <v>2746</v>
      </c>
      <c r="O987" s="1">
        <v>45294</v>
      </c>
      <c r="T987" t="s">
        <v>2662</v>
      </c>
      <c r="U987" t="s">
        <v>4967</v>
      </c>
      <c r="V987">
        <v>1</v>
      </c>
      <c r="W987" t="s">
        <v>2743</v>
      </c>
      <c r="X987">
        <v>1</v>
      </c>
      <c r="Y987" t="s">
        <v>2764</v>
      </c>
      <c r="AA987">
        <v>24386750602</v>
      </c>
      <c r="AB987" t="s">
        <v>1847</v>
      </c>
      <c r="AC987">
        <v>0</v>
      </c>
      <c r="AD987">
        <v>42</v>
      </c>
      <c r="AE987">
        <v>2438675060242</v>
      </c>
      <c r="AF987" t="s">
        <v>4957</v>
      </c>
      <c r="AG987">
        <v>0</v>
      </c>
      <c r="AH987">
        <v>0</v>
      </c>
    </row>
    <row r="988" spans="1:34">
      <c r="A988">
        <v>2025</v>
      </c>
      <c r="B988" s="1">
        <v>45992</v>
      </c>
      <c r="C988" t="s">
        <v>2657</v>
      </c>
      <c r="D988" t="s">
        <v>4968</v>
      </c>
      <c r="E988" s="43">
        <v>45992.695268113428</v>
      </c>
      <c r="F988" s="1">
        <v>45992</v>
      </c>
      <c r="G988" s="43">
        <v>46003.569814513889</v>
      </c>
      <c r="H988" t="s">
        <v>2686</v>
      </c>
      <c r="I988" t="s">
        <v>2669</v>
      </c>
      <c r="J988" t="s">
        <v>36</v>
      </c>
      <c r="L988" t="s">
        <v>2421</v>
      </c>
      <c r="M988">
        <v>55427353102</v>
      </c>
      <c r="N988" t="s">
        <v>2661</v>
      </c>
      <c r="O988" s="1">
        <v>45294</v>
      </c>
      <c r="T988" t="s">
        <v>2662</v>
      </c>
      <c r="U988" t="s">
        <v>4969</v>
      </c>
      <c r="V988">
        <v>9</v>
      </c>
      <c r="W988" t="s">
        <v>2677</v>
      </c>
      <c r="X988">
        <v>1</v>
      </c>
      <c r="Y988" t="s">
        <v>2807</v>
      </c>
      <c r="AA988">
        <v>55427353102</v>
      </c>
      <c r="AB988" t="s">
        <v>1972</v>
      </c>
      <c r="AC988">
        <v>0</v>
      </c>
      <c r="AD988">
        <v>49</v>
      </c>
      <c r="AE988">
        <v>5542735310249</v>
      </c>
      <c r="AF988" t="s">
        <v>4970</v>
      </c>
      <c r="AG988">
        <v>1</v>
      </c>
      <c r="AH988">
        <v>1</v>
      </c>
    </row>
    <row r="989" spans="1:34">
      <c r="A989">
        <v>2025</v>
      </c>
      <c r="B989" s="1">
        <v>45992</v>
      </c>
      <c r="C989" t="s">
        <v>2657</v>
      </c>
      <c r="D989" t="s">
        <v>4971</v>
      </c>
      <c r="E989" s="43">
        <v>45994.704242962966</v>
      </c>
      <c r="F989" s="1">
        <v>45994</v>
      </c>
      <c r="G989" s="43">
        <v>45995.904397627317</v>
      </c>
      <c r="H989" t="s">
        <v>2686</v>
      </c>
      <c r="I989" t="s">
        <v>2669</v>
      </c>
      <c r="J989" t="s">
        <v>36</v>
      </c>
      <c r="L989" t="s">
        <v>2421</v>
      </c>
      <c r="M989">
        <v>55427353102</v>
      </c>
      <c r="N989" t="s">
        <v>2661</v>
      </c>
      <c r="O989" s="1">
        <v>45294</v>
      </c>
      <c r="T989" t="s">
        <v>2662</v>
      </c>
      <c r="U989" t="s">
        <v>4972</v>
      </c>
      <c r="V989">
        <v>1</v>
      </c>
      <c r="W989" t="s">
        <v>2677</v>
      </c>
      <c r="X989">
        <v>1</v>
      </c>
      <c r="Y989" t="s">
        <v>2760</v>
      </c>
      <c r="AA989">
        <v>55427353102</v>
      </c>
      <c r="AB989" t="s">
        <v>1972</v>
      </c>
      <c r="AC989">
        <v>0</v>
      </c>
      <c r="AD989">
        <v>49</v>
      </c>
      <c r="AE989">
        <v>5542735310249</v>
      </c>
      <c r="AF989" t="s">
        <v>4970</v>
      </c>
      <c r="AG989">
        <v>0</v>
      </c>
      <c r="AH989">
        <v>0</v>
      </c>
    </row>
    <row r="990" spans="1:34">
      <c r="A990">
        <v>2025</v>
      </c>
      <c r="B990" s="1">
        <v>45992</v>
      </c>
      <c r="C990" t="s">
        <v>2657</v>
      </c>
      <c r="D990" t="s">
        <v>4973</v>
      </c>
      <c r="E990" s="43">
        <v>45995.906260358795</v>
      </c>
      <c r="F990" s="1">
        <v>45995</v>
      </c>
      <c r="G990" s="43">
        <v>46028.859907951388</v>
      </c>
      <c r="H990" t="s">
        <v>2686</v>
      </c>
      <c r="I990" t="s">
        <v>2669</v>
      </c>
      <c r="J990" t="s">
        <v>36</v>
      </c>
      <c r="L990" t="s">
        <v>2421</v>
      </c>
      <c r="M990">
        <v>55427353102</v>
      </c>
      <c r="N990" t="s">
        <v>2661</v>
      </c>
      <c r="O990" s="1">
        <v>45294</v>
      </c>
      <c r="T990" t="s">
        <v>2662</v>
      </c>
      <c r="U990" t="s">
        <v>4974</v>
      </c>
      <c r="V990">
        <v>23</v>
      </c>
      <c r="W990" t="s">
        <v>2671</v>
      </c>
      <c r="X990">
        <v>1</v>
      </c>
      <c r="Y990" t="s">
        <v>2727</v>
      </c>
      <c r="AA990">
        <v>55427353102</v>
      </c>
      <c r="AB990" t="s">
        <v>1972</v>
      </c>
      <c r="AC990">
        <v>0</v>
      </c>
      <c r="AD990">
        <v>49</v>
      </c>
      <c r="AE990">
        <v>5542735310249</v>
      </c>
      <c r="AF990" t="s">
        <v>4970</v>
      </c>
      <c r="AG990">
        <v>0</v>
      </c>
      <c r="AH990">
        <v>0</v>
      </c>
    </row>
    <row r="991" spans="1:34">
      <c r="A991">
        <v>2025</v>
      </c>
      <c r="B991" s="1">
        <v>45992</v>
      </c>
      <c r="C991" t="s">
        <v>2657</v>
      </c>
      <c r="D991" t="s">
        <v>4975</v>
      </c>
      <c r="E991" s="43">
        <v>45994.702991909726</v>
      </c>
      <c r="F991" s="1">
        <v>45994</v>
      </c>
      <c r="G991" s="43">
        <v>45995.563114178243</v>
      </c>
      <c r="H991" t="s">
        <v>2686</v>
      </c>
      <c r="I991" t="s">
        <v>2669</v>
      </c>
      <c r="J991" t="s">
        <v>36</v>
      </c>
      <c r="L991" t="s">
        <v>2421</v>
      </c>
      <c r="M991">
        <v>55427353102</v>
      </c>
      <c r="N991" t="s">
        <v>2661</v>
      </c>
      <c r="O991" s="1">
        <v>45294</v>
      </c>
      <c r="T991" t="s">
        <v>2662</v>
      </c>
      <c r="U991" t="s">
        <v>4976</v>
      </c>
      <c r="V991">
        <v>1</v>
      </c>
      <c r="W991" t="s">
        <v>2677</v>
      </c>
      <c r="X991">
        <v>1</v>
      </c>
      <c r="Y991" t="s">
        <v>2807</v>
      </c>
      <c r="AA991">
        <v>55427353102</v>
      </c>
      <c r="AB991" t="s">
        <v>1972</v>
      </c>
      <c r="AC991">
        <v>0</v>
      </c>
      <c r="AD991">
        <v>49</v>
      </c>
      <c r="AE991">
        <v>5542735310249</v>
      </c>
      <c r="AF991" t="s">
        <v>4970</v>
      </c>
      <c r="AG991">
        <v>0</v>
      </c>
      <c r="AH991">
        <v>0</v>
      </c>
    </row>
    <row r="992" spans="1:34">
      <c r="A992">
        <v>2025</v>
      </c>
      <c r="B992" s="1">
        <v>45992</v>
      </c>
      <c r="C992" t="s">
        <v>2657</v>
      </c>
      <c r="D992" t="s">
        <v>4977</v>
      </c>
      <c r="E992" s="43">
        <v>45995.564626203704</v>
      </c>
      <c r="F992" s="1">
        <v>45995</v>
      </c>
      <c r="G992" s="43">
        <v>45995.763934895833</v>
      </c>
      <c r="H992" t="s">
        <v>2686</v>
      </c>
      <c r="I992" t="s">
        <v>2669</v>
      </c>
      <c r="J992" t="s">
        <v>36</v>
      </c>
      <c r="L992" t="s">
        <v>2421</v>
      </c>
      <c r="M992">
        <v>55427353102</v>
      </c>
      <c r="N992" t="s">
        <v>2661</v>
      </c>
      <c r="O992" s="1">
        <v>45294</v>
      </c>
      <c r="T992" t="s">
        <v>2662</v>
      </c>
      <c r="U992" t="s">
        <v>4978</v>
      </c>
      <c r="V992">
        <v>0</v>
      </c>
      <c r="W992" t="s">
        <v>2677</v>
      </c>
      <c r="X992">
        <v>1</v>
      </c>
      <c r="Y992" t="s">
        <v>2807</v>
      </c>
      <c r="AA992">
        <v>55427353102</v>
      </c>
      <c r="AB992" t="s">
        <v>1972</v>
      </c>
      <c r="AC992">
        <v>0</v>
      </c>
      <c r="AD992">
        <v>49</v>
      </c>
      <c r="AE992">
        <v>5542735310249</v>
      </c>
      <c r="AF992" t="s">
        <v>4970</v>
      </c>
      <c r="AG992">
        <v>0</v>
      </c>
      <c r="AH992">
        <v>0</v>
      </c>
    </row>
    <row r="993" spans="1:35">
      <c r="A993">
        <v>2025</v>
      </c>
      <c r="B993" s="1">
        <v>45992</v>
      </c>
      <c r="C993" t="s">
        <v>2657</v>
      </c>
      <c r="D993" t="s">
        <v>4979</v>
      </c>
      <c r="E993" s="43">
        <v>45994.694511261572</v>
      </c>
      <c r="F993" s="1">
        <v>45994</v>
      </c>
      <c r="G993" s="43">
        <v>45999.791851249996</v>
      </c>
      <c r="H993" t="s">
        <v>2686</v>
      </c>
      <c r="I993" t="s">
        <v>2669</v>
      </c>
      <c r="J993" t="s">
        <v>36</v>
      </c>
      <c r="L993" t="s">
        <v>2421</v>
      </c>
      <c r="M993">
        <v>55427353102</v>
      </c>
      <c r="N993" t="s">
        <v>2661</v>
      </c>
      <c r="O993" s="1">
        <v>45294</v>
      </c>
      <c r="T993" t="s">
        <v>2662</v>
      </c>
      <c r="U993" t="s">
        <v>4980</v>
      </c>
      <c r="V993">
        <v>3</v>
      </c>
      <c r="W993" t="s">
        <v>2671</v>
      </c>
      <c r="X993">
        <v>1</v>
      </c>
      <c r="Y993" t="s">
        <v>2727</v>
      </c>
      <c r="AA993">
        <v>55427353102</v>
      </c>
      <c r="AB993" t="s">
        <v>1972</v>
      </c>
      <c r="AC993">
        <v>0</v>
      </c>
      <c r="AD993">
        <v>49</v>
      </c>
      <c r="AE993">
        <v>5542735310249</v>
      </c>
      <c r="AF993" t="s">
        <v>4970</v>
      </c>
      <c r="AG993">
        <v>0</v>
      </c>
      <c r="AH993">
        <v>0</v>
      </c>
    </row>
    <row r="994" spans="1:35">
      <c r="A994">
        <v>2025</v>
      </c>
      <c r="B994" s="1">
        <v>45992</v>
      </c>
      <c r="C994" t="s">
        <v>2657</v>
      </c>
      <c r="D994" s="44" t="s">
        <v>4981</v>
      </c>
      <c r="E994" s="43">
        <v>46002.528031620372</v>
      </c>
      <c r="F994" s="1">
        <v>46002</v>
      </c>
      <c r="G994" s="43">
        <v>46007.669583923613</v>
      </c>
      <c r="H994" t="s">
        <v>2686</v>
      </c>
      <c r="I994" t="s">
        <v>2681</v>
      </c>
      <c r="J994" t="s">
        <v>36</v>
      </c>
      <c r="L994" t="s">
        <v>2421</v>
      </c>
      <c r="M994">
        <v>55427353102</v>
      </c>
      <c r="N994" t="s">
        <v>2661</v>
      </c>
      <c r="O994" s="1">
        <v>45294</v>
      </c>
      <c r="T994" t="s">
        <v>2662</v>
      </c>
      <c r="U994" t="s">
        <v>4982</v>
      </c>
      <c r="V994">
        <v>3</v>
      </c>
      <c r="W994" t="s">
        <v>2677</v>
      </c>
      <c r="X994">
        <v>1</v>
      </c>
      <c r="Y994" t="s">
        <v>2772</v>
      </c>
      <c r="AA994">
        <v>55427353102</v>
      </c>
      <c r="AB994" t="s">
        <v>1972</v>
      </c>
      <c r="AC994">
        <v>0</v>
      </c>
      <c r="AD994">
        <v>50</v>
      </c>
      <c r="AE994">
        <v>5542735310250</v>
      </c>
      <c r="AF994" t="s">
        <v>4970</v>
      </c>
      <c r="AG994">
        <v>0</v>
      </c>
      <c r="AH994">
        <v>0</v>
      </c>
    </row>
    <row r="995" spans="1:35">
      <c r="A995">
        <v>2025</v>
      </c>
      <c r="B995" s="1">
        <v>45992</v>
      </c>
      <c r="C995" t="s">
        <v>2657</v>
      </c>
      <c r="D995" t="s">
        <v>4983</v>
      </c>
      <c r="E995" s="43">
        <v>46002.526373101849</v>
      </c>
      <c r="F995" s="1">
        <v>46002</v>
      </c>
      <c r="G995" s="43">
        <v>46007.671727048612</v>
      </c>
      <c r="H995" t="s">
        <v>2686</v>
      </c>
      <c r="I995" t="s">
        <v>2681</v>
      </c>
      <c r="J995" t="s">
        <v>36</v>
      </c>
      <c r="L995" t="s">
        <v>2421</v>
      </c>
      <c r="M995">
        <v>55427353102</v>
      </c>
      <c r="N995" t="s">
        <v>2661</v>
      </c>
      <c r="O995" s="1">
        <v>45294</v>
      </c>
      <c r="T995" t="s">
        <v>2662</v>
      </c>
      <c r="U995" t="s">
        <v>4984</v>
      </c>
      <c r="V995">
        <v>3</v>
      </c>
      <c r="W995" t="s">
        <v>2677</v>
      </c>
      <c r="X995">
        <v>1</v>
      </c>
      <c r="Y995" t="s">
        <v>2772</v>
      </c>
      <c r="AA995">
        <v>55427353102</v>
      </c>
      <c r="AB995" t="s">
        <v>1972</v>
      </c>
      <c r="AC995">
        <v>0</v>
      </c>
      <c r="AD995">
        <v>50</v>
      </c>
      <c r="AE995">
        <v>5542735310250</v>
      </c>
      <c r="AF995" t="s">
        <v>4970</v>
      </c>
      <c r="AG995">
        <v>0</v>
      </c>
      <c r="AH995">
        <v>0</v>
      </c>
    </row>
    <row r="996" spans="1:35">
      <c r="A996">
        <v>2025</v>
      </c>
      <c r="B996" s="1">
        <v>45992</v>
      </c>
      <c r="C996" t="s">
        <v>2657</v>
      </c>
      <c r="D996" t="s">
        <v>4985</v>
      </c>
      <c r="E996" s="43">
        <v>46001.53704354167</v>
      </c>
      <c r="F996" s="1">
        <v>46001</v>
      </c>
      <c r="G996" s="43">
        <v>46003.551719039351</v>
      </c>
      <c r="H996" t="s">
        <v>2686</v>
      </c>
      <c r="I996" t="s">
        <v>2681</v>
      </c>
      <c r="J996" t="s">
        <v>36</v>
      </c>
      <c r="L996" t="s">
        <v>2421</v>
      </c>
      <c r="M996">
        <v>55427353102</v>
      </c>
      <c r="N996" t="s">
        <v>2661</v>
      </c>
      <c r="O996" s="1">
        <v>45294</v>
      </c>
      <c r="T996" t="s">
        <v>2662</v>
      </c>
      <c r="U996" t="s">
        <v>4986</v>
      </c>
      <c r="V996">
        <v>2</v>
      </c>
      <c r="W996" t="s">
        <v>2743</v>
      </c>
      <c r="X996">
        <v>1</v>
      </c>
      <c r="Y996" t="s">
        <v>2688</v>
      </c>
      <c r="AA996">
        <v>55427353102</v>
      </c>
      <c r="AB996" t="s">
        <v>1972</v>
      </c>
      <c r="AC996">
        <v>0</v>
      </c>
      <c r="AD996">
        <v>50</v>
      </c>
      <c r="AE996">
        <v>5542735310250</v>
      </c>
      <c r="AF996" t="s">
        <v>4970</v>
      </c>
      <c r="AG996">
        <v>0</v>
      </c>
      <c r="AH996">
        <v>0</v>
      </c>
    </row>
    <row r="997" spans="1:35">
      <c r="A997">
        <v>2025</v>
      </c>
      <c r="B997" s="1">
        <v>45992</v>
      </c>
      <c r="C997" t="s">
        <v>2657</v>
      </c>
      <c r="D997" t="s">
        <v>4987</v>
      </c>
      <c r="E997" s="43">
        <v>46002.529280127317</v>
      </c>
      <c r="F997" s="1">
        <v>46002</v>
      </c>
      <c r="G997" s="43">
        <v>46007.671641168985</v>
      </c>
      <c r="H997" t="s">
        <v>2686</v>
      </c>
      <c r="I997" t="s">
        <v>2681</v>
      </c>
      <c r="J997" t="s">
        <v>36</v>
      </c>
      <c r="L997" t="s">
        <v>2421</v>
      </c>
      <c r="M997">
        <v>55427353102</v>
      </c>
      <c r="N997" t="s">
        <v>2661</v>
      </c>
      <c r="O997" s="1">
        <v>45294</v>
      </c>
      <c r="T997" t="s">
        <v>2662</v>
      </c>
      <c r="U997" t="s">
        <v>4988</v>
      </c>
      <c r="V997">
        <v>3</v>
      </c>
      <c r="W997" t="s">
        <v>2677</v>
      </c>
      <c r="X997">
        <v>1</v>
      </c>
      <c r="Y997" t="s">
        <v>2772</v>
      </c>
      <c r="AA997">
        <v>55427353102</v>
      </c>
      <c r="AB997" t="s">
        <v>1972</v>
      </c>
      <c r="AC997">
        <v>0</v>
      </c>
      <c r="AD997">
        <v>50</v>
      </c>
      <c r="AE997">
        <v>5542735310250</v>
      </c>
      <c r="AF997" t="s">
        <v>4970</v>
      </c>
      <c r="AG997">
        <v>0</v>
      </c>
      <c r="AH997">
        <v>0</v>
      </c>
    </row>
    <row r="998" spans="1:35">
      <c r="A998">
        <v>2025</v>
      </c>
      <c r="B998" s="1">
        <v>45992</v>
      </c>
      <c r="C998" t="s">
        <v>2657</v>
      </c>
      <c r="D998" t="s">
        <v>4989</v>
      </c>
      <c r="E998" s="43">
        <v>46002.52512810185</v>
      </c>
      <c r="F998" s="1">
        <v>46002</v>
      </c>
      <c r="G998" s="43">
        <v>46007.671542719909</v>
      </c>
      <c r="H998" t="s">
        <v>2686</v>
      </c>
      <c r="I998" t="s">
        <v>2681</v>
      </c>
      <c r="J998" t="s">
        <v>36</v>
      </c>
      <c r="L998" t="s">
        <v>2421</v>
      </c>
      <c r="M998">
        <v>55427353102</v>
      </c>
      <c r="N998" t="s">
        <v>2661</v>
      </c>
      <c r="O998" s="1">
        <v>45294</v>
      </c>
      <c r="T998" t="s">
        <v>2662</v>
      </c>
      <c r="U998" t="s">
        <v>4990</v>
      </c>
      <c r="V998">
        <v>3</v>
      </c>
      <c r="W998" t="s">
        <v>2677</v>
      </c>
      <c r="X998">
        <v>1</v>
      </c>
      <c r="Y998" t="s">
        <v>2772</v>
      </c>
      <c r="AA998">
        <v>55427353102</v>
      </c>
      <c r="AB998" t="s">
        <v>1972</v>
      </c>
      <c r="AC998">
        <v>0</v>
      </c>
      <c r="AD998">
        <v>50</v>
      </c>
      <c r="AE998">
        <v>5542735310250</v>
      </c>
      <c r="AF998" t="s">
        <v>4970</v>
      </c>
      <c r="AG998">
        <v>0</v>
      </c>
      <c r="AH998">
        <v>0</v>
      </c>
    </row>
    <row r="999" spans="1:35">
      <c r="A999">
        <v>2025</v>
      </c>
      <c r="B999" s="1">
        <v>45992</v>
      </c>
      <c r="C999" t="s">
        <v>2657</v>
      </c>
      <c r="D999" t="s">
        <v>4991</v>
      </c>
      <c r="E999" s="43">
        <v>46002.554419016204</v>
      </c>
      <c r="F999" s="1">
        <v>46002</v>
      </c>
      <c r="G999" s="43">
        <v>46027.751583993057</v>
      </c>
      <c r="H999" t="s">
        <v>2686</v>
      </c>
      <c r="I999" t="s">
        <v>2681</v>
      </c>
      <c r="J999" t="s">
        <v>36</v>
      </c>
      <c r="L999" t="s">
        <v>2421</v>
      </c>
      <c r="M999">
        <v>55427353102</v>
      </c>
      <c r="N999" t="s">
        <v>2661</v>
      </c>
      <c r="O999" s="1">
        <v>45294</v>
      </c>
      <c r="T999" t="s">
        <v>2662</v>
      </c>
      <c r="U999" t="s">
        <v>4992</v>
      </c>
      <c r="V999">
        <v>17</v>
      </c>
      <c r="X999">
        <v>1</v>
      </c>
      <c r="AA999">
        <v>55427353102</v>
      </c>
      <c r="AB999" t="s">
        <v>1972</v>
      </c>
      <c r="AC999">
        <v>0</v>
      </c>
      <c r="AD999">
        <v>50</v>
      </c>
      <c r="AE999">
        <v>5542735310250</v>
      </c>
      <c r="AF999" t="s">
        <v>4970</v>
      </c>
      <c r="AG999">
        <v>0</v>
      </c>
      <c r="AH999">
        <v>0</v>
      </c>
      <c r="AI999" t="s">
        <v>3001</v>
      </c>
    </row>
    <row r="1000" spans="1:35">
      <c r="A1000">
        <v>2025</v>
      </c>
      <c r="B1000" s="1">
        <v>45992</v>
      </c>
      <c r="C1000" t="s">
        <v>2657</v>
      </c>
      <c r="D1000" t="s">
        <v>4993</v>
      </c>
      <c r="E1000" s="43">
        <v>46002.550941909722</v>
      </c>
      <c r="F1000" s="1">
        <v>46002</v>
      </c>
      <c r="G1000" s="43">
        <v>46031.803011909724</v>
      </c>
      <c r="H1000" t="s">
        <v>2686</v>
      </c>
      <c r="I1000" t="s">
        <v>2681</v>
      </c>
      <c r="J1000" t="s">
        <v>36</v>
      </c>
      <c r="L1000" t="s">
        <v>2421</v>
      </c>
      <c r="M1000">
        <v>55427353102</v>
      </c>
      <c r="N1000" t="s">
        <v>2661</v>
      </c>
      <c r="O1000" s="1">
        <v>45294</v>
      </c>
      <c r="T1000" t="s">
        <v>2662</v>
      </c>
      <c r="U1000" t="s">
        <v>4994</v>
      </c>
      <c r="V1000">
        <v>21</v>
      </c>
      <c r="X1000">
        <v>1</v>
      </c>
      <c r="Z1000" t="s">
        <v>2684</v>
      </c>
      <c r="AA1000">
        <v>55427353102</v>
      </c>
      <c r="AB1000" t="s">
        <v>1972</v>
      </c>
      <c r="AC1000">
        <v>0</v>
      </c>
      <c r="AD1000">
        <v>50</v>
      </c>
      <c r="AE1000">
        <v>5542735310250</v>
      </c>
      <c r="AF1000" t="s">
        <v>4970</v>
      </c>
      <c r="AG1000">
        <v>0</v>
      </c>
      <c r="AH1000">
        <v>0</v>
      </c>
      <c r="AI1000" t="s">
        <v>3001</v>
      </c>
    </row>
    <row r="1001" spans="1:35">
      <c r="A1001">
        <v>2025</v>
      </c>
      <c r="B1001" s="1">
        <v>45992</v>
      </c>
      <c r="C1001" t="s">
        <v>2657</v>
      </c>
      <c r="D1001" t="s">
        <v>4995</v>
      </c>
      <c r="E1001" s="43">
        <v>45999.581153761574</v>
      </c>
      <c r="F1001" s="1">
        <v>45999</v>
      </c>
      <c r="G1001" s="43">
        <v>46002.673862118056</v>
      </c>
      <c r="H1001" t="s">
        <v>2686</v>
      </c>
      <c r="I1001" t="s">
        <v>2681</v>
      </c>
      <c r="J1001" t="s">
        <v>36</v>
      </c>
      <c r="L1001" t="s">
        <v>2421</v>
      </c>
      <c r="M1001">
        <v>55427353102</v>
      </c>
      <c r="N1001" t="s">
        <v>2661</v>
      </c>
      <c r="O1001" s="1">
        <v>45294</v>
      </c>
      <c r="T1001" t="s">
        <v>2662</v>
      </c>
      <c r="U1001" t="s">
        <v>4996</v>
      </c>
      <c r="V1001">
        <v>3</v>
      </c>
      <c r="W1001" t="s">
        <v>2677</v>
      </c>
      <c r="X1001">
        <v>1</v>
      </c>
      <c r="Y1001" t="s">
        <v>2678</v>
      </c>
      <c r="AA1001">
        <v>55427353102</v>
      </c>
      <c r="AB1001" t="s">
        <v>1972</v>
      </c>
      <c r="AC1001">
        <v>0</v>
      </c>
      <c r="AD1001">
        <v>50</v>
      </c>
      <c r="AE1001">
        <v>5542735310250</v>
      </c>
      <c r="AF1001" t="s">
        <v>4970</v>
      </c>
      <c r="AG1001">
        <v>1</v>
      </c>
      <c r="AH1001">
        <v>0</v>
      </c>
    </row>
    <row r="1002" spans="1:35">
      <c r="A1002">
        <v>2025</v>
      </c>
      <c r="B1002" s="1">
        <v>45992</v>
      </c>
      <c r="C1002" t="s">
        <v>2657</v>
      </c>
      <c r="D1002" t="s">
        <v>4997</v>
      </c>
      <c r="E1002" s="43">
        <v>45992.690992025462</v>
      </c>
      <c r="F1002" s="1">
        <v>45992</v>
      </c>
      <c r="G1002" s="43">
        <v>45992.690992025462</v>
      </c>
      <c r="H1002" t="s">
        <v>2686</v>
      </c>
      <c r="I1002" t="s">
        <v>2669</v>
      </c>
      <c r="J1002" t="s">
        <v>38</v>
      </c>
      <c r="L1002" t="s">
        <v>2342</v>
      </c>
      <c r="M1002">
        <v>24938392802</v>
      </c>
      <c r="N1002" t="s">
        <v>2702</v>
      </c>
      <c r="O1002" s="1">
        <v>45669</v>
      </c>
      <c r="T1002" t="s">
        <v>2662</v>
      </c>
      <c r="U1002" t="s">
        <v>4998</v>
      </c>
      <c r="V1002">
        <v>0</v>
      </c>
      <c r="W1002" t="s">
        <v>2704</v>
      </c>
      <c r="X1002">
        <v>1</v>
      </c>
      <c r="Y1002" t="s">
        <v>2695</v>
      </c>
      <c r="AA1002">
        <v>24674493302</v>
      </c>
      <c r="AB1002" t="s">
        <v>551</v>
      </c>
      <c r="AC1002">
        <v>0</v>
      </c>
      <c r="AD1002">
        <v>49</v>
      </c>
      <c r="AE1002">
        <v>2467449330249</v>
      </c>
      <c r="AF1002" t="s">
        <v>4999</v>
      </c>
      <c r="AG1002">
        <v>1</v>
      </c>
      <c r="AH1002">
        <v>1</v>
      </c>
    </row>
    <row r="1003" spans="1:35">
      <c r="A1003">
        <v>2025</v>
      </c>
      <c r="B1003" s="1">
        <v>45931</v>
      </c>
      <c r="C1003" t="s">
        <v>2657</v>
      </c>
      <c r="D1003" t="s">
        <v>5000</v>
      </c>
      <c r="E1003" s="43">
        <v>45952.896012453704</v>
      </c>
      <c r="F1003" s="1">
        <v>45952</v>
      </c>
      <c r="G1003" s="43">
        <v>45952.896012453704</v>
      </c>
      <c r="H1003" t="s">
        <v>2659</v>
      </c>
      <c r="I1003" t="s">
        <v>2660</v>
      </c>
      <c r="J1003" t="s">
        <v>100</v>
      </c>
      <c r="L1003" t="s">
        <v>2381</v>
      </c>
      <c r="M1003">
        <v>26774818902</v>
      </c>
      <c r="N1003" t="s">
        <v>2702</v>
      </c>
      <c r="O1003" s="1">
        <v>45661</v>
      </c>
      <c r="T1003" t="s">
        <v>2662</v>
      </c>
      <c r="U1003" t="s">
        <v>5001</v>
      </c>
      <c r="V1003">
        <v>0</v>
      </c>
      <c r="W1003" t="s">
        <v>2677</v>
      </c>
      <c r="X1003">
        <v>1</v>
      </c>
      <c r="Y1003" t="s">
        <v>2807</v>
      </c>
      <c r="AA1003">
        <v>26774818902</v>
      </c>
      <c r="AB1003" t="s">
        <v>1125</v>
      </c>
      <c r="AC1003">
        <v>1</v>
      </c>
      <c r="AD1003">
        <v>43</v>
      </c>
      <c r="AE1003">
        <v>2677481890243</v>
      </c>
      <c r="AF1003" t="s">
        <v>5002</v>
      </c>
      <c r="AG1003">
        <v>1</v>
      </c>
      <c r="AH1003">
        <v>1</v>
      </c>
    </row>
    <row r="1004" spans="1:35">
      <c r="A1004">
        <v>2025</v>
      </c>
      <c r="B1004" s="1">
        <v>45962</v>
      </c>
      <c r="C1004" t="s">
        <v>2657</v>
      </c>
      <c r="D1004" t="s">
        <v>5003</v>
      </c>
      <c r="E1004" s="43">
        <v>45967.799314895834</v>
      </c>
      <c r="F1004" s="1">
        <v>45967</v>
      </c>
      <c r="G1004" s="43">
        <v>45967.799314895834</v>
      </c>
      <c r="H1004" t="s">
        <v>2802</v>
      </c>
      <c r="I1004" t="s">
        <v>2669</v>
      </c>
      <c r="J1004" t="s">
        <v>2735</v>
      </c>
      <c r="L1004" t="s">
        <v>2408</v>
      </c>
      <c r="M1004">
        <v>933459575402</v>
      </c>
      <c r="N1004" t="s">
        <v>2746</v>
      </c>
      <c r="O1004" s="1">
        <v>45595</v>
      </c>
      <c r="T1004" t="s">
        <v>2662</v>
      </c>
      <c r="U1004" t="s">
        <v>5004</v>
      </c>
      <c r="V1004">
        <v>0</v>
      </c>
      <c r="W1004" t="s">
        <v>2671</v>
      </c>
      <c r="X1004">
        <v>1</v>
      </c>
      <c r="Y1004" t="s">
        <v>2695</v>
      </c>
      <c r="AA1004">
        <v>438747217402</v>
      </c>
      <c r="AB1004" t="s">
        <v>1377</v>
      </c>
      <c r="AC1004">
        <v>0</v>
      </c>
      <c r="AD1004">
        <v>45</v>
      </c>
      <c r="AE1004">
        <v>43874721740245</v>
      </c>
      <c r="AF1004" t="s">
        <v>5005</v>
      </c>
      <c r="AG1004">
        <v>1</v>
      </c>
      <c r="AH1004">
        <v>1</v>
      </c>
    </row>
    <row r="1005" spans="1:35">
      <c r="A1005">
        <v>2025</v>
      </c>
      <c r="B1005" s="1">
        <v>45962</v>
      </c>
      <c r="C1005" t="s">
        <v>2657</v>
      </c>
      <c r="D1005" s="44" t="s">
        <v>5006</v>
      </c>
      <c r="E1005" s="43">
        <v>45968.619581157407</v>
      </c>
      <c r="F1005" s="1">
        <v>45968</v>
      </c>
      <c r="G1005" s="43">
        <v>45972.670587546294</v>
      </c>
      <c r="H1005" t="s">
        <v>2802</v>
      </c>
      <c r="I1005" t="s">
        <v>2669</v>
      </c>
      <c r="J1005" t="s">
        <v>2735</v>
      </c>
      <c r="L1005" t="s">
        <v>2408</v>
      </c>
      <c r="M1005">
        <v>933459575402</v>
      </c>
      <c r="N1005" t="s">
        <v>2746</v>
      </c>
      <c r="O1005" s="1">
        <v>45595</v>
      </c>
      <c r="T1005" t="s">
        <v>2662</v>
      </c>
      <c r="U1005" t="s">
        <v>5007</v>
      </c>
      <c r="V1005">
        <v>2</v>
      </c>
      <c r="W1005" t="s">
        <v>2677</v>
      </c>
      <c r="X1005">
        <v>1</v>
      </c>
      <c r="Y1005" t="s">
        <v>2772</v>
      </c>
      <c r="AA1005">
        <v>438747217402</v>
      </c>
      <c r="AB1005" t="s">
        <v>1377</v>
      </c>
      <c r="AC1005">
        <v>0</v>
      </c>
      <c r="AD1005">
        <v>45</v>
      </c>
      <c r="AE1005">
        <v>43874721740245</v>
      </c>
      <c r="AF1005" t="s">
        <v>5005</v>
      </c>
      <c r="AG1005">
        <v>0</v>
      </c>
      <c r="AH1005">
        <v>0</v>
      </c>
    </row>
    <row r="1006" spans="1:35">
      <c r="A1006">
        <v>2025</v>
      </c>
      <c r="B1006" s="1">
        <v>45931</v>
      </c>
      <c r="C1006" t="s">
        <v>2657</v>
      </c>
      <c r="D1006" t="s">
        <v>5008</v>
      </c>
      <c r="E1006" s="43">
        <v>45946.620138275466</v>
      </c>
      <c r="F1006" s="1">
        <v>45946</v>
      </c>
      <c r="G1006" s="43">
        <v>45946.620138275466</v>
      </c>
      <c r="H1006" t="s">
        <v>2659</v>
      </c>
      <c r="I1006" t="s">
        <v>2719</v>
      </c>
      <c r="J1006" t="s">
        <v>37</v>
      </c>
      <c r="L1006" t="s">
        <v>2352</v>
      </c>
      <c r="M1006">
        <v>117086860802</v>
      </c>
      <c r="N1006" t="s">
        <v>2702</v>
      </c>
      <c r="O1006" s="1">
        <v>45294</v>
      </c>
      <c r="T1006" t="s">
        <v>2662</v>
      </c>
      <c r="U1006" t="s">
        <v>5009</v>
      </c>
      <c r="V1006">
        <v>0</v>
      </c>
      <c r="W1006" t="s">
        <v>2671</v>
      </c>
      <c r="X1006">
        <v>1</v>
      </c>
      <c r="Y1006" t="s">
        <v>2695</v>
      </c>
      <c r="AA1006">
        <v>117086860802</v>
      </c>
      <c r="AB1006" t="s">
        <v>876</v>
      </c>
      <c r="AC1006">
        <v>0</v>
      </c>
      <c r="AD1006">
        <v>42</v>
      </c>
      <c r="AE1006">
        <v>11708686080242</v>
      </c>
      <c r="AF1006" t="s">
        <v>5010</v>
      </c>
      <c r="AG1006">
        <v>1</v>
      </c>
      <c r="AH1006">
        <v>1</v>
      </c>
    </row>
    <row r="1007" spans="1:35">
      <c r="A1007">
        <v>2025</v>
      </c>
      <c r="B1007" s="1">
        <v>45931</v>
      </c>
      <c r="C1007" t="s">
        <v>2657</v>
      </c>
      <c r="D1007" s="44" t="s">
        <v>5011</v>
      </c>
      <c r="E1007" s="43">
        <v>45952.897777986109</v>
      </c>
      <c r="F1007" s="1">
        <v>45952</v>
      </c>
      <c r="G1007" s="43">
        <v>45957.604179224538</v>
      </c>
      <c r="H1007" t="s">
        <v>2659</v>
      </c>
      <c r="I1007" t="s">
        <v>2660</v>
      </c>
      <c r="J1007" t="s">
        <v>37</v>
      </c>
      <c r="L1007" t="s">
        <v>2352</v>
      </c>
      <c r="M1007">
        <v>117086860802</v>
      </c>
      <c r="N1007" t="s">
        <v>2702</v>
      </c>
      <c r="O1007" s="1">
        <v>45294</v>
      </c>
      <c r="T1007" t="s">
        <v>2662</v>
      </c>
      <c r="U1007" t="s">
        <v>5012</v>
      </c>
      <c r="V1007">
        <v>3</v>
      </c>
      <c r="W1007" t="s">
        <v>2671</v>
      </c>
      <c r="X1007">
        <v>1</v>
      </c>
      <c r="Y1007" t="s">
        <v>2672</v>
      </c>
      <c r="AA1007">
        <v>117086860802</v>
      </c>
      <c r="AB1007" t="s">
        <v>876</v>
      </c>
      <c r="AC1007">
        <v>0</v>
      </c>
      <c r="AD1007">
        <v>43</v>
      </c>
      <c r="AE1007">
        <v>11708686080243</v>
      </c>
      <c r="AF1007" t="s">
        <v>5010</v>
      </c>
      <c r="AG1007">
        <v>1</v>
      </c>
      <c r="AH1007">
        <v>0</v>
      </c>
    </row>
    <row r="1008" spans="1:35">
      <c r="A1008">
        <v>2026</v>
      </c>
      <c r="B1008" s="1">
        <v>46082</v>
      </c>
      <c r="C1008" t="s">
        <v>2657</v>
      </c>
      <c r="D1008" t="s">
        <v>5013</v>
      </c>
      <c r="E1008" s="43">
        <v>46084.601607280092</v>
      </c>
      <c r="F1008" s="1">
        <v>46084</v>
      </c>
      <c r="G1008" s="43">
        <v>46085.72310625</v>
      </c>
      <c r="H1008" t="s">
        <v>2668</v>
      </c>
      <c r="I1008" t="s">
        <v>2669</v>
      </c>
      <c r="J1008" t="s">
        <v>39</v>
      </c>
      <c r="L1008" t="s">
        <v>2336</v>
      </c>
      <c r="M1008">
        <v>763850718402</v>
      </c>
      <c r="N1008" t="s">
        <v>2702</v>
      </c>
      <c r="O1008" s="1">
        <v>46021</v>
      </c>
      <c r="T1008" t="s">
        <v>2662</v>
      </c>
      <c r="U1008" t="s">
        <v>5014</v>
      </c>
      <c r="V1008">
        <v>1</v>
      </c>
      <c r="W1008" t="s">
        <v>2677</v>
      </c>
      <c r="X1008">
        <v>1</v>
      </c>
      <c r="Y1008" t="s">
        <v>2760</v>
      </c>
      <c r="AA1008">
        <v>763850718402</v>
      </c>
      <c r="AB1008" t="s">
        <v>2429</v>
      </c>
      <c r="AC1008">
        <v>0</v>
      </c>
      <c r="AD1008">
        <v>10</v>
      </c>
      <c r="AE1008">
        <v>76385071840210</v>
      </c>
      <c r="AF1008" t="s">
        <v>5015</v>
      </c>
      <c r="AG1008">
        <v>1</v>
      </c>
      <c r="AH1008">
        <v>1</v>
      </c>
    </row>
    <row r="1009" spans="1:34">
      <c r="A1009">
        <v>2026</v>
      </c>
      <c r="B1009" s="1">
        <v>46082</v>
      </c>
      <c r="C1009" t="s">
        <v>2657</v>
      </c>
      <c r="D1009" s="44" t="s">
        <v>5016</v>
      </c>
      <c r="E1009" s="43">
        <v>46084.755607673615</v>
      </c>
      <c r="F1009" s="1">
        <v>46084</v>
      </c>
      <c r="G1009" s="43">
        <v>46090.568897870369</v>
      </c>
      <c r="H1009" t="s">
        <v>2668</v>
      </c>
      <c r="I1009" t="s">
        <v>2669</v>
      </c>
      <c r="J1009" t="s">
        <v>39</v>
      </c>
      <c r="L1009" t="s">
        <v>2336</v>
      </c>
      <c r="M1009">
        <v>763850718402</v>
      </c>
      <c r="N1009" t="s">
        <v>2702</v>
      </c>
      <c r="O1009" s="1">
        <v>46021</v>
      </c>
      <c r="T1009" t="s">
        <v>2662</v>
      </c>
      <c r="U1009" t="s">
        <v>5017</v>
      </c>
      <c r="V1009">
        <v>4</v>
      </c>
      <c r="W1009" t="s">
        <v>2671</v>
      </c>
      <c r="X1009">
        <v>1</v>
      </c>
      <c r="Y1009" t="s">
        <v>2683</v>
      </c>
      <c r="AA1009">
        <v>763850718402</v>
      </c>
      <c r="AB1009" t="s">
        <v>2429</v>
      </c>
      <c r="AC1009">
        <v>0</v>
      </c>
      <c r="AD1009">
        <v>10</v>
      </c>
      <c r="AE1009">
        <v>76385071840210</v>
      </c>
      <c r="AF1009" t="s">
        <v>5015</v>
      </c>
      <c r="AG1009">
        <v>0</v>
      </c>
      <c r="AH1009">
        <v>0</v>
      </c>
    </row>
    <row r="1010" spans="1:34">
      <c r="A1010">
        <v>2026</v>
      </c>
      <c r="B1010" s="1">
        <v>46082</v>
      </c>
      <c r="C1010" t="s">
        <v>2657</v>
      </c>
      <c r="D1010" t="s">
        <v>5018</v>
      </c>
      <c r="E1010" s="43">
        <v>46090.850334120369</v>
      </c>
      <c r="F1010" s="1">
        <v>46090</v>
      </c>
      <c r="G1010" s="43">
        <v>46090.850334120369</v>
      </c>
      <c r="H1010" t="s">
        <v>2668</v>
      </c>
      <c r="I1010" t="s">
        <v>2681</v>
      </c>
      <c r="J1010" t="s">
        <v>39</v>
      </c>
      <c r="L1010" t="s">
        <v>2336</v>
      </c>
      <c r="M1010">
        <v>1083912347902</v>
      </c>
      <c r="N1010" t="s">
        <v>2675</v>
      </c>
      <c r="O1010" s="1">
        <v>46077</v>
      </c>
      <c r="T1010" t="s">
        <v>2662</v>
      </c>
      <c r="U1010" t="s">
        <v>5019</v>
      </c>
      <c r="V1010">
        <v>0</v>
      </c>
      <c r="W1010" t="s">
        <v>2671</v>
      </c>
      <c r="X1010">
        <v>1</v>
      </c>
      <c r="Y1010" t="s">
        <v>2672</v>
      </c>
      <c r="AA1010">
        <v>763850718402</v>
      </c>
      <c r="AB1010" t="s">
        <v>2429</v>
      </c>
      <c r="AC1010">
        <v>1</v>
      </c>
      <c r="AD1010">
        <v>11</v>
      </c>
      <c r="AE1010">
        <v>76385071840211</v>
      </c>
      <c r="AF1010" t="s">
        <v>5015</v>
      </c>
      <c r="AG1010">
        <v>1</v>
      </c>
      <c r="AH1010">
        <v>0</v>
      </c>
    </row>
    <row r="1011" spans="1:34">
      <c r="A1011">
        <v>2025</v>
      </c>
      <c r="B1011" s="1">
        <v>45931</v>
      </c>
      <c r="C1011" t="s">
        <v>2657</v>
      </c>
      <c r="D1011" t="s">
        <v>5020</v>
      </c>
      <c r="E1011" s="43">
        <v>45933.687112569445</v>
      </c>
      <c r="F1011" s="1">
        <v>45933</v>
      </c>
      <c r="G1011" s="43">
        <v>45945.518252430556</v>
      </c>
      <c r="H1011" t="s">
        <v>2659</v>
      </c>
      <c r="I1011" t="s">
        <v>2669</v>
      </c>
      <c r="J1011" t="s">
        <v>2735</v>
      </c>
      <c r="L1011" t="s">
        <v>2408</v>
      </c>
      <c r="M1011">
        <v>933459575402</v>
      </c>
      <c r="N1011" t="s">
        <v>2746</v>
      </c>
      <c r="O1011" s="1">
        <v>45595</v>
      </c>
      <c r="T1011" t="s">
        <v>2662</v>
      </c>
      <c r="U1011" t="s">
        <v>5021</v>
      </c>
      <c r="V1011">
        <v>8</v>
      </c>
      <c r="W1011" t="s">
        <v>2677</v>
      </c>
      <c r="X1011">
        <v>1</v>
      </c>
      <c r="Y1011" t="s">
        <v>2772</v>
      </c>
      <c r="AA1011">
        <v>438747217402</v>
      </c>
      <c r="AB1011" t="s">
        <v>1377</v>
      </c>
      <c r="AC1011">
        <v>0</v>
      </c>
      <c r="AD1011">
        <v>40</v>
      </c>
      <c r="AE1011">
        <v>43874721740240</v>
      </c>
      <c r="AF1011" t="s">
        <v>5022</v>
      </c>
      <c r="AG1011">
        <v>1</v>
      </c>
      <c r="AH1011">
        <v>1</v>
      </c>
    </row>
    <row r="1012" spans="1:34">
      <c r="A1012">
        <v>2025</v>
      </c>
      <c r="B1012" s="1">
        <v>45931</v>
      </c>
      <c r="C1012" t="s">
        <v>2657</v>
      </c>
      <c r="D1012" t="s">
        <v>5023</v>
      </c>
      <c r="E1012" s="43">
        <v>45937.533885266203</v>
      </c>
      <c r="F1012" s="1">
        <v>45937</v>
      </c>
      <c r="G1012" s="43">
        <v>45937.533885266203</v>
      </c>
      <c r="H1012" t="s">
        <v>2659</v>
      </c>
      <c r="I1012" t="s">
        <v>2669</v>
      </c>
      <c r="J1012" t="s">
        <v>2735</v>
      </c>
      <c r="L1012" t="s">
        <v>2408</v>
      </c>
      <c r="M1012">
        <v>933459575402</v>
      </c>
      <c r="N1012" t="s">
        <v>2746</v>
      </c>
      <c r="O1012" s="1">
        <v>45595</v>
      </c>
      <c r="T1012" t="s">
        <v>2662</v>
      </c>
      <c r="U1012" t="s">
        <v>5024</v>
      </c>
      <c r="V1012">
        <v>0</v>
      </c>
      <c r="W1012" t="s">
        <v>2671</v>
      </c>
      <c r="X1012">
        <v>1</v>
      </c>
      <c r="Y1012" t="s">
        <v>2695</v>
      </c>
      <c r="AA1012">
        <v>438747217402</v>
      </c>
      <c r="AB1012" t="s">
        <v>1377</v>
      </c>
      <c r="AC1012">
        <v>0</v>
      </c>
      <c r="AD1012">
        <v>41</v>
      </c>
      <c r="AE1012">
        <v>43874721740241</v>
      </c>
      <c r="AF1012" t="s">
        <v>5022</v>
      </c>
      <c r="AG1012">
        <v>1</v>
      </c>
      <c r="AH1012">
        <v>0</v>
      </c>
    </row>
    <row r="1013" spans="1:34">
      <c r="A1013">
        <v>2025</v>
      </c>
      <c r="B1013" s="1">
        <v>45931</v>
      </c>
      <c r="C1013" t="s">
        <v>2657</v>
      </c>
      <c r="D1013" t="s">
        <v>5025</v>
      </c>
      <c r="E1013" s="43">
        <v>45944.629882824076</v>
      </c>
      <c r="F1013" s="1">
        <v>45944</v>
      </c>
      <c r="G1013" s="43">
        <v>45944.629882824076</v>
      </c>
      <c r="H1013" t="s">
        <v>2659</v>
      </c>
      <c r="I1013" t="s">
        <v>2681</v>
      </c>
      <c r="J1013" t="s">
        <v>2735</v>
      </c>
      <c r="L1013" t="s">
        <v>2408</v>
      </c>
      <c r="M1013">
        <v>933459575402</v>
      </c>
      <c r="N1013" t="s">
        <v>2746</v>
      </c>
      <c r="O1013" s="1">
        <v>45595</v>
      </c>
      <c r="T1013" t="s">
        <v>2662</v>
      </c>
      <c r="U1013" t="s">
        <v>5026</v>
      </c>
      <c r="V1013">
        <v>0</v>
      </c>
      <c r="W1013" t="s">
        <v>2671</v>
      </c>
      <c r="X1013">
        <v>1</v>
      </c>
      <c r="Y1013" t="s">
        <v>2695</v>
      </c>
      <c r="AA1013">
        <v>438747217402</v>
      </c>
      <c r="AB1013" t="s">
        <v>1377</v>
      </c>
      <c r="AC1013">
        <v>0</v>
      </c>
      <c r="AD1013">
        <v>42</v>
      </c>
      <c r="AE1013">
        <v>43874721740242</v>
      </c>
      <c r="AF1013" t="s">
        <v>5022</v>
      </c>
      <c r="AG1013">
        <v>1</v>
      </c>
      <c r="AH1013">
        <v>0</v>
      </c>
    </row>
    <row r="1014" spans="1:34">
      <c r="A1014">
        <v>2025</v>
      </c>
      <c r="B1014" s="1">
        <v>45931</v>
      </c>
      <c r="C1014" t="s">
        <v>2657</v>
      </c>
      <c r="D1014" t="s">
        <v>5027</v>
      </c>
      <c r="E1014" s="43">
        <v>45951.593303553243</v>
      </c>
      <c r="F1014" s="1">
        <v>45951</v>
      </c>
      <c r="G1014" s="43">
        <v>45951.593303553243</v>
      </c>
      <c r="H1014" t="s">
        <v>2659</v>
      </c>
      <c r="I1014" t="s">
        <v>2719</v>
      </c>
      <c r="J1014" t="s">
        <v>2735</v>
      </c>
      <c r="L1014" t="s">
        <v>2408</v>
      </c>
      <c r="M1014">
        <v>933459575402</v>
      </c>
      <c r="N1014" t="s">
        <v>2746</v>
      </c>
      <c r="O1014" s="1">
        <v>45595</v>
      </c>
      <c r="T1014" t="s">
        <v>2662</v>
      </c>
      <c r="U1014" t="s">
        <v>5028</v>
      </c>
      <c r="V1014">
        <v>0</v>
      </c>
      <c r="W1014" t="s">
        <v>2671</v>
      </c>
      <c r="X1014">
        <v>1</v>
      </c>
      <c r="Y1014" t="s">
        <v>2692</v>
      </c>
      <c r="AA1014">
        <v>438747217402</v>
      </c>
      <c r="AB1014" t="s">
        <v>1377</v>
      </c>
      <c r="AC1014">
        <v>0</v>
      </c>
      <c r="AD1014">
        <v>43</v>
      </c>
      <c r="AE1014">
        <v>43874721740243</v>
      </c>
      <c r="AF1014" t="s">
        <v>5022</v>
      </c>
      <c r="AG1014">
        <v>1</v>
      </c>
      <c r="AH1014">
        <v>0</v>
      </c>
    </row>
    <row r="1015" spans="1:34">
      <c r="A1015">
        <v>2025</v>
      </c>
      <c r="B1015" s="1">
        <v>45931</v>
      </c>
      <c r="C1015" t="s">
        <v>2657</v>
      </c>
      <c r="D1015" t="s">
        <v>5029</v>
      </c>
      <c r="E1015" s="43">
        <v>45953.563649293981</v>
      </c>
      <c r="F1015" s="1">
        <v>45953</v>
      </c>
      <c r="G1015" s="43">
        <v>45953.563649293981</v>
      </c>
      <c r="H1015" t="s">
        <v>2659</v>
      </c>
      <c r="I1015" t="s">
        <v>2660</v>
      </c>
      <c r="J1015" t="s">
        <v>2735</v>
      </c>
      <c r="L1015" t="s">
        <v>2408</v>
      </c>
      <c r="M1015">
        <v>933459575402</v>
      </c>
      <c r="N1015" t="s">
        <v>2746</v>
      </c>
      <c r="O1015" s="1">
        <v>45595</v>
      </c>
      <c r="T1015" t="s">
        <v>2662</v>
      </c>
      <c r="U1015" t="s">
        <v>5030</v>
      </c>
      <c r="V1015">
        <v>0</v>
      </c>
      <c r="W1015" t="s">
        <v>2671</v>
      </c>
      <c r="X1015">
        <v>1</v>
      </c>
      <c r="Y1015" t="s">
        <v>2695</v>
      </c>
      <c r="AA1015">
        <v>438747217402</v>
      </c>
      <c r="AB1015" t="s">
        <v>1377</v>
      </c>
      <c r="AC1015">
        <v>0</v>
      </c>
      <c r="AD1015">
        <v>43</v>
      </c>
      <c r="AE1015">
        <v>43874721740243</v>
      </c>
      <c r="AF1015" t="s">
        <v>5022</v>
      </c>
      <c r="AG1015">
        <v>0</v>
      </c>
      <c r="AH1015">
        <v>0</v>
      </c>
    </row>
    <row r="1016" spans="1:34">
      <c r="A1016">
        <v>2025</v>
      </c>
      <c r="B1016" s="1">
        <v>45931</v>
      </c>
      <c r="C1016" t="s">
        <v>2657</v>
      </c>
      <c r="D1016" t="s">
        <v>5031</v>
      </c>
      <c r="E1016" s="43">
        <v>45960.651266736109</v>
      </c>
      <c r="F1016" s="1">
        <v>45960</v>
      </c>
      <c r="G1016" s="43">
        <v>45960.651266736109</v>
      </c>
      <c r="H1016" t="s">
        <v>2659</v>
      </c>
      <c r="I1016" t="s">
        <v>2697</v>
      </c>
      <c r="J1016" t="s">
        <v>2735</v>
      </c>
      <c r="L1016" t="s">
        <v>2408</v>
      </c>
      <c r="M1016">
        <v>933459575402</v>
      </c>
      <c r="N1016" t="s">
        <v>2746</v>
      </c>
      <c r="O1016" s="1">
        <v>45595</v>
      </c>
      <c r="T1016" t="s">
        <v>2662</v>
      </c>
      <c r="U1016" t="s">
        <v>5032</v>
      </c>
      <c r="V1016">
        <v>0</v>
      </c>
      <c r="W1016" t="s">
        <v>2677</v>
      </c>
      <c r="X1016">
        <v>1</v>
      </c>
      <c r="Y1016" t="s">
        <v>2695</v>
      </c>
      <c r="AA1016">
        <v>438747217402</v>
      </c>
      <c r="AB1016" t="s">
        <v>1377</v>
      </c>
      <c r="AC1016">
        <v>0</v>
      </c>
      <c r="AD1016">
        <v>44</v>
      </c>
      <c r="AE1016">
        <v>43874721740244</v>
      </c>
      <c r="AF1016" t="s">
        <v>5022</v>
      </c>
      <c r="AG1016">
        <v>1</v>
      </c>
      <c r="AH1016">
        <v>0</v>
      </c>
    </row>
    <row r="1017" spans="1:34">
      <c r="A1017">
        <v>2026</v>
      </c>
      <c r="B1017" s="1">
        <v>46082</v>
      </c>
      <c r="C1017" t="s">
        <v>2657</v>
      </c>
      <c r="D1017" t="s">
        <v>5033</v>
      </c>
      <c r="E1017" s="43">
        <v>46090.865195729166</v>
      </c>
      <c r="F1017" s="1">
        <v>46090</v>
      </c>
      <c r="G1017" s="43">
        <v>46092.78152315972</v>
      </c>
      <c r="H1017" t="s">
        <v>2668</v>
      </c>
      <c r="I1017" t="s">
        <v>2681</v>
      </c>
      <c r="J1017" t="s">
        <v>37</v>
      </c>
      <c r="L1017" t="s">
        <v>2344</v>
      </c>
      <c r="M1017">
        <v>125288528002</v>
      </c>
      <c r="N1017" t="s">
        <v>2661</v>
      </c>
      <c r="O1017" s="1">
        <v>45884</v>
      </c>
      <c r="T1017" t="s">
        <v>2662</v>
      </c>
      <c r="U1017" t="s">
        <v>5034</v>
      </c>
      <c r="V1017">
        <v>2</v>
      </c>
      <c r="W1017" t="s">
        <v>2671</v>
      </c>
      <c r="X1017">
        <v>1</v>
      </c>
      <c r="Y1017" t="s">
        <v>2672</v>
      </c>
      <c r="AA1017">
        <v>125288528002</v>
      </c>
      <c r="AB1017" t="s">
        <v>668</v>
      </c>
      <c r="AC1017">
        <v>0</v>
      </c>
      <c r="AD1017">
        <v>11</v>
      </c>
      <c r="AE1017">
        <v>12528852800211</v>
      </c>
      <c r="AF1017" t="s">
        <v>5035</v>
      </c>
      <c r="AG1017">
        <v>0</v>
      </c>
      <c r="AH1017">
        <v>0</v>
      </c>
    </row>
    <row r="1018" spans="1:34">
      <c r="A1018">
        <v>2026</v>
      </c>
      <c r="B1018" s="1">
        <v>46082</v>
      </c>
      <c r="C1018" t="s">
        <v>2657</v>
      </c>
      <c r="D1018" t="s">
        <v>5036</v>
      </c>
      <c r="E1018" s="43">
        <v>46092.797544884263</v>
      </c>
      <c r="F1018" s="1">
        <v>46092</v>
      </c>
      <c r="G1018" s="43">
        <v>46092.797544884263</v>
      </c>
      <c r="H1018" t="s">
        <v>2668</v>
      </c>
      <c r="I1018" t="s">
        <v>2681</v>
      </c>
      <c r="J1018" t="s">
        <v>37</v>
      </c>
      <c r="L1018" t="s">
        <v>2344</v>
      </c>
      <c r="M1018">
        <v>125288528002</v>
      </c>
      <c r="N1018" t="s">
        <v>2661</v>
      </c>
      <c r="O1018" s="1">
        <v>45884</v>
      </c>
      <c r="T1018" t="s">
        <v>2798</v>
      </c>
      <c r="U1018" t="s">
        <v>5037</v>
      </c>
      <c r="V1018">
        <v>2</v>
      </c>
      <c r="W1018" t="s">
        <v>2985</v>
      </c>
      <c r="X1018">
        <v>0</v>
      </c>
      <c r="Y1018" t="s">
        <v>2985</v>
      </c>
      <c r="AA1018">
        <v>125288528002</v>
      </c>
      <c r="AB1018" t="s">
        <v>668</v>
      </c>
      <c r="AC1018">
        <v>1</v>
      </c>
      <c r="AD1018">
        <v>11</v>
      </c>
      <c r="AE1018">
        <v>12528852800211</v>
      </c>
      <c r="AF1018" t="s">
        <v>5035</v>
      </c>
      <c r="AG1018">
        <v>0</v>
      </c>
      <c r="AH1018">
        <v>0</v>
      </c>
    </row>
    <row r="1019" spans="1:34">
      <c r="A1019">
        <v>2026</v>
      </c>
      <c r="B1019" s="1">
        <v>46082</v>
      </c>
      <c r="C1019" t="s">
        <v>2657</v>
      </c>
      <c r="D1019" t="s">
        <v>5038</v>
      </c>
      <c r="E1019" s="43">
        <v>46090.850860543978</v>
      </c>
      <c r="F1019" s="1">
        <v>46090</v>
      </c>
      <c r="G1019" s="43">
        <v>46092.782261145832</v>
      </c>
      <c r="H1019" t="s">
        <v>2668</v>
      </c>
      <c r="I1019" t="s">
        <v>2681</v>
      </c>
      <c r="J1019" t="s">
        <v>37</v>
      </c>
      <c r="L1019" t="s">
        <v>2344</v>
      </c>
      <c r="M1019">
        <v>125288528002</v>
      </c>
      <c r="N1019" t="s">
        <v>2661</v>
      </c>
      <c r="O1019" s="1">
        <v>45884</v>
      </c>
      <c r="T1019" t="s">
        <v>2662</v>
      </c>
      <c r="U1019" t="s">
        <v>5039</v>
      </c>
      <c r="V1019">
        <v>2</v>
      </c>
      <c r="X1019">
        <v>1</v>
      </c>
      <c r="Y1019" t="s">
        <v>2717</v>
      </c>
      <c r="AA1019">
        <v>125288528002</v>
      </c>
      <c r="AB1019" t="s">
        <v>668</v>
      </c>
      <c r="AC1019">
        <v>0</v>
      </c>
      <c r="AD1019">
        <v>11</v>
      </c>
      <c r="AE1019">
        <v>12528852800211</v>
      </c>
      <c r="AF1019" t="s">
        <v>5035</v>
      </c>
      <c r="AG1019">
        <v>1</v>
      </c>
      <c r="AH1019">
        <v>1</v>
      </c>
    </row>
    <row r="1020" spans="1:34">
      <c r="A1020">
        <v>2025</v>
      </c>
      <c r="B1020" s="1">
        <v>45992</v>
      </c>
      <c r="C1020" t="s">
        <v>2657</v>
      </c>
      <c r="D1020" t="s">
        <v>5040</v>
      </c>
      <c r="E1020" s="43">
        <v>46010.581051284724</v>
      </c>
      <c r="F1020" s="1">
        <v>46010</v>
      </c>
      <c r="G1020" s="43">
        <v>46020.532407685183</v>
      </c>
      <c r="H1020" t="s">
        <v>2686</v>
      </c>
      <c r="I1020" t="s">
        <v>2719</v>
      </c>
      <c r="J1020" t="s">
        <v>36</v>
      </c>
      <c r="L1020" t="s">
        <v>2355</v>
      </c>
      <c r="M1020">
        <v>530870446802</v>
      </c>
      <c r="N1020" t="s">
        <v>2702</v>
      </c>
      <c r="O1020" s="1">
        <v>45661</v>
      </c>
      <c r="T1020" t="s">
        <v>2662</v>
      </c>
      <c r="U1020" t="s">
        <v>5041</v>
      </c>
      <c r="V1020">
        <v>6</v>
      </c>
      <c r="W1020" t="s">
        <v>2704</v>
      </c>
      <c r="X1020">
        <v>1</v>
      </c>
      <c r="Y1020" t="s">
        <v>2710</v>
      </c>
      <c r="AA1020">
        <v>530870446802</v>
      </c>
      <c r="AB1020" t="s">
        <v>1288</v>
      </c>
      <c r="AC1020">
        <v>0</v>
      </c>
      <c r="AD1020">
        <v>51</v>
      </c>
      <c r="AE1020">
        <v>53087044680251</v>
      </c>
      <c r="AF1020" t="s">
        <v>5042</v>
      </c>
      <c r="AG1020">
        <v>1</v>
      </c>
      <c r="AH1020">
        <v>1</v>
      </c>
    </row>
    <row r="1021" spans="1:34">
      <c r="A1021">
        <v>2026</v>
      </c>
      <c r="B1021" s="1">
        <v>46082</v>
      </c>
      <c r="C1021" t="s">
        <v>2657</v>
      </c>
      <c r="D1021" t="s">
        <v>5043</v>
      </c>
      <c r="E1021" s="43">
        <v>46085.623729317129</v>
      </c>
      <c r="F1021" s="1">
        <v>46085</v>
      </c>
      <c r="G1021" s="43">
        <v>46094.514416585647</v>
      </c>
      <c r="H1021" t="s">
        <v>2668</v>
      </c>
      <c r="I1021" t="s">
        <v>2669</v>
      </c>
      <c r="J1021" t="s">
        <v>39</v>
      </c>
      <c r="L1021" t="s">
        <v>2336</v>
      </c>
      <c r="M1021">
        <v>449549597602</v>
      </c>
      <c r="N1021" t="s">
        <v>2702</v>
      </c>
      <c r="O1021" s="1">
        <v>45358</v>
      </c>
      <c r="T1021" t="s">
        <v>2798</v>
      </c>
      <c r="U1021" t="s">
        <v>5044</v>
      </c>
      <c r="V1021">
        <v>7</v>
      </c>
      <c r="W1021" t="s">
        <v>2704</v>
      </c>
      <c r="X1021">
        <v>0</v>
      </c>
      <c r="Y1021" t="s">
        <v>2710</v>
      </c>
      <c r="Z1021" t="s">
        <v>2834</v>
      </c>
      <c r="AA1021">
        <v>449549597602</v>
      </c>
      <c r="AB1021" t="s">
        <v>1726</v>
      </c>
      <c r="AC1021">
        <v>1</v>
      </c>
      <c r="AD1021">
        <v>10</v>
      </c>
      <c r="AE1021">
        <v>44954959760210</v>
      </c>
      <c r="AF1021" t="s">
        <v>5045</v>
      </c>
      <c r="AG1021">
        <v>1</v>
      </c>
      <c r="AH1021">
        <v>1</v>
      </c>
    </row>
    <row r="1022" spans="1:34">
      <c r="A1022">
        <v>2026</v>
      </c>
      <c r="B1022" s="1">
        <v>46082</v>
      </c>
      <c r="C1022" t="s">
        <v>2657</v>
      </c>
      <c r="D1022" s="44" t="s">
        <v>5046</v>
      </c>
      <c r="E1022" s="43">
        <v>46086.770766145833</v>
      </c>
      <c r="F1022" s="1">
        <v>46086</v>
      </c>
      <c r="G1022" s="43">
        <v>46092.551471099534</v>
      </c>
      <c r="H1022" t="s">
        <v>2668</v>
      </c>
      <c r="I1022" t="s">
        <v>2669</v>
      </c>
      <c r="J1022" t="s">
        <v>36</v>
      </c>
      <c r="L1022" t="s">
        <v>2361</v>
      </c>
      <c r="M1022">
        <v>47713862502</v>
      </c>
      <c r="N1022" t="s">
        <v>2746</v>
      </c>
      <c r="O1022" s="1">
        <v>45975</v>
      </c>
      <c r="T1022" t="s">
        <v>2662</v>
      </c>
      <c r="U1022" t="s">
        <v>5047</v>
      </c>
      <c r="V1022">
        <v>4</v>
      </c>
      <c r="W1022" t="s">
        <v>2677</v>
      </c>
      <c r="X1022">
        <v>1</v>
      </c>
      <c r="Y1022" t="s">
        <v>2760</v>
      </c>
      <c r="AA1022">
        <v>245677411802</v>
      </c>
      <c r="AB1022" t="s">
        <v>2447</v>
      </c>
      <c r="AC1022">
        <v>1</v>
      </c>
      <c r="AD1022">
        <v>10</v>
      </c>
      <c r="AE1022">
        <v>24567741180210</v>
      </c>
      <c r="AF1022" t="s">
        <v>5048</v>
      </c>
      <c r="AG1022">
        <v>1</v>
      </c>
      <c r="AH1022">
        <v>1</v>
      </c>
    </row>
    <row r="1023" spans="1:34">
      <c r="A1023">
        <v>2026</v>
      </c>
      <c r="B1023" s="1">
        <v>46082</v>
      </c>
      <c r="C1023" t="s">
        <v>2657</v>
      </c>
      <c r="D1023" t="s">
        <v>5049</v>
      </c>
      <c r="E1023" s="43">
        <v>46084.570504745374</v>
      </c>
      <c r="F1023" s="1">
        <v>46084</v>
      </c>
      <c r="G1023" s="43">
        <v>46090.77090984954</v>
      </c>
      <c r="H1023" t="s">
        <v>2668</v>
      </c>
      <c r="I1023" t="s">
        <v>2669</v>
      </c>
      <c r="J1023" t="s">
        <v>39</v>
      </c>
      <c r="L1023" t="s">
        <v>2353</v>
      </c>
      <c r="M1023">
        <v>316851710302</v>
      </c>
      <c r="N1023" t="s">
        <v>2675</v>
      </c>
      <c r="O1023" s="1">
        <v>45294</v>
      </c>
      <c r="T1023" t="s">
        <v>2662</v>
      </c>
      <c r="U1023" t="s">
        <v>5050</v>
      </c>
      <c r="V1023">
        <v>4</v>
      </c>
      <c r="W1023" t="s">
        <v>2677</v>
      </c>
      <c r="X1023">
        <v>1</v>
      </c>
      <c r="Y1023" t="s">
        <v>2760</v>
      </c>
      <c r="AA1023">
        <v>316851710302</v>
      </c>
      <c r="AB1023" t="s">
        <v>1494</v>
      </c>
      <c r="AC1023">
        <v>0</v>
      </c>
      <c r="AD1023">
        <v>10</v>
      </c>
      <c r="AE1023">
        <v>31685171030210</v>
      </c>
      <c r="AF1023" t="s">
        <v>5051</v>
      </c>
      <c r="AG1023">
        <v>0</v>
      </c>
      <c r="AH1023">
        <v>0</v>
      </c>
    </row>
    <row r="1024" spans="1:34">
      <c r="A1024">
        <v>2026</v>
      </c>
      <c r="B1024" s="1">
        <v>46082</v>
      </c>
      <c r="C1024" t="s">
        <v>2657</v>
      </c>
      <c r="D1024" t="s">
        <v>5052</v>
      </c>
      <c r="E1024" s="43">
        <v>46084.508158368059</v>
      </c>
      <c r="F1024" s="1">
        <v>46084</v>
      </c>
      <c r="G1024" s="43">
        <v>46092.548848946761</v>
      </c>
      <c r="H1024" t="s">
        <v>2668</v>
      </c>
      <c r="I1024" t="s">
        <v>2669</v>
      </c>
      <c r="J1024" t="s">
        <v>39</v>
      </c>
      <c r="L1024" t="s">
        <v>2353</v>
      </c>
      <c r="M1024">
        <v>316851710302</v>
      </c>
      <c r="N1024" t="s">
        <v>2675</v>
      </c>
      <c r="O1024" s="1">
        <v>45294</v>
      </c>
      <c r="T1024" t="s">
        <v>2798</v>
      </c>
      <c r="U1024" t="s">
        <v>5053</v>
      </c>
      <c r="V1024">
        <v>8</v>
      </c>
      <c r="W1024" t="s">
        <v>2671</v>
      </c>
      <c r="X1024">
        <v>0</v>
      </c>
      <c r="Y1024" t="s">
        <v>2683</v>
      </c>
      <c r="Z1024" t="s">
        <v>2834</v>
      </c>
      <c r="AA1024">
        <v>316851710302</v>
      </c>
      <c r="AB1024" t="s">
        <v>1494</v>
      </c>
      <c r="AC1024">
        <v>0</v>
      </c>
      <c r="AD1024">
        <v>10</v>
      </c>
      <c r="AE1024">
        <v>31685171030210</v>
      </c>
      <c r="AF1024" t="s">
        <v>5051</v>
      </c>
      <c r="AG1024">
        <v>1</v>
      </c>
      <c r="AH1024">
        <v>1</v>
      </c>
    </row>
    <row r="1025" spans="1:35">
      <c r="A1025">
        <v>2026</v>
      </c>
      <c r="B1025" s="1">
        <v>46082</v>
      </c>
      <c r="C1025" t="s">
        <v>2657</v>
      </c>
      <c r="D1025" t="s">
        <v>5054</v>
      </c>
      <c r="E1025" s="43">
        <v>46090.860517951391</v>
      </c>
      <c r="F1025" s="1">
        <v>46090</v>
      </c>
      <c r="G1025" s="43">
        <v>46092.649806111112</v>
      </c>
      <c r="H1025" t="s">
        <v>2668</v>
      </c>
      <c r="I1025" t="s">
        <v>2681</v>
      </c>
      <c r="J1025" t="s">
        <v>39</v>
      </c>
      <c r="L1025" t="s">
        <v>2353</v>
      </c>
      <c r="M1025">
        <v>316851710302</v>
      </c>
      <c r="N1025" t="s">
        <v>2675</v>
      </c>
      <c r="O1025" s="1">
        <v>45294</v>
      </c>
      <c r="T1025" t="s">
        <v>2662</v>
      </c>
      <c r="U1025" t="s">
        <v>5055</v>
      </c>
      <c r="V1025">
        <v>2</v>
      </c>
      <c r="W1025" t="s">
        <v>2743</v>
      </c>
      <c r="X1025">
        <v>1</v>
      </c>
      <c r="Y1025" t="s">
        <v>2699</v>
      </c>
      <c r="AA1025">
        <v>316851710302</v>
      </c>
      <c r="AB1025" t="s">
        <v>1494</v>
      </c>
      <c r="AC1025">
        <v>1</v>
      </c>
      <c r="AD1025">
        <v>11</v>
      </c>
      <c r="AE1025">
        <v>31685171030211</v>
      </c>
      <c r="AF1025" t="s">
        <v>5051</v>
      </c>
      <c r="AG1025">
        <v>1</v>
      </c>
      <c r="AH1025">
        <v>0</v>
      </c>
    </row>
    <row r="1026" spans="1:35">
      <c r="A1026">
        <v>2025</v>
      </c>
      <c r="B1026" s="1">
        <v>45992</v>
      </c>
      <c r="C1026" t="s">
        <v>2657</v>
      </c>
      <c r="D1026" t="s">
        <v>5056</v>
      </c>
      <c r="E1026" s="43">
        <v>46009.708640752317</v>
      </c>
      <c r="F1026" s="1">
        <v>46009</v>
      </c>
      <c r="G1026" s="43">
        <v>46020.538240543981</v>
      </c>
      <c r="H1026" t="s">
        <v>2686</v>
      </c>
      <c r="I1026" t="s">
        <v>2719</v>
      </c>
      <c r="J1026" t="s">
        <v>36</v>
      </c>
      <c r="L1026" t="s">
        <v>2421</v>
      </c>
      <c r="M1026">
        <v>685488901302</v>
      </c>
      <c r="N1026" t="s">
        <v>2661</v>
      </c>
      <c r="O1026" s="1">
        <v>45669</v>
      </c>
      <c r="T1026" t="s">
        <v>2662</v>
      </c>
      <c r="U1026" t="s">
        <v>5057</v>
      </c>
      <c r="V1026">
        <v>7</v>
      </c>
      <c r="W1026" t="s">
        <v>2671</v>
      </c>
      <c r="X1026">
        <v>1</v>
      </c>
      <c r="Y1026" t="s">
        <v>2672</v>
      </c>
      <c r="Z1026" t="s">
        <v>2684</v>
      </c>
      <c r="AA1026">
        <v>685488901302</v>
      </c>
      <c r="AB1026" t="s">
        <v>414</v>
      </c>
      <c r="AC1026">
        <v>0</v>
      </c>
      <c r="AD1026">
        <v>51</v>
      </c>
      <c r="AE1026">
        <v>68548890130251</v>
      </c>
      <c r="AF1026" t="s">
        <v>5058</v>
      </c>
      <c r="AG1026">
        <v>1</v>
      </c>
      <c r="AH1026">
        <v>1</v>
      </c>
    </row>
    <row r="1027" spans="1:35">
      <c r="A1027">
        <v>2026</v>
      </c>
      <c r="B1027" s="1">
        <v>46082</v>
      </c>
      <c r="C1027" t="s">
        <v>2657</v>
      </c>
      <c r="D1027" t="s">
        <v>5059</v>
      </c>
      <c r="E1027" s="43">
        <v>46083.548230289351</v>
      </c>
      <c r="F1027" s="1">
        <v>46083</v>
      </c>
      <c r="G1027" s="43">
        <v>46086.633655277779</v>
      </c>
      <c r="H1027" t="s">
        <v>2668</v>
      </c>
      <c r="I1027" t="s">
        <v>2669</v>
      </c>
      <c r="J1027" t="s">
        <v>39</v>
      </c>
      <c r="L1027" t="s">
        <v>2408</v>
      </c>
      <c r="M1027">
        <v>861076042402</v>
      </c>
      <c r="N1027" t="s">
        <v>2746</v>
      </c>
      <c r="O1027" s="1">
        <v>45669</v>
      </c>
      <c r="T1027" t="s">
        <v>2662</v>
      </c>
      <c r="U1027" t="s">
        <v>5060</v>
      </c>
      <c r="V1027">
        <v>3</v>
      </c>
      <c r="W1027" t="s">
        <v>2671</v>
      </c>
      <c r="X1027">
        <v>1</v>
      </c>
      <c r="Y1027" t="s">
        <v>2764</v>
      </c>
      <c r="AA1027">
        <v>508996769902</v>
      </c>
      <c r="AB1027" t="s">
        <v>2193</v>
      </c>
      <c r="AC1027">
        <v>0</v>
      </c>
      <c r="AD1027">
        <v>10</v>
      </c>
      <c r="AE1027">
        <v>50899676990210</v>
      </c>
      <c r="AF1027" t="s">
        <v>5061</v>
      </c>
      <c r="AG1027">
        <v>0</v>
      </c>
      <c r="AH1027">
        <v>0</v>
      </c>
    </row>
    <row r="1028" spans="1:35">
      <c r="A1028">
        <v>2026</v>
      </c>
      <c r="B1028" s="1">
        <v>46082</v>
      </c>
      <c r="C1028" t="s">
        <v>2657</v>
      </c>
      <c r="D1028" t="s">
        <v>5062</v>
      </c>
      <c r="E1028" s="43">
        <v>46084.553867453702</v>
      </c>
      <c r="F1028" s="1">
        <v>46084</v>
      </c>
      <c r="G1028" s="43">
        <v>46085.574098946759</v>
      </c>
      <c r="H1028" t="s">
        <v>2668</v>
      </c>
      <c r="I1028" t="s">
        <v>2669</v>
      </c>
      <c r="J1028" t="s">
        <v>39</v>
      </c>
      <c r="L1028" t="s">
        <v>2408</v>
      </c>
      <c r="M1028">
        <v>861076042402</v>
      </c>
      <c r="N1028" t="s">
        <v>2746</v>
      </c>
      <c r="O1028" s="1">
        <v>45669</v>
      </c>
      <c r="T1028" t="s">
        <v>2662</v>
      </c>
      <c r="U1028" t="s">
        <v>5063</v>
      </c>
      <c r="V1028">
        <v>1</v>
      </c>
      <c r="W1028" t="s">
        <v>2671</v>
      </c>
      <c r="X1028">
        <v>1</v>
      </c>
      <c r="Y1028" t="s">
        <v>2672</v>
      </c>
      <c r="AA1028">
        <v>508996769902</v>
      </c>
      <c r="AB1028" t="s">
        <v>2193</v>
      </c>
      <c r="AC1028">
        <v>0</v>
      </c>
      <c r="AD1028">
        <v>10</v>
      </c>
      <c r="AE1028">
        <v>50899676990210</v>
      </c>
      <c r="AF1028" t="s">
        <v>5061</v>
      </c>
      <c r="AG1028">
        <v>0</v>
      </c>
      <c r="AH1028">
        <v>0</v>
      </c>
      <c r="AI1028" t="s">
        <v>3001</v>
      </c>
    </row>
    <row r="1029" spans="1:35">
      <c r="A1029">
        <v>2026</v>
      </c>
      <c r="B1029" s="1">
        <v>46082</v>
      </c>
      <c r="C1029" t="s">
        <v>2657</v>
      </c>
      <c r="D1029" t="s">
        <v>5064</v>
      </c>
      <c r="E1029" s="43">
        <v>46087.521435104165</v>
      </c>
      <c r="F1029" s="1">
        <v>46087</v>
      </c>
      <c r="G1029" s="43">
        <v>46090.633651481483</v>
      </c>
      <c r="H1029" t="s">
        <v>2668</v>
      </c>
      <c r="I1029" t="s">
        <v>2669</v>
      </c>
      <c r="J1029" t="s">
        <v>39</v>
      </c>
      <c r="L1029" t="s">
        <v>2408</v>
      </c>
      <c r="M1029">
        <v>861076042402</v>
      </c>
      <c r="N1029" t="s">
        <v>2746</v>
      </c>
      <c r="O1029" s="1">
        <v>45669</v>
      </c>
      <c r="T1029" t="s">
        <v>2662</v>
      </c>
      <c r="U1029" t="s">
        <v>5065</v>
      </c>
      <c r="V1029">
        <v>1</v>
      </c>
      <c r="W1029" t="s">
        <v>2677</v>
      </c>
      <c r="X1029">
        <v>1</v>
      </c>
      <c r="Y1029" t="s">
        <v>2678</v>
      </c>
      <c r="AA1029">
        <v>508996769902</v>
      </c>
      <c r="AB1029" t="s">
        <v>2193</v>
      </c>
      <c r="AC1029">
        <v>0</v>
      </c>
      <c r="AD1029">
        <v>10</v>
      </c>
      <c r="AE1029">
        <v>50899676990210</v>
      </c>
      <c r="AF1029" t="s">
        <v>5061</v>
      </c>
      <c r="AG1029">
        <v>0</v>
      </c>
      <c r="AH1029">
        <v>0</v>
      </c>
    </row>
    <row r="1030" spans="1:35">
      <c r="A1030">
        <v>2026</v>
      </c>
      <c r="B1030" s="1">
        <v>46082</v>
      </c>
      <c r="C1030" t="s">
        <v>2657</v>
      </c>
      <c r="D1030" t="s">
        <v>5066</v>
      </c>
      <c r="E1030" s="43">
        <v>46083.537263854167</v>
      </c>
      <c r="F1030" s="1">
        <v>46083</v>
      </c>
      <c r="G1030" s="43">
        <v>46085.574143391204</v>
      </c>
      <c r="H1030" t="s">
        <v>2668</v>
      </c>
      <c r="I1030" t="s">
        <v>2669</v>
      </c>
      <c r="J1030" t="s">
        <v>39</v>
      </c>
      <c r="L1030" t="s">
        <v>2408</v>
      </c>
      <c r="M1030">
        <v>861076042402</v>
      </c>
      <c r="N1030" t="s">
        <v>2746</v>
      </c>
      <c r="O1030" s="1">
        <v>45669</v>
      </c>
      <c r="T1030" t="s">
        <v>2662</v>
      </c>
      <c r="U1030" t="s">
        <v>5067</v>
      </c>
      <c r="V1030">
        <v>2</v>
      </c>
      <c r="W1030" t="s">
        <v>2677</v>
      </c>
      <c r="X1030">
        <v>1</v>
      </c>
      <c r="Y1030" t="s">
        <v>2779</v>
      </c>
      <c r="AA1030">
        <v>508996769902</v>
      </c>
      <c r="AB1030" t="s">
        <v>2193</v>
      </c>
      <c r="AC1030">
        <v>0</v>
      </c>
      <c r="AD1030">
        <v>10</v>
      </c>
      <c r="AE1030">
        <v>50899676990210</v>
      </c>
      <c r="AF1030" t="s">
        <v>5061</v>
      </c>
      <c r="AG1030">
        <v>1</v>
      </c>
      <c r="AH1030">
        <v>1</v>
      </c>
    </row>
    <row r="1031" spans="1:35">
      <c r="A1031">
        <v>2026</v>
      </c>
      <c r="B1031" s="1">
        <v>46082</v>
      </c>
      <c r="C1031" t="s">
        <v>2657</v>
      </c>
      <c r="D1031" t="s">
        <v>5068</v>
      </c>
      <c r="E1031" s="43">
        <v>46091.829774930557</v>
      </c>
      <c r="F1031" s="1">
        <v>46091</v>
      </c>
      <c r="G1031" s="43">
        <v>46094.561958437502</v>
      </c>
      <c r="H1031" t="s">
        <v>2668</v>
      </c>
      <c r="I1031" t="s">
        <v>2681</v>
      </c>
      <c r="J1031" t="s">
        <v>39</v>
      </c>
      <c r="L1031" t="s">
        <v>2408</v>
      </c>
      <c r="M1031">
        <v>861076042402</v>
      </c>
      <c r="N1031" t="s">
        <v>2746</v>
      </c>
      <c r="O1031" s="1">
        <v>45669</v>
      </c>
      <c r="T1031" t="s">
        <v>2798</v>
      </c>
      <c r="U1031" t="s">
        <v>5069</v>
      </c>
      <c r="V1031">
        <v>3</v>
      </c>
      <c r="W1031" t="s">
        <v>2677</v>
      </c>
      <c r="X1031">
        <v>0</v>
      </c>
      <c r="Y1031" t="s">
        <v>2678</v>
      </c>
      <c r="AA1031">
        <v>508996769902</v>
      </c>
      <c r="AB1031" t="s">
        <v>2193</v>
      </c>
      <c r="AC1031">
        <v>0</v>
      </c>
      <c r="AD1031">
        <v>11</v>
      </c>
      <c r="AE1031">
        <v>50899676990211</v>
      </c>
      <c r="AF1031" t="s">
        <v>5061</v>
      </c>
      <c r="AG1031">
        <v>1</v>
      </c>
      <c r="AH1031">
        <v>0</v>
      </c>
    </row>
    <row r="1032" spans="1:35">
      <c r="A1032">
        <v>2026</v>
      </c>
      <c r="B1032" s="1">
        <v>46082</v>
      </c>
      <c r="C1032" t="s">
        <v>2657</v>
      </c>
      <c r="D1032" s="44" t="s">
        <v>5070</v>
      </c>
      <c r="E1032" s="43">
        <v>46093.6348137963</v>
      </c>
      <c r="F1032" s="1">
        <v>46093</v>
      </c>
      <c r="G1032" s="43">
        <v>46094.704097974536</v>
      </c>
      <c r="H1032" t="s">
        <v>2668</v>
      </c>
      <c r="I1032" t="s">
        <v>2681</v>
      </c>
      <c r="J1032" t="s">
        <v>39</v>
      </c>
      <c r="L1032" t="s">
        <v>2408</v>
      </c>
      <c r="M1032">
        <v>861076042402</v>
      </c>
      <c r="N1032" t="s">
        <v>2746</v>
      </c>
      <c r="O1032" s="1">
        <v>45669</v>
      </c>
      <c r="T1032" t="s">
        <v>2662</v>
      </c>
      <c r="U1032" t="s">
        <v>5071</v>
      </c>
      <c r="V1032">
        <v>1</v>
      </c>
      <c r="W1032" t="s">
        <v>2671</v>
      </c>
      <c r="X1032">
        <v>1</v>
      </c>
      <c r="Y1032" t="s">
        <v>2683</v>
      </c>
      <c r="AA1032">
        <v>508996769902</v>
      </c>
      <c r="AB1032" t="s">
        <v>2193</v>
      </c>
      <c r="AC1032">
        <v>1</v>
      </c>
      <c r="AD1032">
        <v>11</v>
      </c>
      <c r="AE1032">
        <v>50899676990211</v>
      </c>
      <c r="AF1032" t="s">
        <v>5061</v>
      </c>
      <c r="AG1032">
        <v>0</v>
      </c>
      <c r="AH1032">
        <v>0</v>
      </c>
    </row>
    <row r="1033" spans="1:35">
      <c r="A1033">
        <v>2026</v>
      </c>
      <c r="B1033" s="1">
        <v>46054</v>
      </c>
      <c r="C1033" t="s">
        <v>2657</v>
      </c>
      <c r="D1033" t="s">
        <v>5072</v>
      </c>
      <c r="E1033" s="43">
        <v>46073.650181874997</v>
      </c>
      <c r="F1033" s="1">
        <v>46073</v>
      </c>
      <c r="G1033" s="43">
        <v>46076.606421296296</v>
      </c>
      <c r="H1033" t="s">
        <v>2725</v>
      </c>
      <c r="I1033" t="s">
        <v>2719</v>
      </c>
      <c r="J1033" t="s">
        <v>100</v>
      </c>
      <c r="L1033" t="s">
        <v>2353</v>
      </c>
      <c r="M1033">
        <v>671124237502</v>
      </c>
      <c r="N1033" t="s">
        <v>2675</v>
      </c>
      <c r="O1033" s="1">
        <v>46021</v>
      </c>
      <c r="T1033" t="s">
        <v>2798</v>
      </c>
      <c r="U1033" t="s">
        <v>5073</v>
      </c>
      <c r="V1033">
        <v>15</v>
      </c>
      <c r="W1033" t="s">
        <v>2671</v>
      </c>
      <c r="X1033">
        <v>0</v>
      </c>
      <c r="Y1033" t="s">
        <v>2807</v>
      </c>
      <c r="Z1033" t="s">
        <v>2684</v>
      </c>
      <c r="AA1033">
        <v>671124237502</v>
      </c>
      <c r="AB1033" t="s">
        <v>2443</v>
      </c>
      <c r="AC1033">
        <v>0</v>
      </c>
      <c r="AD1033">
        <v>8</v>
      </c>
      <c r="AE1033">
        <v>6711242375028</v>
      </c>
      <c r="AF1033" t="s">
        <v>5074</v>
      </c>
      <c r="AG1033">
        <v>1</v>
      </c>
      <c r="AH1033">
        <v>1</v>
      </c>
    </row>
    <row r="1034" spans="1:35">
      <c r="A1034">
        <v>2025</v>
      </c>
      <c r="B1034" s="1">
        <v>45992</v>
      </c>
      <c r="C1034" t="s">
        <v>2657</v>
      </c>
      <c r="D1034" t="s">
        <v>5075</v>
      </c>
      <c r="E1034" s="43">
        <v>45995.562241006941</v>
      </c>
      <c r="F1034" s="1">
        <v>45995</v>
      </c>
      <c r="G1034" s="43">
        <v>45996.506495624999</v>
      </c>
      <c r="H1034" t="s">
        <v>2686</v>
      </c>
      <c r="I1034" t="s">
        <v>2669</v>
      </c>
      <c r="J1034" t="s">
        <v>2735</v>
      </c>
      <c r="L1034" t="s">
        <v>2408</v>
      </c>
      <c r="M1034">
        <v>11613361102</v>
      </c>
      <c r="N1034" t="s">
        <v>2746</v>
      </c>
      <c r="O1034" s="1">
        <v>45294</v>
      </c>
      <c r="T1034" t="s">
        <v>2662</v>
      </c>
      <c r="U1034" t="s">
        <v>5076</v>
      </c>
      <c r="V1034">
        <v>1</v>
      </c>
      <c r="W1034" t="s">
        <v>2671</v>
      </c>
      <c r="X1034">
        <v>1</v>
      </c>
      <c r="Y1034" t="s">
        <v>2692</v>
      </c>
      <c r="AA1034">
        <v>11613361102</v>
      </c>
      <c r="AB1034" t="s">
        <v>1880</v>
      </c>
      <c r="AC1034">
        <v>0</v>
      </c>
      <c r="AD1034">
        <v>49</v>
      </c>
      <c r="AE1034">
        <v>1161336110249</v>
      </c>
      <c r="AF1034" t="s">
        <v>5077</v>
      </c>
      <c r="AG1034">
        <v>1</v>
      </c>
      <c r="AH1034">
        <v>1</v>
      </c>
    </row>
    <row r="1035" spans="1:35">
      <c r="A1035">
        <v>2025</v>
      </c>
      <c r="B1035" s="1">
        <v>45992</v>
      </c>
      <c r="C1035" t="s">
        <v>2657</v>
      </c>
      <c r="D1035" t="s">
        <v>5078</v>
      </c>
      <c r="E1035" s="43">
        <v>46003.621941712961</v>
      </c>
      <c r="F1035" s="1">
        <v>46003</v>
      </c>
      <c r="G1035" s="43">
        <v>46003.702714571758</v>
      </c>
      <c r="H1035" t="s">
        <v>2686</v>
      </c>
      <c r="I1035" t="s">
        <v>2681</v>
      </c>
      <c r="J1035" t="s">
        <v>2735</v>
      </c>
      <c r="L1035" t="s">
        <v>2408</v>
      </c>
      <c r="M1035">
        <v>11613361102</v>
      </c>
      <c r="N1035" t="s">
        <v>2746</v>
      </c>
      <c r="O1035" s="1">
        <v>45294</v>
      </c>
      <c r="T1035" t="s">
        <v>2662</v>
      </c>
      <c r="U1035" t="s">
        <v>5079</v>
      </c>
      <c r="V1035">
        <v>0</v>
      </c>
      <c r="W1035" t="s">
        <v>2743</v>
      </c>
      <c r="X1035">
        <v>1</v>
      </c>
      <c r="Y1035" t="s">
        <v>2688</v>
      </c>
      <c r="AA1035">
        <v>11613361102</v>
      </c>
      <c r="AB1035" t="s">
        <v>1880</v>
      </c>
      <c r="AC1035">
        <v>0</v>
      </c>
      <c r="AD1035">
        <v>50</v>
      </c>
      <c r="AE1035">
        <v>1161336110250</v>
      </c>
      <c r="AF1035" t="s">
        <v>5077</v>
      </c>
      <c r="AG1035">
        <v>0</v>
      </c>
      <c r="AH1035">
        <v>0</v>
      </c>
    </row>
    <row r="1036" spans="1:35">
      <c r="A1036">
        <v>2025</v>
      </c>
      <c r="B1036" s="1">
        <v>45992</v>
      </c>
      <c r="C1036" t="s">
        <v>2657</v>
      </c>
      <c r="D1036" t="s">
        <v>5080</v>
      </c>
      <c r="E1036" s="43">
        <v>46001.561618194442</v>
      </c>
      <c r="F1036" s="1">
        <v>46001</v>
      </c>
      <c r="G1036" s="43">
        <v>46008.480029050923</v>
      </c>
      <c r="H1036" t="s">
        <v>2686</v>
      </c>
      <c r="I1036" t="s">
        <v>2681</v>
      </c>
      <c r="J1036" t="s">
        <v>2735</v>
      </c>
      <c r="L1036" t="s">
        <v>2408</v>
      </c>
      <c r="M1036">
        <v>847074348102</v>
      </c>
      <c r="N1036" t="s">
        <v>2746</v>
      </c>
      <c r="O1036" s="1">
        <v>45457</v>
      </c>
      <c r="T1036" t="s">
        <v>2662</v>
      </c>
      <c r="U1036" t="s">
        <v>5081</v>
      </c>
      <c r="V1036">
        <v>5</v>
      </c>
      <c r="W1036" t="s">
        <v>2671</v>
      </c>
      <c r="X1036">
        <v>1</v>
      </c>
      <c r="Y1036" t="s">
        <v>2692</v>
      </c>
      <c r="AA1036">
        <v>11613361102</v>
      </c>
      <c r="AB1036" t="s">
        <v>1880</v>
      </c>
      <c r="AC1036">
        <v>0</v>
      </c>
      <c r="AD1036">
        <v>50</v>
      </c>
      <c r="AE1036">
        <v>1161336110250</v>
      </c>
      <c r="AF1036" t="s">
        <v>5077</v>
      </c>
      <c r="AG1036">
        <v>1</v>
      </c>
      <c r="AH1036">
        <v>0</v>
      </c>
    </row>
    <row r="1037" spans="1:35">
      <c r="A1037">
        <v>2025</v>
      </c>
      <c r="B1037" s="1">
        <v>45992</v>
      </c>
      <c r="C1037" t="s">
        <v>2657</v>
      </c>
      <c r="D1037" t="s">
        <v>5082</v>
      </c>
      <c r="E1037" s="43">
        <v>46003.515182083334</v>
      </c>
      <c r="F1037" s="1">
        <v>46003</v>
      </c>
      <c r="G1037" s="43">
        <v>46003.582476770833</v>
      </c>
      <c r="H1037" t="s">
        <v>2686</v>
      </c>
      <c r="I1037" t="s">
        <v>2681</v>
      </c>
      <c r="J1037" t="s">
        <v>2735</v>
      </c>
      <c r="L1037" t="s">
        <v>2408</v>
      </c>
      <c r="M1037">
        <v>11613361102</v>
      </c>
      <c r="N1037" t="s">
        <v>2746</v>
      </c>
      <c r="O1037" s="1">
        <v>45294</v>
      </c>
      <c r="T1037" t="s">
        <v>2662</v>
      </c>
      <c r="U1037" t="s">
        <v>5083</v>
      </c>
      <c r="V1037">
        <v>0</v>
      </c>
      <c r="X1037">
        <v>1</v>
      </c>
      <c r="Y1037" t="s">
        <v>2717</v>
      </c>
      <c r="AA1037">
        <v>11613361102</v>
      </c>
      <c r="AB1037" t="s">
        <v>1880</v>
      </c>
      <c r="AC1037">
        <v>0</v>
      </c>
      <c r="AD1037">
        <v>50</v>
      </c>
      <c r="AE1037">
        <v>1161336110250</v>
      </c>
      <c r="AF1037" t="s">
        <v>5077</v>
      </c>
      <c r="AG1037">
        <v>0</v>
      </c>
      <c r="AH1037">
        <v>0</v>
      </c>
    </row>
    <row r="1038" spans="1:35">
      <c r="A1038">
        <v>2025</v>
      </c>
      <c r="B1038" s="1">
        <v>45992</v>
      </c>
      <c r="C1038" t="s">
        <v>2657</v>
      </c>
      <c r="D1038" t="s">
        <v>5084</v>
      </c>
      <c r="E1038" s="43">
        <v>46005.595198333336</v>
      </c>
      <c r="F1038" s="1">
        <v>46005</v>
      </c>
      <c r="G1038" s="43">
        <v>46008.480071296297</v>
      </c>
      <c r="H1038" t="s">
        <v>2686</v>
      </c>
      <c r="I1038" t="s">
        <v>2681</v>
      </c>
      <c r="J1038" t="s">
        <v>2735</v>
      </c>
      <c r="L1038" t="s">
        <v>2408</v>
      </c>
      <c r="M1038">
        <v>847074348102</v>
      </c>
      <c r="N1038" t="s">
        <v>2746</v>
      </c>
      <c r="O1038" s="1">
        <v>45457</v>
      </c>
      <c r="T1038" t="s">
        <v>2662</v>
      </c>
      <c r="U1038" t="s">
        <v>5085</v>
      </c>
      <c r="V1038">
        <v>2</v>
      </c>
      <c r="W1038" t="s">
        <v>2677</v>
      </c>
      <c r="X1038">
        <v>1</v>
      </c>
      <c r="Y1038" t="s">
        <v>2767</v>
      </c>
      <c r="AA1038">
        <v>11613361102</v>
      </c>
      <c r="AB1038" t="s">
        <v>1880</v>
      </c>
      <c r="AC1038">
        <v>0</v>
      </c>
      <c r="AD1038">
        <v>50</v>
      </c>
      <c r="AE1038">
        <v>1161336110250</v>
      </c>
      <c r="AF1038" t="s">
        <v>5077</v>
      </c>
      <c r="AG1038">
        <v>0</v>
      </c>
      <c r="AH1038">
        <v>0</v>
      </c>
    </row>
    <row r="1039" spans="1:35">
      <c r="A1039">
        <v>2026</v>
      </c>
      <c r="B1039" s="1">
        <v>46082</v>
      </c>
      <c r="C1039" t="s">
        <v>2657</v>
      </c>
      <c r="D1039" s="44" t="s">
        <v>5086</v>
      </c>
      <c r="E1039" s="43">
        <v>46086.748694560185</v>
      </c>
      <c r="F1039" s="1">
        <v>46086</v>
      </c>
      <c r="G1039" s="43">
        <v>46086.748694560185</v>
      </c>
      <c r="H1039" t="s">
        <v>2668</v>
      </c>
      <c r="I1039" t="s">
        <v>2669</v>
      </c>
      <c r="J1039" t="s">
        <v>36</v>
      </c>
      <c r="L1039" t="s">
        <v>2378</v>
      </c>
      <c r="M1039">
        <v>1004366724902</v>
      </c>
      <c r="N1039" t="s">
        <v>2702</v>
      </c>
      <c r="O1039" s="1">
        <v>46043</v>
      </c>
      <c r="T1039" t="s">
        <v>2798</v>
      </c>
      <c r="U1039" t="s">
        <v>5087</v>
      </c>
      <c r="V1039">
        <v>6</v>
      </c>
      <c r="W1039" t="s">
        <v>2677</v>
      </c>
      <c r="X1039">
        <v>0</v>
      </c>
      <c r="Y1039" t="s">
        <v>2760</v>
      </c>
      <c r="AA1039">
        <v>1004366724902</v>
      </c>
      <c r="AB1039" t="s">
        <v>2386</v>
      </c>
      <c r="AC1039">
        <v>0</v>
      </c>
      <c r="AD1039">
        <v>10</v>
      </c>
      <c r="AE1039">
        <v>100436672490210</v>
      </c>
      <c r="AF1039" t="s">
        <v>5088</v>
      </c>
      <c r="AG1039">
        <v>1</v>
      </c>
      <c r="AH1039">
        <v>1</v>
      </c>
    </row>
    <row r="1040" spans="1:35">
      <c r="A1040">
        <v>2026</v>
      </c>
      <c r="B1040" s="1">
        <v>46082</v>
      </c>
      <c r="C1040" t="s">
        <v>2657</v>
      </c>
      <c r="D1040" t="s">
        <v>5089</v>
      </c>
      <c r="E1040" s="43">
        <v>46094.74413979167</v>
      </c>
      <c r="F1040" s="1">
        <v>46094</v>
      </c>
      <c r="G1040" s="43">
        <v>46094.74413979167</v>
      </c>
      <c r="H1040" t="s">
        <v>2668</v>
      </c>
      <c r="I1040" t="s">
        <v>2681</v>
      </c>
      <c r="J1040" t="s">
        <v>39</v>
      </c>
      <c r="L1040" t="s">
        <v>2378</v>
      </c>
      <c r="M1040">
        <v>1004366724902</v>
      </c>
      <c r="N1040" t="s">
        <v>2702</v>
      </c>
      <c r="O1040" s="1">
        <v>46043</v>
      </c>
      <c r="T1040" t="s">
        <v>2798</v>
      </c>
      <c r="U1040" t="s">
        <v>5090</v>
      </c>
      <c r="V1040">
        <v>0</v>
      </c>
      <c r="W1040" t="s">
        <v>2677</v>
      </c>
      <c r="X1040">
        <v>0</v>
      </c>
      <c r="Y1040" t="s">
        <v>2760</v>
      </c>
      <c r="AA1040">
        <v>1004366724902</v>
      </c>
      <c r="AB1040" t="s">
        <v>2386</v>
      </c>
      <c r="AC1040">
        <v>1</v>
      </c>
      <c r="AD1040">
        <v>11</v>
      </c>
      <c r="AE1040">
        <v>100436672490211</v>
      </c>
      <c r="AF1040" t="s">
        <v>5088</v>
      </c>
      <c r="AG1040">
        <v>0</v>
      </c>
      <c r="AH1040">
        <v>0</v>
      </c>
    </row>
    <row r="1041" spans="1:35">
      <c r="A1041">
        <v>2026</v>
      </c>
      <c r="B1041" s="1">
        <v>46082</v>
      </c>
      <c r="C1041" t="s">
        <v>2657</v>
      </c>
      <c r="D1041" t="s">
        <v>5091</v>
      </c>
      <c r="E1041" s="43">
        <v>46093.579348784719</v>
      </c>
      <c r="F1041" s="1">
        <v>46093</v>
      </c>
      <c r="G1041" s="43">
        <v>46094.721988541663</v>
      </c>
      <c r="H1041" t="s">
        <v>2668</v>
      </c>
      <c r="I1041" t="s">
        <v>2681</v>
      </c>
      <c r="J1041" t="s">
        <v>36</v>
      </c>
      <c r="L1041" t="s">
        <v>2378</v>
      </c>
      <c r="M1041">
        <v>1004366724902</v>
      </c>
      <c r="N1041" t="s">
        <v>2702</v>
      </c>
      <c r="O1041" s="1">
        <v>46043</v>
      </c>
      <c r="T1041" t="s">
        <v>2662</v>
      </c>
      <c r="U1041" t="s">
        <v>5092</v>
      </c>
      <c r="V1041">
        <v>1</v>
      </c>
      <c r="W1041" t="s">
        <v>2671</v>
      </c>
      <c r="X1041">
        <v>1</v>
      </c>
      <c r="Y1041" t="s">
        <v>2727</v>
      </c>
      <c r="AA1041">
        <v>1004366724902</v>
      </c>
      <c r="AB1041" t="s">
        <v>2386</v>
      </c>
      <c r="AC1041">
        <v>0</v>
      </c>
      <c r="AD1041">
        <v>11</v>
      </c>
      <c r="AE1041">
        <v>100436672490211</v>
      </c>
      <c r="AF1041" t="s">
        <v>5088</v>
      </c>
      <c r="AG1041">
        <v>1</v>
      </c>
      <c r="AH1041">
        <v>0</v>
      </c>
    </row>
    <row r="1042" spans="1:35">
      <c r="A1042">
        <v>2025</v>
      </c>
      <c r="B1042" s="1">
        <v>45992</v>
      </c>
      <c r="C1042" t="s">
        <v>2657</v>
      </c>
      <c r="D1042" t="s">
        <v>5093</v>
      </c>
      <c r="E1042" s="43">
        <v>45994.754489085652</v>
      </c>
      <c r="F1042" s="1">
        <v>45994</v>
      </c>
      <c r="G1042" s="43">
        <v>45994.754489085652</v>
      </c>
      <c r="H1042" t="s">
        <v>2686</v>
      </c>
      <c r="I1042" t="s">
        <v>2669</v>
      </c>
      <c r="J1042" t="s">
        <v>36</v>
      </c>
      <c r="L1042" t="s">
        <v>2393</v>
      </c>
      <c r="M1042">
        <v>241002216802</v>
      </c>
      <c r="N1042" t="s">
        <v>2702</v>
      </c>
      <c r="O1042" s="1">
        <v>45411</v>
      </c>
      <c r="T1042" t="s">
        <v>2662</v>
      </c>
      <c r="U1042" t="s">
        <v>5094</v>
      </c>
      <c r="V1042">
        <v>0</v>
      </c>
      <c r="W1042" t="s">
        <v>2671</v>
      </c>
      <c r="X1042">
        <v>1</v>
      </c>
      <c r="Y1042" t="s">
        <v>3237</v>
      </c>
      <c r="AA1042">
        <v>241002216802</v>
      </c>
      <c r="AB1042" t="s">
        <v>1704</v>
      </c>
      <c r="AC1042">
        <v>0</v>
      </c>
      <c r="AD1042">
        <v>49</v>
      </c>
      <c r="AE1042">
        <v>24100221680249</v>
      </c>
      <c r="AF1042" t="s">
        <v>5095</v>
      </c>
      <c r="AG1042">
        <v>1</v>
      </c>
      <c r="AH1042">
        <v>1</v>
      </c>
    </row>
    <row r="1043" spans="1:35">
      <c r="A1043">
        <v>2025</v>
      </c>
      <c r="B1043" s="1">
        <v>45992</v>
      </c>
      <c r="C1043" t="s">
        <v>2657</v>
      </c>
      <c r="D1043" t="s">
        <v>5096</v>
      </c>
      <c r="E1043" s="43">
        <v>46002.882512615739</v>
      </c>
      <c r="F1043" s="1">
        <v>46002</v>
      </c>
      <c r="G1043" s="43">
        <v>46008.896204189812</v>
      </c>
      <c r="H1043" t="s">
        <v>2686</v>
      </c>
      <c r="I1043" t="s">
        <v>2681</v>
      </c>
      <c r="J1043" t="s">
        <v>36</v>
      </c>
      <c r="L1043" t="s">
        <v>2393</v>
      </c>
      <c r="M1043">
        <v>241002216802</v>
      </c>
      <c r="N1043" t="s">
        <v>2702</v>
      </c>
      <c r="O1043" s="1">
        <v>45411</v>
      </c>
      <c r="T1043" t="s">
        <v>2662</v>
      </c>
      <c r="U1043" t="s">
        <v>5097</v>
      </c>
      <c r="V1043">
        <v>4</v>
      </c>
      <c r="W1043" t="s">
        <v>2743</v>
      </c>
      <c r="X1043">
        <v>1</v>
      </c>
      <c r="Y1043" t="s">
        <v>2931</v>
      </c>
      <c r="AA1043">
        <v>241002216802</v>
      </c>
      <c r="AB1043" t="s">
        <v>1704</v>
      </c>
      <c r="AC1043">
        <v>0</v>
      </c>
      <c r="AD1043">
        <v>50</v>
      </c>
      <c r="AE1043">
        <v>24100221680250</v>
      </c>
      <c r="AF1043" t="s">
        <v>5095</v>
      </c>
      <c r="AG1043">
        <v>1</v>
      </c>
      <c r="AH1043">
        <v>0</v>
      </c>
    </row>
    <row r="1044" spans="1:35">
      <c r="A1044">
        <v>2025</v>
      </c>
      <c r="B1044" s="1">
        <v>45992</v>
      </c>
      <c r="C1044" t="s">
        <v>2657</v>
      </c>
      <c r="D1044" t="s">
        <v>5098</v>
      </c>
      <c r="E1044" s="43">
        <v>46008.897761006941</v>
      </c>
      <c r="F1044" s="1">
        <v>46008</v>
      </c>
      <c r="G1044" s="43">
        <v>46009.590355636574</v>
      </c>
      <c r="H1044" t="s">
        <v>2686</v>
      </c>
      <c r="I1044" t="s">
        <v>2719</v>
      </c>
      <c r="J1044" t="s">
        <v>36</v>
      </c>
      <c r="L1044" t="s">
        <v>2393</v>
      </c>
      <c r="M1044">
        <v>241002216802</v>
      </c>
      <c r="N1044" t="s">
        <v>2702</v>
      </c>
      <c r="O1044" s="1">
        <v>45411</v>
      </c>
      <c r="T1044" t="s">
        <v>2662</v>
      </c>
      <c r="U1044" t="s">
        <v>5099</v>
      </c>
      <c r="V1044">
        <v>1</v>
      </c>
      <c r="W1044" t="s">
        <v>2743</v>
      </c>
      <c r="X1044">
        <v>1</v>
      </c>
      <c r="Y1044" t="s">
        <v>2985</v>
      </c>
      <c r="AA1044">
        <v>241002216802</v>
      </c>
      <c r="AB1044" t="s">
        <v>1704</v>
      </c>
      <c r="AC1044">
        <v>0</v>
      </c>
      <c r="AD1044">
        <v>51</v>
      </c>
      <c r="AE1044">
        <v>24100221680251</v>
      </c>
      <c r="AF1044" t="s">
        <v>5095</v>
      </c>
      <c r="AG1044">
        <v>1</v>
      </c>
      <c r="AH1044">
        <v>0</v>
      </c>
    </row>
    <row r="1045" spans="1:35">
      <c r="A1045">
        <v>2025</v>
      </c>
      <c r="B1045" s="1">
        <v>45901</v>
      </c>
      <c r="C1045" t="s">
        <v>2657</v>
      </c>
      <c r="D1045" t="s">
        <v>5100</v>
      </c>
      <c r="E1045" s="43">
        <v>45903.900548622689</v>
      </c>
      <c r="F1045" s="1">
        <v>45903</v>
      </c>
      <c r="G1045" s="43">
        <v>45936.553512303239</v>
      </c>
      <c r="H1045" t="s">
        <v>2734</v>
      </c>
      <c r="I1045" t="s">
        <v>2669</v>
      </c>
      <c r="J1045" t="s">
        <v>38</v>
      </c>
      <c r="L1045" t="s">
        <v>2364</v>
      </c>
      <c r="M1045">
        <v>137029362402</v>
      </c>
      <c r="N1045" t="s">
        <v>2661</v>
      </c>
      <c r="O1045" s="1">
        <v>45669</v>
      </c>
      <c r="T1045" t="s">
        <v>2662</v>
      </c>
      <c r="U1045" t="s">
        <v>5101</v>
      </c>
      <c r="V1045">
        <v>23</v>
      </c>
      <c r="W1045" t="s">
        <v>2664</v>
      </c>
      <c r="X1045">
        <v>1</v>
      </c>
      <c r="Y1045" t="s">
        <v>2665</v>
      </c>
      <c r="Z1045" t="s">
        <v>2684</v>
      </c>
      <c r="AA1045">
        <v>137029362402</v>
      </c>
      <c r="AB1045" t="s">
        <v>1441</v>
      </c>
      <c r="AC1045">
        <v>0</v>
      </c>
      <c r="AD1045">
        <v>36</v>
      </c>
      <c r="AE1045">
        <v>13702936240236</v>
      </c>
      <c r="AF1045" t="s">
        <v>5102</v>
      </c>
      <c r="AG1045">
        <v>1</v>
      </c>
      <c r="AH1045">
        <v>1</v>
      </c>
    </row>
    <row r="1046" spans="1:35">
      <c r="A1046">
        <v>2025</v>
      </c>
      <c r="B1046" s="1">
        <v>45901</v>
      </c>
      <c r="C1046" t="s">
        <v>2657</v>
      </c>
      <c r="D1046" t="s">
        <v>5103</v>
      </c>
      <c r="E1046" s="43">
        <v>45905.852757546294</v>
      </c>
      <c r="F1046" s="1">
        <v>45905</v>
      </c>
      <c r="G1046" s="43">
        <v>45909.784658865741</v>
      </c>
      <c r="H1046" t="s">
        <v>2734</v>
      </c>
      <c r="I1046" t="s">
        <v>2669</v>
      </c>
      <c r="J1046" t="s">
        <v>38</v>
      </c>
      <c r="L1046" t="s">
        <v>2364</v>
      </c>
      <c r="M1046">
        <v>137029362402</v>
      </c>
      <c r="N1046" t="s">
        <v>2661</v>
      </c>
      <c r="O1046" s="1">
        <v>45669</v>
      </c>
      <c r="T1046" t="s">
        <v>2662</v>
      </c>
      <c r="U1046" t="s">
        <v>5104</v>
      </c>
      <c r="V1046">
        <v>2</v>
      </c>
      <c r="W1046" t="s">
        <v>2671</v>
      </c>
      <c r="X1046">
        <v>1</v>
      </c>
      <c r="Y1046" t="s">
        <v>2764</v>
      </c>
      <c r="AA1046">
        <v>137029362402</v>
      </c>
      <c r="AB1046" t="s">
        <v>1441</v>
      </c>
      <c r="AC1046">
        <v>0</v>
      </c>
      <c r="AD1046">
        <v>36</v>
      </c>
      <c r="AE1046">
        <v>13702936240236</v>
      </c>
      <c r="AF1046" t="s">
        <v>5102</v>
      </c>
      <c r="AG1046">
        <v>0</v>
      </c>
      <c r="AH1046">
        <v>0</v>
      </c>
    </row>
    <row r="1047" spans="1:35">
      <c r="A1047">
        <v>2025</v>
      </c>
      <c r="B1047" s="1">
        <v>45901</v>
      </c>
      <c r="C1047" t="s">
        <v>2657</v>
      </c>
      <c r="D1047" t="s">
        <v>5105</v>
      </c>
      <c r="E1047" s="43">
        <v>45905.748460405091</v>
      </c>
      <c r="F1047" s="1">
        <v>45905</v>
      </c>
      <c r="G1047" s="43">
        <v>45926.697864907408</v>
      </c>
      <c r="H1047" t="s">
        <v>2734</v>
      </c>
      <c r="I1047" t="s">
        <v>2669</v>
      </c>
      <c r="J1047" t="s">
        <v>38</v>
      </c>
      <c r="L1047" t="s">
        <v>2364</v>
      </c>
      <c r="M1047">
        <v>137029362402</v>
      </c>
      <c r="N1047" t="s">
        <v>2661</v>
      </c>
      <c r="O1047" s="1">
        <v>45669</v>
      </c>
      <c r="T1047" t="s">
        <v>2662</v>
      </c>
      <c r="U1047" t="s">
        <v>5106</v>
      </c>
      <c r="V1047">
        <v>15</v>
      </c>
      <c r="W1047" t="s">
        <v>2677</v>
      </c>
      <c r="X1047">
        <v>1</v>
      </c>
      <c r="Y1047" t="s">
        <v>2764</v>
      </c>
      <c r="AA1047">
        <v>137029362402</v>
      </c>
      <c r="AB1047" t="s">
        <v>1441</v>
      </c>
      <c r="AC1047">
        <v>0</v>
      </c>
      <c r="AD1047">
        <v>36</v>
      </c>
      <c r="AE1047">
        <v>13702936240236</v>
      </c>
      <c r="AF1047" t="s">
        <v>5102</v>
      </c>
      <c r="AG1047">
        <v>0</v>
      </c>
      <c r="AH1047">
        <v>0</v>
      </c>
    </row>
    <row r="1048" spans="1:35">
      <c r="A1048">
        <v>2026</v>
      </c>
      <c r="B1048" s="1">
        <v>46082</v>
      </c>
      <c r="C1048" t="s">
        <v>2657</v>
      </c>
      <c r="D1048" t="s">
        <v>5107</v>
      </c>
      <c r="E1048" s="43">
        <v>46084.593311620367</v>
      </c>
      <c r="F1048" s="1">
        <v>46084</v>
      </c>
      <c r="G1048" s="43">
        <v>46085.628250451387</v>
      </c>
      <c r="H1048" t="s">
        <v>2668</v>
      </c>
      <c r="I1048" t="s">
        <v>2669</v>
      </c>
      <c r="J1048" t="s">
        <v>39</v>
      </c>
      <c r="L1048" t="s">
        <v>2408</v>
      </c>
      <c r="M1048">
        <v>10369153302</v>
      </c>
      <c r="N1048" t="s">
        <v>2746</v>
      </c>
      <c r="O1048" s="1">
        <v>45751</v>
      </c>
      <c r="T1048" t="s">
        <v>2662</v>
      </c>
      <c r="U1048" t="s">
        <v>5108</v>
      </c>
      <c r="V1048">
        <v>1</v>
      </c>
      <c r="W1048" t="s">
        <v>2671</v>
      </c>
      <c r="X1048">
        <v>1</v>
      </c>
      <c r="Y1048" t="s">
        <v>2672</v>
      </c>
      <c r="AA1048">
        <v>10369153302</v>
      </c>
      <c r="AB1048" t="s">
        <v>329</v>
      </c>
      <c r="AC1048">
        <v>0</v>
      </c>
      <c r="AD1048">
        <v>10</v>
      </c>
      <c r="AE1048">
        <v>1036915330210</v>
      </c>
      <c r="AF1048" t="s">
        <v>5109</v>
      </c>
      <c r="AG1048">
        <v>1</v>
      </c>
      <c r="AH1048">
        <v>1</v>
      </c>
      <c r="AI1048" t="s">
        <v>3001</v>
      </c>
    </row>
    <row r="1049" spans="1:35">
      <c r="A1049">
        <v>2026</v>
      </c>
      <c r="B1049" s="1">
        <v>46082</v>
      </c>
      <c r="C1049" t="s">
        <v>2657</v>
      </c>
      <c r="D1049" t="s">
        <v>5110</v>
      </c>
      <c r="E1049" s="43">
        <v>46090.572157499999</v>
      </c>
      <c r="F1049" s="1">
        <v>46090</v>
      </c>
      <c r="G1049" s="43">
        <v>46091.676187453704</v>
      </c>
      <c r="H1049" t="s">
        <v>2668</v>
      </c>
      <c r="I1049" t="s">
        <v>2681</v>
      </c>
      <c r="J1049" t="s">
        <v>39</v>
      </c>
      <c r="L1049" t="s">
        <v>2408</v>
      </c>
      <c r="M1049">
        <v>10369153302</v>
      </c>
      <c r="N1049" t="s">
        <v>2746</v>
      </c>
      <c r="O1049" s="1">
        <v>45751</v>
      </c>
      <c r="T1049" t="s">
        <v>2662</v>
      </c>
      <c r="U1049" t="s">
        <v>5111</v>
      </c>
      <c r="V1049">
        <v>1</v>
      </c>
      <c r="W1049" t="s">
        <v>2671</v>
      </c>
      <c r="X1049">
        <v>1</v>
      </c>
      <c r="Y1049" t="s">
        <v>2672</v>
      </c>
      <c r="AA1049">
        <v>10369153302</v>
      </c>
      <c r="AB1049" t="s">
        <v>329</v>
      </c>
      <c r="AC1049">
        <v>1</v>
      </c>
      <c r="AD1049">
        <v>11</v>
      </c>
      <c r="AE1049">
        <v>1036915330211</v>
      </c>
      <c r="AF1049" t="s">
        <v>5109</v>
      </c>
      <c r="AG1049">
        <v>1</v>
      </c>
      <c r="AH1049">
        <v>0</v>
      </c>
    </row>
    <row r="1050" spans="1:35">
      <c r="A1050">
        <v>2026</v>
      </c>
      <c r="B1050" s="1">
        <v>46023</v>
      </c>
      <c r="C1050" t="s">
        <v>2657</v>
      </c>
      <c r="D1050" t="s">
        <v>5112</v>
      </c>
      <c r="E1050" s="43">
        <v>46043.828010729165</v>
      </c>
      <c r="F1050" s="1">
        <v>46043</v>
      </c>
      <c r="G1050" s="43">
        <v>46045.548186493055</v>
      </c>
      <c r="H1050" t="s">
        <v>2701</v>
      </c>
      <c r="I1050" t="s">
        <v>2719</v>
      </c>
      <c r="J1050" t="s">
        <v>39</v>
      </c>
      <c r="L1050" t="s">
        <v>2336</v>
      </c>
      <c r="M1050">
        <v>763850718402</v>
      </c>
      <c r="N1050" t="s">
        <v>2702</v>
      </c>
      <c r="O1050" s="1">
        <v>46021</v>
      </c>
      <c r="T1050" t="s">
        <v>2662</v>
      </c>
      <c r="U1050" t="s">
        <v>5113</v>
      </c>
      <c r="V1050">
        <v>2</v>
      </c>
      <c r="W1050" t="s">
        <v>2664</v>
      </c>
      <c r="X1050">
        <v>1</v>
      </c>
      <c r="Y1050" t="s">
        <v>2757</v>
      </c>
      <c r="AA1050">
        <v>763850718402</v>
      </c>
      <c r="AB1050" t="s">
        <v>2429</v>
      </c>
      <c r="AC1050">
        <v>0</v>
      </c>
      <c r="AD1050">
        <v>4</v>
      </c>
      <c r="AE1050">
        <v>7638507184024</v>
      </c>
      <c r="AF1050" t="s">
        <v>5114</v>
      </c>
      <c r="AG1050">
        <v>0</v>
      </c>
      <c r="AH1050">
        <v>0</v>
      </c>
    </row>
    <row r="1051" spans="1:35">
      <c r="A1051">
        <v>2026</v>
      </c>
      <c r="B1051" s="1">
        <v>46023</v>
      </c>
      <c r="C1051" t="s">
        <v>2657</v>
      </c>
      <c r="D1051" s="44" t="s">
        <v>5115</v>
      </c>
      <c r="E1051" s="43">
        <v>46043.709898553243</v>
      </c>
      <c r="F1051" s="1">
        <v>46043</v>
      </c>
      <c r="G1051" s="43">
        <v>46044.787235451389</v>
      </c>
      <c r="H1051" t="s">
        <v>2701</v>
      </c>
      <c r="I1051" t="s">
        <v>2719</v>
      </c>
      <c r="J1051" t="s">
        <v>39</v>
      </c>
      <c r="L1051" t="s">
        <v>2336</v>
      </c>
      <c r="M1051">
        <v>763850718402</v>
      </c>
      <c r="N1051" t="s">
        <v>2702</v>
      </c>
      <c r="O1051" s="1">
        <v>46021</v>
      </c>
      <c r="T1051" t="s">
        <v>2662</v>
      </c>
      <c r="U1051" t="s">
        <v>5116</v>
      </c>
      <c r="V1051">
        <v>1</v>
      </c>
      <c r="W1051" t="s">
        <v>2677</v>
      </c>
      <c r="X1051">
        <v>1</v>
      </c>
      <c r="Y1051" t="s">
        <v>2760</v>
      </c>
      <c r="AA1051">
        <v>763850718402</v>
      </c>
      <c r="AB1051" t="s">
        <v>2429</v>
      </c>
      <c r="AC1051">
        <v>0</v>
      </c>
      <c r="AD1051">
        <v>4</v>
      </c>
      <c r="AE1051">
        <v>7638507184024</v>
      </c>
      <c r="AF1051" t="s">
        <v>5114</v>
      </c>
      <c r="AG1051">
        <v>1</v>
      </c>
      <c r="AH1051">
        <v>1</v>
      </c>
    </row>
    <row r="1052" spans="1:35">
      <c r="A1052">
        <v>2026</v>
      </c>
      <c r="B1052" s="1">
        <v>46023</v>
      </c>
      <c r="C1052" t="s">
        <v>2657</v>
      </c>
      <c r="D1052" t="s">
        <v>5117</v>
      </c>
      <c r="E1052" s="43">
        <v>46049.684137997683</v>
      </c>
      <c r="F1052" s="1">
        <v>46049</v>
      </c>
      <c r="G1052" s="43">
        <v>46049.684137997683</v>
      </c>
      <c r="H1052" t="s">
        <v>2701</v>
      </c>
      <c r="I1052" t="s">
        <v>2660</v>
      </c>
      <c r="J1052" t="s">
        <v>39</v>
      </c>
      <c r="L1052" t="s">
        <v>2336</v>
      </c>
      <c r="M1052">
        <v>763850718402</v>
      </c>
      <c r="N1052" t="s">
        <v>2702</v>
      </c>
      <c r="O1052" s="1">
        <v>46021</v>
      </c>
      <c r="T1052" t="s">
        <v>2662</v>
      </c>
      <c r="U1052" t="s">
        <v>5118</v>
      </c>
      <c r="V1052">
        <v>0</v>
      </c>
      <c r="W1052" t="s">
        <v>2677</v>
      </c>
      <c r="X1052">
        <v>1</v>
      </c>
      <c r="AA1052">
        <v>763850718402</v>
      </c>
      <c r="AB1052" t="s">
        <v>2429</v>
      </c>
      <c r="AC1052">
        <v>0</v>
      </c>
      <c r="AD1052">
        <v>5</v>
      </c>
      <c r="AE1052">
        <v>7638507184025</v>
      </c>
      <c r="AF1052" t="s">
        <v>5114</v>
      </c>
      <c r="AG1052">
        <v>1</v>
      </c>
      <c r="AH1052">
        <v>0</v>
      </c>
      <c r="AI1052" t="s">
        <v>3001</v>
      </c>
    </row>
    <row r="1053" spans="1:35">
      <c r="A1053">
        <v>2025</v>
      </c>
      <c r="B1053" s="1">
        <v>45962</v>
      </c>
      <c r="C1053" t="s">
        <v>2657</v>
      </c>
      <c r="D1053" t="s">
        <v>5119</v>
      </c>
      <c r="E1053" s="43">
        <v>45964.881349363422</v>
      </c>
      <c r="F1053" s="1">
        <v>45964</v>
      </c>
      <c r="G1053" s="43">
        <v>45972.590048969905</v>
      </c>
      <c r="H1053" t="s">
        <v>2802</v>
      </c>
      <c r="I1053" t="s">
        <v>2669</v>
      </c>
      <c r="J1053" t="s">
        <v>38</v>
      </c>
      <c r="L1053" t="s">
        <v>2379</v>
      </c>
      <c r="M1053">
        <v>365217284302</v>
      </c>
      <c r="N1053" t="s">
        <v>2675</v>
      </c>
      <c r="O1053" s="1">
        <v>45680</v>
      </c>
      <c r="T1053" t="s">
        <v>2662</v>
      </c>
      <c r="U1053" t="s">
        <v>5120</v>
      </c>
      <c r="V1053">
        <v>6</v>
      </c>
      <c r="W1053" t="s">
        <v>2664</v>
      </c>
      <c r="X1053">
        <v>1</v>
      </c>
      <c r="Y1053" t="s">
        <v>2665</v>
      </c>
      <c r="AA1053">
        <v>130065728702</v>
      </c>
      <c r="AB1053" t="s">
        <v>1303</v>
      </c>
      <c r="AC1053">
        <v>0</v>
      </c>
      <c r="AD1053">
        <v>45</v>
      </c>
      <c r="AE1053">
        <v>13006572870245</v>
      </c>
      <c r="AF1053" t="s">
        <v>5121</v>
      </c>
      <c r="AG1053">
        <v>1</v>
      </c>
      <c r="AH1053">
        <v>1</v>
      </c>
    </row>
    <row r="1054" spans="1:35">
      <c r="A1054">
        <v>2025</v>
      </c>
      <c r="B1054" s="1">
        <v>45962</v>
      </c>
      <c r="C1054" t="s">
        <v>2657</v>
      </c>
      <c r="D1054" t="s">
        <v>5122</v>
      </c>
      <c r="E1054" s="43">
        <v>45974.842230995368</v>
      </c>
      <c r="F1054" s="1">
        <v>45974</v>
      </c>
      <c r="G1054" s="43">
        <v>46048.546916562504</v>
      </c>
      <c r="H1054" t="s">
        <v>2802</v>
      </c>
      <c r="I1054" t="s">
        <v>2681</v>
      </c>
      <c r="J1054" t="s">
        <v>38</v>
      </c>
      <c r="L1054" t="s">
        <v>2379</v>
      </c>
      <c r="M1054">
        <v>130065728702</v>
      </c>
      <c r="N1054" t="s">
        <v>2675</v>
      </c>
      <c r="O1054" s="1">
        <v>45661</v>
      </c>
      <c r="T1054" t="s">
        <v>2662</v>
      </c>
      <c r="U1054" t="s">
        <v>5123</v>
      </c>
      <c r="V1054">
        <v>52</v>
      </c>
      <c r="W1054" t="s">
        <v>2664</v>
      </c>
      <c r="X1054">
        <v>1</v>
      </c>
      <c r="Y1054" t="s">
        <v>2665</v>
      </c>
      <c r="AA1054">
        <v>130065728702</v>
      </c>
      <c r="AB1054" t="s">
        <v>1303</v>
      </c>
      <c r="AC1054">
        <v>0</v>
      </c>
      <c r="AD1054">
        <v>46</v>
      </c>
      <c r="AE1054">
        <v>13006572870246</v>
      </c>
      <c r="AF1054" t="s">
        <v>5121</v>
      </c>
      <c r="AG1054">
        <v>1</v>
      </c>
      <c r="AH1054">
        <v>0</v>
      </c>
    </row>
    <row r="1055" spans="1:35">
      <c r="A1055">
        <v>2025</v>
      </c>
      <c r="B1055" s="1">
        <v>45962</v>
      </c>
      <c r="C1055" t="s">
        <v>2657</v>
      </c>
      <c r="D1055" t="s">
        <v>5124</v>
      </c>
      <c r="E1055" s="43">
        <v>45986.861115567131</v>
      </c>
      <c r="F1055" s="1">
        <v>45986</v>
      </c>
      <c r="G1055" s="43">
        <v>45995.749598877315</v>
      </c>
      <c r="H1055" t="s">
        <v>2802</v>
      </c>
      <c r="I1055" t="s">
        <v>2660</v>
      </c>
      <c r="J1055" t="s">
        <v>38</v>
      </c>
      <c r="L1055" t="s">
        <v>2379</v>
      </c>
      <c r="M1055">
        <v>365217284302</v>
      </c>
      <c r="N1055" t="s">
        <v>2675</v>
      </c>
      <c r="O1055" s="1">
        <v>45680</v>
      </c>
      <c r="T1055" t="s">
        <v>2662</v>
      </c>
      <c r="U1055" t="s">
        <v>5125</v>
      </c>
      <c r="V1055">
        <v>7</v>
      </c>
      <c r="W1055" t="s">
        <v>2677</v>
      </c>
      <c r="X1055">
        <v>1</v>
      </c>
      <c r="Y1055" t="s">
        <v>2807</v>
      </c>
      <c r="AA1055">
        <v>130065728702</v>
      </c>
      <c r="AB1055" t="s">
        <v>1303</v>
      </c>
      <c r="AC1055">
        <v>0</v>
      </c>
      <c r="AD1055">
        <v>48</v>
      </c>
      <c r="AE1055">
        <v>13006572870248</v>
      </c>
      <c r="AF1055" t="s">
        <v>5121</v>
      </c>
      <c r="AG1055">
        <v>1</v>
      </c>
      <c r="AH1055">
        <v>0</v>
      </c>
    </row>
    <row r="1056" spans="1:35">
      <c r="A1056">
        <v>2026</v>
      </c>
      <c r="B1056" s="1">
        <v>46054</v>
      </c>
      <c r="C1056" t="s">
        <v>2657</v>
      </c>
      <c r="D1056" t="s">
        <v>5126</v>
      </c>
      <c r="E1056" s="43">
        <v>46059.731241435184</v>
      </c>
      <c r="F1056" s="1">
        <v>46059</v>
      </c>
      <c r="G1056" s="43">
        <v>46066.498039224534</v>
      </c>
      <c r="H1056" t="s">
        <v>2725</v>
      </c>
      <c r="I1056" t="s">
        <v>2669</v>
      </c>
      <c r="J1056" t="s">
        <v>36</v>
      </c>
      <c r="L1056" t="s">
        <v>2421</v>
      </c>
      <c r="M1056">
        <v>472181389102</v>
      </c>
      <c r="N1056" t="s">
        <v>2661</v>
      </c>
      <c r="O1056" s="1">
        <v>45294</v>
      </c>
      <c r="T1056" t="s">
        <v>2662</v>
      </c>
      <c r="U1056" t="s">
        <v>5127</v>
      </c>
      <c r="V1056">
        <v>5</v>
      </c>
      <c r="W1056" t="s">
        <v>2677</v>
      </c>
      <c r="X1056">
        <v>1</v>
      </c>
      <c r="Y1056" t="s">
        <v>2760</v>
      </c>
      <c r="Z1056" t="s">
        <v>2684</v>
      </c>
      <c r="AA1056">
        <v>472181389102</v>
      </c>
      <c r="AB1056" t="s">
        <v>1914</v>
      </c>
      <c r="AC1056">
        <v>1</v>
      </c>
      <c r="AD1056">
        <v>6</v>
      </c>
      <c r="AE1056">
        <v>4721813891026</v>
      </c>
      <c r="AF1056" t="s">
        <v>5128</v>
      </c>
      <c r="AG1056">
        <v>1</v>
      </c>
      <c r="AH1056">
        <v>1</v>
      </c>
    </row>
    <row r="1057" spans="1:34">
      <c r="A1057">
        <v>2025</v>
      </c>
      <c r="B1057" s="1">
        <v>45962</v>
      </c>
      <c r="C1057" t="s">
        <v>2657</v>
      </c>
      <c r="D1057" t="s">
        <v>5129</v>
      </c>
      <c r="E1057" s="43">
        <v>45966.532466736113</v>
      </c>
      <c r="F1057" s="1">
        <v>45966</v>
      </c>
      <c r="G1057" s="43">
        <v>45966.532466736113</v>
      </c>
      <c r="H1057" t="s">
        <v>2802</v>
      </c>
      <c r="I1057" t="s">
        <v>2669</v>
      </c>
      <c r="J1057" t="s">
        <v>2735</v>
      </c>
      <c r="L1057" t="s">
        <v>2362</v>
      </c>
      <c r="M1057">
        <v>103928980802</v>
      </c>
      <c r="N1057" t="s">
        <v>2746</v>
      </c>
      <c r="O1057" s="1">
        <v>45661</v>
      </c>
      <c r="T1057" t="s">
        <v>2662</v>
      </c>
      <c r="U1057" t="s">
        <v>5130</v>
      </c>
      <c r="V1057">
        <v>0</v>
      </c>
      <c r="W1057" t="s">
        <v>2743</v>
      </c>
      <c r="X1057">
        <v>1</v>
      </c>
      <c r="Y1057" t="s">
        <v>2695</v>
      </c>
      <c r="AA1057">
        <v>103928980802</v>
      </c>
      <c r="AB1057" t="s">
        <v>1764</v>
      </c>
      <c r="AC1057">
        <v>0</v>
      </c>
      <c r="AD1057">
        <v>45</v>
      </c>
      <c r="AE1057">
        <v>10392898080245</v>
      </c>
      <c r="AF1057" t="s">
        <v>5131</v>
      </c>
      <c r="AG1057">
        <v>0</v>
      </c>
      <c r="AH1057">
        <v>0</v>
      </c>
    </row>
    <row r="1058" spans="1:34">
      <c r="A1058">
        <v>2025</v>
      </c>
      <c r="B1058" s="1">
        <v>45962</v>
      </c>
      <c r="C1058" t="s">
        <v>2657</v>
      </c>
      <c r="D1058" t="s">
        <v>5132</v>
      </c>
      <c r="E1058" s="43">
        <v>45964.499637615743</v>
      </c>
      <c r="F1058" s="1">
        <v>45964</v>
      </c>
      <c r="G1058" s="43">
        <v>45964.499637615743</v>
      </c>
      <c r="H1058" t="s">
        <v>2802</v>
      </c>
      <c r="I1058" t="s">
        <v>2669</v>
      </c>
      <c r="J1058" t="s">
        <v>2735</v>
      </c>
      <c r="L1058" t="s">
        <v>2362</v>
      </c>
      <c r="M1058">
        <v>103928980802</v>
      </c>
      <c r="N1058" t="s">
        <v>2746</v>
      </c>
      <c r="O1058" s="1">
        <v>45661</v>
      </c>
      <c r="T1058" t="s">
        <v>2662</v>
      </c>
      <c r="U1058" t="s">
        <v>5133</v>
      </c>
      <c r="V1058">
        <v>0</v>
      </c>
      <c r="W1058" t="s">
        <v>2677</v>
      </c>
      <c r="X1058">
        <v>1</v>
      </c>
      <c r="Y1058" t="s">
        <v>2695</v>
      </c>
      <c r="AA1058">
        <v>103928980802</v>
      </c>
      <c r="AB1058" t="s">
        <v>1764</v>
      </c>
      <c r="AC1058">
        <v>0</v>
      </c>
      <c r="AD1058">
        <v>45</v>
      </c>
      <c r="AE1058">
        <v>10392898080245</v>
      </c>
      <c r="AF1058" t="s">
        <v>5131</v>
      </c>
      <c r="AG1058">
        <v>1</v>
      </c>
      <c r="AH1058">
        <v>1</v>
      </c>
    </row>
    <row r="1059" spans="1:34">
      <c r="A1059">
        <v>2025</v>
      </c>
      <c r="B1059" s="1">
        <v>45962</v>
      </c>
      <c r="C1059" t="s">
        <v>2657</v>
      </c>
      <c r="D1059" t="s">
        <v>5134</v>
      </c>
      <c r="E1059" s="43">
        <v>45975.538260671296</v>
      </c>
      <c r="F1059" s="1">
        <v>45975</v>
      </c>
      <c r="G1059" s="43">
        <v>45975.658674155093</v>
      </c>
      <c r="H1059" t="s">
        <v>2802</v>
      </c>
      <c r="I1059" t="s">
        <v>2681</v>
      </c>
      <c r="J1059" t="s">
        <v>2735</v>
      </c>
      <c r="L1059" t="s">
        <v>2362</v>
      </c>
      <c r="M1059">
        <v>103928980802</v>
      </c>
      <c r="N1059" t="s">
        <v>2746</v>
      </c>
      <c r="O1059" s="1">
        <v>45661</v>
      </c>
      <c r="T1059" t="s">
        <v>2662</v>
      </c>
      <c r="U1059" t="s">
        <v>5135</v>
      </c>
      <c r="V1059">
        <v>0</v>
      </c>
      <c r="W1059" t="s">
        <v>2743</v>
      </c>
      <c r="X1059">
        <v>1</v>
      </c>
      <c r="Y1059" t="s">
        <v>2688</v>
      </c>
      <c r="AA1059">
        <v>103928980802</v>
      </c>
      <c r="AB1059" t="s">
        <v>1764</v>
      </c>
      <c r="AC1059">
        <v>0</v>
      </c>
      <c r="AD1059">
        <v>46</v>
      </c>
      <c r="AE1059">
        <v>10392898080246</v>
      </c>
      <c r="AF1059" t="s">
        <v>5131</v>
      </c>
      <c r="AG1059">
        <v>0</v>
      </c>
      <c r="AH1059">
        <v>0</v>
      </c>
    </row>
    <row r="1060" spans="1:34">
      <c r="A1060">
        <v>2025</v>
      </c>
      <c r="B1060" s="1">
        <v>45962</v>
      </c>
      <c r="C1060" t="s">
        <v>2657</v>
      </c>
      <c r="D1060" t="s">
        <v>5136</v>
      </c>
      <c r="E1060" s="43">
        <v>45974.792968240741</v>
      </c>
      <c r="F1060" s="1">
        <v>45974</v>
      </c>
      <c r="G1060" s="43">
        <v>45975.76642201389</v>
      </c>
      <c r="H1060" t="s">
        <v>2802</v>
      </c>
      <c r="I1060" t="s">
        <v>2681</v>
      </c>
      <c r="J1060" t="s">
        <v>2735</v>
      </c>
      <c r="L1060" t="s">
        <v>2362</v>
      </c>
      <c r="M1060">
        <v>103928980802</v>
      </c>
      <c r="N1060" t="s">
        <v>2746</v>
      </c>
      <c r="O1060" s="1">
        <v>45661</v>
      </c>
      <c r="T1060" t="s">
        <v>2662</v>
      </c>
      <c r="U1060" t="s">
        <v>5137</v>
      </c>
      <c r="V1060">
        <v>1</v>
      </c>
      <c r="W1060" t="s">
        <v>2743</v>
      </c>
      <c r="X1060">
        <v>1</v>
      </c>
      <c r="Y1060" t="s">
        <v>2764</v>
      </c>
      <c r="AA1060">
        <v>103928980802</v>
      </c>
      <c r="AB1060" t="s">
        <v>1764</v>
      </c>
      <c r="AC1060">
        <v>0</v>
      </c>
      <c r="AD1060">
        <v>46</v>
      </c>
      <c r="AE1060">
        <v>10392898080246</v>
      </c>
      <c r="AF1060" t="s">
        <v>5131</v>
      </c>
      <c r="AG1060">
        <v>1</v>
      </c>
      <c r="AH1060">
        <v>0</v>
      </c>
    </row>
    <row r="1061" spans="1:34">
      <c r="A1061">
        <v>2026</v>
      </c>
      <c r="B1061" s="1">
        <v>46054</v>
      </c>
      <c r="C1061" t="s">
        <v>2657</v>
      </c>
      <c r="D1061" t="s">
        <v>5138</v>
      </c>
      <c r="E1061" s="43">
        <v>46056.70633483796</v>
      </c>
      <c r="F1061" s="1">
        <v>46056</v>
      </c>
      <c r="G1061" s="43">
        <v>46058.584353587961</v>
      </c>
      <c r="H1061" t="s">
        <v>2725</v>
      </c>
      <c r="I1061" t="s">
        <v>2669</v>
      </c>
      <c r="J1061" t="s">
        <v>37</v>
      </c>
      <c r="L1061" t="s">
        <v>2351</v>
      </c>
      <c r="M1061">
        <v>985914499902</v>
      </c>
      <c r="N1061" t="s">
        <v>2702</v>
      </c>
      <c r="O1061" s="1">
        <v>46021</v>
      </c>
      <c r="T1061" t="s">
        <v>2662</v>
      </c>
      <c r="U1061" t="s">
        <v>5139</v>
      </c>
      <c r="V1061">
        <v>2</v>
      </c>
      <c r="W1061" t="s">
        <v>2677</v>
      </c>
      <c r="X1061">
        <v>1</v>
      </c>
      <c r="Y1061" t="s">
        <v>2760</v>
      </c>
      <c r="AA1061">
        <v>985914499902</v>
      </c>
      <c r="AB1061" t="s">
        <v>2515</v>
      </c>
      <c r="AC1061">
        <v>0</v>
      </c>
      <c r="AD1061">
        <v>6</v>
      </c>
      <c r="AE1061">
        <v>9859144999026</v>
      </c>
      <c r="AF1061" t="s">
        <v>5140</v>
      </c>
      <c r="AG1061">
        <v>1</v>
      </c>
      <c r="AH1061">
        <v>1</v>
      </c>
    </row>
    <row r="1062" spans="1:34">
      <c r="A1062">
        <v>2026</v>
      </c>
      <c r="B1062" s="1">
        <v>46054</v>
      </c>
      <c r="C1062" t="s">
        <v>2657</v>
      </c>
      <c r="D1062" t="s">
        <v>5141</v>
      </c>
      <c r="E1062" s="43">
        <v>46058.580878622684</v>
      </c>
      <c r="F1062" s="1">
        <v>46058</v>
      </c>
      <c r="G1062" s="43">
        <v>46058.580878622684</v>
      </c>
      <c r="H1062" t="s">
        <v>2725</v>
      </c>
      <c r="I1062" t="s">
        <v>2669</v>
      </c>
      <c r="J1062" t="s">
        <v>37</v>
      </c>
      <c r="L1062" t="s">
        <v>2351</v>
      </c>
      <c r="M1062">
        <v>985914499902</v>
      </c>
      <c r="N1062" t="s">
        <v>2702</v>
      </c>
      <c r="O1062" s="1">
        <v>46021</v>
      </c>
      <c r="T1062" t="s">
        <v>2662</v>
      </c>
      <c r="U1062" t="s">
        <v>5142</v>
      </c>
      <c r="V1062">
        <v>0</v>
      </c>
      <c r="W1062" t="s">
        <v>2677</v>
      </c>
      <c r="X1062">
        <v>1</v>
      </c>
      <c r="Y1062" t="s">
        <v>2695</v>
      </c>
      <c r="AA1062">
        <v>985914499902</v>
      </c>
      <c r="AB1062" t="s">
        <v>2515</v>
      </c>
      <c r="AC1062">
        <v>0</v>
      </c>
      <c r="AD1062">
        <v>6</v>
      </c>
      <c r="AE1062">
        <v>9859144999026</v>
      </c>
      <c r="AF1062" t="s">
        <v>5140</v>
      </c>
      <c r="AG1062">
        <v>0</v>
      </c>
      <c r="AH1062">
        <v>0</v>
      </c>
    </row>
    <row r="1063" spans="1:34">
      <c r="A1063">
        <v>2026</v>
      </c>
      <c r="B1063" s="1">
        <v>46054</v>
      </c>
      <c r="C1063" t="s">
        <v>2657</v>
      </c>
      <c r="D1063" t="s">
        <v>5143</v>
      </c>
      <c r="E1063" s="43">
        <v>46078.679363240743</v>
      </c>
      <c r="F1063" s="1">
        <v>46078</v>
      </c>
      <c r="G1063" s="43">
        <v>46079.829608541666</v>
      </c>
      <c r="H1063" t="s">
        <v>2725</v>
      </c>
      <c r="I1063" t="s">
        <v>2660</v>
      </c>
      <c r="J1063" t="s">
        <v>37</v>
      </c>
      <c r="L1063" t="s">
        <v>2351</v>
      </c>
      <c r="M1063">
        <v>985914499902</v>
      </c>
      <c r="N1063" t="s">
        <v>2702</v>
      </c>
      <c r="O1063" s="1">
        <v>46021</v>
      </c>
      <c r="T1063" t="s">
        <v>2662</v>
      </c>
      <c r="U1063" t="s">
        <v>5144</v>
      </c>
      <c r="V1063">
        <v>1</v>
      </c>
      <c r="W1063" t="s">
        <v>2677</v>
      </c>
      <c r="X1063">
        <v>1</v>
      </c>
      <c r="Y1063" t="s">
        <v>2807</v>
      </c>
      <c r="AA1063">
        <v>985914499902</v>
      </c>
      <c r="AB1063" t="s">
        <v>2515</v>
      </c>
      <c r="AC1063">
        <v>0</v>
      </c>
      <c r="AD1063">
        <v>9</v>
      </c>
      <c r="AE1063">
        <v>9859144999029</v>
      </c>
      <c r="AF1063" t="s">
        <v>5140</v>
      </c>
      <c r="AG1063">
        <v>0</v>
      </c>
      <c r="AH1063">
        <v>0</v>
      </c>
    </row>
    <row r="1064" spans="1:34">
      <c r="A1064">
        <v>2026</v>
      </c>
      <c r="B1064" s="1">
        <v>46054</v>
      </c>
      <c r="C1064" t="s">
        <v>2657</v>
      </c>
      <c r="D1064" t="s">
        <v>5145</v>
      </c>
      <c r="E1064" s="43">
        <v>46077.822739953706</v>
      </c>
      <c r="F1064" s="1">
        <v>46077</v>
      </c>
      <c r="G1064" s="43">
        <v>46078.602227708332</v>
      </c>
      <c r="H1064" t="s">
        <v>2725</v>
      </c>
      <c r="I1064" t="s">
        <v>2660</v>
      </c>
      <c r="J1064" t="s">
        <v>37</v>
      </c>
      <c r="L1064" t="s">
        <v>2351</v>
      </c>
      <c r="M1064">
        <v>985914499902</v>
      </c>
      <c r="N1064" t="s">
        <v>2702</v>
      </c>
      <c r="O1064" s="1">
        <v>46021</v>
      </c>
      <c r="T1064" t="s">
        <v>2662</v>
      </c>
      <c r="U1064" t="s">
        <v>5146</v>
      </c>
      <c r="V1064">
        <v>1</v>
      </c>
      <c r="W1064" t="s">
        <v>2677</v>
      </c>
      <c r="X1064">
        <v>1</v>
      </c>
      <c r="Y1064" t="s">
        <v>2807</v>
      </c>
      <c r="AA1064">
        <v>985914499902</v>
      </c>
      <c r="AB1064" t="s">
        <v>2515</v>
      </c>
      <c r="AC1064">
        <v>0</v>
      </c>
      <c r="AD1064">
        <v>9</v>
      </c>
      <c r="AE1064">
        <v>9859144999029</v>
      </c>
      <c r="AF1064" t="s">
        <v>5140</v>
      </c>
      <c r="AG1064">
        <v>1</v>
      </c>
      <c r="AH1064">
        <v>0</v>
      </c>
    </row>
    <row r="1065" spans="1:34">
      <c r="A1065">
        <v>2025</v>
      </c>
      <c r="B1065" s="1">
        <v>45962</v>
      </c>
      <c r="C1065" t="s">
        <v>2657</v>
      </c>
      <c r="D1065" t="s">
        <v>5147</v>
      </c>
      <c r="E1065" s="43">
        <v>45972.895139837965</v>
      </c>
      <c r="F1065" s="1">
        <v>45972</v>
      </c>
      <c r="G1065" s="43">
        <v>45985.706402372685</v>
      </c>
      <c r="H1065" t="s">
        <v>2802</v>
      </c>
      <c r="I1065" t="s">
        <v>2681</v>
      </c>
      <c r="J1065" t="s">
        <v>38</v>
      </c>
      <c r="L1065" t="s">
        <v>2379</v>
      </c>
      <c r="M1065">
        <v>653060435802</v>
      </c>
      <c r="N1065" t="s">
        <v>2675</v>
      </c>
      <c r="O1065" s="1">
        <v>45294</v>
      </c>
      <c r="T1065" t="s">
        <v>2662</v>
      </c>
      <c r="U1065" t="s">
        <v>5148</v>
      </c>
      <c r="V1065">
        <v>9</v>
      </c>
      <c r="W1065" t="s">
        <v>2671</v>
      </c>
      <c r="X1065">
        <v>1</v>
      </c>
      <c r="Y1065" t="s">
        <v>2727</v>
      </c>
      <c r="AA1065">
        <v>653060435802</v>
      </c>
      <c r="AB1065" t="s">
        <v>851</v>
      </c>
      <c r="AC1065">
        <v>0</v>
      </c>
      <c r="AD1065">
        <v>46</v>
      </c>
      <c r="AE1065">
        <v>65306043580246</v>
      </c>
      <c r="AF1065" t="s">
        <v>5149</v>
      </c>
      <c r="AG1065">
        <v>1</v>
      </c>
      <c r="AH1065">
        <v>1</v>
      </c>
    </row>
    <row r="1066" spans="1:34">
      <c r="A1066">
        <v>2026</v>
      </c>
      <c r="B1066" s="1">
        <v>46023</v>
      </c>
      <c r="C1066" t="s">
        <v>2657</v>
      </c>
      <c r="D1066" t="s">
        <v>5150</v>
      </c>
      <c r="E1066" s="43">
        <v>46029.850982291668</v>
      </c>
      <c r="F1066" s="1">
        <v>46029</v>
      </c>
      <c r="G1066" s="43">
        <v>46030.567881331015</v>
      </c>
      <c r="H1066" t="s">
        <v>2701</v>
      </c>
      <c r="I1066" t="s">
        <v>2669</v>
      </c>
      <c r="J1066" t="s">
        <v>37</v>
      </c>
      <c r="L1066" t="s">
        <v>2351</v>
      </c>
      <c r="M1066">
        <v>327981185502</v>
      </c>
      <c r="N1066" t="s">
        <v>2661</v>
      </c>
      <c r="O1066" s="1">
        <v>44894</v>
      </c>
      <c r="T1066" t="s">
        <v>2662</v>
      </c>
      <c r="U1066" t="s">
        <v>5151</v>
      </c>
      <c r="V1066">
        <v>1</v>
      </c>
      <c r="W1066" t="s">
        <v>2677</v>
      </c>
      <c r="X1066">
        <v>1</v>
      </c>
      <c r="Y1066" t="s">
        <v>2807</v>
      </c>
      <c r="Z1066" t="s">
        <v>2684</v>
      </c>
      <c r="AA1066">
        <v>108483856702</v>
      </c>
      <c r="AB1066" t="s">
        <v>1316</v>
      </c>
      <c r="AC1066">
        <v>0</v>
      </c>
      <c r="AD1066">
        <v>2</v>
      </c>
      <c r="AE1066">
        <v>1084838567022</v>
      </c>
      <c r="AF1066" t="s">
        <v>5152</v>
      </c>
      <c r="AG1066">
        <v>1</v>
      </c>
      <c r="AH1066">
        <v>1</v>
      </c>
    </row>
    <row r="1067" spans="1:34">
      <c r="A1067">
        <v>2026</v>
      </c>
      <c r="B1067" s="1">
        <v>46023</v>
      </c>
      <c r="C1067" t="s">
        <v>2657</v>
      </c>
      <c r="D1067" t="s">
        <v>5153</v>
      </c>
      <c r="E1067" s="43">
        <v>46030.566680381948</v>
      </c>
      <c r="F1067" s="1">
        <v>46030</v>
      </c>
      <c r="G1067" s="43">
        <v>46030.868320682872</v>
      </c>
      <c r="H1067" t="s">
        <v>2701</v>
      </c>
      <c r="I1067" t="s">
        <v>2681</v>
      </c>
      <c r="J1067" t="s">
        <v>37</v>
      </c>
      <c r="L1067" t="s">
        <v>2351</v>
      </c>
      <c r="M1067">
        <v>327981185502</v>
      </c>
      <c r="N1067" t="s">
        <v>2661</v>
      </c>
      <c r="O1067" s="1">
        <v>44894</v>
      </c>
      <c r="T1067" t="s">
        <v>2662</v>
      </c>
      <c r="U1067" t="s">
        <v>5151</v>
      </c>
      <c r="V1067">
        <v>0</v>
      </c>
      <c r="W1067" t="s">
        <v>2677</v>
      </c>
      <c r="X1067">
        <v>1</v>
      </c>
      <c r="Y1067" t="s">
        <v>2807</v>
      </c>
      <c r="Z1067" t="s">
        <v>2684</v>
      </c>
      <c r="AA1067">
        <v>108483856702</v>
      </c>
      <c r="AB1067" t="s">
        <v>1316</v>
      </c>
      <c r="AC1067">
        <v>0</v>
      </c>
      <c r="AD1067">
        <v>2</v>
      </c>
      <c r="AE1067">
        <v>1084838567022</v>
      </c>
      <c r="AF1067" t="s">
        <v>5152</v>
      </c>
      <c r="AG1067">
        <v>0</v>
      </c>
      <c r="AH1067">
        <v>0</v>
      </c>
    </row>
    <row r="1068" spans="1:34">
      <c r="A1068">
        <v>2026</v>
      </c>
      <c r="B1068" s="1">
        <v>46023</v>
      </c>
      <c r="C1068" t="s">
        <v>2657</v>
      </c>
      <c r="D1068" t="s">
        <v>5154</v>
      </c>
      <c r="E1068" s="43">
        <v>46037.819393078702</v>
      </c>
      <c r="F1068" s="1">
        <v>46037</v>
      </c>
      <c r="G1068" s="43">
        <v>46041.563660185187</v>
      </c>
      <c r="H1068" t="s">
        <v>2701</v>
      </c>
      <c r="I1068" t="s">
        <v>2719</v>
      </c>
      <c r="J1068" t="s">
        <v>37</v>
      </c>
      <c r="L1068" t="s">
        <v>2351</v>
      </c>
      <c r="M1068">
        <v>836748983002</v>
      </c>
      <c r="N1068" t="s">
        <v>2661</v>
      </c>
      <c r="O1068" s="1">
        <v>45457</v>
      </c>
      <c r="T1068" t="s">
        <v>2662</v>
      </c>
      <c r="U1068" t="s">
        <v>5155</v>
      </c>
      <c r="V1068">
        <v>2</v>
      </c>
      <c r="W1068" t="s">
        <v>2671</v>
      </c>
      <c r="X1068">
        <v>1</v>
      </c>
      <c r="Y1068" t="s">
        <v>2692</v>
      </c>
      <c r="AA1068">
        <v>108483856702</v>
      </c>
      <c r="AB1068" t="s">
        <v>1316</v>
      </c>
      <c r="AC1068">
        <v>0</v>
      </c>
      <c r="AD1068">
        <v>3</v>
      </c>
      <c r="AE1068">
        <v>1084838567023</v>
      </c>
      <c r="AF1068" t="s">
        <v>5152</v>
      </c>
      <c r="AG1068">
        <v>0</v>
      </c>
      <c r="AH1068">
        <v>0</v>
      </c>
    </row>
    <row r="1069" spans="1:34">
      <c r="A1069">
        <v>2026</v>
      </c>
      <c r="B1069" s="1">
        <v>46023</v>
      </c>
      <c r="C1069" t="s">
        <v>2657</v>
      </c>
      <c r="D1069" t="s">
        <v>5156</v>
      </c>
      <c r="E1069" s="43">
        <v>46037.820087222222</v>
      </c>
      <c r="F1069" s="1">
        <v>46037</v>
      </c>
      <c r="G1069" s="43">
        <v>46041.563738009259</v>
      </c>
      <c r="H1069" t="s">
        <v>2701</v>
      </c>
      <c r="I1069" t="s">
        <v>2719</v>
      </c>
      <c r="J1069" t="s">
        <v>37</v>
      </c>
      <c r="L1069" t="s">
        <v>2351</v>
      </c>
      <c r="M1069">
        <v>327981185502</v>
      </c>
      <c r="N1069" t="s">
        <v>2661</v>
      </c>
      <c r="O1069" s="1">
        <v>44894</v>
      </c>
      <c r="T1069" t="s">
        <v>2662</v>
      </c>
      <c r="U1069" t="s">
        <v>5157</v>
      </c>
      <c r="V1069">
        <v>2</v>
      </c>
      <c r="W1069" t="s">
        <v>2671</v>
      </c>
      <c r="X1069">
        <v>1</v>
      </c>
      <c r="Y1069" t="s">
        <v>2692</v>
      </c>
      <c r="AA1069">
        <v>108483856702</v>
      </c>
      <c r="AB1069" t="s">
        <v>1316</v>
      </c>
      <c r="AC1069">
        <v>0</v>
      </c>
      <c r="AD1069">
        <v>3</v>
      </c>
      <c r="AE1069">
        <v>1084838567023</v>
      </c>
      <c r="AF1069" t="s">
        <v>5152</v>
      </c>
      <c r="AG1069">
        <v>0</v>
      </c>
      <c r="AH1069">
        <v>0</v>
      </c>
    </row>
    <row r="1070" spans="1:34">
      <c r="A1070">
        <v>2026</v>
      </c>
      <c r="B1070" s="1">
        <v>46023</v>
      </c>
      <c r="C1070" t="s">
        <v>2657</v>
      </c>
      <c r="D1070" t="s">
        <v>5158</v>
      </c>
      <c r="E1070" s="43">
        <v>46037.797115891204</v>
      </c>
      <c r="F1070" s="1">
        <v>46037</v>
      </c>
      <c r="G1070" s="43">
        <v>46041.563484733793</v>
      </c>
      <c r="H1070" t="s">
        <v>2701</v>
      </c>
      <c r="I1070" t="s">
        <v>2719</v>
      </c>
      <c r="J1070" t="s">
        <v>37</v>
      </c>
      <c r="L1070" t="s">
        <v>2351</v>
      </c>
      <c r="M1070">
        <v>592383571202</v>
      </c>
      <c r="N1070" t="s">
        <v>2661</v>
      </c>
      <c r="O1070" s="1">
        <v>45457</v>
      </c>
      <c r="T1070" t="s">
        <v>2662</v>
      </c>
      <c r="U1070" t="s">
        <v>5159</v>
      </c>
      <c r="V1070">
        <v>2</v>
      </c>
      <c r="W1070" t="s">
        <v>2671</v>
      </c>
      <c r="X1070">
        <v>1</v>
      </c>
      <c r="Y1070" t="s">
        <v>2692</v>
      </c>
      <c r="AA1070">
        <v>108483856702</v>
      </c>
      <c r="AB1070" t="s">
        <v>1316</v>
      </c>
      <c r="AC1070">
        <v>0</v>
      </c>
      <c r="AD1070">
        <v>3</v>
      </c>
      <c r="AE1070">
        <v>1084838567023</v>
      </c>
      <c r="AF1070" t="s">
        <v>5152</v>
      </c>
      <c r="AG1070">
        <v>0</v>
      </c>
      <c r="AH1070">
        <v>0</v>
      </c>
    </row>
    <row r="1071" spans="1:34">
      <c r="A1071">
        <v>2026</v>
      </c>
      <c r="B1071" s="1">
        <v>46023</v>
      </c>
      <c r="C1071" t="s">
        <v>2657</v>
      </c>
      <c r="D1071" s="44" t="s">
        <v>5160</v>
      </c>
      <c r="E1071" s="43">
        <v>46037.796216631941</v>
      </c>
      <c r="F1071" s="1">
        <v>46037</v>
      </c>
      <c r="G1071" s="43">
        <v>46041.563363981484</v>
      </c>
      <c r="H1071" t="s">
        <v>2701</v>
      </c>
      <c r="I1071" t="s">
        <v>2719</v>
      </c>
      <c r="J1071" t="s">
        <v>37</v>
      </c>
      <c r="L1071" t="s">
        <v>2351</v>
      </c>
      <c r="M1071">
        <v>108483856702</v>
      </c>
      <c r="N1071" t="s">
        <v>2661</v>
      </c>
      <c r="O1071" s="1">
        <v>45457</v>
      </c>
      <c r="T1071" t="s">
        <v>2662</v>
      </c>
      <c r="U1071" t="s">
        <v>5161</v>
      </c>
      <c r="V1071">
        <v>2</v>
      </c>
      <c r="W1071" t="s">
        <v>2671</v>
      </c>
      <c r="X1071">
        <v>1</v>
      </c>
      <c r="Y1071" t="s">
        <v>2692</v>
      </c>
      <c r="AA1071">
        <v>108483856702</v>
      </c>
      <c r="AB1071" t="s">
        <v>1316</v>
      </c>
      <c r="AC1071">
        <v>0</v>
      </c>
      <c r="AD1071">
        <v>3</v>
      </c>
      <c r="AE1071">
        <v>1084838567023</v>
      </c>
      <c r="AF1071" t="s">
        <v>5152</v>
      </c>
      <c r="AG1071">
        <v>1</v>
      </c>
      <c r="AH1071">
        <v>0</v>
      </c>
    </row>
    <row r="1072" spans="1:34">
      <c r="A1072">
        <v>2026</v>
      </c>
      <c r="B1072" s="1">
        <v>46023</v>
      </c>
      <c r="C1072" t="s">
        <v>2657</v>
      </c>
      <c r="D1072" t="s">
        <v>5162</v>
      </c>
      <c r="E1072" s="43">
        <v>46037.798277754628</v>
      </c>
      <c r="F1072" s="1">
        <v>46037</v>
      </c>
      <c r="G1072" s="43">
        <v>46041.563582673611</v>
      </c>
      <c r="H1072" t="s">
        <v>2701</v>
      </c>
      <c r="I1072" t="s">
        <v>2719</v>
      </c>
      <c r="J1072" t="s">
        <v>37</v>
      </c>
      <c r="L1072" t="s">
        <v>2351</v>
      </c>
      <c r="M1072">
        <v>368602630102</v>
      </c>
      <c r="N1072" t="s">
        <v>2661</v>
      </c>
      <c r="O1072" s="1">
        <v>45457</v>
      </c>
      <c r="T1072" t="s">
        <v>2662</v>
      </c>
      <c r="U1072" t="s">
        <v>5163</v>
      </c>
      <c r="V1072">
        <v>2</v>
      </c>
      <c r="W1072" t="s">
        <v>2671</v>
      </c>
      <c r="X1072">
        <v>1</v>
      </c>
      <c r="Y1072" t="s">
        <v>2692</v>
      </c>
      <c r="AA1072">
        <v>108483856702</v>
      </c>
      <c r="AB1072" t="s">
        <v>1316</v>
      </c>
      <c r="AC1072">
        <v>0</v>
      </c>
      <c r="AD1072">
        <v>3</v>
      </c>
      <c r="AE1072">
        <v>1084838567023</v>
      </c>
      <c r="AF1072" t="s">
        <v>5152</v>
      </c>
      <c r="AG1072">
        <v>0</v>
      </c>
      <c r="AH1072">
        <v>0</v>
      </c>
    </row>
    <row r="1073" spans="1:34">
      <c r="A1073">
        <v>2026</v>
      </c>
      <c r="B1073" s="1">
        <v>46023</v>
      </c>
      <c r="C1073" t="s">
        <v>2657</v>
      </c>
      <c r="D1073" t="s">
        <v>5164</v>
      </c>
      <c r="E1073" s="43">
        <v>46042.872184189815</v>
      </c>
      <c r="F1073" s="1">
        <v>46042</v>
      </c>
      <c r="G1073" s="43">
        <v>46045.776334837959</v>
      </c>
      <c r="H1073" t="s">
        <v>2701</v>
      </c>
      <c r="I1073" t="s">
        <v>2719</v>
      </c>
      <c r="J1073" t="s">
        <v>37</v>
      </c>
      <c r="L1073" t="s">
        <v>2351</v>
      </c>
      <c r="M1073">
        <v>327981185502</v>
      </c>
      <c r="N1073" t="s">
        <v>2661</v>
      </c>
      <c r="O1073" s="1">
        <v>44894</v>
      </c>
      <c r="T1073" t="s">
        <v>2662</v>
      </c>
      <c r="U1073" t="s">
        <v>5165</v>
      </c>
      <c r="V1073">
        <v>3</v>
      </c>
      <c r="W1073" t="s">
        <v>2677</v>
      </c>
      <c r="X1073">
        <v>1</v>
      </c>
      <c r="Y1073" t="s">
        <v>2767</v>
      </c>
      <c r="AA1073">
        <v>108483856702</v>
      </c>
      <c r="AB1073" t="s">
        <v>1316</v>
      </c>
      <c r="AC1073">
        <v>0</v>
      </c>
      <c r="AD1073">
        <v>4</v>
      </c>
      <c r="AE1073">
        <v>1084838567024</v>
      </c>
      <c r="AF1073" t="s">
        <v>5152</v>
      </c>
      <c r="AG1073">
        <v>0</v>
      </c>
      <c r="AH1073">
        <v>0</v>
      </c>
    </row>
    <row r="1074" spans="1:34">
      <c r="A1074">
        <v>2026</v>
      </c>
      <c r="B1074" s="1">
        <v>46023</v>
      </c>
      <c r="C1074" t="s">
        <v>2657</v>
      </c>
      <c r="D1074" t="s">
        <v>5166</v>
      </c>
      <c r="E1074" s="43">
        <v>46042.870310787039</v>
      </c>
      <c r="F1074" s="1">
        <v>46042</v>
      </c>
      <c r="G1074" s="43">
        <v>46049.842379710652</v>
      </c>
      <c r="H1074" t="s">
        <v>2701</v>
      </c>
      <c r="I1074" t="s">
        <v>2719</v>
      </c>
      <c r="J1074" t="s">
        <v>37</v>
      </c>
      <c r="L1074" t="s">
        <v>2351</v>
      </c>
      <c r="M1074">
        <v>327981185502</v>
      </c>
      <c r="N1074" t="s">
        <v>2661</v>
      </c>
      <c r="O1074" s="1">
        <v>44894</v>
      </c>
      <c r="T1074" t="s">
        <v>2662</v>
      </c>
      <c r="U1074" t="s">
        <v>5167</v>
      </c>
      <c r="V1074">
        <v>5</v>
      </c>
      <c r="W1074" t="s">
        <v>2677</v>
      </c>
      <c r="X1074">
        <v>1</v>
      </c>
      <c r="Y1074" t="s">
        <v>2760</v>
      </c>
      <c r="AA1074">
        <v>108483856702</v>
      </c>
      <c r="AB1074" t="s">
        <v>1316</v>
      </c>
      <c r="AC1074">
        <v>0</v>
      </c>
      <c r="AD1074">
        <v>4</v>
      </c>
      <c r="AE1074">
        <v>1084838567024</v>
      </c>
      <c r="AF1074" t="s">
        <v>5152</v>
      </c>
      <c r="AG1074">
        <v>1</v>
      </c>
      <c r="AH1074">
        <v>0</v>
      </c>
    </row>
    <row r="1075" spans="1:34">
      <c r="A1075">
        <v>2026</v>
      </c>
      <c r="B1075" s="1">
        <v>46023</v>
      </c>
      <c r="C1075" t="s">
        <v>2657</v>
      </c>
      <c r="D1075" t="s">
        <v>5168</v>
      </c>
      <c r="E1075" s="43">
        <v>46038.626622013886</v>
      </c>
      <c r="F1075" s="1">
        <v>46038</v>
      </c>
      <c r="G1075" s="43">
        <v>46043.715690821758</v>
      </c>
      <c r="H1075" t="s">
        <v>2701</v>
      </c>
      <c r="I1075" t="s">
        <v>2719</v>
      </c>
      <c r="J1075" t="s">
        <v>38</v>
      </c>
      <c r="L1075" t="s">
        <v>2342</v>
      </c>
      <c r="M1075">
        <v>98385811302</v>
      </c>
      <c r="N1075" t="s">
        <v>2702</v>
      </c>
      <c r="O1075" s="1">
        <v>45294</v>
      </c>
      <c r="T1075" t="s">
        <v>2662</v>
      </c>
      <c r="U1075" t="s">
        <v>5169</v>
      </c>
      <c r="V1075">
        <v>3</v>
      </c>
      <c r="W1075" t="s">
        <v>2664</v>
      </c>
      <c r="X1075">
        <v>1</v>
      </c>
      <c r="Y1075" t="s">
        <v>2757</v>
      </c>
      <c r="AA1075">
        <v>98385811302</v>
      </c>
      <c r="AB1075" t="s">
        <v>1591</v>
      </c>
      <c r="AC1075">
        <v>0</v>
      </c>
      <c r="AD1075">
        <v>3</v>
      </c>
      <c r="AE1075">
        <v>983858113023</v>
      </c>
      <c r="AF1075" t="s">
        <v>5170</v>
      </c>
      <c r="AG1075">
        <v>1</v>
      </c>
      <c r="AH1075">
        <v>1</v>
      </c>
    </row>
    <row r="1076" spans="1:34">
      <c r="A1076">
        <v>2026</v>
      </c>
      <c r="B1076" s="1">
        <v>46023</v>
      </c>
      <c r="C1076" t="s">
        <v>2657</v>
      </c>
      <c r="D1076" t="s">
        <v>5171</v>
      </c>
      <c r="E1076" s="43">
        <v>46048.700684247684</v>
      </c>
      <c r="F1076" s="1">
        <v>46048</v>
      </c>
      <c r="G1076" s="43">
        <v>46058.587637662036</v>
      </c>
      <c r="H1076" t="s">
        <v>2701</v>
      </c>
      <c r="I1076" t="s">
        <v>2660</v>
      </c>
      <c r="J1076" t="s">
        <v>38</v>
      </c>
      <c r="L1076" t="s">
        <v>2342</v>
      </c>
      <c r="M1076">
        <v>98385811302</v>
      </c>
      <c r="N1076" t="s">
        <v>2702</v>
      </c>
      <c r="O1076" s="1">
        <v>45294</v>
      </c>
      <c r="T1076" t="s">
        <v>2662</v>
      </c>
      <c r="U1076" t="s">
        <v>5172</v>
      </c>
      <c r="V1076">
        <v>8</v>
      </c>
      <c r="W1076" t="s">
        <v>2985</v>
      </c>
      <c r="X1076">
        <v>1</v>
      </c>
      <c r="Y1076" t="s">
        <v>2672</v>
      </c>
      <c r="AA1076">
        <v>98385811302</v>
      </c>
      <c r="AB1076" t="s">
        <v>1591</v>
      </c>
      <c r="AC1076">
        <v>0</v>
      </c>
      <c r="AD1076">
        <v>5</v>
      </c>
      <c r="AE1076">
        <v>983858113025</v>
      </c>
      <c r="AF1076" t="s">
        <v>5170</v>
      </c>
      <c r="AG1076">
        <v>1</v>
      </c>
      <c r="AH1076">
        <v>0</v>
      </c>
    </row>
    <row r="1077" spans="1:34">
      <c r="A1077">
        <v>2026</v>
      </c>
      <c r="B1077" s="1">
        <v>46023</v>
      </c>
      <c r="C1077" t="s">
        <v>2657</v>
      </c>
      <c r="D1077" t="s">
        <v>5173</v>
      </c>
      <c r="E1077" s="43">
        <v>46035.835774537038</v>
      </c>
      <c r="F1077" s="1">
        <v>46035</v>
      </c>
      <c r="G1077" s="43">
        <v>46079.754744942133</v>
      </c>
      <c r="H1077" t="s">
        <v>2701</v>
      </c>
      <c r="I1077" t="s">
        <v>2681</v>
      </c>
      <c r="J1077" t="s">
        <v>100</v>
      </c>
      <c r="L1077" t="s">
        <v>2353</v>
      </c>
      <c r="M1077">
        <v>658814193902</v>
      </c>
      <c r="N1077" t="s">
        <v>2675</v>
      </c>
      <c r="O1077" s="1">
        <v>45299</v>
      </c>
      <c r="T1077" t="s">
        <v>2662</v>
      </c>
      <c r="U1077" t="s">
        <v>5174</v>
      </c>
      <c r="V1077">
        <v>32</v>
      </c>
      <c r="W1077" t="s">
        <v>2704</v>
      </c>
      <c r="X1077">
        <v>1</v>
      </c>
      <c r="Y1077" t="s">
        <v>2699</v>
      </c>
      <c r="AA1077">
        <v>658814193902</v>
      </c>
      <c r="AB1077" t="s">
        <v>683</v>
      </c>
      <c r="AC1077">
        <v>0</v>
      </c>
      <c r="AD1077">
        <v>3</v>
      </c>
      <c r="AE1077">
        <v>6588141939023</v>
      </c>
      <c r="AF1077" t="s">
        <v>5175</v>
      </c>
      <c r="AG1077">
        <v>1</v>
      </c>
      <c r="AH1077">
        <v>0</v>
      </c>
    </row>
    <row r="1078" spans="1:34">
      <c r="A1078">
        <v>2026</v>
      </c>
      <c r="B1078" s="1">
        <v>46023</v>
      </c>
      <c r="C1078" t="s">
        <v>2657</v>
      </c>
      <c r="D1078" t="s">
        <v>5176</v>
      </c>
      <c r="E1078" s="43">
        <v>46030.608039999999</v>
      </c>
      <c r="F1078" s="1">
        <v>46030</v>
      </c>
      <c r="G1078" s="43">
        <v>46030.608039999999</v>
      </c>
      <c r="H1078" t="s">
        <v>2701</v>
      </c>
      <c r="I1078" t="s">
        <v>2681</v>
      </c>
      <c r="J1078" t="s">
        <v>100</v>
      </c>
      <c r="L1078" t="s">
        <v>2353</v>
      </c>
      <c r="M1078">
        <v>658814193902</v>
      </c>
      <c r="N1078" t="s">
        <v>2675</v>
      </c>
      <c r="O1078" s="1">
        <v>45299</v>
      </c>
      <c r="T1078" t="s">
        <v>2662</v>
      </c>
      <c r="U1078" t="s">
        <v>5177</v>
      </c>
      <c r="V1078">
        <v>0</v>
      </c>
      <c r="W1078" t="s">
        <v>2664</v>
      </c>
      <c r="X1078">
        <v>1</v>
      </c>
      <c r="Y1078" t="s">
        <v>2695</v>
      </c>
      <c r="AA1078">
        <v>658814193902</v>
      </c>
      <c r="AB1078" t="s">
        <v>683</v>
      </c>
      <c r="AC1078">
        <v>0</v>
      </c>
      <c r="AD1078">
        <v>2</v>
      </c>
      <c r="AE1078">
        <v>6588141939022</v>
      </c>
      <c r="AF1078" t="s">
        <v>5175</v>
      </c>
      <c r="AG1078">
        <v>1</v>
      </c>
      <c r="AH1078">
        <v>1</v>
      </c>
    </row>
    <row r="1079" spans="1:34">
      <c r="A1079">
        <v>2025</v>
      </c>
      <c r="B1079" s="1">
        <v>45901</v>
      </c>
      <c r="C1079" t="s">
        <v>2657</v>
      </c>
      <c r="D1079" s="44" t="s">
        <v>5178</v>
      </c>
      <c r="E1079" s="43">
        <v>45901.826497476854</v>
      </c>
      <c r="F1079" s="1">
        <v>45901</v>
      </c>
      <c r="G1079" s="43">
        <v>45902.69085201389</v>
      </c>
      <c r="H1079" t="s">
        <v>2734</v>
      </c>
      <c r="I1079" t="s">
        <v>2669</v>
      </c>
      <c r="J1079" t="s">
        <v>2735</v>
      </c>
      <c r="L1079" t="s">
        <v>2336</v>
      </c>
      <c r="M1079">
        <v>161445746002</v>
      </c>
      <c r="N1079" t="s">
        <v>2746</v>
      </c>
      <c r="O1079" s="1">
        <v>45673</v>
      </c>
      <c r="T1079" t="s">
        <v>2662</v>
      </c>
      <c r="U1079" t="s">
        <v>5179</v>
      </c>
      <c r="V1079">
        <v>1</v>
      </c>
      <c r="W1079" t="s">
        <v>2677</v>
      </c>
      <c r="X1079">
        <v>1</v>
      </c>
      <c r="Y1079" t="s">
        <v>2779</v>
      </c>
      <c r="Z1079" t="s">
        <v>2684</v>
      </c>
      <c r="AA1079">
        <v>11103651302</v>
      </c>
      <c r="AB1079" t="s">
        <v>1482</v>
      </c>
      <c r="AC1079">
        <v>0</v>
      </c>
      <c r="AD1079">
        <v>36</v>
      </c>
      <c r="AE1079">
        <v>1110365130236</v>
      </c>
      <c r="AF1079" t="s">
        <v>5180</v>
      </c>
      <c r="AG1079">
        <v>1</v>
      </c>
      <c r="AH1079">
        <v>1</v>
      </c>
    </row>
    <row r="1080" spans="1:34">
      <c r="A1080">
        <v>2025</v>
      </c>
      <c r="B1080" s="1">
        <v>45901</v>
      </c>
      <c r="C1080" t="s">
        <v>2657</v>
      </c>
      <c r="D1080" t="s">
        <v>5181</v>
      </c>
      <c r="E1080" s="43">
        <v>45922.507962847223</v>
      </c>
      <c r="F1080" s="1">
        <v>45922</v>
      </c>
      <c r="G1080" s="43">
        <v>45924.530395138892</v>
      </c>
      <c r="H1080" t="s">
        <v>2734</v>
      </c>
      <c r="I1080" t="s">
        <v>2660</v>
      </c>
      <c r="J1080" t="s">
        <v>2735</v>
      </c>
      <c r="L1080" t="s">
        <v>2336</v>
      </c>
      <c r="M1080">
        <v>161445746002</v>
      </c>
      <c r="N1080" t="s">
        <v>2746</v>
      </c>
      <c r="O1080" s="1">
        <v>45673</v>
      </c>
      <c r="T1080" t="s">
        <v>2662</v>
      </c>
      <c r="U1080" t="s">
        <v>5182</v>
      </c>
      <c r="V1080">
        <v>2</v>
      </c>
      <c r="W1080" t="s">
        <v>2743</v>
      </c>
      <c r="X1080">
        <v>1</v>
      </c>
      <c r="Y1080" t="s">
        <v>3237</v>
      </c>
      <c r="AA1080">
        <v>11103651302</v>
      </c>
      <c r="AB1080" t="s">
        <v>1482</v>
      </c>
      <c r="AC1080">
        <v>0</v>
      </c>
      <c r="AD1080">
        <v>39</v>
      </c>
      <c r="AE1080">
        <v>1110365130239</v>
      </c>
      <c r="AF1080" t="s">
        <v>5180</v>
      </c>
      <c r="AG1080">
        <v>1</v>
      </c>
      <c r="AH1080">
        <v>0</v>
      </c>
    </row>
    <row r="1081" spans="1:34">
      <c r="A1081">
        <v>2026</v>
      </c>
      <c r="B1081" s="1">
        <v>46023</v>
      </c>
      <c r="C1081" t="s">
        <v>2657</v>
      </c>
      <c r="D1081" t="s">
        <v>5183</v>
      </c>
      <c r="E1081" s="43">
        <v>46030.571404409726</v>
      </c>
      <c r="F1081" s="1">
        <v>46030</v>
      </c>
      <c r="G1081" s="43">
        <v>46057.637322939816</v>
      </c>
      <c r="H1081" t="s">
        <v>2701</v>
      </c>
      <c r="I1081" t="s">
        <v>2681</v>
      </c>
      <c r="J1081" t="s">
        <v>37</v>
      </c>
      <c r="L1081" t="s">
        <v>2393</v>
      </c>
      <c r="M1081">
        <v>642643854302</v>
      </c>
      <c r="N1081" t="s">
        <v>2702</v>
      </c>
      <c r="O1081" s="1">
        <v>45084</v>
      </c>
      <c r="T1081" t="s">
        <v>2662</v>
      </c>
      <c r="U1081" t="s">
        <v>5184</v>
      </c>
      <c r="V1081">
        <v>19</v>
      </c>
      <c r="W1081" t="s">
        <v>2677</v>
      </c>
      <c r="X1081">
        <v>1</v>
      </c>
      <c r="Y1081" t="s">
        <v>2807</v>
      </c>
      <c r="AA1081">
        <v>642643854302</v>
      </c>
      <c r="AB1081" t="s">
        <v>1455</v>
      </c>
      <c r="AC1081">
        <v>1</v>
      </c>
      <c r="AD1081">
        <v>2</v>
      </c>
      <c r="AE1081">
        <v>6426438543022</v>
      </c>
      <c r="AF1081" t="s">
        <v>5185</v>
      </c>
      <c r="AG1081">
        <v>1</v>
      </c>
      <c r="AH1081">
        <v>1</v>
      </c>
    </row>
    <row r="1082" spans="1:34">
      <c r="A1082">
        <v>2025</v>
      </c>
      <c r="B1082" s="1">
        <v>45901</v>
      </c>
      <c r="C1082" t="s">
        <v>2657</v>
      </c>
      <c r="D1082" t="s">
        <v>5186</v>
      </c>
      <c r="E1082" s="43">
        <v>45925.544486342595</v>
      </c>
      <c r="F1082" s="1">
        <v>45925</v>
      </c>
      <c r="G1082" s="43">
        <v>45938.728234826391</v>
      </c>
      <c r="H1082" t="s">
        <v>2734</v>
      </c>
      <c r="I1082" t="s">
        <v>2660</v>
      </c>
      <c r="J1082" t="s">
        <v>2735</v>
      </c>
      <c r="L1082" t="s">
        <v>2421</v>
      </c>
      <c r="M1082">
        <v>97596278102</v>
      </c>
      <c r="N1082" t="s">
        <v>2661</v>
      </c>
      <c r="O1082" s="1">
        <v>45299</v>
      </c>
      <c r="T1082" t="s">
        <v>2662</v>
      </c>
      <c r="U1082" t="s">
        <v>5187</v>
      </c>
      <c r="V1082">
        <v>9</v>
      </c>
      <c r="W1082" t="s">
        <v>2677</v>
      </c>
      <c r="X1082">
        <v>1</v>
      </c>
      <c r="Y1082" t="s">
        <v>2740</v>
      </c>
      <c r="Z1082" t="s">
        <v>2684</v>
      </c>
      <c r="AA1082">
        <v>97596278102</v>
      </c>
      <c r="AB1082" t="s">
        <v>343</v>
      </c>
      <c r="AC1082">
        <v>0</v>
      </c>
      <c r="AD1082">
        <v>39</v>
      </c>
      <c r="AE1082">
        <v>9759627810239</v>
      </c>
      <c r="AF1082" t="s">
        <v>5188</v>
      </c>
      <c r="AG1082">
        <v>0</v>
      </c>
      <c r="AH1082">
        <v>0</v>
      </c>
    </row>
    <row r="1083" spans="1:34">
      <c r="A1083">
        <v>2025</v>
      </c>
      <c r="B1083" s="1">
        <v>45901</v>
      </c>
      <c r="C1083" t="s">
        <v>2657</v>
      </c>
      <c r="D1083" s="44" t="s">
        <v>5189</v>
      </c>
      <c r="E1083" s="43">
        <v>45923.853784606479</v>
      </c>
      <c r="F1083" s="1">
        <v>45923</v>
      </c>
      <c r="G1083" s="43">
        <v>45924.530802118054</v>
      </c>
      <c r="H1083" t="s">
        <v>2734</v>
      </c>
      <c r="I1083" t="s">
        <v>2660</v>
      </c>
      <c r="J1083" t="s">
        <v>2735</v>
      </c>
      <c r="L1083" t="s">
        <v>2421</v>
      </c>
      <c r="M1083">
        <v>97596278102</v>
      </c>
      <c r="N1083" t="s">
        <v>2661</v>
      </c>
      <c r="O1083" s="1">
        <v>45299</v>
      </c>
      <c r="T1083" t="s">
        <v>2662</v>
      </c>
      <c r="U1083" t="s">
        <v>5190</v>
      </c>
      <c r="V1083">
        <v>1</v>
      </c>
      <c r="W1083" t="s">
        <v>2677</v>
      </c>
      <c r="X1083">
        <v>1</v>
      </c>
      <c r="Y1083" t="s">
        <v>2807</v>
      </c>
      <c r="AA1083">
        <v>97596278102</v>
      </c>
      <c r="AB1083" t="s">
        <v>343</v>
      </c>
      <c r="AC1083">
        <v>0</v>
      </c>
      <c r="AD1083">
        <v>39</v>
      </c>
      <c r="AE1083">
        <v>9759627810239</v>
      </c>
      <c r="AF1083" t="s">
        <v>5188</v>
      </c>
      <c r="AG1083">
        <v>1</v>
      </c>
      <c r="AH1083">
        <v>1</v>
      </c>
    </row>
    <row r="1084" spans="1:34">
      <c r="A1084">
        <v>2026</v>
      </c>
      <c r="B1084" s="1">
        <v>46023</v>
      </c>
      <c r="C1084" t="s">
        <v>2657</v>
      </c>
      <c r="D1084" t="s">
        <v>5191</v>
      </c>
      <c r="E1084" s="43">
        <v>46030.570456307869</v>
      </c>
      <c r="F1084" s="1">
        <v>46030</v>
      </c>
      <c r="G1084" s="43">
        <v>46030.869445636577</v>
      </c>
      <c r="H1084" t="s">
        <v>2701</v>
      </c>
      <c r="I1084" t="s">
        <v>2681</v>
      </c>
      <c r="J1084" t="s">
        <v>37</v>
      </c>
      <c r="L1084" t="s">
        <v>2344</v>
      </c>
      <c r="M1084">
        <v>125288528002</v>
      </c>
      <c r="N1084" t="s">
        <v>2661</v>
      </c>
      <c r="O1084" s="1">
        <v>45884</v>
      </c>
      <c r="T1084" t="s">
        <v>2662</v>
      </c>
      <c r="U1084" t="s">
        <v>5192</v>
      </c>
      <c r="V1084">
        <v>0</v>
      </c>
      <c r="X1084">
        <v>1</v>
      </c>
      <c r="Y1084" t="s">
        <v>3237</v>
      </c>
      <c r="AA1084">
        <v>125288528002</v>
      </c>
      <c r="AB1084" t="s">
        <v>668</v>
      </c>
      <c r="AC1084">
        <v>0</v>
      </c>
      <c r="AD1084">
        <v>2</v>
      </c>
      <c r="AE1084">
        <v>1252885280022</v>
      </c>
      <c r="AF1084" t="s">
        <v>5193</v>
      </c>
      <c r="AG1084">
        <v>1</v>
      </c>
      <c r="AH1084">
        <v>1</v>
      </c>
    </row>
    <row r="1085" spans="1:34">
      <c r="A1085">
        <v>2026</v>
      </c>
      <c r="B1085" s="1">
        <v>46023</v>
      </c>
      <c r="C1085" t="s">
        <v>2657</v>
      </c>
      <c r="D1085" t="s">
        <v>5194</v>
      </c>
      <c r="E1085" s="43">
        <v>46034.847646388887</v>
      </c>
      <c r="F1085" s="1">
        <v>46034</v>
      </c>
      <c r="G1085" s="43">
        <v>46056.568412430555</v>
      </c>
      <c r="H1085" t="s">
        <v>2701</v>
      </c>
      <c r="I1085" t="s">
        <v>2681</v>
      </c>
      <c r="J1085" t="s">
        <v>37</v>
      </c>
      <c r="L1085" t="s">
        <v>2344</v>
      </c>
      <c r="M1085">
        <v>125288528002</v>
      </c>
      <c r="N1085" t="s">
        <v>2661</v>
      </c>
      <c r="O1085" s="1">
        <v>45884</v>
      </c>
      <c r="T1085" t="s">
        <v>2662</v>
      </c>
      <c r="U1085" t="s">
        <v>5195</v>
      </c>
      <c r="V1085">
        <v>16</v>
      </c>
      <c r="X1085">
        <v>1</v>
      </c>
      <c r="Y1085" t="s">
        <v>2717</v>
      </c>
      <c r="AA1085">
        <v>125288528002</v>
      </c>
      <c r="AB1085" t="s">
        <v>668</v>
      </c>
      <c r="AC1085">
        <v>0</v>
      </c>
      <c r="AD1085">
        <v>3</v>
      </c>
      <c r="AE1085">
        <v>1252885280023</v>
      </c>
      <c r="AF1085" t="s">
        <v>5193</v>
      </c>
      <c r="AG1085">
        <v>1</v>
      </c>
      <c r="AH1085">
        <v>0</v>
      </c>
    </row>
    <row r="1086" spans="1:34">
      <c r="A1086">
        <v>2026</v>
      </c>
      <c r="B1086" s="1">
        <v>46023</v>
      </c>
      <c r="C1086" t="s">
        <v>2657</v>
      </c>
      <c r="D1086" t="s">
        <v>5196</v>
      </c>
      <c r="E1086" s="43">
        <v>46045.787278402779</v>
      </c>
      <c r="F1086" s="1">
        <v>46045</v>
      </c>
      <c r="G1086" s="43">
        <v>46045.787278402779</v>
      </c>
      <c r="H1086" t="s">
        <v>2701</v>
      </c>
      <c r="I1086" t="s">
        <v>2660</v>
      </c>
      <c r="J1086" t="s">
        <v>37</v>
      </c>
      <c r="L1086" t="s">
        <v>2344</v>
      </c>
      <c r="M1086">
        <v>125288528002</v>
      </c>
      <c r="N1086" t="s">
        <v>2661</v>
      </c>
      <c r="O1086" s="1">
        <v>45884</v>
      </c>
      <c r="T1086" t="s">
        <v>2662</v>
      </c>
      <c r="U1086" t="s">
        <v>5197</v>
      </c>
      <c r="V1086">
        <v>0</v>
      </c>
      <c r="X1086">
        <v>1</v>
      </c>
      <c r="Y1086" t="s">
        <v>2695</v>
      </c>
      <c r="AA1086">
        <v>125288528002</v>
      </c>
      <c r="AB1086" t="s">
        <v>668</v>
      </c>
      <c r="AC1086">
        <v>0</v>
      </c>
      <c r="AD1086">
        <v>4</v>
      </c>
      <c r="AE1086">
        <v>1252885280024</v>
      </c>
      <c r="AF1086" t="s">
        <v>5193</v>
      </c>
      <c r="AG1086">
        <v>1</v>
      </c>
      <c r="AH1086">
        <v>0</v>
      </c>
    </row>
    <row r="1087" spans="1:34">
      <c r="A1087">
        <v>2026</v>
      </c>
      <c r="B1087" s="1">
        <v>46023</v>
      </c>
      <c r="C1087" t="s">
        <v>2657</v>
      </c>
      <c r="D1087" t="s">
        <v>5198</v>
      </c>
      <c r="E1087" s="43">
        <v>46052.535768680558</v>
      </c>
      <c r="F1087" s="1">
        <v>46052</v>
      </c>
      <c r="G1087" s="43">
        <v>46057.637536226852</v>
      </c>
      <c r="H1087" t="s">
        <v>2701</v>
      </c>
      <c r="I1087" t="s">
        <v>2697</v>
      </c>
      <c r="J1087" t="s">
        <v>37</v>
      </c>
      <c r="L1087" t="s">
        <v>2344</v>
      </c>
      <c r="M1087">
        <v>125288528002</v>
      </c>
      <c r="N1087" t="s">
        <v>2661</v>
      </c>
      <c r="O1087" s="1">
        <v>45884</v>
      </c>
      <c r="T1087" t="s">
        <v>2662</v>
      </c>
      <c r="U1087" t="s">
        <v>5199</v>
      </c>
      <c r="V1087">
        <v>3</v>
      </c>
      <c r="X1087">
        <v>1</v>
      </c>
      <c r="Y1087" t="s">
        <v>2688</v>
      </c>
      <c r="AA1087">
        <v>125288528002</v>
      </c>
      <c r="AB1087" t="s">
        <v>668</v>
      </c>
      <c r="AC1087">
        <v>0</v>
      </c>
      <c r="AD1087">
        <v>5</v>
      </c>
      <c r="AE1087">
        <v>1252885280025</v>
      </c>
      <c r="AF1087" t="s">
        <v>5193</v>
      </c>
      <c r="AG1087">
        <v>1</v>
      </c>
      <c r="AH1087">
        <v>0</v>
      </c>
    </row>
    <row r="1088" spans="1:34">
      <c r="A1088">
        <v>2025</v>
      </c>
      <c r="B1088" s="1">
        <v>45992</v>
      </c>
      <c r="C1088" t="s">
        <v>2657</v>
      </c>
      <c r="D1088" t="s">
        <v>5200</v>
      </c>
      <c r="E1088" s="43">
        <v>46014.689093692126</v>
      </c>
      <c r="F1088" s="1">
        <v>46014</v>
      </c>
      <c r="G1088" s="43">
        <v>46079.790767812498</v>
      </c>
      <c r="H1088" t="s">
        <v>2686</v>
      </c>
      <c r="I1088" t="s">
        <v>2660</v>
      </c>
      <c r="J1088" t="s">
        <v>38</v>
      </c>
      <c r="L1088" t="s">
        <v>2342</v>
      </c>
      <c r="M1088">
        <v>28945506502</v>
      </c>
      <c r="N1088" t="s">
        <v>2702</v>
      </c>
      <c r="O1088" s="1">
        <v>45349</v>
      </c>
      <c r="T1088" t="s">
        <v>2798</v>
      </c>
      <c r="U1088" t="s">
        <v>5201</v>
      </c>
      <c r="V1088">
        <v>58</v>
      </c>
      <c r="W1088" t="s">
        <v>2985</v>
      </c>
      <c r="X1088">
        <v>0</v>
      </c>
      <c r="Y1088" t="s">
        <v>2985</v>
      </c>
      <c r="AA1088">
        <v>28945506502</v>
      </c>
      <c r="AB1088" t="s">
        <v>820</v>
      </c>
      <c r="AC1088">
        <v>0</v>
      </c>
      <c r="AD1088">
        <v>52</v>
      </c>
      <c r="AE1088">
        <v>2894550650252</v>
      </c>
      <c r="AF1088" t="s">
        <v>5202</v>
      </c>
      <c r="AG1088">
        <v>1</v>
      </c>
      <c r="AH1088">
        <v>1</v>
      </c>
    </row>
    <row r="1089" spans="1:35">
      <c r="A1089">
        <v>2025</v>
      </c>
      <c r="B1089" s="1">
        <v>45992</v>
      </c>
      <c r="C1089" t="s">
        <v>2657</v>
      </c>
      <c r="D1089" s="44" t="s">
        <v>5203</v>
      </c>
      <c r="E1089" s="43">
        <v>45995.629252106482</v>
      </c>
      <c r="F1089" s="1">
        <v>45995</v>
      </c>
      <c r="G1089" s="43">
        <v>45999.742991979168</v>
      </c>
      <c r="H1089" t="s">
        <v>2686</v>
      </c>
      <c r="I1089" t="s">
        <v>2669</v>
      </c>
      <c r="J1089" t="s">
        <v>38</v>
      </c>
      <c r="L1089" t="s">
        <v>2379</v>
      </c>
      <c r="M1089">
        <v>587631208102</v>
      </c>
      <c r="N1089" t="s">
        <v>2675</v>
      </c>
      <c r="O1089" s="1">
        <v>45294</v>
      </c>
      <c r="T1089" t="s">
        <v>2662</v>
      </c>
      <c r="U1089" t="s">
        <v>5204</v>
      </c>
      <c r="V1089">
        <v>2</v>
      </c>
      <c r="W1089" t="s">
        <v>2664</v>
      </c>
      <c r="X1089">
        <v>1</v>
      </c>
      <c r="Y1089" t="s">
        <v>2717</v>
      </c>
      <c r="Z1089" t="s">
        <v>2684</v>
      </c>
      <c r="AA1089">
        <v>475342556402</v>
      </c>
      <c r="AB1089" t="s">
        <v>1415</v>
      </c>
      <c r="AC1089">
        <v>0</v>
      </c>
      <c r="AD1089">
        <v>49</v>
      </c>
      <c r="AE1089">
        <v>47534255640249</v>
      </c>
      <c r="AF1089" t="s">
        <v>5205</v>
      </c>
      <c r="AG1089">
        <v>1</v>
      </c>
      <c r="AH1089">
        <v>1</v>
      </c>
    </row>
    <row r="1090" spans="1:35">
      <c r="A1090">
        <v>2025</v>
      </c>
      <c r="B1090" s="1">
        <v>45992</v>
      </c>
      <c r="C1090" t="s">
        <v>2657</v>
      </c>
      <c r="D1090" s="44" t="s">
        <v>5206</v>
      </c>
      <c r="E1090" s="43">
        <v>45995.69605460648</v>
      </c>
      <c r="F1090" s="1">
        <v>45995</v>
      </c>
      <c r="G1090" s="43">
        <v>45999.743061030094</v>
      </c>
      <c r="H1090" t="s">
        <v>2686</v>
      </c>
      <c r="I1090" t="s">
        <v>2669</v>
      </c>
      <c r="J1090" t="s">
        <v>38</v>
      </c>
      <c r="L1090" t="s">
        <v>2379</v>
      </c>
      <c r="M1090">
        <v>409594534402</v>
      </c>
      <c r="N1090" t="s">
        <v>2675</v>
      </c>
      <c r="O1090" s="1">
        <v>45294</v>
      </c>
      <c r="T1090" t="s">
        <v>2662</v>
      </c>
      <c r="U1090" t="s">
        <v>5207</v>
      </c>
      <c r="V1090">
        <v>2</v>
      </c>
      <c r="W1090" t="s">
        <v>2664</v>
      </c>
      <c r="X1090">
        <v>1</v>
      </c>
      <c r="Y1090" t="s">
        <v>2717</v>
      </c>
      <c r="Z1090" t="s">
        <v>2684</v>
      </c>
      <c r="AA1090">
        <v>475342556402</v>
      </c>
      <c r="AB1090" t="s">
        <v>1415</v>
      </c>
      <c r="AC1090">
        <v>0</v>
      </c>
      <c r="AD1090">
        <v>49</v>
      </c>
      <c r="AE1090">
        <v>47534255640249</v>
      </c>
      <c r="AF1090" t="s">
        <v>5205</v>
      </c>
      <c r="AG1090">
        <v>0</v>
      </c>
      <c r="AH1090">
        <v>0</v>
      </c>
    </row>
    <row r="1091" spans="1:35">
      <c r="A1091">
        <v>2025</v>
      </c>
      <c r="B1091" s="1">
        <v>45992</v>
      </c>
      <c r="C1091" t="s">
        <v>2657</v>
      </c>
      <c r="D1091" t="s">
        <v>5208</v>
      </c>
      <c r="E1091" s="43">
        <v>46000.622482685183</v>
      </c>
      <c r="F1091" s="1">
        <v>46000</v>
      </c>
      <c r="G1091" s="43">
        <v>46002.577849675923</v>
      </c>
      <c r="H1091" t="s">
        <v>2686</v>
      </c>
      <c r="I1091" t="s">
        <v>2681</v>
      </c>
      <c r="J1091" t="s">
        <v>38</v>
      </c>
      <c r="L1091" t="s">
        <v>2379</v>
      </c>
      <c r="M1091">
        <v>409594534402</v>
      </c>
      <c r="N1091" t="s">
        <v>2675</v>
      </c>
      <c r="O1091" s="1">
        <v>45294</v>
      </c>
      <c r="T1091" t="s">
        <v>2662</v>
      </c>
      <c r="U1091" t="s">
        <v>5209</v>
      </c>
      <c r="V1091">
        <v>2</v>
      </c>
      <c r="X1091">
        <v>1</v>
      </c>
      <c r="Y1091" t="s">
        <v>2717</v>
      </c>
      <c r="AA1091">
        <v>475342556402</v>
      </c>
      <c r="AB1091" t="s">
        <v>1415</v>
      </c>
      <c r="AC1091">
        <v>0</v>
      </c>
      <c r="AD1091">
        <v>50</v>
      </c>
      <c r="AE1091">
        <v>47534255640250</v>
      </c>
      <c r="AF1091" t="s">
        <v>5205</v>
      </c>
      <c r="AG1091">
        <v>1</v>
      </c>
      <c r="AH1091">
        <v>0</v>
      </c>
    </row>
    <row r="1092" spans="1:35">
      <c r="A1092">
        <v>2026</v>
      </c>
      <c r="B1092" s="1">
        <v>46082</v>
      </c>
      <c r="C1092" t="s">
        <v>2657</v>
      </c>
      <c r="D1092" t="s">
        <v>5210</v>
      </c>
      <c r="E1092" s="43">
        <v>46092.752885023147</v>
      </c>
      <c r="F1092" s="1">
        <v>46092</v>
      </c>
      <c r="G1092" s="43">
        <v>46093.579397395835</v>
      </c>
      <c r="H1092" t="s">
        <v>2668</v>
      </c>
      <c r="I1092" t="s">
        <v>2681</v>
      </c>
      <c r="J1092" t="s">
        <v>39</v>
      </c>
      <c r="L1092" t="s">
        <v>2336</v>
      </c>
      <c r="M1092">
        <v>61648289002</v>
      </c>
      <c r="N1092" t="s">
        <v>2746</v>
      </c>
      <c r="O1092" s="1">
        <v>46020</v>
      </c>
      <c r="T1092" t="s">
        <v>2662</v>
      </c>
      <c r="U1092" t="s">
        <v>5211</v>
      </c>
      <c r="V1092">
        <v>1</v>
      </c>
      <c r="W1092" t="s">
        <v>2677</v>
      </c>
      <c r="X1092">
        <v>1</v>
      </c>
      <c r="Y1092" t="s">
        <v>2807</v>
      </c>
      <c r="AA1092">
        <v>61648289002</v>
      </c>
      <c r="AB1092" t="s">
        <v>2406</v>
      </c>
      <c r="AC1092">
        <v>1</v>
      </c>
      <c r="AD1092">
        <v>11</v>
      </c>
      <c r="AE1092">
        <v>6164828900211</v>
      </c>
      <c r="AF1092" t="s">
        <v>5212</v>
      </c>
      <c r="AG1092">
        <v>0</v>
      </c>
      <c r="AH1092">
        <v>0</v>
      </c>
    </row>
    <row r="1093" spans="1:35">
      <c r="A1093">
        <v>2026</v>
      </c>
      <c r="B1093" s="1">
        <v>46082</v>
      </c>
      <c r="C1093" t="s">
        <v>2657</v>
      </c>
      <c r="D1093" t="s">
        <v>5213</v>
      </c>
      <c r="E1093" s="43">
        <v>46091.817838229166</v>
      </c>
      <c r="F1093" s="1">
        <v>46091</v>
      </c>
      <c r="G1093" s="43">
        <v>46093.576995358795</v>
      </c>
      <c r="H1093" t="s">
        <v>2668</v>
      </c>
      <c r="I1093" t="s">
        <v>2681</v>
      </c>
      <c r="J1093" t="s">
        <v>39</v>
      </c>
      <c r="L1093" t="s">
        <v>2336</v>
      </c>
      <c r="M1093">
        <v>61648289002</v>
      </c>
      <c r="N1093" t="s">
        <v>2746</v>
      </c>
      <c r="O1093" s="1">
        <v>46020</v>
      </c>
      <c r="T1093" t="s">
        <v>2662</v>
      </c>
      <c r="U1093" t="s">
        <v>5214</v>
      </c>
      <c r="V1093">
        <v>2</v>
      </c>
      <c r="W1093" t="s">
        <v>2677</v>
      </c>
      <c r="X1093">
        <v>1</v>
      </c>
      <c r="Y1093" t="s">
        <v>2767</v>
      </c>
      <c r="AA1093">
        <v>61648289002</v>
      </c>
      <c r="AB1093" t="s">
        <v>2406</v>
      </c>
      <c r="AC1093">
        <v>0</v>
      </c>
      <c r="AD1093">
        <v>11</v>
      </c>
      <c r="AE1093">
        <v>6164828900211</v>
      </c>
      <c r="AF1093" t="s">
        <v>5212</v>
      </c>
      <c r="AG1093">
        <v>1</v>
      </c>
      <c r="AH1093">
        <v>1</v>
      </c>
      <c r="AI1093" t="s">
        <v>3001</v>
      </c>
    </row>
    <row r="1094" spans="1:35">
      <c r="A1094">
        <v>2026</v>
      </c>
      <c r="B1094" s="1">
        <v>46023</v>
      </c>
      <c r="C1094" t="s">
        <v>2657</v>
      </c>
      <c r="D1094" t="s">
        <v>5215</v>
      </c>
      <c r="E1094" s="43">
        <v>46035.527893067127</v>
      </c>
      <c r="F1094" s="1">
        <v>46035</v>
      </c>
      <c r="G1094" s="43">
        <v>46036.829975370369</v>
      </c>
      <c r="H1094" t="s">
        <v>2701</v>
      </c>
      <c r="I1094" t="s">
        <v>2681</v>
      </c>
      <c r="J1094" t="s">
        <v>39</v>
      </c>
      <c r="L1094" t="s">
        <v>2361</v>
      </c>
      <c r="M1094">
        <v>794325328902</v>
      </c>
      <c r="N1094" t="s">
        <v>2746</v>
      </c>
      <c r="O1094" s="1">
        <v>45457</v>
      </c>
      <c r="T1094" t="s">
        <v>2662</v>
      </c>
      <c r="U1094" t="s">
        <v>5216</v>
      </c>
      <c r="V1094">
        <v>1</v>
      </c>
      <c r="X1094">
        <v>1</v>
      </c>
      <c r="Y1094" t="s">
        <v>2717</v>
      </c>
      <c r="AA1094">
        <v>97759973202</v>
      </c>
      <c r="AB1094" t="s">
        <v>2118</v>
      </c>
      <c r="AC1094">
        <v>0</v>
      </c>
      <c r="AD1094">
        <v>3</v>
      </c>
      <c r="AE1094">
        <v>977599732023</v>
      </c>
      <c r="AF1094" t="s">
        <v>5217</v>
      </c>
      <c r="AG1094">
        <v>1</v>
      </c>
      <c r="AH1094">
        <v>1</v>
      </c>
    </row>
    <row r="1095" spans="1:35">
      <c r="A1095">
        <v>2026</v>
      </c>
      <c r="B1095" s="1">
        <v>46023</v>
      </c>
      <c r="C1095" t="s">
        <v>2657</v>
      </c>
      <c r="D1095" t="s">
        <v>5218</v>
      </c>
      <c r="E1095" s="43">
        <v>46037.474950752316</v>
      </c>
      <c r="F1095" s="1">
        <v>46037</v>
      </c>
      <c r="G1095" s="43">
        <v>46037.81838773148</v>
      </c>
      <c r="H1095" t="s">
        <v>2701</v>
      </c>
      <c r="I1095" t="s">
        <v>2719</v>
      </c>
      <c r="J1095" t="s">
        <v>39</v>
      </c>
      <c r="L1095" t="s">
        <v>2361</v>
      </c>
      <c r="M1095">
        <v>794325328902</v>
      </c>
      <c r="N1095" t="s">
        <v>2746</v>
      </c>
      <c r="O1095" s="1">
        <v>45457</v>
      </c>
      <c r="T1095" t="s">
        <v>2662</v>
      </c>
      <c r="U1095" t="s">
        <v>5219</v>
      </c>
      <c r="V1095">
        <v>0</v>
      </c>
      <c r="X1095">
        <v>1</v>
      </c>
      <c r="Y1095" t="s">
        <v>2688</v>
      </c>
      <c r="AA1095">
        <v>97759973202</v>
      </c>
      <c r="AB1095" t="s">
        <v>2118</v>
      </c>
      <c r="AC1095">
        <v>0</v>
      </c>
      <c r="AD1095">
        <v>3</v>
      </c>
      <c r="AE1095">
        <v>977599732023</v>
      </c>
      <c r="AF1095" t="s">
        <v>5217</v>
      </c>
      <c r="AG1095">
        <v>0</v>
      </c>
      <c r="AH1095">
        <v>0</v>
      </c>
    </row>
    <row r="1096" spans="1:35">
      <c r="A1096">
        <v>2026</v>
      </c>
      <c r="B1096" s="1">
        <v>46023</v>
      </c>
      <c r="C1096" t="s">
        <v>2657</v>
      </c>
      <c r="D1096" t="s">
        <v>5220</v>
      </c>
      <c r="E1096" s="43">
        <v>46041.51695809028</v>
      </c>
      <c r="F1096" s="1">
        <v>46041</v>
      </c>
      <c r="G1096" s="43">
        <v>46041.784327604168</v>
      </c>
      <c r="H1096" t="s">
        <v>2701</v>
      </c>
      <c r="I1096" t="s">
        <v>2719</v>
      </c>
      <c r="J1096" t="s">
        <v>39</v>
      </c>
      <c r="L1096" t="s">
        <v>2361</v>
      </c>
      <c r="M1096">
        <v>794325328902</v>
      </c>
      <c r="N1096" t="s">
        <v>2746</v>
      </c>
      <c r="O1096" s="1">
        <v>45457</v>
      </c>
      <c r="T1096" t="s">
        <v>2662</v>
      </c>
      <c r="U1096" t="s">
        <v>5221</v>
      </c>
      <c r="V1096">
        <v>0</v>
      </c>
      <c r="X1096">
        <v>1</v>
      </c>
      <c r="Y1096" t="s">
        <v>2688</v>
      </c>
      <c r="AA1096">
        <v>97759973202</v>
      </c>
      <c r="AB1096" t="s">
        <v>2118</v>
      </c>
      <c r="AC1096">
        <v>0</v>
      </c>
      <c r="AD1096">
        <v>4</v>
      </c>
      <c r="AE1096">
        <v>977599732024</v>
      </c>
      <c r="AF1096" t="s">
        <v>5217</v>
      </c>
      <c r="AG1096">
        <v>1</v>
      </c>
      <c r="AH1096">
        <v>0</v>
      </c>
    </row>
    <row r="1097" spans="1:35">
      <c r="A1097">
        <v>2026</v>
      </c>
      <c r="B1097" s="1">
        <v>46054</v>
      </c>
      <c r="C1097" t="s">
        <v>2657</v>
      </c>
      <c r="D1097" s="44" t="s">
        <v>5222</v>
      </c>
      <c r="E1097" s="43">
        <v>46058.640123344907</v>
      </c>
      <c r="F1097" s="1">
        <v>46058</v>
      </c>
      <c r="G1097" s="43">
        <v>46059.633085879628</v>
      </c>
      <c r="H1097" t="s">
        <v>2725</v>
      </c>
      <c r="I1097" t="s">
        <v>2669</v>
      </c>
      <c r="J1097" t="s">
        <v>100</v>
      </c>
      <c r="L1097" t="s">
        <v>2361</v>
      </c>
      <c r="M1097">
        <v>24928216102</v>
      </c>
      <c r="N1097" t="s">
        <v>2675</v>
      </c>
      <c r="O1097" s="1">
        <v>45972</v>
      </c>
      <c r="T1097" t="s">
        <v>2662</v>
      </c>
      <c r="U1097" t="s">
        <v>5223</v>
      </c>
      <c r="V1097">
        <v>1</v>
      </c>
      <c r="W1097" t="s">
        <v>2743</v>
      </c>
      <c r="X1097">
        <v>1</v>
      </c>
      <c r="Y1097" t="s">
        <v>2699</v>
      </c>
      <c r="AA1097">
        <v>24928216102</v>
      </c>
      <c r="AB1097" t="s">
        <v>2360</v>
      </c>
      <c r="AC1097">
        <v>0</v>
      </c>
      <c r="AD1097">
        <v>6</v>
      </c>
      <c r="AE1097">
        <v>249282161026</v>
      </c>
      <c r="AF1097" t="s">
        <v>5224</v>
      </c>
      <c r="AG1097">
        <v>1</v>
      </c>
      <c r="AH1097">
        <v>1</v>
      </c>
    </row>
    <row r="1098" spans="1:35">
      <c r="A1098">
        <v>2026</v>
      </c>
      <c r="B1098" s="1">
        <v>46054</v>
      </c>
      <c r="C1098" t="s">
        <v>2657</v>
      </c>
      <c r="D1098" t="s">
        <v>5225</v>
      </c>
      <c r="E1098" s="43">
        <v>46073.817820324075</v>
      </c>
      <c r="F1098" s="1">
        <v>46073</v>
      </c>
      <c r="G1098" s="43">
        <v>46076.605604375</v>
      </c>
      <c r="H1098" t="s">
        <v>2725</v>
      </c>
      <c r="I1098" t="s">
        <v>2719</v>
      </c>
      <c r="J1098" t="s">
        <v>100</v>
      </c>
      <c r="L1098" t="s">
        <v>2361</v>
      </c>
      <c r="M1098">
        <v>24928216102</v>
      </c>
      <c r="N1098" t="s">
        <v>2675</v>
      </c>
      <c r="O1098" s="1">
        <v>45972</v>
      </c>
      <c r="T1098" t="s">
        <v>2662</v>
      </c>
      <c r="U1098" t="s">
        <v>5226</v>
      </c>
      <c r="V1098">
        <v>1</v>
      </c>
      <c r="W1098" t="s">
        <v>2664</v>
      </c>
      <c r="X1098">
        <v>1</v>
      </c>
      <c r="Y1098" t="s">
        <v>2807</v>
      </c>
      <c r="AA1098">
        <v>24928216102</v>
      </c>
      <c r="AB1098" t="s">
        <v>2360</v>
      </c>
      <c r="AC1098">
        <v>0</v>
      </c>
      <c r="AD1098">
        <v>8</v>
      </c>
      <c r="AE1098">
        <v>249282161028</v>
      </c>
      <c r="AF1098" t="s">
        <v>5224</v>
      </c>
      <c r="AG1098">
        <v>0</v>
      </c>
      <c r="AH1098">
        <v>0</v>
      </c>
    </row>
    <row r="1099" spans="1:35">
      <c r="A1099">
        <v>2026</v>
      </c>
      <c r="B1099" s="1">
        <v>46054</v>
      </c>
      <c r="C1099" t="s">
        <v>2657</v>
      </c>
      <c r="D1099" t="s">
        <v>5227</v>
      </c>
      <c r="E1099" s="43">
        <v>46072.804267465275</v>
      </c>
      <c r="F1099" s="1">
        <v>46072</v>
      </c>
      <c r="G1099" s="43">
        <v>46073.558794062497</v>
      </c>
      <c r="H1099" t="s">
        <v>2725</v>
      </c>
      <c r="I1099" t="s">
        <v>2719</v>
      </c>
      <c r="J1099" t="s">
        <v>100</v>
      </c>
      <c r="L1099" t="s">
        <v>2361</v>
      </c>
      <c r="M1099">
        <v>24928216102</v>
      </c>
      <c r="N1099" t="s">
        <v>2675</v>
      </c>
      <c r="O1099" s="1">
        <v>45972</v>
      </c>
      <c r="T1099" t="s">
        <v>2662</v>
      </c>
      <c r="U1099" t="s">
        <v>5228</v>
      </c>
      <c r="V1099">
        <v>1</v>
      </c>
      <c r="W1099" t="s">
        <v>2743</v>
      </c>
      <c r="X1099">
        <v>1</v>
      </c>
      <c r="Y1099" t="s">
        <v>2678</v>
      </c>
      <c r="AA1099">
        <v>24928216102</v>
      </c>
      <c r="AB1099" t="s">
        <v>2360</v>
      </c>
      <c r="AC1099">
        <v>0</v>
      </c>
      <c r="AD1099">
        <v>8</v>
      </c>
      <c r="AE1099">
        <v>249282161028</v>
      </c>
      <c r="AF1099" t="s">
        <v>5224</v>
      </c>
      <c r="AG1099">
        <v>1</v>
      </c>
      <c r="AH1099">
        <v>0</v>
      </c>
    </row>
    <row r="1100" spans="1:35">
      <c r="A1100">
        <v>2026</v>
      </c>
      <c r="B1100" s="1">
        <v>46054</v>
      </c>
      <c r="C1100" t="s">
        <v>2657</v>
      </c>
      <c r="D1100" t="s">
        <v>5229</v>
      </c>
      <c r="E1100" s="43">
        <v>46079.564710960651</v>
      </c>
      <c r="F1100" s="1">
        <v>46079</v>
      </c>
      <c r="G1100" s="43">
        <v>46079.582671597222</v>
      </c>
      <c r="H1100" t="s">
        <v>2725</v>
      </c>
      <c r="I1100" t="s">
        <v>2660</v>
      </c>
      <c r="J1100" t="s">
        <v>100</v>
      </c>
      <c r="L1100" t="s">
        <v>2361</v>
      </c>
      <c r="M1100">
        <v>24928216102</v>
      </c>
      <c r="N1100" t="s">
        <v>2675</v>
      </c>
      <c r="O1100" s="1">
        <v>45972</v>
      </c>
      <c r="T1100" t="s">
        <v>2798</v>
      </c>
      <c r="U1100" t="s">
        <v>5230</v>
      </c>
      <c r="V1100">
        <v>11</v>
      </c>
      <c r="W1100" t="s">
        <v>2664</v>
      </c>
      <c r="X1100">
        <v>0</v>
      </c>
      <c r="Y1100" t="s">
        <v>2764</v>
      </c>
      <c r="AA1100">
        <v>24928216102</v>
      </c>
      <c r="AB1100" t="s">
        <v>2360</v>
      </c>
      <c r="AC1100">
        <v>0</v>
      </c>
      <c r="AD1100">
        <v>9</v>
      </c>
      <c r="AE1100">
        <v>249282161029</v>
      </c>
      <c r="AF1100" t="s">
        <v>5224</v>
      </c>
      <c r="AG1100">
        <v>1</v>
      </c>
      <c r="AH1100">
        <v>0</v>
      </c>
    </row>
    <row r="1101" spans="1:35">
      <c r="A1101">
        <v>2026</v>
      </c>
      <c r="B1101" s="1">
        <v>46054</v>
      </c>
      <c r="C1101" t="s">
        <v>2657</v>
      </c>
      <c r="D1101" t="s">
        <v>5231</v>
      </c>
      <c r="E1101" s="43">
        <v>46079.582576076391</v>
      </c>
      <c r="F1101" s="1">
        <v>46079</v>
      </c>
      <c r="G1101" s="43">
        <v>46079.582576076391</v>
      </c>
      <c r="H1101" t="s">
        <v>2725</v>
      </c>
      <c r="I1101" t="s">
        <v>2660</v>
      </c>
      <c r="J1101" t="s">
        <v>100</v>
      </c>
      <c r="L1101" t="s">
        <v>2361</v>
      </c>
      <c r="M1101">
        <v>24928216102</v>
      </c>
      <c r="N1101" t="s">
        <v>2675</v>
      </c>
      <c r="O1101" s="1">
        <v>45972</v>
      </c>
      <c r="T1101" t="s">
        <v>2798</v>
      </c>
      <c r="U1101" t="s">
        <v>5232</v>
      </c>
      <c r="V1101">
        <v>11</v>
      </c>
      <c r="W1101" t="s">
        <v>2671</v>
      </c>
      <c r="X1101">
        <v>0</v>
      </c>
      <c r="Y1101" t="s">
        <v>2764</v>
      </c>
      <c r="AA1101">
        <v>24928216102</v>
      </c>
      <c r="AB1101" t="s">
        <v>2360</v>
      </c>
      <c r="AC1101">
        <v>1</v>
      </c>
      <c r="AD1101">
        <v>9</v>
      </c>
      <c r="AE1101">
        <v>249282161029</v>
      </c>
      <c r="AF1101" t="s">
        <v>5224</v>
      </c>
      <c r="AG1101">
        <v>0</v>
      </c>
      <c r="AH1101">
        <v>0</v>
      </c>
    </row>
    <row r="1102" spans="1:35">
      <c r="A1102">
        <v>2026</v>
      </c>
      <c r="B1102" s="1">
        <v>46023</v>
      </c>
      <c r="C1102" t="s">
        <v>2657</v>
      </c>
      <c r="D1102" t="s">
        <v>5233</v>
      </c>
      <c r="E1102" s="43">
        <v>46044.749972546299</v>
      </c>
      <c r="F1102" s="1">
        <v>46044</v>
      </c>
      <c r="G1102" s="43">
        <v>46049.590234722222</v>
      </c>
      <c r="H1102" t="s">
        <v>2701</v>
      </c>
      <c r="I1102" t="s">
        <v>2660</v>
      </c>
      <c r="J1102" t="s">
        <v>37</v>
      </c>
      <c r="L1102" t="s">
        <v>2364</v>
      </c>
      <c r="M1102">
        <v>291732783002</v>
      </c>
      <c r="N1102" t="s">
        <v>2661</v>
      </c>
      <c r="O1102" s="1">
        <v>45593</v>
      </c>
      <c r="T1102" t="s">
        <v>2662</v>
      </c>
      <c r="U1102" t="s">
        <v>5234</v>
      </c>
      <c r="V1102">
        <v>3</v>
      </c>
      <c r="W1102" t="s">
        <v>2677</v>
      </c>
      <c r="X1102">
        <v>1</v>
      </c>
      <c r="Y1102" t="s">
        <v>2772</v>
      </c>
      <c r="AA1102">
        <v>434163431202</v>
      </c>
      <c r="AB1102" t="s">
        <v>1258</v>
      </c>
      <c r="AC1102">
        <v>0</v>
      </c>
      <c r="AD1102">
        <v>4</v>
      </c>
      <c r="AE1102">
        <v>4341634312024</v>
      </c>
      <c r="AF1102" t="s">
        <v>5235</v>
      </c>
      <c r="AG1102">
        <v>1</v>
      </c>
      <c r="AH1102">
        <v>1</v>
      </c>
    </row>
    <row r="1103" spans="1:35">
      <c r="A1103">
        <v>2026</v>
      </c>
      <c r="B1103" s="1">
        <v>46082</v>
      </c>
      <c r="C1103" t="s">
        <v>2657</v>
      </c>
      <c r="D1103" t="s">
        <v>5236</v>
      </c>
      <c r="E1103" s="43">
        <v>46083.69423494213</v>
      </c>
      <c r="F1103" s="1">
        <v>46083</v>
      </c>
      <c r="G1103" s="43">
        <v>46083.69423494213</v>
      </c>
      <c r="H1103" t="s">
        <v>2668</v>
      </c>
      <c r="I1103" t="s">
        <v>2669</v>
      </c>
      <c r="J1103" t="s">
        <v>38</v>
      </c>
      <c r="L1103" t="s">
        <v>2347</v>
      </c>
      <c r="M1103">
        <v>365155485602</v>
      </c>
      <c r="N1103" t="s">
        <v>2675</v>
      </c>
      <c r="O1103" s="1">
        <v>45661</v>
      </c>
      <c r="T1103" t="s">
        <v>2662</v>
      </c>
      <c r="U1103" t="s">
        <v>5237</v>
      </c>
      <c r="V1103">
        <v>0</v>
      </c>
      <c r="W1103" t="s">
        <v>2704</v>
      </c>
      <c r="X1103">
        <v>1</v>
      </c>
      <c r="Y1103" t="s">
        <v>2760</v>
      </c>
      <c r="AA1103">
        <v>365155485602</v>
      </c>
      <c r="AB1103" t="s">
        <v>1931</v>
      </c>
      <c r="AC1103">
        <v>0</v>
      </c>
      <c r="AD1103">
        <v>10</v>
      </c>
      <c r="AE1103">
        <v>36515548560210</v>
      </c>
      <c r="AF1103" t="s">
        <v>5238</v>
      </c>
      <c r="AG1103">
        <v>1</v>
      </c>
      <c r="AH1103">
        <v>1</v>
      </c>
    </row>
    <row r="1104" spans="1:35">
      <c r="A1104">
        <v>2026</v>
      </c>
      <c r="B1104" s="1">
        <v>46082</v>
      </c>
      <c r="C1104" t="s">
        <v>2657</v>
      </c>
      <c r="D1104" t="s">
        <v>5239</v>
      </c>
      <c r="E1104" s="43">
        <v>46092.592478726852</v>
      </c>
      <c r="F1104" s="1">
        <v>46092</v>
      </c>
      <c r="G1104" s="43">
        <v>46092.592478726852</v>
      </c>
      <c r="H1104" t="s">
        <v>2668</v>
      </c>
      <c r="I1104" t="s">
        <v>2681</v>
      </c>
      <c r="J1104" t="s">
        <v>38</v>
      </c>
      <c r="L1104" t="s">
        <v>2347</v>
      </c>
      <c r="M1104">
        <v>365155485602</v>
      </c>
      <c r="N1104" t="s">
        <v>2675</v>
      </c>
      <c r="O1104" s="1">
        <v>45661</v>
      </c>
      <c r="T1104" t="s">
        <v>2662</v>
      </c>
      <c r="U1104" t="s">
        <v>4241</v>
      </c>
      <c r="V1104">
        <v>0</v>
      </c>
      <c r="W1104" t="s">
        <v>2677</v>
      </c>
      <c r="X1104">
        <v>1</v>
      </c>
      <c r="Y1104" t="s">
        <v>2695</v>
      </c>
      <c r="AA1104">
        <v>365155485602</v>
      </c>
      <c r="AB1104" t="s">
        <v>1931</v>
      </c>
      <c r="AC1104">
        <v>1</v>
      </c>
      <c r="AD1104">
        <v>11</v>
      </c>
      <c r="AE1104">
        <v>36515548560211</v>
      </c>
      <c r="AF1104" t="s">
        <v>5238</v>
      </c>
      <c r="AG1104">
        <v>1</v>
      </c>
      <c r="AH1104">
        <v>0</v>
      </c>
    </row>
    <row r="1105" spans="1:34">
      <c r="A1105">
        <v>2025</v>
      </c>
      <c r="B1105" s="1">
        <v>45931</v>
      </c>
      <c r="C1105" t="s">
        <v>2657</v>
      </c>
      <c r="D1105" s="44" t="s">
        <v>5240</v>
      </c>
      <c r="E1105" s="43">
        <v>45937.708101689816</v>
      </c>
      <c r="F1105" s="1">
        <v>45937</v>
      </c>
      <c r="G1105" s="43">
        <v>45994.831222118053</v>
      </c>
      <c r="H1105" t="s">
        <v>2659</v>
      </c>
      <c r="I1105" t="s">
        <v>2669</v>
      </c>
      <c r="J1105" t="s">
        <v>38</v>
      </c>
      <c r="L1105" t="s">
        <v>2355</v>
      </c>
      <c r="M1105">
        <v>60238888002</v>
      </c>
      <c r="N1105" t="s">
        <v>2702</v>
      </c>
      <c r="O1105" s="1">
        <v>45324</v>
      </c>
      <c r="T1105" t="s">
        <v>2662</v>
      </c>
      <c r="U1105" t="s">
        <v>5241</v>
      </c>
      <c r="V1105">
        <v>41</v>
      </c>
      <c r="X1105">
        <v>1</v>
      </c>
      <c r="Y1105" t="s">
        <v>2931</v>
      </c>
      <c r="Z1105" t="s">
        <v>2834</v>
      </c>
      <c r="AA1105">
        <v>60238888002</v>
      </c>
      <c r="AB1105" t="s">
        <v>1024</v>
      </c>
      <c r="AC1105">
        <v>0</v>
      </c>
      <c r="AD1105">
        <v>41</v>
      </c>
      <c r="AE1105">
        <v>6023888800241</v>
      </c>
      <c r="AF1105" t="s">
        <v>5242</v>
      </c>
      <c r="AG1105">
        <v>1</v>
      </c>
      <c r="AH1105">
        <v>1</v>
      </c>
    </row>
    <row r="1106" spans="1:34">
      <c r="A1106">
        <v>2025</v>
      </c>
      <c r="B1106" s="1">
        <v>45931</v>
      </c>
      <c r="C1106" t="s">
        <v>2657</v>
      </c>
      <c r="D1106" t="s">
        <v>5243</v>
      </c>
      <c r="E1106" s="43">
        <v>45940.69049479167</v>
      </c>
      <c r="F1106" s="1">
        <v>45940</v>
      </c>
      <c r="G1106" s="43">
        <v>45940.69049479167</v>
      </c>
      <c r="H1106" t="s">
        <v>2659</v>
      </c>
      <c r="I1106" t="s">
        <v>2681</v>
      </c>
      <c r="J1106" t="s">
        <v>38</v>
      </c>
      <c r="L1106" t="s">
        <v>2355</v>
      </c>
      <c r="M1106">
        <v>60238888002</v>
      </c>
      <c r="N1106" t="s">
        <v>2702</v>
      </c>
      <c r="O1106" s="1">
        <v>45324</v>
      </c>
      <c r="T1106" t="s">
        <v>2662</v>
      </c>
      <c r="U1106" t="s">
        <v>5244</v>
      </c>
      <c r="V1106">
        <v>0</v>
      </c>
      <c r="W1106" t="s">
        <v>2664</v>
      </c>
      <c r="X1106">
        <v>1</v>
      </c>
      <c r="Y1106" t="s">
        <v>2695</v>
      </c>
      <c r="AA1106">
        <v>60238888002</v>
      </c>
      <c r="AB1106" t="s">
        <v>1024</v>
      </c>
      <c r="AC1106">
        <v>0</v>
      </c>
      <c r="AD1106">
        <v>41</v>
      </c>
      <c r="AE1106">
        <v>6023888800241</v>
      </c>
      <c r="AF1106" t="s">
        <v>5242</v>
      </c>
      <c r="AG1106">
        <v>0</v>
      </c>
      <c r="AH1106">
        <v>0</v>
      </c>
    </row>
    <row r="1107" spans="1:34">
      <c r="A1107">
        <v>2025</v>
      </c>
      <c r="B1107" s="1">
        <v>45931</v>
      </c>
      <c r="C1107" t="s">
        <v>2657</v>
      </c>
      <c r="D1107" t="s">
        <v>5245</v>
      </c>
      <c r="E1107" s="43">
        <v>45953.79733616898</v>
      </c>
      <c r="F1107" s="1">
        <v>45953</v>
      </c>
      <c r="G1107" s="43">
        <v>45953.888079641205</v>
      </c>
      <c r="H1107" t="s">
        <v>2659</v>
      </c>
      <c r="I1107" t="s">
        <v>2660</v>
      </c>
      <c r="J1107" t="s">
        <v>38</v>
      </c>
      <c r="L1107" t="s">
        <v>2355</v>
      </c>
      <c r="M1107">
        <v>60238888002</v>
      </c>
      <c r="N1107" t="s">
        <v>2702</v>
      </c>
      <c r="O1107" s="1">
        <v>45324</v>
      </c>
      <c r="T1107" t="s">
        <v>2662</v>
      </c>
      <c r="U1107" t="s">
        <v>5246</v>
      </c>
      <c r="V1107">
        <v>0</v>
      </c>
      <c r="W1107" t="s">
        <v>2664</v>
      </c>
      <c r="X1107">
        <v>1</v>
      </c>
      <c r="Y1107" t="s">
        <v>2665</v>
      </c>
      <c r="Z1107" t="s">
        <v>2684</v>
      </c>
      <c r="AA1107">
        <v>60238888002</v>
      </c>
      <c r="AB1107" t="s">
        <v>1024</v>
      </c>
      <c r="AC1107">
        <v>0</v>
      </c>
      <c r="AD1107">
        <v>43</v>
      </c>
      <c r="AE1107">
        <v>6023888800243</v>
      </c>
      <c r="AF1107" t="s">
        <v>5242</v>
      </c>
      <c r="AG1107">
        <v>0</v>
      </c>
      <c r="AH1107">
        <v>0</v>
      </c>
    </row>
    <row r="1108" spans="1:34">
      <c r="A1108">
        <v>2025</v>
      </c>
      <c r="B1108" s="1">
        <v>45931</v>
      </c>
      <c r="C1108" t="s">
        <v>2657</v>
      </c>
      <c r="D1108" t="s">
        <v>5247</v>
      </c>
      <c r="E1108" s="43">
        <v>45953.795810462965</v>
      </c>
      <c r="F1108" s="1">
        <v>45953</v>
      </c>
      <c r="G1108" s="43">
        <v>45958.851415439814</v>
      </c>
      <c r="H1108" t="s">
        <v>2659</v>
      </c>
      <c r="I1108" t="s">
        <v>2660</v>
      </c>
      <c r="J1108" t="s">
        <v>38</v>
      </c>
      <c r="L1108" t="s">
        <v>2355</v>
      </c>
      <c r="M1108">
        <v>60238888002</v>
      </c>
      <c r="N1108" t="s">
        <v>2702</v>
      </c>
      <c r="O1108" s="1">
        <v>45324</v>
      </c>
      <c r="T1108" t="s">
        <v>2662</v>
      </c>
      <c r="U1108" t="s">
        <v>5248</v>
      </c>
      <c r="V1108">
        <v>3</v>
      </c>
      <c r="W1108" t="s">
        <v>2664</v>
      </c>
      <c r="X1108">
        <v>1</v>
      </c>
      <c r="Y1108" t="s">
        <v>2760</v>
      </c>
      <c r="Z1108" t="s">
        <v>2684</v>
      </c>
      <c r="AA1108">
        <v>60238888002</v>
      </c>
      <c r="AB1108" t="s">
        <v>1024</v>
      </c>
      <c r="AC1108">
        <v>0</v>
      </c>
      <c r="AD1108">
        <v>43</v>
      </c>
      <c r="AE1108">
        <v>6023888800243</v>
      </c>
      <c r="AF1108" t="s">
        <v>5242</v>
      </c>
      <c r="AG1108">
        <v>1</v>
      </c>
      <c r="AH1108">
        <v>0</v>
      </c>
    </row>
    <row r="1109" spans="1:34">
      <c r="A1109">
        <v>2026</v>
      </c>
      <c r="B1109" s="1">
        <v>46082</v>
      </c>
      <c r="C1109" t="s">
        <v>2657</v>
      </c>
      <c r="D1109" s="44" t="s">
        <v>5249</v>
      </c>
      <c r="E1109" s="43">
        <v>46084.811079513885</v>
      </c>
      <c r="F1109" s="1">
        <v>46084</v>
      </c>
      <c r="G1109" s="43">
        <v>46085.578450138892</v>
      </c>
      <c r="H1109" t="s">
        <v>2668</v>
      </c>
      <c r="I1109" t="s">
        <v>2669</v>
      </c>
      <c r="J1109" t="s">
        <v>38</v>
      </c>
      <c r="L1109" t="s">
        <v>2379</v>
      </c>
      <c r="M1109">
        <v>314278248802</v>
      </c>
      <c r="N1109" t="s">
        <v>2675</v>
      </c>
      <c r="O1109" s="1">
        <v>45294</v>
      </c>
      <c r="T1109" t="s">
        <v>2662</v>
      </c>
      <c r="U1109" t="s">
        <v>5250</v>
      </c>
      <c r="V1109">
        <v>1</v>
      </c>
      <c r="W1109" t="s">
        <v>2677</v>
      </c>
      <c r="X1109">
        <v>1</v>
      </c>
      <c r="Y1109" t="s">
        <v>2807</v>
      </c>
      <c r="AA1109">
        <v>314278248802</v>
      </c>
      <c r="AB1109" t="s">
        <v>194</v>
      </c>
      <c r="AC1109">
        <v>0</v>
      </c>
      <c r="AD1109">
        <v>10</v>
      </c>
      <c r="AE1109">
        <v>31427824880210</v>
      </c>
      <c r="AF1109" t="s">
        <v>5251</v>
      </c>
      <c r="AG1109">
        <v>1</v>
      </c>
      <c r="AH1109">
        <v>1</v>
      </c>
    </row>
    <row r="1110" spans="1:34">
      <c r="A1110">
        <v>2026</v>
      </c>
      <c r="B1110" s="1">
        <v>46082</v>
      </c>
      <c r="C1110" t="s">
        <v>2657</v>
      </c>
      <c r="D1110" t="s">
        <v>5252</v>
      </c>
      <c r="E1110" s="43">
        <v>46093.622448541668</v>
      </c>
      <c r="F1110" s="1">
        <v>46093</v>
      </c>
      <c r="G1110" s="43">
        <v>46093.742684652774</v>
      </c>
      <c r="H1110" t="s">
        <v>2668</v>
      </c>
      <c r="I1110" t="s">
        <v>2681</v>
      </c>
      <c r="J1110" t="s">
        <v>38</v>
      </c>
      <c r="L1110" t="s">
        <v>2379</v>
      </c>
      <c r="M1110">
        <v>314278248802</v>
      </c>
      <c r="N1110" t="s">
        <v>2675</v>
      </c>
      <c r="O1110" s="1">
        <v>45294</v>
      </c>
      <c r="T1110" t="s">
        <v>2662</v>
      </c>
      <c r="U1110" t="s">
        <v>5253</v>
      </c>
      <c r="V1110">
        <v>0</v>
      </c>
      <c r="W1110" t="s">
        <v>2743</v>
      </c>
      <c r="X1110">
        <v>1</v>
      </c>
      <c r="Y1110" t="s">
        <v>2717</v>
      </c>
      <c r="AA1110">
        <v>314278248802</v>
      </c>
      <c r="AB1110" t="s">
        <v>194</v>
      </c>
      <c r="AC1110">
        <v>1</v>
      </c>
      <c r="AD1110">
        <v>11</v>
      </c>
      <c r="AE1110">
        <v>31427824880211</v>
      </c>
      <c r="AF1110" t="s">
        <v>5251</v>
      </c>
      <c r="AG1110">
        <v>1</v>
      </c>
      <c r="AH1110">
        <v>0</v>
      </c>
    </row>
    <row r="1111" spans="1:34">
      <c r="A1111">
        <v>2025</v>
      </c>
      <c r="B1111" s="1">
        <v>45992</v>
      </c>
      <c r="C1111" t="s">
        <v>2657</v>
      </c>
      <c r="D1111" t="s">
        <v>5254</v>
      </c>
      <c r="E1111" s="43">
        <v>46006.821666840275</v>
      </c>
      <c r="F1111" s="1">
        <v>46006</v>
      </c>
      <c r="G1111" s="43">
        <v>46007.501642175928</v>
      </c>
      <c r="H1111" t="s">
        <v>2686</v>
      </c>
      <c r="I1111" t="s">
        <v>2719</v>
      </c>
      <c r="J1111" t="s">
        <v>37</v>
      </c>
      <c r="L1111" t="s">
        <v>2364</v>
      </c>
      <c r="M1111">
        <v>137029362402</v>
      </c>
      <c r="N1111" t="s">
        <v>2661</v>
      </c>
      <c r="O1111" s="1">
        <v>45669</v>
      </c>
      <c r="T1111" t="s">
        <v>2662</v>
      </c>
      <c r="U1111" t="s">
        <v>5255</v>
      </c>
      <c r="V1111">
        <v>1</v>
      </c>
      <c r="W1111" t="s">
        <v>2671</v>
      </c>
      <c r="X1111">
        <v>1</v>
      </c>
      <c r="Y1111" t="s">
        <v>2672</v>
      </c>
      <c r="AA1111">
        <v>137029362402</v>
      </c>
      <c r="AB1111" t="s">
        <v>1441</v>
      </c>
      <c r="AC1111">
        <v>0</v>
      </c>
      <c r="AD1111">
        <v>51</v>
      </c>
      <c r="AE1111">
        <v>13702936240251</v>
      </c>
      <c r="AF1111" t="s">
        <v>5256</v>
      </c>
      <c r="AG1111">
        <v>0</v>
      </c>
      <c r="AH1111">
        <v>0</v>
      </c>
    </row>
    <row r="1112" spans="1:34">
      <c r="A1112">
        <v>2025</v>
      </c>
      <c r="B1112" s="1">
        <v>45992</v>
      </c>
      <c r="C1112" t="s">
        <v>2657</v>
      </c>
      <c r="D1112" t="s">
        <v>5257</v>
      </c>
      <c r="E1112" s="43">
        <v>46006.821131458331</v>
      </c>
      <c r="F1112" s="1">
        <v>46006</v>
      </c>
      <c r="G1112" s="43">
        <v>46020.58164034722</v>
      </c>
      <c r="H1112" t="s">
        <v>2686</v>
      </c>
      <c r="I1112" t="s">
        <v>2719</v>
      </c>
      <c r="J1112" t="s">
        <v>37</v>
      </c>
      <c r="L1112" t="s">
        <v>2364</v>
      </c>
      <c r="M1112">
        <v>137029362402</v>
      </c>
      <c r="N1112" t="s">
        <v>2661</v>
      </c>
      <c r="O1112" s="1">
        <v>45669</v>
      </c>
      <c r="T1112" t="s">
        <v>2662</v>
      </c>
      <c r="U1112" t="s">
        <v>5258</v>
      </c>
      <c r="V1112">
        <v>10</v>
      </c>
      <c r="W1112" t="s">
        <v>2677</v>
      </c>
      <c r="X1112">
        <v>1</v>
      </c>
      <c r="Y1112" t="s">
        <v>2807</v>
      </c>
      <c r="AA1112">
        <v>137029362402</v>
      </c>
      <c r="AB1112" t="s">
        <v>1441</v>
      </c>
      <c r="AC1112">
        <v>0</v>
      </c>
      <c r="AD1112">
        <v>51</v>
      </c>
      <c r="AE1112">
        <v>13702936240251</v>
      </c>
      <c r="AF1112" t="s">
        <v>5256</v>
      </c>
      <c r="AG1112">
        <v>1</v>
      </c>
      <c r="AH1112">
        <v>1</v>
      </c>
    </row>
    <row r="1113" spans="1:34">
      <c r="A1113">
        <v>2026</v>
      </c>
      <c r="B1113" s="1">
        <v>46054</v>
      </c>
      <c r="C1113" t="s">
        <v>2657</v>
      </c>
      <c r="D1113" t="s">
        <v>5259</v>
      </c>
      <c r="E1113" s="43">
        <v>46056.495923402777</v>
      </c>
      <c r="F1113" s="1">
        <v>46056</v>
      </c>
      <c r="G1113" s="43">
        <v>46056.495923402777</v>
      </c>
      <c r="H1113" t="s">
        <v>2725</v>
      </c>
      <c r="I1113" t="s">
        <v>2669</v>
      </c>
      <c r="J1113" t="s">
        <v>39</v>
      </c>
      <c r="L1113" t="s">
        <v>2362</v>
      </c>
      <c r="M1113">
        <v>617214756102</v>
      </c>
      <c r="N1113" t="s">
        <v>2702</v>
      </c>
      <c r="O1113" s="1">
        <v>46021</v>
      </c>
      <c r="T1113" t="s">
        <v>2662</v>
      </c>
      <c r="U1113" t="s">
        <v>5260</v>
      </c>
      <c r="V1113">
        <v>0</v>
      </c>
      <c r="W1113" t="s">
        <v>2677</v>
      </c>
      <c r="X1113">
        <v>1</v>
      </c>
      <c r="Y1113" t="s">
        <v>2760</v>
      </c>
      <c r="AA1113">
        <v>617231255902</v>
      </c>
      <c r="AB1113" t="s">
        <v>2365</v>
      </c>
      <c r="AC1113">
        <v>0</v>
      </c>
      <c r="AD1113">
        <v>6</v>
      </c>
      <c r="AE1113">
        <v>6172312559026</v>
      </c>
      <c r="AF1113" t="s">
        <v>5261</v>
      </c>
      <c r="AG1113">
        <v>1</v>
      </c>
      <c r="AH1113">
        <v>1</v>
      </c>
    </row>
    <row r="1114" spans="1:34">
      <c r="A1114">
        <v>2026</v>
      </c>
      <c r="B1114" s="1">
        <v>46054</v>
      </c>
      <c r="C1114" t="s">
        <v>2657</v>
      </c>
      <c r="D1114" t="s">
        <v>5262</v>
      </c>
      <c r="E1114" s="43">
        <v>46062.512781377314</v>
      </c>
      <c r="F1114" s="1">
        <v>46062</v>
      </c>
      <c r="G1114" s="43">
        <v>46080.668845868058</v>
      </c>
      <c r="H1114" t="s">
        <v>2725</v>
      </c>
      <c r="I1114" t="s">
        <v>2681</v>
      </c>
      <c r="J1114" t="s">
        <v>39</v>
      </c>
      <c r="L1114" t="s">
        <v>2362</v>
      </c>
      <c r="M1114">
        <v>617214756102</v>
      </c>
      <c r="N1114" t="s">
        <v>2702</v>
      </c>
      <c r="O1114" s="1">
        <v>46021</v>
      </c>
      <c r="T1114" t="s">
        <v>2662</v>
      </c>
      <c r="U1114" t="s">
        <v>5263</v>
      </c>
      <c r="V1114">
        <v>14</v>
      </c>
      <c r="W1114" t="s">
        <v>2677</v>
      </c>
      <c r="X1114">
        <v>1</v>
      </c>
      <c r="Y1114" t="s">
        <v>2767</v>
      </c>
      <c r="AA1114">
        <v>617231255902</v>
      </c>
      <c r="AB1114" t="s">
        <v>2365</v>
      </c>
      <c r="AC1114">
        <v>0</v>
      </c>
      <c r="AD1114">
        <v>7</v>
      </c>
      <c r="AE1114">
        <v>6172312559027</v>
      </c>
      <c r="AF1114" t="s">
        <v>5261</v>
      </c>
      <c r="AG1114">
        <v>1</v>
      </c>
      <c r="AH1114">
        <v>0</v>
      </c>
    </row>
    <row r="1115" spans="1:34">
      <c r="A1115">
        <v>2026</v>
      </c>
      <c r="B1115" s="1">
        <v>46054</v>
      </c>
      <c r="C1115" t="s">
        <v>2657</v>
      </c>
      <c r="D1115" t="s">
        <v>5264</v>
      </c>
      <c r="E1115" s="43">
        <v>46062.646468842591</v>
      </c>
      <c r="F1115" s="1">
        <v>46062</v>
      </c>
      <c r="G1115" s="43">
        <v>46063.589380983794</v>
      </c>
      <c r="H1115" t="s">
        <v>2725</v>
      </c>
      <c r="I1115" t="s">
        <v>2681</v>
      </c>
      <c r="J1115" t="s">
        <v>39</v>
      </c>
      <c r="L1115" t="s">
        <v>2362</v>
      </c>
      <c r="M1115">
        <v>617214756102</v>
      </c>
      <c r="N1115" t="s">
        <v>2702</v>
      </c>
      <c r="O1115" s="1">
        <v>46021</v>
      </c>
      <c r="T1115" t="s">
        <v>2662</v>
      </c>
      <c r="U1115" t="s">
        <v>5265</v>
      </c>
      <c r="V1115">
        <v>1</v>
      </c>
      <c r="W1115" t="s">
        <v>2671</v>
      </c>
      <c r="X1115">
        <v>1</v>
      </c>
      <c r="Y1115" t="s">
        <v>2672</v>
      </c>
      <c r="AA1115">
        <v>617231255902</v>
      </c>
      <c r="AB1115" t="s">
        <v>2365</v>
      </c>
      <c r="AC1115">
        <v>0</v>
      </c>
      <c r="AD1115">
        <v>7</v>
      </c>
      <c r="AE1115">
        <v>6172312559027</v>
      </c>
      <c r="AF1115" t="s">
        <v>5261</v>
      </c>
      <c r="AG1115">
        <v>0</v>
      </c>
      <c r="AH1115">
        <v>0</v>
      </c>
    </row>
    <row r="1116" spans="1:34">
      <c r="A1116">
        <v>2025</v>
      </c>
      <c r="B1116" s="1">
        <v>45870</v>
      </c>
      <c r="C1116" t="s">
        <v>2657</v>
      </c>
      <c r="D1116" t="s">
        <v>5266</v>
      </c>
      <c r="E1116" s="43">
        <v>45881.513803043985</v>
      </c>
      <c r="F1116" s="1">
        <v>45881</v>
      </c>
      <c r="G1116" s="43">
        <v>45887.746202442133</v>
      </c>
      <c r="H1116" t="s">
        <v>3088</v>
      </c>
      <c r="I1116" t="s">
        <v>2681</v>
      </c>
      <c r="J1116" t="s">
        <v>2735</v>
      </c>
      <c r="L1116" t="s">
        <v>2362</v>
      </c>
      <c r="M1116">
        <v>103928980802</v>
      </c>
      <c r="N1116" t="s">
        <v>2746</v>
      </c>
      <c r="O1116" s="1">
        <v>45661</v>
      </c>
      <c r="T1116" t="s">
        <v>2662</v>
      </c>
      <c r="U1116" t="s">
        <v>5267</v>
      </c>
      <c r="V1116">
        <v>4</v>
      </c>
      <c r="W1116" t="s">
        <v>2743</v>
      </c>
      <c r="X1116">
        <v>1</v>
      </c>
      <c r="Y1116" t="s">
        <v>2695</v>
      </c>
      <c r="AA1116">
        <v>103928980802</v>
      </c>
      <c r="AB1116" t="s">
        <v>1764</v>
      </c>
      <c r="AC1116">
        <v>0</v>
      </c>
      <c r="AD1116">
        <v>33</v>
      </c>
      <c r="AE1116">
        <v>10392898080233</v>
      </c>
      <c r="AF1116" t="s">
        <v>5268</v>
      </c>
      <c r="AG1116">
        <v>1</v>
      </c>
      <c r="AH1116">
        <v>0</v>
      </c>
    </row>
    <row r="1117" spans="1:34">
      <c r="A1117">
        <v>2025</v>
      </c>
      <c r="B1117" s="1">
        <v>45870</v>
      </c>
      <c r="C1117" t="s">
        <v>2657</v>
      </c>
      <c r="D1117" t="s">
        <v>5269</v>
      </c>
      <c r="E1117" s="43">
        <v>45877.812574733798</v>
      </c>
      <c r="F1117" s="1">
        <v>45877</v>
      </c>
      <c r="G1117" s="43">
        <v>45887.553698368058</v>
      </c>
      <c r="H1117" t="s">
        <v>3088</v>
      </c>
      <c r="I1117" t="s">
        <v>2681</v>
      </c>
      <c r="J1117" t="s">
        <v>2735</v>
      </c>
      <c r="L1117" t="s">
        <v>2362</v>
      </c>
      <c r="M1117">
        <v>103928980802</v>
      </c>
      <c r="N1117" t="s">
        <v>2746</v>
      </c>
      <c r="O1117" s="1">
        <v>45661</v>
      </c>
      <c r="T1117" t="s">
        <v>2662</v>
      </c>
      <c r="U1117" t="s">
        <v>5270</v>
      </c>
      <c r="V1117">
        <v>6</v>
      </c>
      <c r="W1117" t="s">
        <v>2743</v>
      </c>
      <c r="X1117">
        <v>1</v>
      </c>
      <c r="Y1117" t="s">
        <v>2699</v>
      </c>
      <c r="Z1117" t="s">
        <v>2834</v>
      </c>
      <c r="AA1117">
        <v>103928980802</v>
      </c>
      <c r="AB1117" t="s">
        <v>1764</v>
      </c>
      <c r="AC1117">
        <v>0</v>
      </c>
      <c r="AD1117">
        <v>32</v>
      </c>
      <c r="AE1117">
        <v>10392898080232</v>
      </c>
      <c r="AF1117" t="s">
        <v>5268</v>
      </c>
      <c r="AG1117">
        <v>1</v>
      </c>
      <c r="AH1117">
        <v>1</v>
      </c>
    </row>
    <row r="1118" spans="1:34">
      <c r="A1118">
        <v>2025</v>
      </c>
      <c r="B1118" s="1">
        <v>45870</v>
      </c>
      <c r="C1118" t="s">
        <v>2657</v>
      </c>
      <c r="D1118" t="s">
        <v>5271</v>
      </c>
      <c r="E1118" s="43">
        <v>45898.539650347222</v>
      </c>
      <c r="F1118" s="1">
        <v>45898</v>
      </c>
      <c r="G1118" s="43">
        <v>45902.663358518519</v>
      </c>
      <c r="H1118" t="s">
        <v>3088</v>
      </c>
      <c r="I1118" t="s">
        <v>2697</v>
      </c>
      <c r="J1118" t="s">
        <v>2735</v>
      </c>
      <c r="L1118" t="s">
        <v>2362</v>
      </c>
      <c r="M1118">
        <v>103928980802</v>
      </c>
      <c r="N1118" t="s">
        <v>2746</v>
      </c>
      <c r="O1118" s="1">
        <v>45661</v>
      </c>
      <c r="T1118" t="s">
        <v>2662</v>
      </c>
      <c r="U1118" t="s">
        <v>5272</v>
      </c>
      <c r="V1118">
        <v>2</v>
      </c>
      <c r="W1118" t="s">
        <v>2743</v>
      </c>
      <c r="X1118">
        <v>1</v>
      </c>
      <c r="Y1118" t="s">
        <v>2717</v>
      </c>
      <c r="AA1118">
        <v>103928980802</v>
      </c>
      <c r="AB1118" t="s">
        <v>1764</v>
      </c>
      <c r="AC1118">
        <v>0</v>
      </c>
      <c r="AD1118">
        <v>35</v>
      </c>
      <c r="AE1118">
        <v>10392898080235</v>
      </c>
      <c r="AF1118" t="s">
        <v>5268</v>
      </c>
      <c r="AG1118">
        <v>1</v>
      </c>
      <c r="AH1118">
        <v>0</v>
      </c>
    </row>
    <row r="1119" spans="1:34">
      <c r="A1119">
        <v>2025</v>
      </c>
      <c r="B1119" s="1">
        <v>45870</v>
      </c>
      <c r="C1119" t="s">
        <v>2657</v>
      </c>
      <c r="D1119" t="s">
        <v>5273</v>
      </c>
      <c r="E1119" s="43">
        <v>45898.716105127314</v>
      </c>
      <c r="F1119" s="1">
        <v>45898</v>
      </c>
      <c r="G1119" s="43">
        <v>45901.620694074074</v>
      </c>
      <c r="H1119" t="s">
        <v>3088</v>
      </c>
      <c r="I1119" t="s">
        <v>2697</v>
      </c>
      <c r="J1119" t="s">
        <v>2735</v>
      </c>
      <c r="L1119" t="s">
        <v>2362</v>
      </c>
      <c r="M1119">
        <v>103928980802</v>
      </c>
      <c r="N1119" t="s">
        <v>2746</v>
      </c>
      <c r="O1119" s="1">
        <v>45661</v>
      </c>
      <c r="T1119" t="s">
        <v>2662</v>
      </c>
      <c r="U1119" t="s">
        <v>5274</v>
      </c>
      <c r="V1119">
        <v>1</v>
      </c>
      <c r="W1119" t="s">
        <v>2677</v>
      </c>
      <c r="X1119">
        <v>1</v>
      </c>
      <c r="Y1119" t="s">
        <v>2695</v>
      </c>
      <c r="AA1119">
        <v>103928980802</v>
      </c>
      <c r="AB1119" t="s">
        <v>1764</v>
      </c>
      <c r="AC1119">
        <v>0</v>
      </c>
      <c r="AD1119">
        <v>35</v>
      </c>
      <c r="AE1119">
        <v>10392898080235</v>
      </c>
      <c r="AF1119" t="s">
        <v>5268</v>
      </c>
      <c r="AG1119">
        <v>0</v>
      </c>
      <c r="AH1119">
        <v>0</v>
      </c>
    </row>
    <row r="1120" spans="1:34">
      <c r="A1120">
        <v>2025</v>
      </c>
      <c r="B1120" s="1">
        <v>45931</v>
      </c>
      <c r="C1120" t="s">
        <v>2657</v>
      </c>
      <c r="D1120" t="s">
        <v>5275</v>
      </c>
      <c r="E1120" s="43">
        <v>45957.88861454861</v>
      </c>
      <c r="F1120" s="1">
        <v>45957</v>
      </c>
      <c r="G1120" s="43">
        <v>45961.724811967593</v>
      </c>
      <c r="H1120" t="s">
        <v>2659</v>
      </c>
      <c r="I1120" t="s">
        <v>2660</v>
      </c>
      <c r="J1120" t="s">
        <v>36</v>
      </c>
      <c r="L1120" t="s">
        <v>2393</v>
      </c>
      <c r="M1120">
        <v>241002216802</v>
      </c>
      <c r="N1120" t="s">
        <v>2702</v>
      </c>
      <c r="O1120" s="1">
        <v>45411</v>
      </c>
      <c r="T1120" t="s">
        <v>2662</v>
      </c>
      <c r="U1120" t="s">
        <v>5276</v>
      </c>
      <c r="V1120">
        <v>4</v>
      </c>
      <c r="X1120">
        <v>1</v>
      </c>
      <c r="Y1120" t="s">
        <v>2931</v>
      </c>
      <c r="AA1120">
        <v>241002216802</v>
      </c>
      <c r="AB1120" t="s">
        <v>1704</v>
      </c>
      <c r="AC1120">
        <v>0</v>
      </c>
      <c r="AD1120">
        <v>44</v>
      </c>
      <c r="AE1120">
        <v>24100221680244</v>
      </c>
      <c r="AF1120" t="s">
        <v>5277</v>
      </c>
      <c r="AG1120">
        <v>1</v>
      </c>
      <c r="AH1120">
        <v>1</v>
      </c>
    </row>
    <row r="1121" spans="1:34">
      <c r="A1121">
        <v>2025</v>
      </c>
      <c r="B1121" s="1">
        <v>45931</v>
      </c>
      <c r="C1121" t="s">
        <v>2657</v>
      </c>
      <c r="D1121" t="s">
        <v>5278</v>
      </c>
      <c r="E1121" s="43">
        <v>45952.704408310186</v>
      </c>
      <c r="F1121" s="1">
        <v>45952</v>
      </c>
      <c r="G1121" s="43">
        <v>45952.704408310186</v>
      </c>
      <c r="H1121" t="s">
        <v>2659</v>
      </c>
      <c r="I1121" t="s">
        <v>2660</v>
      </c>
      <c r="J1121" t="s">
        <v>38</v>
      </c>
      <c r="L1121" t="s">
        <v>2379</v>
      </c>
      <c r="M1121">
        <v>430279805602</v>
      </c>
      <c r="N1121" t="s">
        <v>2675</v>
      </c>
      <c r="O1121" s="1">
        <v>45680</v>
      </c>
      <c r="T1121" t="s">
        <v>2662</v>
      </c>
      <c r="U1121" t="s">
        <v>5279</v>
      </c>
      <c r="V1121">
        <v>0</v>
      </c>
      <c r="W1121" t="s">
        <v>2664</v>
      </c>
      <c r="X1121">
        <v>1</v>
      </c>
      <c r="Y1121" t="s">
        <v>2695</v>
      </c>
      <c r="AA1121">
        <v>430279805602</v>
      </c>
      <c r="AB1121" t="s">
        <v>1049</v>
      </c>
      <c r="AC1121">
        <v>0</v>
      </c>
      <c r="AD1121">
        <v>43</v>
      </c>
      <c r="AE1121">
        <v>43027980560243</v>
      </c>
      <c r="AF1121" t="s">
        <v>5280</v>
      </c>
      <c r="AG1121">
        <v>1</v>
      </c>
      <c r="AH1121">
        <v>1</v>
      </c>
    </row>
    <row r="1122" spans="1:34">
      <c r="A1122">
        <v>2026</v>
      </c>
      <c r="B1122" s="1">
        <v>46082</v>
      </c>
      <c r="C1122" t="s">
        <v>2657</v>
      </c>
      <c r="D1122" t="s">
        <v>5281</v>
      </c>
      <c r="E1122" s="43">
        <v>46084.900694953707</v>
      </c>
      <c r="F1122" s="1">
        <v>46084</v>
      </c>
      <c r="G1122" s="43">
        <v>46090.828331192133</v>
      </c>
      <c r="H1122" t="s">
        <v>2668</v>
      </c>
      <c r="I1122" t="s">
        <v>2669</v>
      </c>
      <c r="J1122" t="s">
        <v>37</v>
      </c>
      <c r="L1122" t="s">
        <v>2364</v>
      </c>
      <c r="M1122">
        <v>137029362402</v>
      </c>
      <c r="N1122" t="s">
        <v>2661</v>
      </c>
      <c r="O1122" s="1">
        <v>45669</v>
      </c>
      <c r="T1122" t="s">
        <v>2662</v>
      </c>
      <c r="U1122" t="s">
        <v>5282</v>
      </c>
      <c r="V1122">
        <v>4</v>
      </c>
      <c r="W1122" t="s">
        <v>2671</v>
      </c>
      <c r="X1122">
        <v>1</v>
      </c>
      <c r="Y1122" t="s">
        <v>2672</v>
      </c>
      <c r="AA1122">
        <v>137029362402</v>
      </c>
      <c r="AB1122" t="s">
        <v>1441</v>
      </c>
      <c r="AC1122">
        <v>1</v>
      </c>
      <c r="AD1122">
        <v>10</v>
      </c>
      <c r="AE1122">
        <v>13702936240210</v>
      </c>
      <c r="AF1122" t="s">
        <v>5283</v>
      </c>
      <c r="AG1122">
        <v>1</v>
      </c>
      <c r="AH1122">
        <v>1</v>
      </c>
    </row>
    <row r="1123" spans="1:34">
      <c r="A1123">
        <v>2026</v>
      </c>
      <c r="B1123" s="1">
        <v>46054</v>
      </c>
      <c r="C1123" t="s">
        <v>2657</v>
      </c>
      <c r="D1123" t="s">
        <v>5284</v>
      </c>
      <c r="E1123" s="43">
        <v>46066.461361666668</v>
      </c>
      <c r="F1123" s="1">
        <v>46066</v>
      </c>
      <c r="G1123" s="43">
        <v>46085.71142792824</v>
      </c>
      <c r="H1123" t="s">
        <v>2725</v>
      </c>
      <c r="I1123" t="s">
        <v>2681</v>
      </c>
      <c r="J1123" t="s">
        <v>36</v>
      </c>
      <c r="L1123" t="s">
        <v>2355</v>
      </c>
      <c r="M1123">
        <v>20068852602</v>
      </c>
      <c r="N1123" t="s">
        <v>2702</v>
      </c>
      <c r="O1123" s="1">
        <v>45669</v>
      </c>
      <c r="T1123" t="s">
        <v>2662</v>
      </c>
      <c r="U1123" t="s">
        <v>5285</v>
      </c>
      <c r="V1123">
        <v>13</v>
      </c>
      <c r="W1123" t="s">
        <v>2985</v>
      </c>
      <c r="X1123">
        <v>1</v>
      </c>
      <c r="Y1123" t="s">
        <v>2985</v>
      </c>
      <c r="AA1123">
        <v>20068852602</v>
      </c>
      <c r="AB1123" t="s">
        <v>427</v>
      </c>
      <c r="AC1123">
        <v>0</v>
      </c>
      <c r="AD1123">
        <v>7</v>
      </c>
      <c r="AE1123">
        <v>200688526027</v>
      </c>
      <c r="AF1123" t="s">
        <v>5286</v>
      </c>
      <c r="AG1123">
        <v>1</v>
      </c>
      <c r="AH1123">
        <v>1</v>
      </c>
    </row>
    <row r="1124" spans="1:34">
      <c r="A1124">
        <v>2026</v>
      </c>
      <c r="B1124" s="1">
        <v>46054</v>
      </c>
      <c r="C1124" t="s">
        <v>2657</v>
      </c>
      <c r="D1124" t="s">
        <v>5287</v>
      </c>
      <c r="E1124" s="43">
        <v>46076.592804351851</v>
      </c>
      <c r="F1124" s="1">
        <v>46076</v>
      </c>
      <c r="G1124" s="43">
        <v>46077.633052800928</v>
      </c>
      <c r="H1124" t="s">
        <v>2725</v>
      </c>
      <c r="I1124" t="s">
        <v>2660</v>
      </c>
      <c r="J1124" t="s">
        <v>36</v>
      </c>
      <c r="L1124" t="s">
        <v>2355</v>
      </c>
      <c r="M1124">
        <v>20068852602</v>
      </c>
      <c r="N1124" t="s">
        <v>2702</v>
      </c>
      <c r="O1124" s="1">
        <v>45669</v>
      </c>
      <c r="T1124" t="s">
        <v>2662</v>
      </c>
      <c r="U1124" t="s">
        <v>5288</v>
      </c>
      <c r="V1124">
        <v>1</v>
      </c>
      <c r="W1124" t="s">
        <v>2677</v>
      </c>
      <c r="X1124">
        <v>1</v>
      </c>
      <c r="Y1124" t="s">
        <v>2695</v>
      </c>
      <c r="AA1124">
        <v>20068852602</v>
      </c>
      <c r="AB1124" t="s">
        <v>427</v>
      </c>
      <c r="AC1124">
        <v>0</v>
      </c>
      <c r="AD1124">
        <v>9</v>
      </c>
      <c r="AE1124">
        <v>200688526029</v>
      </c>
      <c r="AF1124" t="s">
        <v>5286</v>
      </c>
      <c r="AG1124">
        <v>1</v>
      </c>
      <c r="AH1124">
        <v>0</v>
      </c>
    </row>
    <row r="1125" spans="1:34">
      <c r="A1125">
        <v>2026</v>
      </c>
      <c r="B1125" s="1">
        <v>46082</v>
      </c>
      <c r="C1125" t="s">
        <v>2657</v>
      </c>
      <c r="D1125" s="44" t="s">
        <v>5289</v>
      </c>
      <c r="E1125" s="43">
        <v>46086.778323854167</v>
      </c>
      <c r="F1125" s="1">
        <v>46086</v>
      </c>
      <c r="G1125" s="43">
        <v>46091.869214907405</v>
      </c>
      <c r="H1125" t="s">
        <v>2668</v>
      </c>
      <c r="I1125" t="s">
        <v>2669</v>
      </c>
      <c r="J1125" t="s">
        <v>38</v>
      </c>
      <c r="L1125" t="s">
        <v>2342</v>
      </c>
      <c r="M1125">
        <v>21230697402</v>
      </c>
      <c r="N1125" t="s">
        <v>2702</v>
      </c>
      <c r="O1125" s="1">
        <v>44960</v>
      </c>
      <c r="T1125" t="s">
        <v>2662</v>
      </c>
      <c r="U1125" t="s">
        <v>5290</v>
      </c>
      <c r="V1125">
        <v>3</v>
      </c>
      <c r="W1125" t="s">
        <v>2677</v>
      </c>
      <c r="X1125">
        <v>1</v>
      </c>
      <c r="Y1125" t="s">
        <v>2807</v>
      </c>
      <c r="AA1125">
        <v>481703768002</v>
      </c>
      <c r="AB1125" t="s">
        <v>258</v>
      </c>
      <c r="AC1125">
        <v>0</v>
      </c>
      <c r="AD1125">
        <v>10</v>
      </c>
      <c r="AE1125">
        <v>48170376800210</v>
      </c>
      <c r="AF1125" t="s">
        <v>5291</v>
      </c>
      <c r="AG1125">
        <v>0</v>
      </c>
      <c r="AH1125">
        <v>0</v>
      </c>
    </row>
    <row r="1126" spans="1:34">
      <c r="A1126">
        <v>2026</v>
      </c>
      <c r="B1126" s="1">
        <v>46082</v>
      </c>
      <c r="C1126" t="s">
        <v>2657</v>
      </c>
      <c r="D1126" t="s">
        <v>5292</v>
      </c>
      <c r="E1126" s="43">
        <v>46084.545515439815</v>
      </c>
      <c r="F1126" s="1">
        <v>46084</v>
      </c>
      <c r="G1126" s="43">
        <v>46085.539633356479</v>
      </c>
      <c r="H1126" t="s">
        <v>2668</v>
      </c>
      <c r="I1126" t="s">
        <v>2669</v>
      </c>
      <c r="J1126" t="s">
        <v>38</v>
      </c>
      <c r="L1126" t="s">
        <v>2342</v>
      </c>
      <c r="M1126">
        <v>21230697402</v>
      </c>
      <c r="N1126" t="s">
        <v>2702</v>
      </c>
      <c r="O1126" s="1">
        <v>44960</v>
      </c>
      <c r="T1126" t="s">
        <v>2662</v>
      </c>
      <c r="U1126" t="s">
        <v>5293</v>
      </c>
      <c r="V1126">
        <v>1</v>
      </c>
      <c r="W1126" t="s">
        <v>2671</v>
      </c>
      <c r="X1126">
        <v>1</v>
      </c>
      <c r="Y1126" t="s">
        <v>2672</v>
      </c>
      <c r="AA1126">
        <v>481703768002</v>
      </c>
      <c r="AB1126" t="s">
        <v>258</v>
      </c>
      <c r="AC1126">
        <v>0</v>
      </c>
      <c r="AD1126">
        <v>10</v>
      </c>
      <c r="AE1126">
        <v>48170376800210</v>
      </c>
      <c r="AF1126" t="s">
        <v>5291</v>
      </c>
      <c r="AG1126">
        <v>1</v>
      </c>
      <c r="AH1126">
        <v>1</v>
      </c>
    </row>
    <row r="1127" spans="1:34">
      <c r="A1127">
        <v>2026</v>
      </c>
      <c r="B1127" s="1">
        <v>46082</v>
      </c>
      <c r="C1127" t="s">
        <v>2657</v>
      </c>
      <c r="D1127" t="s">
        <v>5294</v>
      </c>
      <c r="E1127" s="43">
        <v>46090.662886574071</v>
      </c>
      <c r="F1127" s="1">
        <v>46090</v>
      </c>
      <c r="G1127" s="43">
        <v>46090.662886574071</v>
      </c>
      <c r="H1127" t="s">
        <v>2668</v>
      </c>
      <c r="I1127" t="s">
        <v>2681</v>
      </c>
      <c r="J1127" t="s">
        <v>38</v>
      </c>
      <c r="L1127" t="s">
        <v>2342</v>
      </c>
      <c r="M1127">
        <v>21230697402</v>
      </c>
      <c r="N1127" t="s">
        <v>2702</v>
      </c>
      <c r="O1127" s="1">
        <v>44960</v>
      </c>
      <c r="T1127" t="s">
        <v>2662</v>
      </c>
      <c r="U1127" t="s">
        <v>5295</v>
      </c>
      <c r="V1127">
        <v>0</v>
      </c>
      <c r="W1127" t="s">
        <v>2671</v>
      </c>
      <c r="X1127">
        <v>1</v>
      </c>
      <c r="Y1127" t="s">
        <v>2672</v>
      </c>
      <c r="AA1127">
        <v>481703768002</v>
      </c>
      <c r="AB1127" t="s">
        <v>258</v>
      </c>
      <c r="AC1127">
        <v>1</v>
      </c>
      <c r="AD1127">
        <v>11</v>
      </c>
      <c r="AE1127">
        <v>48170376800211</v>
      </c>
      <c r="AF1127" t="s">
        <v>5291</v>
      </c>
      <c r="AG1127">
        <v>1</v>
      </c>
      <c r="AH1127">
        <v>0</v>
      </c>
    </row>
    <row r="1128" spans="1:34">
      <c r="A1128">
        <v>2025</v>
      </c>
      <c r="B1128" s="1">
        <v>45901</v>
      </c>
      <c r="C1128" t="s">
        <v>2657</v>
      </c>
      <c r="D1128" t="s">
        <v>5296</v>
      </c>
      <c r="E1128" s="43">
        <v>45909.537578206022</v>
      </c>
      <c r="F1128" s="1">
        <v>45909</v>
      </c>
      <c r="G1128" s="43">
        <v>45912.835214976854</v>
      </c>
      <c r="H1128" t="s">
        <v>2734</v>
      </c>
      <c r="I1128" t="s">
        <v>2681</v>
      </c>
      <c r="J1128" t="s">
        <v>2735</v>
      </c>
      <c r="L1128" t="s">
        <v>2408</v>
      </c>
      <c r="M1128">
        <v>24383333802</v>
      </c>
      <c r="N1128" t="s">
        <v>2746</v>
      </c>
      <c r="O1128" s="1">
        <v>45661</v>
      </c>
      <c r="T1128" t="s">
        <v>2662</v>
      </c>
      <c r="U1128" t="s">
        <v>5297</v>
      </c>
      <c r="V1128">
        <v>3</v>
      </c>
      <c r="W1128" t="s">
        <v>2671</v>
      </c>
      <c r="X1128">
        <v>1</v>
      </c>
      <c r="Y1128" t="s">
        <v>2692</v>
      </c>
      <c r="AA1128">
        <v>24383333802</v>
      </c>
      <c r="AB1128" t="s">
        <v>1342</v>
      </c>
      <c r="AC1128">
        <v>0</v>
      </c>
      <c r="AD1128">
        <v>37</v>
      </c>
      <c r="AE1128">
        <v>2438333380237</v>
      </c>
      <c r="AF1128" t="s">
        <v>5298</v>
      </c>
      <c r="AG1128">
        <v>1</v>
      </c>
      <c r="AH1128">
        <v>1</v>
      </c>
    </row>
    <row r="1129" spans="1:34">
      <c r="A1129">
        <v>2025</v>
      </c>
      <c r="B1129" s="1">
        <v>45901</v>
      </c>
      <c r="C1129" t="s">
        <v>2657</v>
      </c>
      <c r="D1129" t="s">
        <v>5299</v>
      </c>
      <c r="E1129" s="43">
        <v>45910.82936265046</v>
      </c>
      <c r="F1129" s="1">
        <v>45910</v>
      </c>
      <c r="G1129" s="43">
        <v>45911.588947962962</v>
      </c>
      <c r="H1129" t="s">
        <v>2734</v>
      </c>
      <c r="I1129" t="s">
        <v>2681</v>
      </c>
      <c r="J1129" t="s">
        <v>2735</v>
      </c>
      <c r="L1129" t="s">
        <v>2408</v>
      </c>
      <c r="M1129">
        <v>24383333802</v>
      </c>
      <c r="N1129" t="s">
        <v>2746</v>
      </c>
      <c r="O1129" s="1">
        <v>45661</v>
      </c>
      <c r="T1129" t="s">
        <v>2662</v>
      </c>
      <c r="U1129" t="s">
        <v>5300</v>
      </c>
      <c r="V1129">
        <v>1</v>
      </c>
      <c r="W1129" t="s">
        <v>2671</v>
      </c>
      <c r="X1129">
        <v>1</v>
      </c>
      <c r="Y1129" t="s">
        <v>2764</v>
      </c>
      <c r="Z1129" t="s">
        <v>2684</v>
      </c>
      <c r="AA1129">
        <v>24383333802</v>
      </c>
      <c r="AB1129" t="s">
        <v>1342</v>
      </c>
      <c r="AC1129">
        <v>0</v>
      </c>
      <c r="AD1129">
        <v>37</v>
      </c>
      <c r="AE1129">
        <v>2438333380237</v>
      </c>
      <c r="AF1129" t="s">
        <v>5298</v>
      </c>
      <c r="AG1129">
        <v>0</v>
      </c>
      <c r="AH1129">
        <v>0</v>
      </c>
    </row>
    <row r="1130" spans="1:34">
      <c r="A1130">
        <v>2025</v>
      </c>
      <c r="B1130" s="1">
        <v>45901</v>
      </c>
      <c r="C1130" t="s">
        <v>2657</v>
      </c>
      <c r="D1130" s="44" t="s">
        <v>5301</v>
      </c>
      <c r="E1130" s="43">
        <v>45912.63983547454</v>
      </c>
      <c r="F1130" s="1">
        <v>45912</v>
      </c>
      <c r="G1130" s="43">
        <v>45912.63983547454</v>
      </c>
      <c r="H1130" t="s">
        <v>2734</v>
      </c>
      <c r="I1130" t="s">
        <v>2681</v>
      </c>
      <c r="J1130" t="s">
        <v>2735</v>
      </c>
      <c r="L1130" t="s">
        <v>2408</v>
      </c>
      <c r="M1130">
        <v>24383333802</v>
      </c>
      <c r="N1130" t="s">
        <v>2746</v>
      </c>
      <c r="O1130" s="1">
        <v>45661</v>
      </c>
      <c r="T1130" t="s">
        <v>2662</v>
      </c>
      <c r="U1130" t="s">
        <v>5302</v>
      </c>
      <c r="V1130">
        <v>0</v>
      </c>
      <c r="W1130" t="s">
        <v>2671</v>
      </c>
      <c r="X1130">
        <v>1</v>
      </c>
      <c r="Y1130" t="s">
        <v>2695</v>
      </c>
      <c r="AA1130">
        <v>24383333802</v>
      </c>
      <c r="AB1130" t="s">
        <v>1342</v>
      </c>
      <c r="AC1130">
        <v>0</v>
      </c>
      <c r="AD1130">
        <v>37</v>
      </c>
      <c r="AE1130">
        <v>2438333380237</v>
      </c>
      <c r="AF1130" t="s">
        <v>5298</v>
      </c>
      <c r="AG1130">
        <v>0</v>
      </c>
      <c r="AH1130">
        <v>0</v>
      </c>
    </row>
    <row r="1131" spans="1:34">
      <c r="A1131">
        <v>2025</v>
      </c>
      <c r="B1131" s="1">
        <v>45901</v>
      </c>
      <c r="C1131" t="s">
        <v>2657</v>
      </c>
      <c r="D1131" t="s">
        <v>5303</v>
      </c>
      <c r="E1131" s="43">
        <v>45912.637270601852</v>
      </c>
      <c r="F1131" s="1">
        <v>45912</v>
      </c>
      <c r="G1131" s="43">
        <v>45912.637270601852</v>
      </c>
      <c r="H1131" t="s">
        <v>2734</v>
      </c>
      <c r="I1131" t="s">
        <v>2681</v>
      </c>
      <c r="J1131" t="s">
        <v>2735</v>
      </c>
      <c r="L1131" t="s">
        <v>2408</v>
      </c>
      <c r="M1131">
        <v>24383333802</v>
      </c>
      <c r="N1131" t="s">
        <v>2746</v>
      </c>
      <c r="O1131" s="1">
        <v>45661</v>
      </c>
      <c r="T1131" t="s">
        <v>2662</v>
      </c>
      <c r="U1131" t="s">
        <v>5304</v>
      </c>
      <c r="V1131">
        <v>0</v>
      </c>
      <c r="W1131" t="s">
        <v>2671</v>
      </c>
      <c r="X1131">
        <v>1</v>
      </c>
      <c r="Y1131" t="s">
        <v>2695</v>
      </c>
      <c r="AA1131">
        <v>24383333802</v>
      </c>
      <c r="AB1131" t="s">
        <v>1342</v>
      </c>
      <c r="AC1131">
        <v>0</v>
      </c>
      <c r="AD1131">
        <v>37</v>
      </c>
      <c r="AE1131">
        <v>2438333380237</v>
      </c>
      <c r="AF1131" t="s">
        <v>5298</v>
      </c>
      <c r="AG1131">
        <v>0</v>
      </c>
      <c r="AH1131">
        <v>0</v>
      </c>
    </row>
    <row r="1132" spans="1:34">
      <c r="A1132">
        <v>2025</v>
      </c>
      <c r="B1132" s="1">
        <v>45901</v>
      </c>
      <c r="C1132" t="s">
        <v>2657</v>
      </c>
      <c r="D1132" t="s">
        <v>5305</v>
      </c>
      <c r="E1132" s="43">
        <v>45924.552116261577</v>
      </c>
      <c r="F1132" s="1">
        <v>45924</v>
      </c>
      <c r="G1132" s="43">
        <v>45925.518914039349</v>
      </c>
      <c r="H1132" t="s">
        <v>2734</v>
      </c>
      <c r="I1132" t="s">
        <v>2660</v>
      </c>
      <c r="J1132" t="s">
        <v>2735</v>
      </c>
      <c r="L1132" t="s">
        <v>2408</v>
      </c>
      <c r="M1132">
        <v>24383333802</v>
      </c>
      <c r="N1132" t="s">
        <v>2746</v>
      </c>
      <c r="O1132" s="1">
        <v>45661</v>
      </c>
      <c r="T1132" t="s">
        <v>2662</v>
      </c>
      <c r="V1132">
        <v>1</v>
      </c>
      <c r="W1132" t="s">
        <v>2671</v>
      </c>
      <c r="X1132">
        <v>1</v>
      </c>
      <c r="Y1132" t="s">
        <v>2760</v>
      </c>
      <c r="AA1132">
        <v>24383333802</v>
      </c>
      <c r="AB1132" t="s">
        <v>1342</v>
      </c>
      <c r="AC1132">
        <v>0</v>
      </c>
      <c r="AD1132">
        <v>39</v>
      </c>
      <c r="AE1132">
        <v>2438333380239</v>
      </c>
      <c r="AF1132" t="s">
        <v>5298</v>
      </c>
      <c r="AG1132">
        <v>0</v>
      </c>
      <c r="AH1132">
        <v>0</v>
      </c>
    </row>
    <row r="1133" spans="1:34">
      <c r="A1133">
        <v>2025</v>
      </c>
      <c r="B1133" s="1">
        <v>45901</v>
      </c>
      <c r="C1133" t="s">
        <v>2657</v>
      </c>
      <c r="D1133" t="s">
        <v>5306</v>
      </c>
      <c r="E1133" s="43">
        <v>45922.7021809375</v>
      </c>
      <c r="F1133" s="1">
        <v>45922</v>
      </c>
      <c r="G1133" s="43">
        <v>45923.511387002312</v>
      </c>
      <c r="H1133" t="s">
        <v>2734</v>
      </c>
      <c r="I1133" t="s">
        <v>2660</v>
      </c>
      <c r="J1133" t="s">
        <v>2735</v>
      </c>
      <c r="L1133" t="s">
        <v>2408</v>
      </c>
      <c r="M1133">
        <v>24383333802</v>
      </c>
      <c r="N1133" t="s">
        <v>2746</v>
      </c>
      <c r="O1133" s="1">
        <v>45661</v>
      </c>
      <c r="T1133" t="s">
        <v>2662</v>
      </c>
      <c r="U1133" t="s">
        <v>5307</v>
      </c>
      <c r="V1133">
        <v>1</v>
      </c>
      <c r="W1133" t="s">
        <v>2671</v>
      </c>
      <c r="X1133">
        <v>1</v>
      </c>
      <c r="Y1133" t="s">
        <v>2760</v>
      </c>
      <c r="AA1133">
        <v>24383333802</v>
      </c>
      <c r="AB1133" t="s">
        <v>1342</v>
      </c>
      <c r="AC1133">
        <v>0</v>
      </c>
      <c r="AD1133">
        <v>39</v>
      </c>
      <c r="AE1133">
        <v>2438333380239</v>
      </c>
      <c r="AF1133" t="s">
        <v>5298</v>
      </c>
      <c r="AG1133">
        <v>1</v>
      </c>
      <c r="AH1133">
        <v>0</v>
      </c>
    </row>
    <row r="1134" spans="1:34">
      <c r="A1134">
        <v>2025</v>
      </c>
      <c r="B1134" s="1">
        <v>45901</v>
      </c>
      <c r="C1134" t="s">
        <v>2657</v>
      </c>
      <c r="D1134" t="s">
        <v>5308</v>
      </c>
      <c r="E1134" s="43">
        <v>45930.654262384262</v>
      </c>
      <c r="F1134" s="1">
        <v>45930</v>
      </c>
      <c r="G1134" s="43">
        <v>45931.597733726849</v>
      </c>
      <c r="H1134" t="s">
        <v>2734</v>
      </c>
      <c r="I1134" t="s">
        <v>2697</v>
      </c>
      <c r="J1134" t="s">
        <v>2735</v>
      </c>
      <c r="L1134" t="s">
        <v>2408</v>
      </c>
      <c r="M1134">
        <v>24383333802</v>
      </c>
      <c r="N1134" t="s">
        <v>2746</v>
      </c>
      <c r="O1134" s="1">
        <v>45661</v>
      </c>
      <c r="T1134" t="s">
        <v>2662</v>
      </c>
      <c r="U1134" t="s">
        <v>5309</v>
      </c>
      <c r="V1134">
        <v>1</v>
      </c>
      <c r="W1134" t="s">
        <v>2677</v>
      </c>
      <c r="X1134">
        <v>1</v>
      </c>
      <c r="Y1134" t="s">
        <v>2760</v>
      </c>
      <c r="AA1134">
        <v>24383333802</v>
      </c>
      <c r="AB1134" t="s">
        <v>1342</v>
      </c>
      <c r="AC1134">
        <v>0</v>
      </c>
      <c r="AD1134">
        <v>40</v>
      </c>
      <c r="AE1134">
        <v>2438333380240</v>
      </c>
      <c r="AF1134" t="s">
        <v>5298</v>
      </c>
      <c r="AG1134">
        <v>0</v>
      </c>
      <c r="AH1134">
        <v>0</v>
      </c>
    </row>
    <row r="1135" spans="1:34">
      <c r="A1135">
        <v>2025</v>
      </c>
      <c r="B1135" s="1">
        <v>45901</v>
      </c>
      <c r="C1135" t="s">
        <v>2657</v>
      </c>
      <c r="D1135" t="s">
        <v>5310</v>
      </c>
      <c r="E1135" s="43">
        <v>45929.653928483793</v>
      </c>
      <c r="F1135" s="1">
        <v>45929</v>
      </c>
      <c r="G1135" s="43">
        <v>45930.556485034722</v>
      </c>
      <c r="H1135" t="s">
        <v>2734</v>
      </c>
      <c r="I1135" t="s">
        <v>2697</v>
      </c>
      <c r="J1135" t="s">
        <v>2735</v>
      </c>
      <c r="L1135" t="s">
        <v>2408</v>
      </c>
      <c r="M1135">
        <v>24383333802</v>
      </c>
      <c r="N1135" t="s">
        <v>2746</v>
      </c>
      <c r="O1135" s="1">
        <v>45661</v>
      </c>
      <c r="T1135" t="s">
        <v>2662</v>
      </c>
      <c r="U1135" t="s">
        <v>5311</v>
      </c>
      <c r="V1135">
        <v>1</v>
      </c>
      <c r="W1135" t="s">
        <v>2671</v>
      </c>
      <c r="X1135">
        <v>1</v>
      </c>
      <c r="Y1135" t="s">
        <v>2760</v>
      </c>
      <c r="AA1135">
        <v>24383333802</v>
      </c>
      <c r="AB1135" t="s">
        <v>1342</v>
      </c>
      <c r="AC1135">
        <v>0</v>
      </c>
      <c r="AD1135">
        <v>40</v>
      </c>
      <c r="AE1135">
        <v>2438333380240</v>
      </c>
      <c r="AF1135" t="s">
        <v>5298</v>
      </c>
      <c r="AG1135">
        <v>1</v>
      </c>
      <c r="AH1135">
        <v>0</v>
      </c>
    </row>
    <row r="1136" spans="1:34">
      <c r="A1136">
        <v>2025</v>
      </c>
      <c r="B1136" s="1">
        <v>45931</v>
      </c>
      <c r="C1136" t="s">
        <v>2657</v>
      </c>
      <c r="D1136" t="s">
        <v>5312</v>
      </c>
      <c r="E1136" s="43">
        <v>45938.60338458333</v>
      </c>
      <c r="F1136" s="1">
        <v>45938</v>
      </c>
      <c r="G1136" s="43">
        <v>45939.617164120369</v>
      </c>
      <c r="H1136" t="s">
        <v>2659</v>
      </c>
      <c r="I1136" t="s">
        <v>2681</v>
      </c>
      <c r="J1136" t="s">
        <v>38</v>
      </c>
      <c r="L1136" t="s">
        <v>2393</v>
      </c>
      <c r="M1136">
        <v>475112640202</v>
      </c>
      <c r="N1136" t="s">
        <v>2702</v>
      </c>
      <c r="O1136" s="1">
        <v>45520</v>
      </c>
      <c r="T1136" t="s">
        <v>2662</v>
      </c>
      <c r="U1136" t="s">
        <v>5313</v>
      </c>
      <c r="V1136">
        <v>1</v>
      </c>
      <c r="W1136" t="s">
        <v>2677</v>
      </c>
      <c r="X1136">
        <v>1</v>
      </c>
      <c r="Y1136" t="s">
        <v>2760</v>
      </c>
      <c r="AA1136">
        <v>475112640202</v>
      </c>
      <c r="AB1136" t="s">
        <v>884</v>
      </c>
      <c r="AC1136">
        <v>0</v>
      </c>
      <c r="AD1136">
        <v>41</v>
      </c>
      <c r="AE1136">
        <v>47511264020241</v>
      </c>
      <c r="AF1136" t="s">
        <v>5314</v>
      </c>
      <c r="AG1136">
        <v>1</v>
      </c>
      <c r="AH1136">
        <v>1</v>
      </c>
    </row>
    <row r="1137" spans="1:34">
      <c r="A1137">
        <v>2026</v>
      </c>
      <c r="B1137" s="1">
        <v>46082</v>
      </c>
      <c r="C1137" t="s">
        <v>2657</v>
      </c>
      <c r="D1137" t="s">
        <v>5315</v>
      </c>
      <c r="E1137" s="43">
        <v>46091.6160824537</v>
      </c>
      <c r="F1137" s="1">
        <v>46091</v>
      </c>
      <c r="G1137" s="43">
        <v>46094.481972824076</v>
      </c>
      <c r="H1137" t="s">
        <v>2668</v>
      </c>
      <c r="I1137" t="s">
        <v>2681</v>
      </c>
      <c r="J1137" t="s">
        <v>36</v>
      </c>
      <c r="L1137" t="s">
        <v>2421</v>
      </c>
      <c r="M1137">
        <v>15763939302</v>
      </c>
      <c r="N1137" t="s">
        <v>2702</v>
      </c>
      <c r="O1137" s="1">
        <v>45688</v>
      </c>
      <c r="T1137" t="s">
        <v>2662</v>
      </c>
      <c r="U1137" t="s">
        <v>5316</v>
      </c>
      <c r="V1137">
        <v>3</v>
      </c>
      <c r="W1137" t="s">
        <v>2664</v>
      </c>
      <c r="X1137">
        <v>1</v>
      </c>
      <c r="Y1137" t="s">
        <v>2757</v>
      </c>
      <c r="AA1137">
        <v>685488901302</v>
      </c>
      <c r="AB1137" t="s">
        <v>414</v>
      </c>
      <c r="AC1137">
        <v>1</v>
      </c>
      <c r="AD1137">
        <v>11</v>
      </c>
      <c r="AE1137">
        <v>68548890130211</v>
      </c>
      <c r="AF1137" t="s">
        <v>5317</v>
      </c>
      <c r="AG1137">
        <v>1</v>
      </c>
      <c r="AH1137">
        <v>1</v>
      </c>
    </row>
    <row r="1138" spans="1:34">
      <c r="A1138">
        <v>2026</v>
      </c>
      <c r="B1138" s="1">
        <v>46054</v>
      </c>
      <c r="C1138" t="s">
        <v>2657</v>
      </c>
      <c r="D1138" t="s">
        <v>5318</v>
      </c>
      <c r="E1138" s="43">
        <v>46059.718699074074</v>
      </c>
      <c r="F1138" s="1">
        <v>46059</v>
      </c>
      <c r="G1138" s="43">
        <v>46063.56812502315</v>
      </c>
      <c r="H1138" t="s">
        <v>2725</v>
      </c>
      <c r="I1138" t="s">
        <v>2669</v>
      </c>
      <c r="J1138" t="s">
        <v>39</v>
      </c>
      <c r="L1138" t="s">
        <v>2362</v>
      </c>
      <c r="M1138">
        <v>45146550802</v>
      </c>
      <c r="N1138" t="s">
        <v>2746</v>
      </c>
      <c r="O1138" s="1">
        <v>45751</v>
      </c>
      <c r="T1138" t="s">
        <v>2662</v>
      </c>
      <c r="U1138" t="s">
        <v>5319</v>
      </c>
      <c r="V1138">
        <v>2</v>
      </c>
      <c r="W1138" t="s">
        <v>2677</v>
      </c>
      <c r="X1138">
        <v>1</v>
      </c>
      <c r="Y1138" t="s">
        <v>2678</v>
      </c>
      <c r="AA1138">
        <v>45146550802</v>
      </c>
      <c r="AB1138" t="s">
        <v>2008</v>
      </c>
      <c r="AC1138">
        <v>0</v>
      </c>
      <c r="AD1138">
        <v>6</v>
      </c>
      <c r="AE1138">
        <v>451465508026</v>
      </c>
      <c r="AF1138" t="s">
        <v>5320</v>
      </c>
      <c r="AG1138">
        <v>0</v>
      </c>
      <c r="AH1138">
        <v>0</v>
      </c>
    </row>
    <row r="1139" spans="1:34">
      <c r="A1139">
        <v>2026</v>
      </c>
      <c r="B1139" s="1">
        <v>46054</v>
      </c>
      <c r="C1139" t="s">
        <v>2657</v>
      </c>
      <c r="D1139" s="44" t="s">
        <v>5321</v>
      </c>
      <c r="E1139" s="43">
        <v>46055.638847858798</v>
      </c>
      <c r="F1139" s="1">
        <v>46055</v>
      </c>
      <c r="G1139" s="43">
        <v>46062.681056111112</v>
      </c>
      <c r="H1139" t="s">
        <v>2725</v>
      </c>
      <c r="I1139" t="s">
        <v>2669</v>
      </c>
      <c r="J1139" t="s">
        <v>39</v>
      </c>
      <c r="L1139" t="s">
        <v>2362</v>
      </c>
      <c r="M1139">
        <v>45146550802</v>
      </c>
      <c r="N1139" t="s">
        <v>2746</v>
      </c>
      <c r="O1139" s="1">
        <v>45751</v>
      </c>
      <c r="T1139" t="s">
        <v>2662</v>
      </c>
      <c r="U1139" t="s">
        <v>5322</v>
      </c>
      <c r="V1139">
        <v>5</v>
      </c>
      <c r="W1139" t="s">
        <v>2704</v>
      </c>
      <c r="X1139">
        <v>1</v>
      </c>
      <c r="Y1139" t="s">
        <v>2717</v>
      </c>
      <c r="AA1139">
        <v>45146550802</v>
      </c>
      <c r="AB1139" t="s">
        <v>2008</v>
      </c>
      <c r="AC1139">
        <v>0</v>
      </c>
      <c r="AD1139">
        <v>6</v>
      </c>
      <c r="AE1139">
        <v>451465508026</v>
      </c>
      <c r="AF1139" t="s">
        <v>5320</v>
      </c>
      <c r="AG1139">
        <v>1</v>
      </c>
      <c r="AH1139">
        <v>1</v>
      </c>
    </row>
    <row r="1140" spans="1:34">
      <c r="A1140">
        <v>2026</v>
      </c>
      <c r="B1140" s="1">
        <v>46054</v>
      </c>
      <c r="C1140" t="s">
        <v>2657</v>
      </c>
      <c r="D1140" t="s">
        <v>5323</v>
      </c>
      <c r="E1140" s="43">
        <v>46066.590700856483</v>
      </c>
      <c r="F1140" s="1">
        <v>46066</v>
      </c>
      <c r="G1140" s="43">
        <v>46070.997903807867</v>
      </c>
      <c r="H1140" t="s">
        <v>2725</v>
      </c>
      <c r="I1140" t="s">
        <v>2681</v>
      </c>
      <c r="J1140" t="s">
        <v>39</v>
      </c>
      <c r="L1140" t="s">
        <v>2362</v>
      </c>
      <c r="M1140">
        <v>45146550802</v>
      </c>
      <c r="N1140" t="s">
        <v>2746</v>
      </c>
      <c r="O1140" s="1">
        <v>45751</v>
      </c>
      <c r="T1140" t="s">
        <v>2662</v>
      </c>
      <c r="U1140" t="s">
        <v>5324</v>
      </c>
      <c r="V1140">
        <v>2</v>
      </c>
      <c r="W1140" t="s">
        <v>2677</v>
      </c>
      <c r="X1140">
        <v>1</v>
      </c>
      <c r="Y1140" t="s">
        <v>2807</v>
      </c>
      <c r="AA1140">
        <v>45146550802</v>
      </c>
      <c r="AB1140" t="s">
        <v>2008</v>
      </c>
      <c r="AC1140">
        <v>0</v>
      </c>
      <c r="AD1140">
        <v>7</v>
      </c>
      <c r="AE1140">
        <v>451465508027</v>
      </c>
      <c r="AF1140" t="s">
        <v>5320</v>
      </c>
      <c r="AG1140">
        <v>0</v>
      </c>
      <c r="AH1140">
        <v>0</v>
      </c>
    </row>
    <row r="1141" spans="1:34">
      <c r="A1141">
        <v>2026</v>
      </c>
      <c r="B1141" s="1">
        <v>46054</v>
      </c>
      <c r="C1141" t="s">
        <v>2657</v>
      </c>
      <c r="D1141" t="s">
        <v>5325</v>
      </c>
      <c r="E1141" s="43">
        <v>46065.679820682868</v>
      </c>
      <c r="F1141" s="1">
        <v>46065</v>
      </c>
      <c r="G1141" s="43">
        <v>46086.635252349537</v>
      </c>
      <c r="H1141" t="s">
        <v>2725</v>
      </c>
      <c r="I1141" t="s">
        <v>2681</v>
      </c>
      <c r="J1141" t="s">
        <v>39</v>
      </c>
      <c r="L1141" t="s">
        <v>2362</v>
      </c>
      <c r="M1141">
        <v>45146550802</v>
      </c>
      <c r="N1141" t="s">
        <v>2746</v>
      </c>
      <c r="O1141" s="1">
        <v>45751</v>
      </c>
      <c r="T1141" t="s">
        <v>2662</v>
      </c>
      <c r="U1141" t="s">
        <v>5326</v>
      </c>
      <c r="V1141">
        <v>15</v>
      </c>
      <c r="W1141" t="s">
        <v>2677</v>
      </c>
      <c r="X1141">
        <v>1</v>
      </c>
      <c r="Y1141" t="s">
        <v>2767</v>
      </c>
      <c r="AA1141">
        <v>45146550802</v>
      </c>
      <c r="AB1141" t="s">
        <v>2008</v>
      </c>
      <c r="AC1141">
        <v>0</v>
      </c>
      <c r="AD1141">
        <v>7</v>
      </c>
      <c r="AE1141">
        <v>451465508027</v>
      </c>
      <c r="AF1141" t="s">
        <v>5320</v>
      </c>
      <c r="AG1141">
        <v>0</v>
      </c>
      <c r="AH1141">
        <v>0</v>
      </c>
    </row>
    <row r="1142" spans="1:34">
      <c r="A1142">
        <v>2026</v>
      </c>
      <c r="B1142" s="1">
        <v>46054</v>
      </c>
      <c r="C1142" t="s">
        <v>2657</v>
      </c>
      <c r="D1142" t="s">
        <v>5327</v>
      </c>
      <c r="E1142" s="43">
        <v>46064.614761435187</v>
      </c>
      <c r="F1142" s="1">
        <v>46064</v>
      </c>
      <c r="G1142" s="43">
        <v>46065.842514629629</v>
      </c>
      <c r="H1142" t="s">
        <v>2725</v>
      </c>
      <c r="I1142" t="s">
        <v>2681</v>
      </c>
      <c r="J1142" t="s">
        <v>39</v>
      </c>
      <c r="L1142" t="s">
        <v>2362</v>
      </c>
      <c r="M1142">
        <v>45146550802</v>
      </c>
      <c r="N1142" t="s">
        <v>2746</v>
      </c>
      <c r="O1142" s="1">
        <v>45751</v>
      </c>
      <c r="T1142" t="s">
        <v>2662</v>
      </c>
      <c r="U1142" t="s">
        <v>5328</v>
      </c>
      <c r="V1142">
        <v>1</v>
      </c>
      <c r="W1142" t="s">
        <v>2677</v>
      </c>
      <c r="X1142">
        <v>1</v>
      </c>
      <c r="Y1142" t="s">
        <v>2760</v>
      </c>
      <c r="AA1142">
        <v>45146550802</v>
      </c>
      <c r="AB1142" t="s">
        <v>2008</v>
      </c>
      <c r="AC1142">
        <v>0</v>
      </c>
      <c r="AD1142">
        <v>7</v>
      </c>
      <c r="AE1142">
        <v>451465508027</v>
      </c>
      <c r="AF1142" t="s">
        <v>5320</v>
      </c>
      <c r="AG1142">
        <v>1</v>
      </c>
      <c r="AH1142">
        <v>0</v>
      </c>
    </row>
    <row r="1143" spans="1:34">
      <c r="A1143">
        <v>2026</v>
      </c>
      <c r="B1143" s="1">
        <v>46054</v>
      </c>
      <c r="C1143" t="s">
        <v>2657</v>
      </c>
      <c r="D1143" t="s">
        <v>5329</v>
      </c>
      <c r="E1143" s="43">
        <v>46055.794696736113</v>
      </c>
      <c r="F1143" s="1">
        <v>46055</v>
      </c>
      <c r="G1143" s="43">
        <v>46055.794696736113</v>
      </c>
      <c r="H1143" t="s">
        <v>2725</v>
      </c>
      <c r="I1143" t="s">
        <v>2669</v>
      </c>
      <c r="J1143" t="s">
        <v>37</v>
      </c>
      <c r="L1143" t="s">
        <v>2364</v>
      </c>
      <c r="M1143">
        <v>291732783002</v>
      </c>
      <c r="N1143" t="s">
        <v>2661</v>
      </c>
      <c r="O1143" s="1">
        <v>45593</v>
      </c>
      <c r="T1143" t="s">
        <v>2662</v>
      </c>
      <c r="U1143" t="s">
        <v>5330</v>
      </c>
      <c r="V1143">
        <v>0</v>
      </c>
      <c r="W1143" t="s">
        <v>2671</v>
      </c>
      <c r="X1143">
        <v>1</v>
      </c>
      <c r="Y1143" t="s">
        <v>2683</v>
      </c>
      <c r="AA1143">
        <v>434163431202</v>
      </c>
      <c r="AB1143" t="s">
        <v>1258</v>
      </c>
      <c r="AC1143">
        <v>0</v>
      </c>
      <c r="AD1143">
        <v>6</v>
      </c>
      <c r="AE1143">
        <v>4341634312026</v>
      </c>
      <c r="AF1143" t="s">
        <v>5331</v>
      </c>
      <c r="AG1143">
        <v>1</v>
      </c>
      <c r="AH1143">
        <v>1</v>
      </c>
    </row>
    <row r="1144" spans="1:34">
      <c r="A1144">
        <v>2026</v>
      </c>
      <c r="B1144" s="1">
        <v>46054</v>
      </c>
      <c r="C1144" t="s">
        <v>2657</v>
      </c>
      <c r="D1144" t="s">
        <v>5332</v>
      </c>
      <c r="E1144" s="43">
        <v>46059.749028715276</v>
      </c>
      <c r="F1144" s="1">
        <v>46059</v>
      </c>
      <c r="G1144" s="43">
        <v>46059.749028715276</v>
      </c>
      <c r="H1144" t="s">
        <v>2725</v>
      </c>
      <c r="I1144" t="s">
        <v>2669</v>
      </c>
      <c r="J1144" t="s">
        <v>37</v>
      </c>
      <c r="L1144" t="s">
        <v>2364</v>
      </c>
      <c r="M1144">
        <v>291732783002</v>
      </c>
      <c r="N1144" t="s">
        <v>2661</v>
      </c>
      <c r="O1144" s="1">
        <v>45593</v>
      </c>
      <c r="T1144" t="s">
        <v>2662</v>
      </c>
      <c r="U1144" t="s">
        <v>5333</v>
      </c>
      <c r="V1144">
        <v>0</v>
      </c>
      <c r="W1144" t="s">
        <v>2677</v>
      </c>
      <c r="X1144">
        <v>1</v>
      </c>
      <c r="Y1144" t="s">
        <v>2695</v>
      </c>
      <c r="AA1144">
        <v>434163431202</v>
      </c>
      <c r="AB1144" t="s">
        <v>1258</v>
      </c>
      <c r="AC1144">
        <v>0</v>
      </c>
      <c r="AD1144">
        <v>6</v>
      </c>
      <c r="AE1144">
        <v>4341634312026</v>
      </c>
      <c r="AF1144" t="s">
        <v>5331</v>
      </c>
      <c r="AG1144">
        <v>0</v>
      </c>
      <c r="AH1144">
        <v>0</v>
      </c>
    </row>
    <row r="1145" spans="1:34">
      <c r="A1145">
        <v>2026</v>
      </c>
      <c r="B1145" s="1">
        <v>46054</v>
      </c>
      <c r="C1145" t="s">
        <v>2657</v>
      </c>
      <c r="D1145" t="s">
        <v>5334</v>
      </c>
      <c r="E1145" s="43">
        <v>46073.595046666669</v>
      </c>
      <c r="F1145" s="1">
        <v>46073</v>
      </c>
      <c r="G1145" s="43">
        <v>46073.595046666669</v>
      </c>
      <c r="H1145" t="s">
        <v>2725</v>
      </c>
      <c r="I1145" t="s">
        <v>2719</v>
      </c>
      <c r="J1145" t="s">
        <v>37</v>
      </c>
      <c r="L1145" t="s">
        <v>2364</v>
      </c>
      <c r="M1145">
        <v>291732783002</v>
      </c>
      <c r="N1145" t="s">
        <v>2661</v>
      </c>
      <c r="O1145" s="1">
        <v>45593</v>
      </c>
      <c r="T1145" t="s">
        <v>2662</v>
      </c>
      <c r="U1145" t="s">
        <v>5335</v>
      </c>
      <c r="V1145">
        <v>0</v>
      </c>
      <c r="W1145" t="s">
        <v>2664</v>
      </c>
      <c r="X1145">
        <v>1</v>
      </c>
      <c r="Y1145" t="s">
        <v>2695</v>
      </c>
      <c r="AA1145">
        <v>434163431202</v>
      </c>
      <c r="AB1145" t="s">
        <v>1258</v>
      </c>
      <c r="AC1145">
        <v>0</v>
      </c>
      <c r="AD1145">
        <v>8</v>
      </c>
      <c r="AE1145">
        <v>4341634312028</v>
      </c>
      <c r="AF1145" t="s">
        <v>5331</v>
      </c>
      <c r="AG1145">
        <v>1</v>
      </c>
      <c r="AH1145">
        <v>0</v>
      </c>
    </row>
    <row r="1146" spans="1:34">
      <c r="A1146">
        <v>2026</v>
      </c>
      <c r="B1146" s="1">
        <v>46054</v>
      </c>
      <c r="C1146" t="s">
        <v>2657</v>
      </c>
      <c r="D1146" t="s">
        <v>5336</v>
      </c>
      <c r="E1146" s="43">
        <v>46057.825877916664</v>
      </c>
      <c r="F1146" s="1">
        <v>46057</v>
      </c>
      <c r="G1146" s="43">
        <v>46062.555346238427</v>
      </c>
      <c r="H1146" t="s">
        <v>2725</v>
      </c>
      <c r="I1146" t="s">
        <v>2669</v>
      </c>
      <c r="J1146" t="s">
        <v>38</v>
      </c>
      <c r="L1146" t="s">
        <v>2342</v>
      </c>
      <c r="M1146">
        <v>20208037402</v>
      </c>
      <c r="N1146" t="s">
        <v>2702</v>
      </c>
      <c r="O1146" s="1">
        <v>45294</v>
      </c>
      <c r="T1146" t="s">
        <v>2662</v>
      </c>
      <c r="U1146" t="s">
        <v>5337</v>
      </c>
      <c r="V1146">
        <v>3</v>
      </c>
      <c r="W1146" t="s">
        <v>2664</v>
      </c>
      <c r="X1146">
        <v>1</v>
      </c>
      <c r="Y1146" t="s">
        <v>2779</v>
      </c>
      <c r="AA1146">
        <v>20208037402</v>
      </c>
      <c r="AB1146" t="s">
        <v>1678</v>
      </c>
      <c r="AC1146">
        <v>0</v>
      </c>
      <c r="AD1146">
        <v>6</v>
      </c>
      <c r="AE1146">
        <v>202080374026</v>
      </c>
      <c r="AF1146" t="s">
        <v>5338</v>
      </c>
      <c r="AG1146">
        <v>1</v>
      </c>
      <c r="AH1146">
        <v>1</v>
      </c>
    </row>
    <row r="1147" spans="1:34">
      <c r="A1147">
        <v>2026</v>
      </c>
      <c r="B1147" s="1">
        <v>46054</v>
      </c>
      <c r="C1147" t="s">
        <v>2657</v>
      </c>
      <c r="D1147" t="s">
        <v>5339</v>
      </c>
      <c r="E1147" s="43">
        <v>46062.777779618053</v>
      </c>
      <c r="F1147" s="1">
        <v>46062</v>
      </c>
      <c r="G1147" s="43">
        <v>46063.581352835645</v>
      </c>
      <c r="H1147" t="s">
        <v>2725</v>
      </c>
      <c r="I1147" t="s">
        <v>2681</v>
      </c>
      <c r="J1147" t="s">
        <v>38</v>
      </c>
      <c r="L1147" t="s">
        <v>2342</v>
      </c>
      <c r="M1147">
        <v>20208037402</v>
      </c>
      <c r="N1147" t="s">
        <v>2702</v>
      </c>
      <c r="O1147" s="1">
        <v>45294</v>
      </c>
      <c r="T1147" t="s">
        <v>2662</v>
      </c>
      <c r="U1147" t="s">
        <v>5340</v>
      </c>
      <c r="V1147">
        <v>1</v>
      </c>
      <c r="W1147" t="s">
        <v>2677</v>
      </c>
      <c r="X1147">
        <v>1</v>
      </c>
      <c r="Y1147" t="s">
        <v>2760</v>
      </c>
      <c r="AA1147">
        <v>20208037402</v>
      </c>
      <c r="AB1147" t="s">
        <v>1678</v>
      </c>
      <c r="AC1147">
        <v>1</v>
      </c>
      <c r="AD1147">
        <v>7</v>
      </c>
      <c r="AE1147">
        <v>202080374027</v>
      </c>
      <c r="AF1147" t="s">
        <v>5338</v>
      </c>
      <c r="AG1147">
        <v>1</v>
      </c>
      <c r="AH1147">
        <v>0</v>
      </c>
    </row>
    <row r="1148" spans="1:34">
      <c r="A1148">
        <v>2025</v>
      </c>
      <c r="B1148" s="1">
        <v>45992</v>
      </c>
      <c r="C1148" t="s">
        <v>2657</v>
      </c>
      <c r="D1148" t="s">
        <v>5341</v>
      </c>
      <c r="E1148" s="43">
        <v>46007.746132592591</v>
      </c>
      <c r="F1148" s="1">
        <v>46007</v>
      </c>
      <c r="G1148" s="43">
        <v>46007.746132592591</v>
      </c>
      <c r="H1148" t="s">
        <v>2686</v>
      </c>
      <c r="I1148" t="s">
        <v>2719</v>
      </c>
      <c r="J1148" t="s">
        <v>38</v>
      </c>
      <c r="L1148" t="s">
        <v>2342</v>
      </c>
      <c r="M1148">
        <v>22445894402</v>
      </c>
      <c r="N1148" t="s">
        <v>2702</v>
      </c>
      <c r="O1148" s="1">
        <v>45294</v>
      </c>
      <c r="T1148" t="s">
        <v>2662</v>
      </c>
      <c r="U1148" t="s">
        <v>5342</v>
      </c>
      <c r="V1148">
        <v>0</v>
      </c>
      <c r="W1148" t="s">
        <v>2664</v>
      </c>
      <c r="X1148">
        <v>1</v>
      </c>
      <c r="Y1148" t="s">
        <v>2695</v>
      </c>
      <c r="AA1148">
        <v>22445894402</v>
      </c>
      <c r="AB1148" t="s">
        <v>573</v>
      </c>
      <c r="AC1148">
        <v>0</v>
      </c>
      <c r="AD1148">
        <v>51</v>
      </c>
      <c r="AE1148">
        <v>2244589440251</v>
      </c>
      <c r="AF1148" t="s">
        <v>5343</v>
      </c>
      <c r="AG1148">
        <v>1</v>
      </c>
      <c r="AH1148">
        <v>1</v>
      </c>
    </row>
    <row r="1149" spans="1:34">
      <c r="A1149">
        <v>2026</v>
      </c>
      <c r="B1149" s="1">
        <v>46023</v>
      </c>
      <c r="C1149" t="s">
        <v>2657</v>
      </c>
      <c r="D1149" t="s">
        <v>5344</v>
      </c>
      <c r="E1149" s="43">
        <v>46037.833373148147</v>
      </c>
      <c r="F1149" s="1">
        <v>46037</v>
      </c>
      <c r="G1149" s="43">
        <v>46058.699271516205</v>
      </c>
      <c r="H1149" t="s">
        <v>2701</v>
      </c>
      <c r="I1149" t="s">
        <v>2719</v>
      </c>
      <c r="J1149" t="s">
        <v>39</v>
      </c>
      <c r="L1149" t="s">
        <v>2336</v>
      </c>
      <c r="M1149">
        <v>127737463602</v>
      </c>
      <c r="N1149" t="s">
        <v>2746</v>
      </c>
      <c r="O1149" s="1">
        <v>45661</v>
      </c>
      <c r="T1149" t="s">
        <v>2662</v>
      </c>
      <c r="U1149" t="s">
        <v>5345</v>
      </c>
      <c r="V1149">
        <v>15</v>
      </c>
      <c r="W1149" t="s">
        <v>2677</v>
      </c>
      <c r="X1149">
        <v>1</v>
      </c>
      <c r="Y1149" t="s">
        <v>2678</v>
      </c>
      <c r="Z1149" t="s">
        <v>2834</v>
      </c>
      <c r="AA1149">
        <v>127737463602</v>
      </c>
      <c r="AB1149" t="s">
        <v>1066</v>
      </c>
      <c r="AC1149">
        <v>0</v>
      </c>
      <c r="AD1149">
        <v>3</v>
      </c>
      <c r="AE1149">
        <v>1277374636023</v>
      </c>
      <c r="AF1149" t="s">
        <v>5346</v>
      </c>
      <c r="AG1149">
        <v>1</v>
      </c>
      <c r="AH1149">
        <v>1</v>
      </c>
    </row>
    <row r="1150" spans="1:34">
      <c r="A1150">
        <v>2026</v>
      </c>
      <c r="B1150" s="1">
        <v>46082</v>
      </c>
      <c r="C1150" t="s">
        <v>2657</v>
      </c>
      <c r="D1150" t="s">
        <v>5347</v>
      </c>
      <c r="E1150" s="43">
        <v>46084.536082500003</v>
      </c>
      <c r="F1150" s="1">
        <v>46084</v>
      </c>
      <c r="G1150" s="43">
        <v>46085.628925787038</v>
      </c>
      <c r="H1150" t="s">
        <v>2668</v>
      </c>
      <c r="I1150" t="s">
        <v>2669</v>
      </c>
      <c r="J1150" t="s">
        <v>39</v>
      </c>
      <c r="L1150" t="s">
        <v>2353</v>
      </c>
      <c r="M1150">
        <v>155525090602</v>
      </c>
      <c r="N1150" t="s">
        <v>2675</v>
      </c>
      <c r="O1150" s="1">
        <v>45294</v>
      </c>
      <c r="T1150" t="s">
        <v>2662</v>
      </c>
      <c r="U1150" t="s">
        <v>5348</v>
      </c>
      <c r="V1150">
        <v>1</v>
      </c>
      <c r="W1150" t="s">
        <v>2743</v>
      </c>
      <c r="X1150">
        <v>1</v>
      </c>
      <c r="Y1150" t="s">
        <v>2931</v>
      </c>
      <c r="AA1150">
        <v>155525090602</v>
      </c>
      <c r="AB1150" t="s">
        <v>2212</v>
      </c>
      <c r="AC1150">
        <v>0</v>
      </c>
      <c r="AD1150">
        <v>10</v>
      </c>
      <c r="AE1150">
        <v>15552509060210</v>
      </c>
      <c r="AF1150" t="s">
        <v>5349</v>
      </c>
      <c r="AG1150">
        <v>1</v>
      </c>
      <c r="AH1150">
        <v>1</v>
      </c>
    </row>
    <row r="1151" spans="1:34">
      <c r="A1151">
        <v>2026</v>
      </c>
      <c r="B1151" s="1">
        <v>46082</v>
      </c>
      <c r="C1151" t="s">
        <v>2657</v>
      </c>
      <c r="D1151" t="s">
        <v>5350</v>
      </c>
      <c r="E1151" s="43">
        <v>46085.594577858799</v>
      </c>
      <c r="F1151" s="1">
        <v>46085</v>
      </c>
      <c r="G1151" s="43">
        <v>46092.679357048612</v>
      </c>
      <c r="H1151" t="s">
        <v>2668</v>
      </c>
      <c r="I1151" t="s">
        <v>2669</v>
      </c>
      <c r="J1151" t="s">
        <v>39</v>
      </c>
      <c r="L1151" t="s">
        <v>2353</v>
      </c>
      <c r="M1151">
        <v>155525090602</v>
      </c>
      <c r="N1151" t="s">
        <v>2675</v>
      </c>
      <c r="O1151" s="1">
        <v>45294</v>
      </c>
      <c r="T1151" t="s">
        <v>2662</v>
      </c>
      <c r="U1151" t="s">
        <v>5351</v>
      </c>
      <c r="V1151">
        <v>5</v>
      </c>
      <c r="W1151" t="s">
        <v>2704</v>
      </c>
      <c r="X1151">
        <v>1</v>
      </c>
      <c r="Y1151" t="s">
        <v>2721</v>
      </c>
      <c r="AA1151">
        <v>155525090602</v>
      </c>
      <c r="AB1151" t="s">
        <v>2212</v>
      </c>
      <c r="AC1151">
        <v>1</v>
      </c>
      <c r="AD1151">
        <v>10</v>
      </c>
      <c r="AE1151">
        <v>15552509060210</v>
      </c>
      <c r="AF1151" t="s">
        <v>5349</v>
      </c>
      <c r="AG1151">
        <v>0</v>
      </c>
      <c r="AH1151">
        <v>0</v>
      </c>
    </row>
    <row r="1152" spans="1:34">
      <c r="A1152">
        <v>2026</v>
      </c>
      <c r="B1152" s="1">
        <v>46082</v>
      </c>
      <c r="C1152" t="s">
        <v>2657</v>
      </c>
      <c r="D1152" t="s">
        <v>5352</v>
      </c>
      <c r="E1152" s="43">
        <v>46092.802250775465</v>
      </c>
      <c r="F1152" s="1">
        <v>46092</v>
      </c>
      <c r="G1152" s="43">
        <v>46092.802250775465</v>
      </c>
      <c r="H1152" t="s">
        <v>2668</v>
      </c>
      <c r="I1152" t="s">
        <v>2681</v>
      </c>
      <c r="J1152" t="s">
        <v>37</v>
      </c>
      <c r="L1152" t="s">
        <v>2364</v>
      </c>
      <c r="M1152">
        <v>287289131302</v>
      </c>
      <c r="N1152" t="s">
        <v>2661</v>
      </c>
      <c r="O1152" s="1">
        <v>45587</v>
      </c>
      <c r="T1152" t="s">
        <v>2662</v>
      </c>
      <c r="U1152" t="s">
        <v>5353</v>
      </c>
      <c r="V1152">
        <v>0</v>
      </c>
      <c r="W1152" t="s">
        <v>2704</v>
      </c>
      <c r="X1152">
        <v>1</v>
      </c>
      <c r="Y1152" t="s">
        <v>2695</v>
      </c>
      <c r="AA1152">
        <v>1078200608102</v>
      </c>
      <c r="AB1152" t="s">
        <v>1272</v>
      </c>
      <c r="AC1152">
        <v>1</v>
      </c>
      <c r="AD1152">
        <v>11</v>
      </c>
      <c r="AE1152">
        <v>107820060810211</v>
      </c>
      <c r="AF1152" t="s">
        <v>5354</v>
      </c>
      <c r="AG1152">
        <v>1</v>
      </c>
      <c r="AH1152">
        <v>1</v>
      </c>
    </row>
    <row r="1153" spans="1:34">
      <c r="A1153">
        <v>2026</v>
      </c>
      <c r="B1153" s="1">
        <v>46082</v>
      </c>
      <c r="C1153" t="s">
        <v>2657</v>
      </c>
      <c r="D1153" t="s">
        <v>5355</v>
      </c>
      <c r="E1153" s="43">
        <v>46087.517313206015</v>
      </c>
      <c r="F1153" s="1">
        <v>46087</v>
      </c>
      <c r="G1153" s="43">
        <v>46087.797150324077</v>
      </c>
      <c r="H1153" t="s">
        <v>2668</v>
      </c>
      <c r="I1153" t="s">
        <v>2669</v>
      </c>
      <c r="J1153" t="s">
        <v>39</v>
      </c>
      <c r="L1153" t="s">
        <v>2362</v>
      </c>
      <c r="M1153">
        <v>25248213105</v>
      </c>
      <c r="N1153" t="s">
        <v>2746</v>
      </c>
      <c r="O1153" s="1">
        <v>45294</v>
      </c>
      <c r="T1153" t="s">
        <v>2662</v>
      </c>
      <c r="U1153" t="s">
        <v>5356</v>
      </c>
      <c r="V1153">
        <v>0</v>
      </c>
      <c r="W1153" t="s">
        <v>2677</v>
      </c>
      <c r="X1153">
        <v>1</v>
      </c>
      <c r="Y1153" t="s">
        <v>2678</v>
      </c>
      <c r="AA1153">
        <v>25248213105</v>
      </c>
      <c r="AB1153" t="s">
        <v>1611</v>
      </c>
      <c r="AC1153">
        <v>0</v>
      </c>
      <c r="AD1153">
        <v>10</v>
      </c>
      <c r="AE1153">
        <v>2524821310510</v>
      </c>
      <c r="AF1153" t="s">
        <v>5357</v>
      </c>
      <c r="AG1153">
        <v>0</v>
      </c>
      <c r="AH1153">
        <v>0</v>
      </c>
    </row>
    <row r="1154" spans="1:34">
      <c r="A1154">
        <v>2026</v>
      </c>
      <c r="B1154" s="1">
        <v>46082</v>
      </c>
      <c r="C1154" t="s">
        <v>2657</v>
      </c>
      <c r="D1154" t="s">
        <v>5358</v>
      </c>
      <c r="E1154" s="43">
        <v>46084.485741203702</v>
      </c>
      <c r="F1154" s="1">
        <v>46084</v>
      </c>
      <c r="G1154" s="43">
        <v>46085.570094178242</v>
      </c>
      <c r="H1154" t="s">
        <v>2668</v>
      </c>
      <c r="I1154" t="s">
        <v>2669</v>
      </c>
      <c r="J1154" t="s">
        <v>39</v>
      </c>
      <c r="L1154" t="s">
        <v>2362</v>
      </c>
      <c r="M1154">
        <v>25248213105</v>
      </c>
      <c r="N1154" t="s">
        <v>2746</v>
      </c>
      <c r="O1154" s="1">
        <v>45294</v>
      </c>
      <c r="T1154" t="s">
        <v>2662</v>
      </c>
      <c r="U1154" t="s">
        <v>5359</v>
      </c>
      <c r="V1154">
        <v>1</v>
      </c>
      <c r="W1154" t="s">
        <v>2671</v>
      </c>
      <c r="X1154">
        <v>1</v>
      </c>
      <c r="Y1154" t="s">
        <v>2672</v>
      </c>
      <c r="AA1154">
        <v>25248213105</v>
      </c>
      <c r="AB1154" t="s">
        <v>1611</v>
      </c>
      <c r="AC1154">
        <v>0</v>
      </c>
      <c r="AD1154">
        <v>10</v>
      </c>
      <c r="AE1154">
        <v>2524821310510</v>
      </c>
      <c r="AF1154" t="s">
        <v>5357</v>
      </c>
      <c r="AG1154">
        <v>1</v>
      </c>
      <c r="AH1154">
        <v>1</v>
      </c>
    </row>
    <row r="1155" spans="1:34">
      <c r="A1155">
        <v>2026</v>
      </c>
      <c r="B1155" s="1">
        <v>46082</v>
      </c>
      <c r="C1155" t="s">
        <v>2657</v>
      </c>
      <c r="D1155" t="s">
        <v>5360</v>
      </c>
      <c r="E1155" s="43">
        <v>46084.795586550928</v>
      </c>
      <c r="F1155" s="1">
        <v>46084</v>
      </c>
      <c r="G1155" s="43">
        <v>46086.632884120372</v>
      </c>
      <c r="H1155" t="s">
        <v>2668</v>
      </c>
      <c r="I1155" t="s">
        <v>2669</v>
      </c>
      <c r="J1155" t="s">
        <v>39</v>
      </c>
      <c r="L1155" t="s">
        <v>2362</v>
      </c>
      <c r="M1155">
        <v>25248213105</v>
      </c>
      <c r="N1155" t="s">
        <v>2746</v>
      </c>
      <c r="O1155" s="1">
        <v>45294</v>
      </c>
      <c r="T1155" t="s">
        <v>2662</v>
      </c>
      <c r="U1155" t="s">
        <v>5361</v>
      </c>
      <c r="V1155">
        <v>2</v>
      </c>
      <c r="W1155" t="s">
        <v>2671</v>
      </c>
      <c r="X1155">
        <v>1</v>
      </c>
      <c r="Y1155" t="s">
        <v>2672</v>
      </c>
      <c r="AA1155">
        <v>25248213105</v>
      </c>
      <c r="AB1155" t="s">
        <v>1611</v>
      </c>
      <c r="AC1155">
        <v>0</v>
      </c>
      <c r="AD1155">
        <v>10</v>
      </c>
      <c r="AE1155">
        <v>2524821310510</v>
      </c>
      <c r="AF1155" t="s">
        <v>5357</v>
      </c>
      <c r="AG1155">
        <v>0</v>
      </c>
      <c r="AH1155">
        <v>0</v>
      </c>
    </row>
    <row r="1156" spans="1:34">
      <c r="A1156">
        <v>2026</v>
      </c>
      <c r="B1156" s="1">
        <v>46082</v>
      </c>
      <c r="C1156" t="s">
        <v>2657</v>
      </c>
      <c r="D1156" t="s">
        <v>5362</v>
      </c>
      <c r="E1156" s="43">
        <v>46090.541131458333</v>
      </c>
      <c r="F1156" s="1">
        <v>46090</v>
      </c>
      <c r="G1156" s="43">
        <v>46091.675406122682</v>
      </c>
      <c r="H1156" t="s">
        <v>2668</v>
      </c>
      <c r="I1156" t="s">
        <v>2681</v>
      </c>
      <c r="J1156" t="s">
        <v>39</v>
      </c>
      <c r="L1156" t="s">
        <v>2362</v>
      </c>
      <c r="M1156">
        <v>25248213105</v>
      </c>
      <c r="N1156" t="s">
        <v>2746</v>
      </c>
      <c r="O1156" s="1">
        <v>45294</v>
      </c>
      <c r="T1156" t="s">
        <v>2662</v>
      </c>
      <c r="U1156" t="s">
        <v>5363</v>
      </c>
      <c r="V1156">
        <v>1</v>
      </c>
      <c r="W1156" t="s">
        <v>2671</v>
      </c>
      <c r="X1156">
        <v>1</v>
      </c>
      <c r="Y1156" t="s">
        <v>2672</v>
      </c>
      <c r="AA1156">
        <v>25248213105</v>
      </c>
      <c r="AB1156" t="s">
        <v>1611</v>
      </c>
      <c r="AC1156">
        <v>1</v>
      </c>
      <c r="AD1156">
        <v>11</v>
      </c>
      <c r="AE1156">
        <v>2524821310511</v>
      </c>
      <c r="AF1156" t="s">
        <v>5357</v>
      </c>
      <c r="AG1156">
        <v>1</v>
      </c>
      <c r="AH1156">
        <v>0</v>
      </c>
    </row>
    <row r="1157" spans="1:34">
      <c r="A1157">
        <v>2026</v>
      </c>
      <c r="B1157" s="1">
        <v>46054</v>
      </c>
      <c r="C1157" t="s">
        <v>2657</v>
      </c>
      <c r="D1157" t="s">
        <v>5364</v>
      </c>
      <c r="E1157" s="43">
        <v>46064.555616192127</v>
      </c>
      <c r="F1157" s="1">
        <v>46064</v>
      </c>
      <c r="G1157" s="43">
        <v>46073.80909263889</v>
      </c>
      <c r="H1157" t="s">
        <v>2725</v>
      </c>
      <c r="I1157" t="s">
        <v>2681</v>
      </c>
      <c r="J1157" t="s">
        <v>39</v>
      </c>
      <c r="L1157" t="s">
        <v>2336</v>
      </c>
      <c r="M1157">
        <v>902277407302</v>
      </c>
      <c r="N1157" t="s">
        <v>2746</v>
      </c>
      <c r="O1157" s="1">
        <v>45661</v>
      </c>
      <c r="T1157" t="s">
        <v>2662</v>
      </c>
      <c r="U1157" t="s">
        <v>5365</v>
      </c>
      <c r="V1157">
        <v>7</v>
      </c>
      <c r="W1157" t="s">
        <v>2671</v>
      </c>
      <c r="X1157">
        <v>1</v>
      </c>
      <c r="Y1157" t="s">
        <v>2683</v>
      </c>
      <c r="AA1157">
        <v>92771955402</v>
      </c>
      <c r="AB1157" t="s">
        <v>645</v>
      </c>
      <c r="AC1157">
        <v>0</v>
      </c>
      <c r="AD1157">
        <v>7</v>
      </c>
      <c r="AE1157">
        <v>927719554027</v>
      </c>
      <c r="AF1157" t="s">
        <v>5366</v>
      </c>
      <c r="AG1157">
        <v>1</v>
      </c>
      <c r="AH1157">
        <v>1</v>
      </c>
    </row>
    <row r="1158" spans="1:34">
      <c r="A1158">
        <v>2026</v>
      </c>
      <c r="B1158" s="1">
        <v>46054</v>
      </c>
      <c r="C1158" t="s">
        <v>2657</v>
      </c>
      <c r="D1158" t="s">
        <v>5367</v>
      </c>
      <c r="E1158" s="43">
        <v>46073.557027743052</v>
      </c>
      <c r="F1158" s="1">
        <v>46073</v>
      </c>
      <c r="G1158" s="43">
        <v>46083.664174363425</v>
      </c>
      <c r="H1158" t="s">
        <v>2725</v>
      </c>
      <c r="I1158" t="s">
        <v>2719</v>
      </c>
      <c r="J1158" t="s">
        <v>39</v>
      </c>
      <c r="L1158" t="s">
        <v>2336</v>
      </c>
      <c r="M1158">
        <v>902277407302</v>
      </c>
      <c r="N1158" t="s">
        <v>2746</v>
      </c>
      <c r="O1158" s="1">
        <v>45661</v>
      </c>
      <c r="T1158" t="s">
        <v>2662</v>
      </c>
      <c r="U1158" t="s">
        <v>5368</v>
      </c>
      <c r="V1158">
        <v>6</v>
      </c>
      <c r="W1158" t="s">
        <v>2671</v>
      </c>
      <c r="X1158">
        <v>1</v>
      </c>
      <c r="Y1158" t="s">
        <v>2692</v>
      </c>
      <c r="AA1158">
        <v>92771955402</v>
      </c>
      <c r="AB1158" t="s">
        <v>645</v>
      </c>
      <c r="AC1158">
        <v>0</v>
      </c>
      <c r="AD1158">
        <v>8</v>
      </c>
      <c r="AE1158">
        <v>927719554028</v>
      </c>
      <c r="AF1158" t="s">
        <v>5366</v>
      </c>
      <c r="AG1158">
        <v>1</v>
      </c>
      <c r="AH1158">
        <v>0</v>
      </c>
    </row>
    <row r="1159" spans="1:34">
      <c r="A1159">
        <v>2026</v>
      </c>
      <c r="B1159" s="1">
        <v>46054</v>
      </c>
      <c r="C1159" t="s">
        <v>2657</v>
      </c>
      <c r="D1159" s="44" t="s">
        <v>5369</v>
      </c>
      <c r="E1159" s="43">
        <v>46076.793608043983</v>
      </c>
      <c r="F1159" s="1">
        <v>46076</v>
      </c>
      <c r="G1159" s="43">
        <v>46080.594987835648</v>
      </c>
      <c r="H1159" t="s">
        <v>2725</v>
      </c>
      <c r="I1159" t="s">
        <v>2660</v>
      </c>
      <c r="J1159" t="s">
        <v>39</v>
      </c>
      <c r="L1159" t="s">
        <v>2336</v>
      </c>
      <c r="M1159">
        <v>902277407302</v>
      </c>
      <c r="N1159" t="s">
        <v>2746</v>
      </c>
      <c r="O1159" s="1">
        <v>45661</v>
      </c>
      <c r="T1159" t="s">
        <v>2662</v>
      </c>
      <c r="U1159" t="s">
        <v>5370</v>
      </c>
      <c r="V1159">
        <v>4</v>
      </c>
      <c r="W1159" t="s">
        <v>2677</v>
      </c>
      <c r="X1159">
        <v>1</v>
      </c>
      <c r="Y1159" t="s">
        <v>2772</v>
      </c>
      <c r="AA1159">
        <v>92771955402</v>
      </c>
      <c r="AB1159" t="s">
        <v>645</v>
      </c>
      <c r="AC1159">
        <v>0</v>
      </c>
      <c r="AD1159">
        <v>9</v>
      </c>
      <c r="AE1159">
        <v>927719554029</v>
      </c>
      <c r="AF1159" t="s">
        <v>5366</v>
      </c>
      <c r="AG1159">
        <v>1</v>
      </c>
      <c r="AH1159">
        <v>0</v>
      </c>
    </row>
    <row r="1160" spans="1:34">
      <c r="A1160">
        <v>2026</v>
      </c>
      <c r="B1160" s="1">
        <v>46054</v>
      </c>
      <c r="C1160" t="s">
        <v>2657</v>
      </c>
      <c r="D1160" t="s">
        <v>5371</v>
      </c>
      <c r="E1160" s="43">
        <v>46079.532052233793</v>
      </c>
      <c r="F1160" s="1">
        <v>46079</v>
      </c>
      <c r="G1160" s="43">
        <v>46083.825228506947</v>
      </c>
      <c r="H1160" t="s">
        <v>2725</v>
      </c>
      <c r="I1160" t="s">
        <v>2660</v>
      </c>
      <c r="J1160" t="s">
        <v>39</v>
      </c>
      <c r="L1160" t="s">
        <v>2336</v>
      </c>
      <c r="M1160">
        <v>902277407302</v>
      </c>
      <c r="N1160" t="s">
        <v>2746</v>
      </c>
      <c r="O1160" s="1">
        <v>45661</v>
      </c>
      <c r="T1160" t="s">
        <v>2662</v>
      </c>
      <c r="U1160" t="s">
        <v>5372</v>
      </c>
      <c r="V1160">
        <v>2</v>
      </c>
      <c r="W1160" t="s">
        <v>2671</v>
      </c>
      <c r="X1160">
        <v>1</v>
      </c>
      <c r="Y1160" t="s">
        <v>2764</v>
      </c>
      <c r="AA1160">
        <v>92771955402</v>
      </c>
      <c r="AB1160" t="s">
        <v>645</v>
      </c>
      <c r="AC1160">
        <v>0</v>
      </c>
      <c r="AD1160">
        <v>9</v>
      </c>
      <c r="AE1160">
        <v>927719554029</v>
      </c>
      <c r="AF1160" t="s">
        <v>5366</v>
      </c>
      <c r="AG1160">
        <v>0</v>
      </c>
      <c r="AH1160">
        <v>0</v>
      </c>
    </row>
    <row r="1161" spans="1:34">
      <c r="A1161">
        <v>2025</v>
      </c>
      <c r="B1161" s="1">
        <v>45931</v>
      </c>
      <c r="C1161" t="s">
        <v>2657</v>
      </c>
      <c r="D1161" t="s">
        <v>5373</v>
      </c>
      <c r="E1161" s="43">
        <v>45960.798750671296</v>
      </c>
      <c r="F1161" s="1">
        <v>45960</v>
      </c>
      <c r="G1161" s="43">
        <v>45965.70691552083</v>
      </c>
      <c r="H1161" t="s">
        <v>2659</v>
      </c>
      <c r="I1161" t="s">
        <v>2697</v>
      </c>
      <c r="J1161" t="s">
        <v>38</v>
      </c>
      <c r="L1161" t="s">
        <v>2379</v>
      </c>
      <c r="M1161">
        <v>922736911702</v>
      </c>
      <c r="N1161" t="s">
        <v>2675</v>
      </c>
      <c r="O1161" s="1">
        <v>45751</v>
      </c>
      <c r="T1161" t="s">
        <v>2662</v>
      </c>
      <c r="U1161" t="s">
        <v>5374</v>
      </c>
      <c r="V1161">
        <v>3</v>
      </c>
      <c r="X1161">
        <v>1</v>
      </c>
      <c r="Y1161" t="s">
        <v>2721</v>
      </c>
      <c r="Z1161" t="s">
        <v>2684</v>
      </c>
      <c r="AA1161">
        <v>1147177827502</v>
      </c>
      <c r="AB1161" t="s">
        <v>2578</v>
      </c>
      <c r="AC1161">
        <v>0</v>
      </c>
      <c r="AD1161">
        <v>44</v>
      </c>
      <c r="AE1161">
        <v>114717782750244</v>
      </c>
      <c r="AF1161" t="s">
        <v>5375</v>
      </c>
      <c r="AG1161">
        <v>0</v>
      </c>
      <c r="AH1161">
        <v>0</v>
      </c>
    </row>
    <row r="1162" spans="1:34">
      <c r="A1162">
        <v>2025</v>
      </c>
      <c r="B1162" s="1">
        <v>45931</v>
      </c>
      <c r="C1162" t="s">
        <v>2657</v>
      </c>
      <c r="D1162" t="s">
        <v>5376</v>
      </c>
      <c r="E1162" s="43">
        <v>45960.797923287035</v>
      </c>
      <c r="F1162" s="1">
        <v>45960</v>
      </c>
      <c r="G1162" s="43">
        <v>45966.849680219908</v>
      </c>
      <c r="H1162" t="s">
        <v>2659</v>
      </c>
      <c r="I1162" t="s">
        <v>2697</v>
      </c>
      <c r="J1162" t="s">
        <v>38</v>
      </c>
      <c r="L1162" t="s">
        <v>2379</v>
      </c>
      <c r="M1162">
        <v>922736911702</v>
      </c>
      <c r="N1162" t="s">
        <v>2675</v>
      </c>
      <c r="O1162" s="1">
        <v>45751</v>
      </c>
      <c r="T1162" t="s">
        <v>2662</v>
      </c>
      <c r="U1162" t="s">
        <v>5377</v>
      </c>
      <c r="V1162">
        <v>4</v>
      </c>
      <c r="W1162" t="s">
        <v>2671</v>
      </c>
      <c r="X1162">
        <v>1</v>
      </c>
      <c r="Z1162" t="s">
        <v>2684</v>
      </c>
      <c r="AA1162">
        <v>1147177827502</v>
      </c>
      <c r="AB1162" t="s">
        <v>2578</v>
      </c>
      <c r="AC1162">
        <v>0</v>
      </c>
      <c r="AD1162">
        <v>44</v>
      </c>
      <c r="AE1162">
        <v>114717782750244</v>
      </c>
      <c r="AF1162" t="s">
        <v>5375</v>
      </c>
      <c r="AG1162">
        <v>1</v>
      </c>
      <c r="AH1162">
        <v>1</v>
      </c>
    </row>
    <row r="1163" spans="1:34">
      <c r="A1163">
        <v>2025</v>
      </c>
      <c r="B1163" s="1">
        <v>45992</v>
      </c>
      <c r="C1163" t="s">
        <v>2657</v>
      </c>
      <c r="D1163" s="44" t="s">
        <v>5378</v>
      </c>
      <c r="E1163" s="43">
        <v>45995.569410775461</v>
      </c>
      <c r="F1163" s="1">
        <v>45995</v>
      </c>
      <c r="G1163" s="43">
        <v>45995.740922488425</v>
      </c>
      <c r="H1163" t="s">
        <v>2686</v>
      </c>
      <c r="I1163" t="s">
        <v>2669</v>
      </c>
      <c r="J1163" t="s">
        <v>2735</v>
      </c>
      <c r="L1163" t="s">
        <v>2336</v>
      </c>
      <c r="M1163">
        <v>414165418502</v>
      </c>
      <c r="N1163" t="s">
        <v>2746</v>
      </c>
      <c r="O1163" s="1">
        <v>45342</v>
      </c>
      <c r="T1163" t="s">
        <v>2662</v>
      </c>
      <c r="U1163" t="s">
        <v>5379</v>
      </c>
      <c r="V1163">
        <v>0</v>
      </c>
      <c r="W1163" t="s">
        <v>2677</v>
      </c>
      <c r="X1163">
        <v>1</v>
      </c>
      <c r="Y1163" t="s">
        <v>2807</v>
      </c>
      <c r="AA1163">
        <v>414165418502</v>
      </c>
      <c r="AB1163" t="s">
        <v>1569</v>
      </c>
      <c r="AC1163">
        <v>0</v>
      </c>
      <c r="AD1163">
        <v>49</v>
      </c>
      <c r="AE1163">
        <v>41416541850249</v>
      </c>
      <c r="AF1163" t="s">
        <v>5380</v>
      </c>
      <c r="AG1163">
        <v>0</v>
      </c>
      <c r="AH1163">
        <v>0</v>
      </c>
    </row>
    <row r="1164" spans="1:34">
      <c r="A1164">
        <v>2025</v>
      </c>
      <c r="B1164" s="1">
        <v>45992</v>
      </c>
      <c r="C1164" t="s">
        <v>2657</v>
      </c>
      <c r="D1164" t="s">
        <v>5381</v>
      </c>
      <c r="E1164" s="43">
        <v>45995.6188056713</v>
      </c>
      <c r="F1164" s="1">
        <v>45995</v>
      </c>
      <c r="G1164" s="43">
        <v>45995.6188056713</v>
      </c>
      <c r="H1164" t="s">
        <v>2686</v>
      </c>
      <c r="I1164" t="s">
        <v>2669</v>
      </c>
      <c r="J1164" t="s">
        <v>2735</v>
      </c>
      <c r="L1164" t="s">
        <v>2336</v>
      </c>
      <c r="M1164">
        <v>414165418502</v>
      </c>
      <c r="N1164" t="s">
        <v>2746</v>
      </c>
      <c r="O1164" s="1">
        <v>45342</v>
      </c>
      <c r="T1164" t="s">
        <v>2662</v>
      </c>
      <c r="U1164" t="s">
        <v>5382</v>
      </c>
      <c r="V1164">
        <v>0</v>
      </c>
      <c r="W1164" t="s">
        <v>2664</v>
      </c>
      <c r="X1164">
        <v>1</v>
      </c>
      <c r="Y1164" t="s">
        <v>2695</v>
      </c>
      <c r="AA1164">
        <v>414165418502</v>
      </c>
      <c r="AB1164" t="s">
        <v>1569</v>
      </c>
      <c r="AC1164">
        <v>0</v>
      </c>
      <c r="AD1164">
        <v>49</v>
      </c>
      <c r="AE1164">
        <v>41416541850249</v>
      </c>
      <c r="AF1164" t="s">
        <v>5380</v>
      </c>
      <c r="AG1164">
        <v>0</v>
      </c>
      <c r="AH1164">
        <v>0</v>
      </c>
    </row>
    <row r="1165" spans="1:34">
      <c r="A1165">
        <v>2025</v>
      </c>
      <c r="B1165" s="1">
        <v>45992</v>
      </c>
      <c r="C1165" t="s">
        <v>2657</v>
      </c>
      <c r="D1165" t="s">
        <v>5383</v>
      </c>
      <c r="E1165" s="43">
        <v>45994.820463101853</v>
      </c>
      <c r="F1165" s="1">
        <v>45994</v>
      </c>
      <c r="G1165" s="43">
        <v>45995.579037662035</v>
      </c>
      <c r="H1165" t="s">
        <v>2686</v>
      </c>
      <c r="I1165" t="s">
        <v>2669</v>
      </c>
      <c r="J1165" t="s">
        <v>2735</v>
      </c>
      <c r="L1165" t="s">
        <v>2336</v>
      </c>
      <c r="M1165">
        <v>1126409110002</v>
      </c>
      <c r="N1165" t="s">
        <v>2746</v>
      </c>
      <c r="O1165" s="1">
        <v>45930</v>
      </c>
      <c r="T1165" t="s">
        <v>2662</v>
      </c>
      <c r="U1165" t="s">
        <v>5384</v>
      </c>
      <c r="V1165">
        <v>1</v>
      </c>
      <c r="W1165" t="s">
        <v>2671</v>
      </c>
      <c r="X1165">
        <v>1</v>
      </c>
      <c r="Y1165" t="s">
        <v>2683</v>
      </c>
      <c r="AA1165">
        <v>414165418502</v>
      </c>
      <c r="AB1165" t="s">
        <v>1569</v>
      </c>
      <c r="AC1165">
        <v>0</v>
      </c>
      <c r="AD1165">
        <v>49</v>
      </c>
      <c r="AE1165">
        <v>41416541850249</v>
      </c>
      <c r="AF1165" t="s">
        <v>5380</v>
      </c>
      <c r="AG1165">
        <v>0</v>
      </c>
      <c r="AH1165">
        <v>0</v>
      </c>
    </row>
    <row r="1166" spans="1:34">
      <c r="A1166">
        <v>2025</v>
      </c>
      <c r="B1166" s="1">
        <v>45992</v>
      </c>
      <c r="C1166" t="s">
        <v>2657</v>
      </c>
      <c r="D1166" t="s">
        <v>5385</v>
      </c>
      <c r="E1166" s="43">
        <v>45993.76851361111</v>
      </c>
      <c r="F1166" s="1">
        <v>45993</v>
      </c>
      <c r="G1166" s="43">
        <v>45999.524590578701</v>
      </c>
      <c r="H1166" t="s">
        <v>2686</v>
      </c>
      <c r="I1166" t="s">
        <v>2669</v>
      </c>
      <c r="J1166" t="s">
        <v>2735</v>
      </c>
      <c r="L1166" t="s">
        <v>2336</v>
      </c>
      <c r="M1166">
        <v>1126409110002</v>
      </c>
      <c r="N1166" t="s">
        <v>2746</v>
      </c>
      <c r="O1166" s="1">
        <v>45930</v>
      </c>
      <c r="T1166" t="s">
        <v>2662</v>
      </c>
      <c r="U1166" t="s">
        <v>5386</v>
      </c>
      <c r="V1166">
        <v>4</v>
      </c>
      <c r="W1166" t="s">
        <v>2671</v>
      </c>
      <c r="X1166">
        <v>1</v>
      </c>
      <c r="Y1166" t="s">
        <v>2721</v>
      </c>
      <c r="AA1166">
        <v>414165418502</v>
      </c>
      <c r="AB1166" t="s">
        <v>1569</v>
      </c>
      <c r="AC1166">
        <v>0</v>
      </c>
      <c r="AD1166">
        <v>49</v>
      </c>
      <c r="AE1166">
        <v>41416541850249</v>
      </c>
      <c r="AF1166" t="s">
        <v>5380</v>
      </c>
      <c r="AG1166">
        <v>1</v>
      </c>
      <c r="AH1166">
        <v>1</v>
      </c>
    </row>
    <row r="1167" spans="1:34">
      <c r="A1167">
        <v>2025</v>
      </c>
      <c r="B1167" s="1">
        <v>45992</v>
      </c>
      <c r="C1167" t="s">
        <v>2657</v>
      </c>
      <c r="D1167" t="s">
        <v>5387</v>
      </c>
      <c r="E1167" s="43">
        <v>45994.589382175924</v>
      </c>
      <c r="F1167" s="1">
        <v>45994</v>
      </c>
      <c r="G1167" s="43">
        <v>45994.707865081022</v>
      </c>
      <c r="H1167" t="s">
        <v>2686</v>
      </c>
      <c r="I1167" t="s">
        <v>2669</v>
      </c>
      <c r="J1167" t="s">
        <v>2735</v>
      </c>
      <c r="L1167" t="s">
        <v>2336</v>
      </c>
      <c r="M1167">
        <v>1126409110002</v>
      </c>
      <c r="N1167" t="s">
        <v>2746</v>
      </c>
      <c r="O1167" s="1">
        <v>45930</v>
      </c>
      <c r="T1167" t="s">
        <v>2662</v>
      </c>
      <c r="U1167" t="s">
        <v>5388</v>
      </c>
      <c r="V1167">
        <v>0</v>
      </c>
      <c r="W1167" t="s">
        <v>2677</v>
      </c>
      <c r="X1167">
        <v>1</v>
      </c>
      <c r="Y1167" t="s">
        <v>2807</v>
      </c>
      <c r="AA1167">
        <v>414165418502</v>
      </c>
      <c r="AB1167" t="s">
        <v>1569</v>
      </c>
      <c r="AC1167">
        <v>0</v>
      </c>
      <c r="AD1167">
        <v>49</v>
      </c>
      <c r="AE1167">
        <v>41416541850249</v>
      </c>
      <c r="AF1167" t="s">
        <v>5380</v>
      </c>
      <c r="AG1167">
        <v>0</v>
      </c>
      <c r="AH1167">
        <v>0</v>
      </c>
    </row>
    <row r="1168" spans="1:34">
      <c r="A1168">
        <v>2025</v>
      </c>
      <c r="B1168" s="1">
        <v>45992</v>
      </c>
      <c r="C1168" t="s">
        <v>2657</v>
      </c>
      <c r="D1168" t="s">
        <v>5389</v>
      </c>
      <c r="E1168" s="43">
        <v>46001.793691481478</v>
      </c>
      <c r="F1168" s="1">
        <v>46001</v>
      </c>
      <c r="G1168" s="43">
        <v>46001.793691481478</v>
      </c>
      <c r="H1168" t="s">
        <v>2686</v>
      </c>
      <c r="I1168" t="s">
        <v>2681</v>
      </c>
      <c r="J1168" t="s">
        <v>2735</v>
      </c>
      <c r="L1168" t="s">
        <v>2336</v>
      </c>
      <c r="M1168">
        <v>414165418502</v>
      </c>
      <c r="N1168" t="s">
        <v>2746</v>
      </c>
      <c r="O1168" s="1">
        <v>45342</v>
      </c>
      <c r="T1168" t="s">
        <v>2662</v>
      </c>
      <c r="U1168" t="s">
        <v>5390</v>
      </c>
      <c r="V1168">
        <v>0</v>
      </c>
      <c r="X1168">
        <v>1</v>
      </c>
      <c r="Y1168" t="s">
        <v>2695</v>
      </c>
      <c r="AA1168">
        <v>414165418502</v>
      </c>
      <c r="AB1168" t="s">
        <v>1569</v>
      </c>
      <c r="AC1168">
        <v>0</v>
      </c>
      <c r="AD1168">
        <v>50</v>
      </c>
      <c r="AE1168">
        <v>41416541850250</v>
      </c>
      <c r="AF1168" t="s">
        <v>5380</v>
      </c>
      <c r="AG1168">
        <v>0</v>
      </c>
      <c r="AH1168">
        <v>0</v>
      </c>
    </row>
    <row r="1169" spans="1:34">
      <c r="A1169">
        <v>2025</v>
      </c>
      <c r="B1169" s="1">
        <v>45992</v>
      </c>
      <c r="C1169" t="s">
        <v>2657</v>
      </c>
      <c r="D1169" s="44" t="s">
        <v>5391</v>
      </c>
      <c r="E1169" s="43">
        <v>45999.482854166665</v>
      </c>
      <c r="F1169" s="1">
        <v>45999</v>
      </c>
      <c r="G1169" s="43">
        <v>45999.482854166665</v>
      </c>
      <c r="H1169" t="s">
        <v>2686</v>
      </c>
      <c r="I1169" t="s">
        <v>2681</v>
      </c>
      <c r="J1169" t="s">
        <v>2735</v>
      </c>
      <c r="L1169" t="s">
        <v>2336</v>
      </c>
      <c r="M1169">
        <v>1126409110002</v>
      </c>
      <c r="N1169" t="s">
        <v>2746</v>
      </c>
      <c r="O1169" s="1">
        <v>45930</v>
      </c>
      <c r="T1169" t="s">
        <v>2662</v>
      </c>
      <c r="U1169" t="s">
        <v>5392</v>
      </c>
      <c r="V1169">
        <v>0</v>
      </c>
      <c r="W1169" t="s">
        <v>2664</v>
      </c>
      <c r="X1169">
        <v>1</v>
      </c>
      <c r="Y1169" t="s">
        <v>2695</v>
      </c>
      <c r="AA1169">
        <v>414165418502</v>
      </c>
      <c r="AB1169" t="s">
        <v>1569</v>
      </c>
      <c r="AC1169">
        <v>0</v>
      </c>
      <c r="AD1169">
        <v>50</v>
      </c>
      <c r="AE1169">
        <v>41416541850250</v>
      </c>
      <c r="AF1169" t="s">
        <v>5380</v>
      </c>
      <c r="AG1169">
        <v>1</v>
      </c>
      <c r="AH1169">
        <v>0</v>
      </c>
    </row>
    <row r="1170" spans="1:34">
      <c r="A1170">
        <v>2025</v>
      </c>
      <c r="B1170" s="1">
        <v>45992</v>
      </c>
      <c r="C1170" t="s">
        <v>2657</v>
      </c>
      <c r="D1170" t="s">
        <v>5393</v>
      </c>
      <c r="E1170" s="43">
        <v>46000.802656608794</v>
      </c>
      <c r="F1170" s="1">
        <v>46000</v>
      </c>
      <c r="G1170" s="43">
        <v>46002.543164386574</v>
      </c>
      <c r="H1170" t="s">
        <v>2686</v>
      </c>
      <c r="I1170" t="s">
        <v>2681</v>
      </c>
      <c r="J1170" t="s">
        <v>2735</v>
      </c>
      <c r="L1170" t="s">
        <v>2336</v>
      </c>
      <c r="M1170">
        <v>1126409110002</v>
      </c>
      <c r="N1170" t="s">
        <v>2746</v>
      </c>
      <c r="O1170" s="1">
        <v>45930</v>
      </c>
      <c r="T1170" t="s">
        <v>2662</v>
      </c>
      <c r="U1170" t="s">
        <v>5394</v>
      </c>
      <c r="V1170">
        <v>2</v>
      </c>
      <c r="W1170" t="s">
        <v>2671</v>
      </c>
      <c r="X1170">
        <v>1</v>
      </c>
      <c r="Y1170" t="s">
        <v>2721</v>
      </c>
      <c r="AA1170">
        <v>414165418502</v>
      </c>
      <c r="AB1170" t="s">
        <v>1569</v>
      </c>
      <c r="AC1170">
        <v>0</v>
      </c>
      <c r="AD1170">
        <v>50</v>
      </c>
      <c r="AE1170">
        <v>41416541850250</v>
      </c>
      <c r="AF1170" t="s">
        <v>5380</v>
      </c>
      <c r="AG1170">
        <v>0</v>
      </c>
      <c r="AH1170">
        <v>0</v>
      </c>
    </row>
    <row r="1171" spans="1:34">
      <c r="A1171">
        <v>2025</v>
      </c>
      <c r="B1171" s="1">
        <v>45992</v>
      </c>
      <c r="C1171" t="s">
        <v>2657</v>
      </c>
      <c r="D1171" s="44" t="s">
        <v>5395</v>
      </c>
      <c r="E1171" s="43">
        <v>46007.746253356483</v>
      </c>
      <c r="F1171" s="1">
        <v>46007</v>
      </c>
      <c r="G1171" s="43">
        <v>46014.586591377316</v>
      </c>
      <c r="H1171" t="s">
        <v>2686</v>
      </c>
      <c r="I1171" t="s">
        <v>2719</v>
      </c>
      <c r="J1171" t="s">
        <v>2735</v>
      </c>
      <c r="L1171" t="s">
        <v>2336</v>
      </c>
      <c r="M1171">
        <v>414165418502</v>
      </c>
      <c r="N1171" t="s">
        <v>2746</v>
      </c>
      <c r="O1171" s="1">
        <v>45342</v>
      </c>
      <c r="T1171" t="s">
        <v>2662</v>
      </c>
      <c r="V1171">
        <v>5</v>
      </c>
      <c r="W1171" t="s">
        <v>2677</v>
      </c>
      <c r="X1171">
        <v>1</v>
      </c>
      <c r="Y1171" t="s">
        <v>2767</v>
      </c>
      <c r="AA1171">
        <v>414165418502</v>
      </c>
      <c r="AB1171" t="s">
        <v>1569</v>
      </c>
      <c r="AC1171">
        <v>0</v>
      </c>
      <c r="AD1171">
        <v>51</v>
      </c>
      <c r="AE1171">
        <v>41416541850251</v>
      </c>
      <c r="AF1171" t="s">
        <v>5380</v>
      </c>
      <c r="AG1171">
        <v>0</v>
      </c>
      <c r="AH1171">
        <v>0</v>
      </c>
    </row>
    <row r="1172" spans="1:34">
      <c r="A1172">
        <v>2025</v>
      </c>
      <c r="B1172" s="1">
        <v>45992</v>
      </c>
      <c r="C1172" t="s">
        <v>2657</v>
      </c>
      <c r="D1172" s="44" t="s">
        <v>5396</v>
      </c>
      <c r="E1172" s="43">
        <v>46006.741089976851</v>
      </c>
      <c r="F1172" s="1">
        <v>46006</v>
      </c>
      <c r="G1172" s="43">
        <v>46006.741089976851</v>
      </c>
      <c r="H1172" t="s">
        <v>2686</v>
      </c>
      <c r="I1172" t="s">
        <v>2719</v>
      </c>
      <c r="J1172" t="s">
        <v>2735</v>
      </c>
      <c r="L1172" t="s">
        <v>2336</v>
      </c>
      <c r="M1172">
        <v>414165418502</v>
      </c>
      <c r="N1172" t="s">
        <v>2746</v>
      </c>
      <c r="O1172" s="1">
        <v>45342</v>
      </c>
      <c r="T1172" t="s">
        <v>2662</v>
      </c>
      <c r="U1172" t="s">
        <v>5397</v>
      </c>
      <c r="V1172">
        <v>0</v>
      </c>
      <c r="W1172" t="s">
        <v>2743</v>
      </c>
      <c r="X1172">
        <v>1</v>
      </c>
      <c r="Y1172" t="s">
        <v>2695</v>
      </c>
      <c r="AA1172">
        <v>414165418502</v>
      </c>
      <c r="AB1172" t="s">
        <v>1569</v>
      </c>
      <c r="AC1172">
        <v>0</v>
      </c>
      <c r="AD1172">
        <v>51</v>
      </c>
      <c r="AE1172">
        <v>41416541850251</v>
      </c>
      <c r="AF1172" t="s">
        <v>5380</v>
      </c>
      <c r="AG1172">
        <v>1</v>
      </c>
      <c r="AH1172">
        <v>0</v>
      </c>
    </row>
    <row r="1173" spans="1:34">
      <c r="A1173">
        <v>2025</v>
      </c>
      <c r="B1173" s="1">
        <v>45992</v>
      </c>
      <c r="C1173" t="s">
        <v>2657</v>
      </c>
      <c r="D1173" t="s">
        <v>5398</v>
      </c>
      <c r="E1173" s="43">
        <v>46008.791563865743</v>
      </c>
      <c r="F1173" s="1">
        <v>46008</v>
      </c>
      <c r="G1173" s="43">
        <v>46008.791563865743</v>
      </c>
      <c r="H1173" t="s">
        <v>2686</v>
      </c>
      <c r="I1173" t="s">
        <v>2719</v>
      </c>
      <c r="J1173" t="s">
        <v>2735</v>
      </c>
      <c r="L1173" t="s">
        <v>2336</v>
      </c>
      <c r="M1173">
        <v>1126409110002</v>
      </c>
      <c r="N1173" t="s">
        <v>2746</v>
      </c>
      <c r="O1173" s="1">
        <v>45930</v>
      </c>
      <c r="T1173" t="s">
        <v>2662</v>
      </c>
      <c r="U1173" t="s">
        <v>5399</v>
      </c>
      <c r="V1173">
        <v>0</v>
      </c>
      <c r="W1173" t="s">
        <v>2671</v>
      </c>
      <c r="X1173">
        <v>1</v>
      </c>
      <c r="Y1173" t="s">
        <v>2695</v>
      </c>
      <c r="AA1173">
        <v>414165418502</v>
      </c>
      <c r="AB1173" t="s">
        <v>1569</v>
      </c>
      <c r="AC1173">
        <v>0</v>
      </c>
      <c r="AD1173">
        <v>51</v>
      </c>
      <c r="AE1173">
        <v>41416541850251</v>
      </c>
      <c r="AF1173" t="s">
        <v>5380</v>
      </c>
      <c r="AG1173">
        <v>0</v>
      </c>
      <c r="AH1173">
        <v>0</v>
      </c>
    </row>
    <row r="1174" spans="1:34">
      <c r="A1174">
        <v>2025</v>
      </c>
      <c r="B1174" s="1">
        <v>45992</v>
      </c>
      <c r="C1174" t="s">
        <v>2657</v>
      </c>
      <c r="D1174" t="s">
        <v>5400</v>
      </c>
      <c r="E1174" s="43">
        <v>46013.667599513887</v>
      </c>
      <c r="F1174" s="1">
        <v>46013</v>
      </c>
      <c r="G1174" s="43">
        <v>46013.667599513887</v>
      </c>
      <c r="H1174" t="s">
        <v>2686</v>
      </c>
      <c r="I1174" t="s">
        <v>2660</v>
      </c>
      <c r="J1174" t="s">
        <v>2735</v>
      </c>
      <c r="L1174" t="s">
        <v>2336</v>
      </c>
      <c r="M1174">
        <v>1126409110002</v>
      </c>
      <c r="N1174" t="s">
        <v>2746</v>
      </c>
      <c r="O1174" s="1">
        <v>45930</v>
      </c>
      <c r="T1174" t="s">
        <v>2662</v>
      </c>
      <c r="U1174" t="s">
        <v>5401</v>
      </c>
      <c r="V1174">
        <v>0</v>
      </c>
      <c r="W1174" t="s">
        <v>2671</v>
      </c>
      <c r="X1174">
        <v>1</v>
      </c>
      <c r="Y1174" t="s">
        <v>2695</v>
      </c>
      <c r="AA1174">
        <v>414165418502</v>
      </c>
      <c r="AB1174" t="s">
        <v>1569</v>
      </c>
      <c r="AC1174">
        <v>0</v>
      </c>
      <c r="AD1174">
        <v>52</v>
      </c>
      <c r="AE1174">
        <v>41416541850252</v>
      </c>
      <c r="AF1174" t="s">
        <v>5380</v>
      </c>
      <c r="AG1174">
        <v>1</v>
      </c>
      <c r="AH1174">
        <v>0</v>
      </c>
    </row>
    <row r="1175" spans="1:34">
      <c r="A1175">
        <v>2026</v>
      </c>
      <c r="B1175" s="1">
        <v>46082</v>
      </c>
      <c r="C1175" t="s">
        <v>2657</v>
      </c>
      <c r="D1175" t="s">
        <v>5402</v>
      </c>
      <c r="E1175" s="43">
        <v>46084.909686666666</v>
      </c>
      <c r="F1175" s="1">
        <v>46084</v>
      </c>
      <c r="G1175" s="43">
        <v>46090.831512534722</v>
      </c>
      <c r="H1175" t="s">
        <v>2668</v>
      </c>
      <c r="I1175" t="s">
        <v>2669</v>
      </c>
      <c r="J1175" t="s">
        <v>37</v>
      </c>
      <c r="L1175" t="s">
        <v>2351</v>
      </c>
      <c r="M1175">
        <v>408932491102</v>
      </c>
      <c r="N1175" t="s">
        <v>2661</v>
      </c>
      <c r="O1175" s="1">
        <v>46020</v>
      </c>
      <c r="T1175" t="s">
        <v>2662</v>
      </c>
      <c r="U1175" t="s">
        <v>5403</v>
      </c>
      <c r="V1175">
        <v>4</v>
      </c>
      <c r="W1175" t="s">
        <v>2664</v>
      </c>
      <c r="X1175">
        <v>1</v>
      </c>
      <c r="Y1175" t="s">
        <v>2757</v>
      </c>
      <c r="AA1175">
        <v>408932491102</v>
      </c>
      <c r="AB1175" t="s">
        <v>2600</v>
      </c>
      <c r="AC1175">
        <v>1</v>
      </c>
      <c r="AD1175">
        <v>10</v>
      </c>
      <c r="AE1175">
        <v>40893249110210</v>
      </c>
      <c r="AF1175" t="s">
        <v>5404</v>
      </c>
      <c r="AG1175">
        <v>1</v>
      </c>
      <c r="AH1175">
        <v>1</v>
      </c>
    </row>
    <row r="1176" spans="1:34">
      <c r="A1176">
        <v>2026</v>
      </c>
      <c r="B1176" s="1">
        <v>46023</v>
      </c>
      <c r="C1176" t="s">
        <v>2657</v>
      </c>
      <c r="D1176" t="s">
        <v>5405</v>
      </c>
      <c r="E1176" s="43">
        <v>46031.503819664351</v>
      </c>
      <c r="F1176" s="1">
        <v>46031</v>
      </c>
      <c r="G1176" s="43">
        <v>46052.512669212963</v>
      </c>
      <c r="H1176" t="s">
        <v>2701</v>
      </c>
      <c r="I1176" t="s">
        <v>2681</v>
      </c>
      <c r="J1176" t="s">
        <v>39</v>
      </c>
      <c r="L1176" t="s">
        <v>2336</v>
      </c>
      <c r="M1176">
        <v>92771955402</v>
      </c>
      <c r="N1176" t="s">
        <v>2746</v>
      </c>
      <c r="O1176" s="1">
        <v>45661</v>
      </c>
      <c r="T1176" t="s">
        <v>2662</v>
      </c>
      <c r="U1176" t="s">
        <v>5406</v>
      </c>
      <c r="V1176">
        <v>15</v>
      </c>
      <c r="W1176" t="s">
        <v>2671</v>
      </c>
      <c r="X1176">
        <v>1</v>
      </c>
      <c r="Y1176" t="s">
        <v>2692</v>
      </c>
      <c r="AA1176">
        <v>92771955402</v>
      </c>
      <c r="AB1176" t="s">
        <v>645</v>
      </c>
      <c r="AC1176">
        <v>0</v>
      </c>
      <c r="AD1176">
        <v>2</v>
      </c>
      <c r="AE1176">
        <v>927719554022</v>
      </c>
      <c r="AF1176" t="s">
        <v>5407</v>
      </c>
      <c r="AG1176">
        <v>1</v>
      </c>
      <c r="AH1176">
        <v>1</v>
      </c>
    </row>
    <row r="1177" spans="1:34">
      <c r="A1177">
        <v>2026</v>
      </c>
      <c r="B1177" s="1">
        <v>46023</v>
      </c>
      <c r="C1177" t="s">
        <v>2657</v>
      </c>
      <c r="D1177" t="s">
        <v>5408</v>
      </c>
      <c r="E1177" s="43">
        <v>46041.636559930557</v>
      </c>
      <c r="F1177" s="1">
        <v>46041</v>
      </c>
      <c r="G1177" s="43">
        <v>46043.806301168981</v>
      </c>
      <c r="H1177" t="s">
        <v>2701</v>
      </c>
      <c r="I1177" t="s">
        <v>2719</v>
      </c>
      <c r="J1177" t="s">
        <v>39</v>
      </c>
      <c r="L1177" t="s">
        <v>2336</v>
      </c>
      <c r="M1177">
        <v>902277407302</v>
      </c>
      <c r="N1177" t="s">
        <v>2746</v>
      </c>
      <c r="O1177" s="1">
        <v>45661</v>
      </c>
      <c r="T1177" t="s">
        <v>2662</v>
      </c>
      <c r="U1177" t="s">
        <v>5409</v>
      </c>
      <c r="V1177">
        <v>2</v>
      </c>
      <c r="W1177" t="s">
        <v>2671</v>
      </c>
      <c r="X1177">
        <v>1</v>
      </c>
      <c r="Y1177" t="s">
        <v>2764</v>
      </c>
      <c r="Z1177" t="s">
        <v>2834</v>
      </c>
      <c r="AA1177">
        <v>92771955402</v>
      </c>
      <c r="AB1177" t="s">
        <v>645</v>
      </c>
      <c r="AC1177">
        <v>0</v>
      </c>
      <c r="AD1177">
        <v>4</v>
      </c>
      <c r="AE1177">
        <v>927719554024</v>
      </c>
      <c r="AF1177" t="s">
        <v>5407</v>
      </c>
      <c r="AG1177">
        <v>1</v>
      </c>
      <c r="AH1177">
        <v>0</v>
      </c>
    </row>
    <row r="1178" spans="1:34">
      <c r="A1178">
        <v>2026</v>
      </c>
      <c r="B1178" s="1">
        <v>46023</v>
      </c>
      <c r="C1178" t="s">
        <v>2657</v>
      </c>
      <c r="D1178" t="s">
        <v>5410</v>
      </c>
      <c r="E1178" s="43">
        <v>46051.571467442132</v>
      </c>
      <c r="F1178" s="1">
        <v>46051</v>
      </c>
      <c r="G1178" s="43">
        <v>46083.645876168979</v>
      </c>
      <c r="H1178" t="s">
        <v>2701</v>
      </c>
      <c r="I1178" t="s">
        <v>2697</v>
      </c>
      <c r="J1178" t="s">
        <v>39</v>
      </c>
      <c r="L1178" t="s">
        <v>2336</v>
      </c>
      <c r="M1178">
        <v>92771955402</v>
      </c>
      <c r="N1178" t="s">
        <v>2746</v>
      </c>
      <c r="O1178" s="1">
        <v>45661</v>
      </c>
      <c r="T1178" t="s">
        <v>2662</v>
      </c>
      <c r="U1178" t="s">
        <v>5411</v>
      </c>
      <c r="V1178">
        <v>22</v>
      </c>
      <c r="W1178" t="s">
        <v>2671</v>
      </c>
      <c r="X1178">
        <v>1</v>
      </c>
      <c r="Y1178" t="s">
        <v>2683</v>
      </c>
      <c r="AA1178">
        <v>92771955402</v>
      </c>
      <c r="AB1178" t="s">
        <v>645</v>
      </c>
      <c r="AC1178">
        <v>0</v>
      </c>
      <c r="AD1178">
        <v>5</v>
      </c>
      <c r="AE1178">
        <v>927719554025</v>
      </c>
      <c r="AF1178" t="s">
        <v>5407</v>
      </c>
      <c r="AG1178">
        <v>1</v>
      </c>
      <c r="AH1178">
        <v>0</v>
      </c>
    </row>
    <row r="1179" spans="1:34">
      <c r="A1179">
        <v>2025</v>
      </c>
      <c r="B1179" s="1">
        <v>45992</v>
      </c>
      <c r="C1179" t="s">
        <v>2657</v>
      </c>
      <c r="D1179" t="s">
        <v>5412</v>
      </c>
      <c r="E1179" s="43">
        <v>45999.735372060182</v>
      </c>
      <c r="F1179" s="1">
        <v>45999</v>
      </c>
      <c r="G1179" s="43">
        <v>46007.708957175928</v>
      </c>
      <c r="H1179" t="s">
        <v>2686</v>
      </c>
      <c r="I1179" t="s">
        <v>2681</v>
      </c>
      <c r="J1179" t="s">
        <v>100</v>
      </c>
      <c r="L1179" t="s">
        <v>2361</v>
      </c>
      <c r="M1179">
        <v>47713862502</v>
      </c>
      <c r="N1179" t="s">
        <v>2746</v>
      </c>
      <c r="O1179" s="1">
        <v>45975</v>
      </c>
      <c r="T1179" t="s">
        <v>2662</v>
      </c>
      <c r="U1179" t="s">
        <v>5413</v>
      </c>
      <c r="V1179">
        <v>6</v>
      </c>
      <c r="X1179">
        <v>1</v>
      </c>
      <c r="Y1179" t="s">
        <v>2721</v>
      </c>
      <c r="Z1179" t="s">
        <v>2684</v>
      </c>
      <c r="AA1179">
        <v>245677411802</v>
      </c>
      <c r="AB1179" t="s">
        <v>2447</v>
      </c>
      <c r="AC1179">
        <v>0</v>
      </c>
      <c r="AD1179">
        <v>50</v>
      </c>
      <c r="AE1179">
        <v>24567741180250</v>
      </c>
      <c r="AF1179" t="s">
        <v>5414</v>
      </c>
      <c r="AG1179">
        <v>1</v>
      </c>
      <c r="AH1179">
        <v>1</v>
      </c>
    </row>
    <row r="1180" spans="1:34">
      <c r="A1180">
        <v>2026</v>
      </c>
      <c r="B1180" s="1">
        <v>46023</v>
      </c>
      <c r="C1180" t="s">
        <v>2657</v>
      </c>
      <c r="D1180" t="s">
        <v>5415</v>
      </c>
      <c r="E1180" s="43">
        <v>46038.671211238427</v>
      </c>
      <c r="F1180" s="1">
        <v>46038</v>
      </c>
      <c r="G1180" s="43">
        <v>46038.671211238427</v>
      </c>
      <c r="H1180" t="s">
        <v>2701</v>
      </c>
      <c r="I1180" t="s">
        <v>2719</v>
      </c>
      <c r="J1180" t="s">
        <v>38</v>
      </c>
      <c r="L1180" t="s">
        <v>2379</v>
      </c>
      <c r="M1180">
        <v>365217284302</v>
      </c>
      <c r="N1180" t="s">
        <v>2675</v>
      </c>
      <c r="O1180" s="1">
        <v>45680</v>
      </c>
      <c r="T1180" t="s">
        <v>2662</v>
      </c>
      <c r="U1180" t="s">
        <v>5416</v>
      </c>
      <c r="V1180">
        <v>0</v>
      </c>
      <c r="W1180" t="s">
        <v>2664</v>
      </c>
      <c r="X1180">
        <v>1</v>
      </c>
      <c r="Y1180" t="s">
        <v>2717</v>
      </c>
      <c r="AA1180">
        <v>130065728702</v>
      </c>
      <c r="AB1180" t="s">
        <v>1303</v>
      </c>
      <c r="AC1180">
        <v>0</v>
      </c>
      <c r="AD1180">
        <v>3</v>
      </c>
      <c r="AE1180">
        <v>1300657287023</v>
      </c>
      <c r="AF1180" t="s">
        <v>5417</v>
      </c>
      <c r="AG1180">
        <v>1</v>
      </c>
      <c r="AH1180">
        <v>1</v>
      </c>
    </row>
    <row r="1181" spans="1:34">
      <c r="A1181">
        <v>2025</v>
      </c>
      <c r="B1181" s="1">
        <v>45931</v>
      </c>
      <c r="C1181" t="s">
        <v>2657</v>
      </c>
      <c r="D1181" t="s">
        <v>5418</v>
      </c>
      <c r="E1181" s="43">
        <v>45952.625712280096</v>
      </c>
      <c r="F1181" s="1">
        <v>45952</v>
      </c>
      <c r="G1181" s="43">
        <v>45967.812093078704</v>
      </c>
      <c r="H1181" t="s">
        <v>2659</v>
      </c>
      <c r="I1181" t="s">
        <v>2660</v>
      </c>
      <c r="J1181" t="s">
        <v>37</v>
      </c>
      <c r="L1181" t="s">
        <v>2393</v>
      </c>
      <c r="M1181">
        <v>642643854302</v>
      </c>
      <c r="N1181" t="s">
        <v>2702</v>
      </c>
      <c r="O1181" s="1">
        <v>45084</v>
      </c>
      <c r="T1181" t="s">
        <v>2662</v>
      </c>
      <c r="U1181" t="s">
        <v>5419</v>
      </c>
      <c r="V1181">
        <v>11</v>
      </c>
      <c r="W1181" t="s">
        <v>2985</v>
      </c>
      <c r="X1181">
        <v>1</v>
      </c>
      <c r="Y1181" t="s">
        <v>2985</v>
      </c>
      <c r="AA1181">
        <v>642643854302</v>
      </c>
      <c r="AB1181" t="s">
        <v>1455</v>
      </c>
      <c r="AC1181">
        <v>0</v>
      </c>
      <c r="AD1181">
        <v>43</v>
      </c>
      <c r="AE1181">
        <v>64264385430243</v>
      </c>
      <c r="AF1181" t="s">
        <v>5420</v>
      </c>
      <c r="AG1181">
        <v>1</v>
      </c>
      <c r="AH1181">
        <v>1</v>
      </c>
    </row>
    <row r="1182" spans="1:34">
      <c r="A1182">
        <v>2025</v>
      </c>
      <c r="B1182" s="1">
        <v>45931</v>
      </c>
      <c r="C1182" t="s">
        <v>2657</v>
      </c>
      <c r="D1182" s="44" t="s">
        <v>5421</v>
      </c>
      <c r="E1182" s="43">
        <v>45959.596491898148</v>
      </c>
      <c r="F1182" s="1">
        <v>45959</v>
      </c>
      <c r="G1182" s="43">
        <v>46043.73626164352</v>
      </c>
      <c r="H1182" t="s">
        <v>2659</v>
      </c>
      <c r="I1182" t="s">
        <v>2697</v>
      </c>
      <c r="J1182" t="s">
        <v>37</v>
      </c>
      <c r="L1182" t="s">
        <v>2393</v>
      </c>
      <c r="M1182">
        <v>1112678651302</v>
      </c>
      <c r="N1182" t="s">
        <v>2702</v>
      </c>
      <c r="O1182" s="1">
        <v>45947</v>
      </c>
      <c r="T1182" t="s">
        <v>2662</v>
      </c>
      <c r="U1182" t="s">
        <v>5422</v>
      </c>
      <c r="V1182">
        <v>60</v>
      </c>
      <c r="W1182" t="s">
        <v>2671</v>
      </c>
      <c r="X1182">
        <v>1</v>
      </c>
      <c r="Y1182" t="s">
        <v>2779</v>
      </c>
      <c r="AA1182">
        <v>642643854302</v>
      </c>
      <c r="AB1182" t="s">
        <v>1455</v>
      </c>
      <c r="AC1182">
        <v>0</v>
      </c>
      <c r="AD1182">
        <v>44</v>
      </c>
      <c r="AE1182">
        <v>64264385430244</v>
      </c>
      <c r="AF1182" t="s">
        <v>5420</v>
      </c>
      <c r="AG1182">
        <v>1</v>
      </c>
      <c r="AH1182">
        <v>0</v>
      </c>
    </row>
    <row r="1183" spans="1:34">
      <c r="A1183">
        <v>2025</v>
      </c>
      <c r="B1183" s="1">
        <v>45901</v>
      </c>
      <c r="C1183" t="s">
        <v>2657</v>
      </c>
      <c r="D1183" t="s">
        <v>5423</v>
      </c>
      <c r="E1183" s="43">
        <v>45902.748474664353</v>
      </c>
      <c r="F1183" s="1">
        <v>45902</v>
      </c>
      <c r="G1183" s="43">
        <v>45911.532340497688</v>
      </c>
      <c r="H1183" t="s">
        <v>2734</v>
      </c>
      <c r="I1183" t="s">
        <v>2669</v>
      </c>
      <c r="J1183" t="s">
        <v>38</v>
      </c>
      <c r="L1183" t="s">
        <v>2352</v>
      </c>
      <c r="M1183">
        <v>117086860802</v>
      </c>
      <c r="N1183" t="s">
        <v>2702</v>
      </c>
      <c r="O1183" s="1">
        <v>45294</v>
      </c>
      <c r="T1183" t="s">
        <v>2662</v>
      </c>
      <c r="U1183" t="s">
        <v>5424</v>
      </c>
      <c r="V1183">
        <v>7</v>
      </c>
      <c r="W1183" t="s">
        <v>2677</v>
      </c>
      <c r="X1183">
        <v>1</v>
      </c>
      <c r="Y1183" t="s">
        <v>2772</v>
      </c>
      <c r="Z1183" t="s">
        <v>2684</v>
      </c>
      <c r="AA1183">
        <v>117086860802</v>
      </c>
      <c r="AB1183" t="s">
        <v>876</v>
      </c>
      <c r="AC1183">
        <v>0</v>
      </c>
      <c r="AD1183">
        <v>36</v>
      </c>
      <c r="AE1183">
        <v>11708686080236</v>
      </c>
      <c r="AF1183" t="s">
        <v>5425</v>
      </c>
      <c r="AG1183">
        <v>1</v>
      </c>
      <c r="AH1183">
        <v>1</v>
      </c>
    </row>
    <row r="1184" spans="1:34">
      <c r="A1184">
        <v>2025</v>
      </c>
      <c r="B1184" s="1">
        <v>45901</v>
      </c>
      <c r="C1184" t="s">
        <v>2657</v>
      </c>
      <c r="D1184" t="s">
        <v>5426</v>
      </c>
      <c r="E1184" s="43">
        <v>45929.792929201387</v>
      </c>
      <c r="F1184" s="1">
        <v>45929</v>
      </c>
      <c r="G1184" s="43">
        <v>45930.692160115737</v>
      </c>
      <c r="H1184" t="s">
        <v>2734</v>
      </c>
      <c r="I1184" t="s">
        <v>2697</v>
      </c>
      <c r="J1184" t="s">
        <v>38</v>
      </c>
      <c r="L1184" t="s">
        <v>2352</v>
      </c>
      <c r="M1184">
        <v>117086860802</v>
      </c>
      <c r="N1184" t="s">
        <v>2702</v>
      </c>
      <c r="O1184" s="1">
        <v>45294</v>
      </c>
      <c r="T1184" t="s">
        <v>2662</v>
      </c>
      <c r="U1184" t="s">
        <v>5427</v>
      </c>
      <c r="V1184">
        <v>1</v>
      </c>
      <c r="W1184" t="s">
        <v>2671</v>
      </c>
      <c r="X1184">
        <v>1</v>
      </c>
      <c r="Y1184" t="s">
        <v>2727</v>
      </c>
      <c r="AA1184">
        <v>117086860802</v>
      </c>
      <c r="AB1184" t="s">
        <v>876</v>
      </c>
      <c r="AC1184">
        <v>0</v>
      </c>
      <c r="AD1184">
        <v>40</v>
      </c>
      <c r="AE1184">
        <v>11708686080240</v>
      </c>
      <c r="AF1184" t="s">
        <v>5425</v>
      </c>
      <c r="AG1184">
        <v>0</v>
      </c>
      <c r="AH1184">
        <v>0</v>
      </c>
    </row>
    <row r="1185" spans="1:34">
      <c r="A1185">
        <v>2025</v>
      </c>
      <c r="B1185" s="1">
        <v>45901</v>
      </c>
      <c r="C1185" t="s">
        <v>2657</v>
      </c>
      <c r="D1185" t="s">
        <v>5428</v>
      </c>
      <c r="E1185" s="43">
        <v>45929.740625555554</v>
      </c>
      <c r="F1185" s="1">
        <v>45929</v>
      </c>
      <c r="G1185" s="43">
        <v>45937.817483194442</v>
      </c>
      <c r="H1185" t="s">
        <v>2734</v>
      </c>
      <c r="I1185" t="s">
        <v>2697</v>
      </c>
      <c r="J1185" t="s">
        <v>38</v>
      </c>
      <c r="L1185" t="s">
        <v>2352</v>
      </c>
      <c r="M1185">
        <v>117086860802</v>
      </c>
      <c r="N1185" t="s">
        <v>2702</v>
      </c>
      <c r="O1185" s="1">
        <v>45294</v>
      </c>
      <c r="T1185" t="s">
        <v>2662</v>
      </c>
      <c r="U1185" t="s">
        <v>5429</v>
      </c>
      <c r="V1185">
        <v>6</v>
      </c>
      <c r="W1185" t="s">
        <v>2671</v>
      </c>
      <c r="X1185">
        <v>1</v>
      </c>
      <c r="Y1185" t="s">
        <v>3471</v>
      </c>
      <c r="AA1185">
        <v>117086860802</v>
      </c>
      <c r="AB1185" t="s">
        <v>876</v>
      </c>
      <c r="AC1185">
        <v>0</v>
      </c>
      <c r="AD1185">
        <v>40</v>
      </c>
      <c r="AE1185">
        <v>11708686080240</v>
      </c>
      <c r="AF1185" t="s">
        <v>5425</v>
      </c>
      <c r="AG1185">
        <v>1</v>
      </c>
      <c r="AH1185">
        <v>0</v>
      </c>
    </row>
    <row r="1186" spans="1:34">
      <c r="A1186">
        <v>2026</v>
      </c>
      <c r="B1186" s="1">
        <v>46023</v>
      </c>
      <c r="C1186" t="s">
        <v>2657</v>
      </c>
      <c r="D1186" s="44" t="s">
        <v>5430</v>
      </c>
      <c r="E1186" s="43">
        <v>46029.536000798609</v>
      </c>
      <c r="F1186" s="1">
        <v>46029</v>
      </c>
      <c r="G1186" s="43">
        <v>46035.815668159725</v>
      </c>
      <c r="H1186" t="s">
        <v>2701</v>
      </c>
      <c r="I1186" t="s">
        <v>2669</v>
      </c>
      <c r="J1186" t="s">
        <v>100</v>
      </c>
      <c r="L1186" t="s">
        <v>2363</v>
      </c>
      <c r="M1186">
        <v>45030065502</v>
      </c>
      <c r="N1186" t="s">
        <v>2702</v>
      </c>
      <c r="O1186" s="1">
        <v>45669</v>
      </c>
      <c r="T1186" t="s">
        <v>2662</v>
      </c>
      <c r="U1186" t="s">
        <v>5431</v>
      </c>
      <c r="V1186">
        <v>4</v>
      </c>
      <c r="X1186">
        <v>1</v>
      </c>
      <c r="Y1186" t="s">
        <v>2931</v>
      </c>
      <c r="AA1186">
        <v>45030065502</v>
      </c>
      <c r="AB1186" t="s">
        <v>2284</v>
      </c>
      <c r="AC1186">
        <v>0</v>
      </c>
      <c r="AD1186">
        <v>2</v>
      </c>
      <c r="AE1186">
        <v>450300655022</v>
      </c>
      <c r="AF1186" t="s">
        <v>5432</v>
      </c>
      <c r="AG1186">
        <v>1</v>
      </c>
      <c r="AH1186">
        <v>1</v>
      </c>
    </row>
    <row r="1187" spans="1:34">
      <c r="A1187">
        <v>2026</v>
      </c>
      <c r="B1187" s="1">
        <v>46023</v>
      </c>
      <c r="C1187" t="s">
        <v>2657</v>
      </c>
      <c r="D1187" t="s">
        <v>5433</v>
      </c>
      <c r="E1187" s="43">
        <v>46030.652991481482</v>
      </c>
      <c r="F1187" s="1">
        <v>46030</v>
      </c>
      <c r="G1187" s="43">
        <v>46055.608548784723</v>
      </c>
      <c r="H1187" t="s">
        <v>2701</v>
      </c>
      <c r="I1187" t="s">
        <v>2681</v>
      </c>
      <c r="J1187" t="s">
        <v>100</v>
      </c>
      <c r="L1187" t="s">
        <v>2363</v>
      </c>
      <c r="M1187">
        <v>45030065502</v>
      </c>
      <c r="N1187" t="s">
        <v>2702</v>
      </c>
      <c r="O1187" s="1">
        <v>45669</v>
      </c>
      <c r="T1187" t="s">
        <v>2662</v>
      </c>
      <c r="U1187" t="s">
        <v>5434</v>
      </c>
      <c r="V1187">
        <v>17</v>
      </c>
      <c r="X1187">
        <v>1</v>
      </c>
      <c r="Y1187" t="s">
        <v>2688</v>
      </c>
      <c r="AA1187">
        <v>45030065502</v>
      </c>
      <c r="AB1187" t="s">
        <v>2284</v>
      </c>
      <c r="AC1187">
        <v>0</v>
      </c>
      <c r="AD1187">
        <v>2</v>
      </c>
      <c r="AE1187">
        <v>450300655022</v>
      </c>
      <c r="AF1187" t="s">
        <v>5432</v>
      </c>
      <c r="AG1187">
        <v>0</v>
      </c>
      <c r="AH1187">
        <v>0</v>
      </c>
    </row>
    <row r="1188" spans="1:34">
      <c r="A1188">
        <v>2026</v>
      </c>
      <c r="B1188" s="1">
        <v>46023</v>
      </c>
      <c r="C1188" t="s">
        <v>2657</v>
      </c>
      <c r="D1188" t="s">
        <v>5435</v>
      </c>
      <c r="E1188" s="43">
        <v>46044.826824687501</v>
      </c>
      <c r="F1188" s="1">
        <v>46044</v>
      </c>
      <c r="G1188" s="43">
        <v>46049.805882974535</v>
      </c>
      <c r="H1188" t="s">
        <v>2701</v>
      </c>
      <c r="I1188" t="s">
        <v>2660</v>
      </c>
      <c r="J1188" t="s">
        <v>100</v>
      </c>
      <c r="L1188" t="s">
        <v>2363</v>
      </c>
      <c r="M1188">
        <v>45030065502</v>
      </c>
      <c r="N1188" t="s">
        <v>2702</v>
      </c>
      <c r="O1188" s="1">
        <v>45669</v>
      </c>
      <c r="T1188" t="s">
        <v>2662</v>
      </c>
      <c r="U1188" t="s">
        <v>5436</v>
      </c>
      <c r="V1188">
        <v>3</v>
      </c>
      <c r="X1188">
        <v>1</v>
      </c>
      <c r="Y1188" t="s">
        <v>2688</v>
      </c>
      <c r="AA1188">
        <v>45030065502</v>
      </c>
      <c r="AB1188" t="s">
        <v>2284</v>
      </c>
      <c r="AC1188">
        <v>0</v>
      </c>
      <c r="AD1188">
        <v>4</v>
      </c>
      <c r="AE1188">
        <v>450300655024</v>
      </c>
      <c r="AF1188" t="s">
        <v>5432</v>
      </c>
      <c r="AG1188">
        <v>1</v>
      </c>
      <c r="AH1188">
        <v>0</v>
      </c>
    </row>
    <row r="1189" spans="1:34">
      <c r="A1189">
        <v>2025</v>
      </c>
      <c r="B1189" s="1">
        <v>45962</v>
      </c>
      <c r="C1189" t="s">
        <v>2657</v>
      </c>
      <c r="D1189" t="s">
        <v>5437</v>
      </c>
      <c r="E1189" s="43">
        <v>45966.543946458332</v>
      </c>
      <c r="F1189" s="1">
        <v>45966</v>
      </c>
      <c r="G1189" s="43">
        <v>45966.543946458332</v>
      </c>
      <c r="H1189" t="s">
        <v>2802</v>
      </c>
      <c r="I1189" t="s">
        <v>2669</v>
      </c>
      <c r="J1189" t="s">
        <v>2735</v>
      </c>
      <c r="L1189" t="s">
        <v>2336</v>
      </c>
      <c r="M1189">
        <v>161445746002</v>
      </c>
      <c r="N1189" t="s">
        <v>2746</v>
      </c>
      <c r="O1189" s="1">
        <v>45673</v>
      </c>
      <c r="T1189" t="s">
        <v>2662</v>
      </c>
      <c r="U1189" t="s">
        <v>5438</v>
      </c>
      <c r="V1189">
        <v>0</v>
      </c>
      <c r="W1189" t="s">
        <v>2671</v>
      </c>
      <c r="X1189">
        <v>1</v>
      </c>
      <c r="Y1189" t="s">
        <v>2683</v>
      </c>
      <c r="AA1189">
        <v>11103651302</v>
      </c>
      <c r="AB1189" t="s">
        <v>1482</v>
      </c>
      <c r="AC1189">
        <v>0</v>
      </c>
      <c r="AD1189">
        <v>45</v>
      </c>
      <c r="AE1189">
        <v>1110365130245</v>
      </c>
      <c r="AF1189" t="s">
        <v>5439</v>
      </c>
      <c r="AG1189">
        <v>1</v>
      </c>
      <c r="AH1189">
        <v>1</v>
      </c>
    </row>
    <row r="1190" spans="1:34">
      <c r="A1190">
        <v>2025</v>
      </c>
      <c r="B1190" s="1">
        <v>45962</v>
      </c>
      <c r="C1190" t="s">
        <v>2657</v>
      </c>
      <c r="D1190" t="s">
        <v>5440</v>
      </c>
      <c r="E1190" s="43">
        <v>45968.635291076389</v>
      </c>
      <c r="F1190" s="1">
        <v>45968</v>
      </c>
      <c r="G1190" s="43">
        <v>45968.635291076389</v>
      </c>
      <c r="H1190" t="s">
        <v>2802</v>
      </c>
      <c r="I1190" t="s">
        <v>2669</v>
      </c>
      <c r="J1190" t="s">
        <v>2735</v>
      </c>
      <c r="L1190" t="s">
        <v>2336</v>
      </c>
      <c r="M1190">
        <v>161445746002</v>
      </c>
      <c r="N1190" t="s">
        <v>2746</v>
      </c>
      <c r="O1190" s="1">
        <v>45673</v>
      </c>
      <c r="T1190" t="s">
        <v>2662</v>
      </c>
      <c r="U1190" t="s">
        <v>5441</v>
      </c>
      <c r="V1190">
        <v>0</v>
      </c>
      <c r="W1190" t="s">
        <v>2677</v>
      </c>
      <c r="X1190">
        <v>1</v>
      </c>
      <c r="Y1190" t="s">
        <v>2695</v>
      </c>
      <c r="AA1190">
        <v>11103651302</v>
      </c>
      <c r="AB1190" t="s">
        <v>1482</v>
      </c>
      <c r="AC1190">
        <v>0</v>
      </c>
      <c r="AD1190">
        <v>45</v>
      </c>
      <c r="AE1190">
        <v>1110365130245</v>
      </c>
      <c r="AF1190" t="s">
        <v>5439</v>
      </c>
      <c r="AG1190">
        <v>0</v>
      </c>
      <c r="AH1190">
        <v>0</v>
      </c>
    </row>
    <row r="1191" spans="1:34">
      <c r="A1191">
        <v>2025</v>
      </c>
      <c r="B1191" s="1">
        <v>45962</v>
      </c>
      <c r="C1191" t="s">
        <v>2657</v>
      </c>
      <c r="D1191" s="44" t="s">
        <v>5442</v>
      </c>
      <c r="E1191" s="43">
        <v>45966.55163652778</v>
      </c>
      <c r="F1191" s="1">
        <v>45966</v>
      </c>
      <c r="G1191" s="43">
        <v>45968.814349791668</v>
      </c>
      <c r="H1191" t="s">
        <v>2802</v>
      </c>
      <c r="I1191" t="s">
        <v>2669</v>
      </c>
      <c r="J1191" t="s">
        <v>2735</v>
      </c>
      <c r="L1191" t="s">
        <v>2336</v>
      </c>
      <c r="M1191">
        <v>161445746002</v>
      </c>
      <c r="N1191" t="s">
        <v>2746</v>
      </c>
      <c r="O1191" s="1">
        <v>45673</v>
      </c>
      <c r="T1191" t="s">
        <v>2662</v>
      </c>
      <c r="U1191" t="s">
        <v>5443</v>
      </c>
      <c r="V1191">
        <v>2</v>
      </c>
      <c r="W1191" t="s">
        <v>2677</v>
      </c>
      <c r="X1191">
        <v>1</v>
      </c>
      <c r="Y1191" t="s">
        <v>2807</v>
      </c>
      <c r="AA1191">
        <v>11103651302</v>
      </c>
      <c r="AB1191" t="s">
        <v>1482</v>
      </c>
      <c r="AC1191">
        <v>0</v>
      </c>
      <c r="AD1191">
        <v>45</v>
      </c>
      <c r="AE1191">
        <v>1110365130245</v>
      </c>
      <c r="AF1191" t="s">
        <v>5439</v>
      </c>
      <c r="AG1191">
        <v>0</v>
      </c>
      <c r="AH1191">
        <v>0</v>
      </c>
    </row>
    <row r="1192" spans="1:34">
      <c r="A1192">
        <v>2025</v>
      </c>
      <c r="B1192" s="1">
        <v>45962</v>
      </c>
      <c r="C1192" t="s">
        <v>2657</v>
      </c>
      <c r="D1192" t="s">
        <v>5444</v>
      </c>
      <c r="E1192" s="43">
        <v>45966.80793949074</v>
      </c>
      <c r="F1192" s="1">
        <v>45966</v>
      </c>
      <c r="G1192" s="43">
        <v>45966.80793949074</v>
      </c>
      <c r="H1192" t="s">
        <v>2802</v>
      </c>
      <c r="I1192" t="s">
        <v>2669</v>
      </c>
      <c r="J1192" t="s">
        <v>2735</v>
      </c>
      <c r="L1192" t="s">
        <v>2336</v>
      </c>
      <c r="M1192">
        <v>161445746002</v>
      </c>
      <c r="N1192" t="s">
        <v>2746</v>
      </c>
      <c r="O1192" s="1">
        <v>45673</v>
      </c>
      <c r="T1192" t="s">
        <v>2662</v>
      </c>
      <c r="U1192" t="s">
        <v>5445</v>
      </c>
      <c r="V1192">
        <v>0</v>
      </c>
      <c r="W1192" t="s">
        <v>2671</v>
      </c>
      <c r="X1192">
        <v>1</v>
      </c>
      <c r="Y1192" t="s">
        <v>2695</v>
      </c>
      <c r="AA1192">
        <v>11103651302</v>
      </c>
      <c r="AB1192" t="s">
        <v>1482</v>
      </c>
      <c r="AC1192">
        <v>0</v>
      </c>
      <c r="AD1192">
        <v>45</v>
      </c>
      <c r="AE1192">
        <v>1110365130245</v>
      </c>
      <c r="AF1192" t="s">
        <v>5439</v>
      </c>
      <c r="AG1192">
        <v>0</v>
      </c>
      <c r="AH1192">
        <v>0</v>
      </c>
    </row>
    <row r="1193" spans="1:34">
      <c r="A1193">
        <v>2025</v>
      </c>
      <c r="B1193" s="1">
        <v>45962</v>
      </c>
      <c r="C1193" t="s">
        <v>2657</v>
      </c>
      <c r="D1193" t="s">
        <v>5446</v>
      </c>
      <c r="E1193" s="43">
        <v>45972.788417731485</v>
      </c>
      <c r="F1193" s="1">
        <v>45972</v>
      </c>
      <c r="G1193" s="43">
        <v>45972.788417731485</v>
      </c>
      <c r="H1193" t="s">
        <v>2802</v>
      </c>
      <c r="I1193" t="s">
        <v>2681</v>
      </c>
      <c r="J1193" t="s">
        <v>2735</v>
      </c>
      <c r="L1193" t="s">
        <v>2336</v>
      </c>
      <c r="M1193">
        <v>161445746002</v>
      </c>
      <c r="N1193" t="s">
        <v>2746</v>
      </c>
      <c r="O1193" s="1">
        <v>45673</v>
      </c>
      <c r="T1193" t="s">
        <v>2662</v>
      </c>
      <c r="U1193" t="s">
        <v>5447</v>
      </c>
      <c r="V1193">
        <v>0</v>
      </c>
      <c r="W1193" t="s">
        <v>2671</v>
      </c>
      <c r="X1193">
        <v>1</v>
      </c>
      <c r="Y1193" t="s">
        <v>2695</v>
      </c>
      <c r="AA1193">
        <v>11103651302</v>
      </c>
      <c r="AB1193" t="s">
        <v>1482</v>
      </c>
      <c r="AC1193">
        <v>0</v>
      </c>
      <c r="AD1193">
        <v>46</v>
      </c>
      <c r="AE1193">
        <v>1110365130246</v>
      </c>
      <c r="AF1193" t="s">
        <v>5439</v>
      </c>
      <c r="AG1193">
        <v>1</v>
      </c>
      <c r="AH1193">
        <v>0</v>
      </c>
    </row>
    <row r="1194" spans="1:34">
      <c r="A1194">
        <v>2025</v>
      </c>
      <c r="B1194" s="1">
        <v>45962</v>
      </c>
      <c r="C1194" t="s">
        <v>2657</v>
      </c>
      <c r="D1194" t="s">
        <v>5448</v>
      </c>
      <c r="E1194" s="43">
        <v>45972.823779155093</v>
      </c>
      <c r="F1194" s="1">
        <v>45972</v>
      </c>
      <c r="G1194" s="43">
        <v>45974.828675462966</v>
      </c>
      <c r="H1194" t="s">
        <v>2802</v>
      </c>
      <c r="I1194" t="s">
        <v>2681</v>
      </c>
      <c r="J1194" t="s">
        <v>2735</v>
      </c>
      <c r="L1194" t="s">
        <v>2336</v>
      </c>
      <c r="M1194">
        <v>161445746002</v>
      </c>
      <c r="N1194" t="s">
        <v>2746</v>
      </c>
      <c r="O1194" s="1">
        <v>45673</v>
      </c>
      <c r="T1194" t="s">
        <v>2662</v>
      </c>
      <c r="U1194" t="s">
        <v>5449</v>
      </c>
      <c r="V1194">
        <v>2</v>
      </c>
      <c r="W1194" t="s">
        <v>2677</v>
      </c>
      <c r="X1194">
        <v>1</v>
      </c>
      <c r="Y1194" t="s">
        <v>2807</v>
      </c>
      <c r="AA1194">
        <v>11103651302</v>
      </c>
      <c r="AB1194" t="s">
        <v>1482</v>
      </c>
      <c r="AC1194">
        <v>0</v>
      </c>
      <c r="AD1194">
        <v>46</v>
      </c>
      <c r="AE1194">
        <v>1110365130246</v>
      </c>
      <c r="AF1194" t="s">
        <v>5439</v>
      </c>
      <c r="AG1194">
        <v>0</v>
      </c>
      <c r="AH1194">
        <v>0</v>
      </c>
    </row>
    <row r="1195" spans="1:34">
      <c r="A1195">
        <v>2025</v>
      </c>
      <c r="B1195" s="1">
        <v>45962</v>
      </c>
      <c r="C1195" t="s">
        <v>2657</v>
      </c>
      <c r="D1195" t="s">
        <v>5450</v>
      </c>
      <c r="E1195" s="43">
        <v>45975.703238888891</v>
      </c>
      <c r="F1195" s="1">
        <v>45975</v>
      </c>
      <c r="G1195" s="43">
        <v>45978.619044085652</v>
      </c>
      <c r="H1195" t="s">
        <v>2802</v>
      </c>
      <c r="I1195" t="s">
        <v>2681</v>
      </c>
      <c r="J1195" t="s">
        <v>2735</v>
      </c>
      <c r="L1195" t="s">
        <v>2336</v>
      </c>
      <c r="M1195">
        <v>161445746002</v>
      </c>
      <c r="N1195" t="s">
        <v>2746</v>
      </c>
      <c r="O1195" s="1">
        <v>45673</v>
      </c>
      <c r="T1195" t="s">
        <v>2662</v>
      </c>
      <c r="U1195" t="s">
        <v>5451</v>
      </c>
      <c r="V1195">
        <v>1</v>
      </c>
      <c r="W1195" t="s">
        <v>2671</v>
      </c>
      <c r="X1195">
        <v>1</v>
      </c>
      <c r="Y1195" t="s">
        <v>2692</v>
      </c>
      <c r="AA1195">
        <v>11103651302</v>
      </c>
      <c r="AB1195" t="s">
        <v>1482</v>
      </c>
      <c r="AC1195">
        <v>0</v>
      </c>
      <c r="AD1195">
        <v>46</v>
      </c>
      <c r="AE1195">
        <v>1110365130246</v>
      </c>
      <c r="AF1195" t="s">
        <v>5439</v>
      </c>
      <c r="AG1195">
        <v>0</v>
      </c>
      <c r="AH1195">
        <v>0</v>
      </c>
    </row>
    <row r="1196" spans="1:34">
      <c r="A1196">
        <v>2025</v>
      </c>
      <c r="B1196" s="1">
        <v>45962</v>
      </c>
      <c r="C1196" t="s">
        <v>2657</v>
      </c>
      <c r="D1196" t="s">
        <v>5452</v>
      </c>
      <c r="E1196" s="43">
        <v>45974.833153449072</v>
      </c>
      <c r="F1196" s="1">
        <v>45974</v>
      </c>
      <c r="G1196" s="43">
        <v>45979.58082959491</v>
      </c>
      <c r="H1196" t="s">
        <v>2802</v>
      </c>
      <c r="I1196" t="s">
        <v>2681</v>
      </c>
      <c r="J1196" t="s">
        <v>2735</v>
      </c>
      <c r="L1196" t="s">
        <v>2336</v>
      </c>
      <c r="M1196">
        <v>161445746002</v>
      </c>
      <c r="N1196" t="s">
        <v>2746</v>
      </c>
      <c r="O1196" s="1">
        <v>45673</v>
      </c>
      <c r="T1196" t="s">
        <v>2662</v>
      </c>
      <c r="U1196" t="s">
        <v>5453</v>
      </c>
      <c r="V1196">
        <v>3</v>
      </c>
      <c r="W1196" t="s">
        <v>2677</v>
      </c>
      <c r="X1196">
        <v>1</v>
      </c>
      <c r="Y1196" t="s">
        <v>2760</v>
      </c>
      <c r="AA1196">
        <v>11103651302</v>
      </c>
      <c r="AB1196" t="s">
        <v>1482</v>
      </c>
      <c r="AC1196">
        <v>0</v>
      </c>
      <c r="AD1196">
        <v>46</v>
      </c>
      <c r="AE1196">
        <v>1110365130246</v>
      </c>
      <c r="AF1196" t="s">
        <v>5439</v>
      </c>
      <c r="AG1196">
        <v>0</v>
      </c>
      <c r="AH1196">
        <v>0</v>
      </c>
    </row>
    <row r="1197" spans="1:34">
      <c r="A1197">
        <v>2025</v>
      </c>
      <c r="B1197" s="1">
        <v>45962</v>
      </c>
      <c r="C1197" t="s">
        <v>2657</v>
      </c>
      <c r="D1197" s="44" t="s">
        <v>5454</v>
      </c>
      <c r="E1197" s="43">
        <v>45972.78878609954</v>
      </c>
      <c r="F1197" s="1">
        <v>45972</v>
      </c>
      <c r="G1197" s="43">
        <v>45972.78878609954</v>
      </c>
      <c r="H1197" t="s">
        <v>2802</v>
      </c>
      <c r="I1197" t="s">
        <v>2681</v>
      </c>
      <c r="J1197" t="s">
        <v>2735</v>
      </c>
      <c r="L1197" t="s">
        <v>2336</v>
      </c>
      <c r="M1197">
        <v>161445746002</v>
      </c>
      <c r="N1197" t="s">
        <v>2746</v>
      </c>
      <c r="O1197" s="1">
        <v>45673</v>
      </c>
      <c r="T1197" t="s">
        <v>2662</v>
      </c>
      <c r="U1197" t="s">
        <v>5455</v>
      </c>
      <c r="V1197">
        <v>0</v>
      </c>
      <c r="W1197" t="s">
        <v>2677</v>
      </c>
      <c r="X1197">
        <v>1</v>
      </c>
      <c r="Y1197" t="s">
        <v>2695</v>
      </c>
      <c r="AA1197">
        <v>11103651302</v>
      </c>
      <c r="AB1197" t="s">
        <v>1482</v>
      </c>
      <c r="AC1197">
        <v>0</v>
      </c>
      <c r="AD1197">
        <v>46</v>
      </c>
      <c r="AE1197">
        <v>1110365130246</v>
      </c>
      <c r="AF1197" t="s">
        <v>5439</v>
      </c>
      <c r="AG1197">
        <v>0</v>
      </c>
      <c r="AH1197">
        <v>0</v>
      </c>
    </row>
    <row r="1198" spans="1:34">
      <c r="A1198">
        <v>2025</v>
      </c>
      <c r="B1198" s="1">
        <v>45962</v>
      </c>
      <c r="C1198" t="s">
        <v>2657</v>
      </c>
      <c r="D1198" t="s">
        <v>5456</v>
      </c>
      <c r="E1198" s="43">
        <v>45973.803554768521</v>
      </c>
      <c r="F1198" s="1">
        <v>45973</v>
      </c>
      <c r="G1198" s="43">
        <v>45973.803554768521</v>
      </c>
      <c r="H1198" t="s">
        <v>2802</v>
      </c>
      <c r="I1198" t="s">
        <v>2681</v>
      </c>
      <c r="J1198" t="s">
        <v>2735</v>
      </c>
      <c r="L1198" t="s">
        <v>2336</v>
      </c>
      <c r="M1198">
        <v>161445746002</v>
      </c>
      <c r="N1198" t="s">
        <v>2746</v>
      </c>
      <c r="O1198" s="1">
        <v>45673</v>
      </c>
      <c r="T1198" t="s">
        <v>2662</v>
      </c>
      <c r="U1198" t="s">
        <v>5457</v>
      </c>
      <c r="V1198">
        <v>0</v>
      </c>
      <c r="W1198" t="s">
        <v>2677</v>
      </c>
      <c r="X1198">
        <v>1</v>
      </c>
      <c r="Y1198" t="s">
        <v>2695</v>
      </c>
      <c r="AA1198">
        <v>11103651302</v>
      </c>
      <c r="AB1198" t="s">
        <v>1482</v>
      </c>
      <c r="AC1198">
        <v>0</v>
      </c>
      <c r="AD1198">
        <v>46</v>
      </c>
      <c r="AE1198">
        <v>1110365130246</v>
      </c>
      <c r="AF1198" t="s">
        <v>5439</v>
      </c>
      <c r="AG1198">
        <v>0</v>
      </c>
      <c r="AH1198">
        <v>0</v>
      </c>
    </row>
    <row r="1199" spans="1:34">
      <c r="A1199">
        <v>2025</v>
      </c>
      <c r="B1199" s="1">
        <v>45962</v>
      </c>
      <c r="C1199" t="s">
        <v>2657</v>
      </c>
      <c r="D1199" t="s">
        <v>5458</v>
      </c>
      <c r="E1199" s="43">
        <v>45973.523380370367</v>
      </c>
      <c r="F1199" s="1">
        <v>45973</v>
      </c>
      <c r="G1199" s="43">
        <v>45980.781155532408</v>
      </c>
      <c r="H1199" t="s">
        <v>2802</v>
      </c>
      <c r="I1199" t="s">
        <v>2681</v>
      </c>
      <c r="J1199" t="s">
        <v>2735</v>
      </c>
      <c r="L1199" t="s">
        <v>2336</v>
      </c>
      <c r="M1199">
        <v>161445746002</v>
      </c>
      <c r="N1199" t="s">
        <v>2746</v>
      </c>
      <c r="O1199" s="1">
        <v>45673</v>
      </c>
      <c r="T1199" t="s">
        <v>2662</v>
      </c>
      <c r="U1199" t="s">
        <v>5459</v>
      </c>
      <c r="V1199">
        <v>5</v>
      </c>
      <c r="W1199" t="s">
        <v>2677</v>
      </c>
      <c r="X1199">
        <v>1</v>
      </c>
      <c r="Y1199" t="s">
        <v>2760</v>
      </c>
      <c r="AA1199">
        <v>11103651302</v>
      </c>
      <c r="AB1199" t="s">
        <v>1482</v>
      </c>
      <c r="AC1199">
        <v>0</v>
      </c>
      <c r="AD1199">
        <v>46</v>
      </c>
      <c r="AE1199">
        <v>1110365130246</v>
      </c>
      <c r="AF1199" t="s">
        <v>5439</v>
      </c>
      <c r="AG1199">
        <v>0</v>
      </c>
      <c r="AH1199">
        <v>0</v>
      </c>
    </row>
    <row r="1200" spans="1:34">
      <c r="A1200">
        <v>2025</v>
      </c>
      <c r="B1200" s="1">
        <v>45962</v>
      </c>
      <c r="C1200" t="s">
        <v>2657</v>
      </c>
      <c r="D1200" t="s">
        <v>5460</v>
      </c>
      <c r="E1200" s="43">
        <v>45975.682938437501</v>
      </c>
      <c r="F1200" s="1">
        <v>45975</v>
      </c>
      <c r="G1200" s="43">
        <v>45978.857632326391</v>
      </c>
      <c r="H1200" t="s">
        <v>2802</v>
      </c>
      <c r="I1200" t="s">
        <v>2681</v>
      </c>
      <c r="J1200" t="s">
        <v>2735</v>
      </c>
      <c r="L1200" t="s">
        <v>2336</v>
      </c>
      <c r="M1200">
        <v>161445746002</v>
      </c>
      <c r="N1200" t="s">
        <v>2746</v>
      </c>
      <c r="O1200" s="1">
        <v>45673</v>
      </c>
      <c r="T1200" t="s">
        <v>2662</v>
      </c>
      <c r="U1200" t="s">
        <v>5461</v>
      </c>
      <c r="V1200">
        <v>1</v>
      </c>
      <c r="W1200" t="s">
        <v>2671</v>
      </c>
      <c r="X1200">
        <v>1</v>
      </c>
      <c r="Y1200" t="s">
        <v>2683</v>
      </c>
      <c r="AA1200">
        <v>11103651302</v>
      </c>
      <c r="AB1200" t="s">
        <v>1482</v>
      </c>
      <c r="AC1200">
        <v>0</v>
      </c>
      <c r="AD1200">
        <v>46</v>
      </c>
      <c r="AE1200">
        <v>1110365130246</v>
      </c>
      <c r="AF1200" t="s">
        <v>5439</v>
      </c>
      <c r="AG1200">
        <v>0</v>
      </c>
      <c r="AH1200">
        <v>0</v>
      </c>
    </row>
    <row r="1201" spans="1:34">
      <c r="A1201">
        <v>2025</v>
      </c>
      <c r="B1201" s="1">
        <v>45962</v>
      </c>
      <c r="C1201" t="s">
        <v>2657</v>
      </c>
      <c r="D1201" t="s">
        <v>5462</v>
      </c>
      <c r="E1201" s="43">
        <v>45974.506911655095</v>
      </c>
      <c r="F1201" s="1">
        <v>45974</v>
      </c>
      <c r="G1201" s="43">
        <v>45974.664160717592</v>
      </c>
      <c r="H1201" t="s">
        <v>2802</v>
      </c>
      <c r="I1201" t="s">
        <v>2681</v>
      </c>
      <c r="J1201" t="s">
        <v>2735</v>
      </c>
      <c r="L1201" t="s">
        <v>2336</v>
      </c>
      <c r="M1201">
        <v>161445746002</v>
      </c>
      <c r="N1201" t="s">
        <v>2746</v>
      </c>
      <c r="O1201" s="1">
        <v>45673</v>
      </c>
      <c r="T1201" t="s">
        <v>2662</v>
      </c>
      <c r="U1201" t="s">
        <v>5463</v>
      </c>
      <c r="V1201">
        <v>0</v>
      </c>
      <c r="W1201" t="s">
        <v>2671</v>
      </c>
      <c r="X1201">
        <v>1</v>
      </c>
      <c r="Y1201" t="s">
        <v>2695</v>
      </c>
      <c r="AA1201">
        <v>11103651302</v>
      </c>
      <c r="AB1201" t="s">
        <v>1482</v>
      </c>
      <c r="AC1201">
        <v>0</v>
      </c>
      <c r="AD1201">
        <v>46</v>
      </c>
      <c r="AE1201">
        <v>1110365130246</v>
      </c>
      <c r="AF1201" t="s">
        <v>5439</v>
      </c>
      <c r="AG1201">
        <v>0</v>
      </c>
      <c r="AH1201">
        <v>0</v>
      </c>
    </row>
    <row r="1202" spans="1:34">
      <c r="A1202">
        <v>2025</v>
      </c>
      <c r="B1202" s="1">
        <v>45962</v>
      </c>
      <c r="C1202" t="s">
        <v>2657</v>
      </c>
      <c r="D1202" t="s">
        <v>5464</v>
      </c>
      <c r="E1202" s="43">
        <v>45987.525547673613</v>
      </c>
      <c r="F1202" s="1">
        <v>45987</v>
      </c>
      <c r="G1202" s="43">
        <v>45987.525547673613</v>
      </c>
      <c r="H1202" t="s">
        <v>2802</v>
      </c>
      <c r="I1202" t="s">
        <v>2660</v>
      </c>
      <c r="J1202" t="s">
        <v>2735</v>
      </c>
      <c r="L1202" t="s">
        <v>2336</v>
      </c>
      <c r="M1202">
        <v>161445746002</v>
      </c>
      <c r="N1202" t="s">
        <v>2746</v>
      </c>
      <c r="O1202" s="1">
        <v>45673</v>
      </c>
      <c r="T1202" t="s">
        <v>2662</v>
      </c>
      <c r="U1202" t="s">
        <v>5465</v>
      </c>
      <c r="V1202">
        <v>0</v>
      </c>
      <c r="W1202" t="s">
        <v>2677</v>
      </c>
      <c r="X1202">
        <v>1</v>
      </c>
      <c r="Y1202" t="s">
        <v>2807</v>
      </c>
      <c r="AA1202">
        <v>11103651302</v>
      </c>
      <c r="AB1202" t="s">
        <v>1482</v>
      </c>
      <c r="AC1202">
        <v>0</v>
      </c>
      <c r="AD1202">
        <v>48</v>
      </c>
      <c r="AE1202">
        <v>1110365130248</v>
      </c>
      <c r="AF1202" t="s">
        <v>5439</v>
      </c>
      <c r="AG1202">
        <v>1</v>
      </c>
      <c r="AH1202">
        <v>0</v>
      </c>
    </row>
    <row r="1203" spans="1:34">
      <c r="A1203">
        <v>2025</v>
      </c>
      <c r="B1203" s="1">
        <v>45901</v>
      </c>
      <c r="C1203" t="s">
        <v>2657</v>
      </c>
      <c r="D1203" t="s">
        <v>5466</v>
      </c>
      <c r="E1203" s="43">
        <v>45916.660724097223</v>
      </c>
      <c r="F1203" s="1">
        <v>45916</v>
      </c>
      <c r="G1203" s="43">
        <v>45917.659948842593</v>
      </c>
      <c r="H1203" t="s">
        <v>2734</v>
      </c>
      <c r="I1203" t="s">
        <v>2719</v>
      </c>
      <c r="J1203" t="s">
        <v>2735</v>
      </c>
      <c r="L1203" t="s">
        <v>2421</v>
      </c>
      <c r="M1203">
        <v>816067318102</v>
      </c>
      <c r="N1203" t="s">
        <v>2661</v>
      </c>
      <c r="O1203" s="1">
        <v>45448</v>
      </c>
      <c r="T1203" t="s">
        <v>2662</v>
      </c>
      <c r="U1203" t="s">
        <v>4534</v>
      </c>
      <c r="V1203">
        <v>1</v>
      </c>
      <c r="W1203" t="s">
        <v>2671</v>
      </c>
      <c r="X1203">
        <v>1</v>
      </c>
      <c r="Y1203" t="s">
        <v>2764</v>
      </c>
      <c r="AA1203">
        <v>816067318102</v>
      </c>
      <c r="AB1203" t="s">
        <v>1643</v>
      </c>
      <c r="AC1203">
        <v>0</v>
      </c>
      <c r="AD1203">
        <v>38</v>
      </c>
      <c r="AE1203">
        <v>81606731810238</v>
      </c>
      <c r="AF1203" t="s">
        <v>5467</v>
      </c>
      <c r="AG1203">
        <v>0</v>
      </c>
      <c r="AH1203">
        <v>0</v>
      </c>
    </row>
    <row r="1204" spans="1:34">
      <c r="A1204">
        <v>2025</v>
      </c>
      <c r="B1204" s="1">
        <v>45901</v>
      </c>
      <c r="C1204" t="s">
        <v>2657</v>
      </c>
      <c r="D1204" t="s">
        <v>5468</v>
      </c>
      <c r="E1204" s="43">
        <v>45916.660008749997</v>
      </c>
      <c r="F1204" s="1">
        <v>45916</v>
      </c>
      <c r="G1204" s="43">
        <v>45950.862426481479</v>
      </c>
      <c r="H1204" t="s">
        <v>2734</v>
      </c>
      <c r="I1204" t="s">
        <v>2719</v>
      </c>
      <c r="J1204" t="s">
        <v>2735</v>
      </c>
      <c r="L1204" t="s">
        <v>2421</v>
      </c>
      <c r="M1204">
        <v>816067318102</v>
      </c>
      <c r="N1204" t="s">
        <v>2661</v>
      </c>
      <c r="O1204" s="1">
        <v>45448</v>
      </c>
      <c r="T1204" t="s">
        <v>2662</v>
      </c>
      <c r="U1204" t="s">
        <v>5469</v>
      </c>
      <c r="V1204">
        <v>24</v>
      </c>
      <c r="W1204" t="s">
        <v>2677</v>
      </c>
      <c r="X1204">
        <v>1</v>
      </c>
      <c r="Y1204" t="s">
        <v>2807</v>
      </c>
      <c r="Z1204" t="s">
        <v>2834</v>
      </c>
      <c r="AA1204">
        <v>816067318102</v>
      </c>
      <c r="AB1204" t="s">
        <v>1643</v>
      </c>
      <c r="AC1204">
        <v>0</v>
      </c>
      <c r="AD1204">
        <v>38</v>
      </c>
      <c r="AE1204">
        <v>81606731810238</v>
      </c>
      <c r="AF1204" t="s">
        <v>5467</v>
      </c>
      <c r="AG1204">
        <v>1</v>
      </c>
      <c r="AH1204">
        <v>1</v>
      </c>
    </row>
    <row r="1205" spans="1:34">
      <c r="A1205">
        <v>2026</v>
      </c>
      <c r="B1205" s="1">
        <v>46054</v>
      </c>
      <c r="C1205" t="s">
        <v>2657</v>
      </c>
      <c r="D1205" s="44" t="s">
        <v>5470</v>
      </c>
      <c r="E1205" s="43">
        <v>46065.798666122682</v>
      </c>
      <c r="F1205" s="1">
        <v>46065</v>
      </c>
      <c r="G1205" s="43">
        <v>46079.502684768522</v>
      </c>
      <c r="H1205" t="s">
        <v>2725</v>
      </c>
      <c r="I1205" t="s">
        <v>2681</v>
      </c>
      <c r="J1205" t="s">
        <v>36</v>
      </c>
      <c r="L1205" t="s">
        <v>2421</v>
      </c>
      <c r="M1205">
        <v>816067318102</v>
      </c>
      <c r="N1205" t="s">
        <v>2661</v>
      </c>
      <c r="O1205" s="1">
        <v>45448</v>
      </c>
      <c r="T1205" t="s">
        <v>2662</v>
      </c>
      <c r="U1205" t="s">
        <v>5471</v>
      </c>
      <c r="V1205">
        <v>10</v>
      </c>
      <c r="W1205" t="s">
        <v>2677</v>
      </c>
      <c r="X1205">
        <v>1</v>
      </c>
      <c r="Y1205" t="s">
        <v>2678</v>
      </c>
      <c r="Z1205" t="s">
        <v>2684</v>
      </c>
      <c r="AA1205">
        <v>816067318102</v>
      </c>
      <c r="AB1205" t="s">
        <v>1643</v>
      </c>
      <c r="AC1205">
        <v>0</v>
      </c>
      <c r="AD1205">
        <v>7</v>
      </c>
      <c r="AE1205">
        <v>8160673181027</v>
      </c>
      <c r="AF1205" t="s">
        <v>5472</v>
      </c>
      <c r="AG1205">
        <v>1</v>
      </c>
      <c r="AH1205">
        <v>1</v>
      </c>
    </row>
    <row r="1206" spans="1:34">
      <c r="A1206">
        <v>2026</v>
      </c>
      <c r="B1206" s="1">
        <v>46054</v>
      </c>
      <c r="C1206" t="s">
        <v>2657</v>
      </c>
      <c r="D1206" t="s">
        <v>5473</v>
      </c>
      <c r="E1206" s="43">
        <v>46078.663364386572</v>
      </c>
      <c r="F1206" s="1">
        <v>46078</v>
      </c>
      <c r="G1206" s="43">
        <v>46080.505851250004</v>
      </c>
      <c r="H1206" t="s">
        <v>2725</v>
      </c>
      <c r="I1206" t="s">
        <v>2660</v>
      </c>
      <c r="J1206" t="s">
        <v>36</v>
      </c>
      <c r="L1206" t="s">
        <v>2421</v>
      </c>
      <c r="M1206">
        <v>816067318102</v>
      </c>
      <c r="N1206" t="s">
        <v>2661</v>
      </c>
      <c r="O1206" s="1">
        <v>45448</v>
      </c>
      <c r="T1206" t="s">
        <v>2662</v>
      </c>
      <c r="U1206" t="s">
        <v>5474</v>
      </c>
      <c r="V1206">
        <v>2</v>
      </c>
      <c r="W1206" t="s">
        <v>2671</v>
      </c>
      <c r="X1206">
        <v>1</v>
      </c>
      <c r="Y1206" t="s">
        <v>2683</v>
      </c>
      <c r="AA1206">
        <v>816067318102</v>
      </c>
      <c r="AB1206" t="s">
        <v>1643</v>
      </c>
      <c r="AC1206">
        <v>0</v>
      </c>
      <c r="AD1206">
        <v>9</v>
      </c>
      <c r="AE1206">
        <v>8160673181029</v>
      </c>
      <c r="AF1206" t="s">
        <v>5472</v>
      </c>
      <c r="AG1206">
        <v>1</v>
      </c>
      <c r="AH1206">
        <v>0</v>
      </c>
    </row>
    <row r="1207" spans="1:34">
      <c r="A1207">
        <v>2026</v>
      </c>
      <c r="B1207" s="1">
        <v>46023</v>
      </c>
      <c r="C1207" t="s">
        <v>2657</v>
      </c>
      <c r="D1207" t="s">
        <v>5475</v>
      </c>
      <c r="E1207" s="43">
        <v>46035.502233541665</v>
      </c>
      <c r="F1207" s="1">
        <v>46035</v>
      </c>
      <c r="G1207" s="43">
        <v>46042.962573171295</v>
      </c>
      <c r="H1207" t="s">
        <v>2701</v>
      </c>
      <c r="I1207" t="s">
        <v>2681</v>
      </c>
      <c r="J1207" t="s">
        <v>36</v>
      </c>
      <c r="L1207" t="s">
        <v>2355</v>
      </c>
      <c r="M1207">
        <v>230755558102</v>
      </c>
      <c r="N1207" t="s">
        <v>2702</v>
      </c>
      <c r="O1207" s="1">
        <v>45294</v>
      </c>
      <c r="T1207" t="s">
        <v>2662</v>
      </c>
      <c r="U1207" t="s">
        <v>5476</v>
      </c>
      <c r="V1207">
        <v>5</v>
      </c>
      <c r="W1207" t="s">
        <v>2677</v>
      </c>
      <c r="X1207">
        <v>1</v>
      </c>
      <c r="Y1207" t="s">
        <v>2772</v>
      </c>
      <c r="AA1207">
        <v>230755558102</v>
      </c>
      <c r="AB1207" t="s">
        <v>2297</v>
      </c>
      <c r="AC1207">
        <v>0</v>
      </c>
      <c r="AD1207">
        <v>3</v>
      </c>
      <c r="AE1207">
        <v>2307555581023</v>
      </c>
      <c r="AF1207" t="s">
        <v>5477</v>
      </c>
      <c r="AG1207">
        <v>1</v>
      </c>
      <c r="AH1207">
        <v>0</v>
      </c>
    </row>
    <row r="1208" spans="1:34">
      <c r="A1208">
        <v>2026</v>
      </c>
      <c r="B1208" s="1">
        <v>46023</v>
      </c>
      <c r="C1208" t="s">
        <v>2657</v>
      </c>
      <c r="D1208" t="s">
        <v>5478</v>
      </c>
      <c r="E1208" s="43">
        <v>46030.545039652781</v>
      </c>
      <c r="F1208" s="1">
        <v>46030</v>
      </c>
      <c r="G1208" s="43">
        <v>46035.589358460646</v>
      </c>
      <c r="H1208" t="s">
        <v>2701</v>
      </c>
      <c r="I1208" t="s">
        <v>2681</v>
      </c>
      <c r="J1208" t="s">
        <v>36</v>
      </c>
      <c r="L1208" t="s">
        <v>2355</v>
      </c>
      <c r="M1208">
        <v>26789844502</v>
      </c>
      <c r="N1208" t="s">
        <v>2702</v>
      </c>
      <c r="O1208" s="1">
        <v>45362</v>
      </c>
      <c r="T1208" t="s">
        <v>2662</v>
      </c>
      <c r="U1208" t="s">
        <v>5479</v>
      </c>
      <c r="V1208">
        <v>3</v>
      </c>
      <c r="W1208" t="s">
        <v>2743</v>
      </c>
      <c r="X1208">
        <v>1</v>
      </c>
      <c r="Y1208" t="s">
        <v>2688</v>
      </c>
      <c r="AA1208">
        <v>230755558102</v>
      </c>
      <c r="AB1208" t="s">
        <v>2297</v>
      </c>
      <c r="AC1208">
        <v>0</v>
      </c>
      <c r="AD1208">
        <v>2</v>
      </c>
      <c r="AE1208">
        <v>2307555581022</v>
      </c>
      <c r="AF1208" t="s">
        <v>5477</v>
      </c>
      <c r="AG1208">
        <v>1</v>
      </c>
      <c r="AH1208">
        <v>1</v>
      </c>
    </row>
    <row r="1209" spans="1:34">
      <c r="A1209">
        <v>2026</v>
      </c>
      <c r="B1209" s="1">
        <v>46023</v>
      </c>
      <c r="C1209" t="s">
        <v>2657</v>
      </c>
      <c r="D1209" t="s">
        <v>5480</v>
      </c>
      <c r="E1209" s="43">
        <v>46042.974501817131</v>
      </c>
      <c r="F1209" s="1">
        <v>46042</v>
      </c>
      <c r="G1209" s="43">
        <v>46066.488141111113</v>
      </c>
      <c r="H1209" t="s">
        <v>2701</v>
      </c>
      <c r="I1209" t="s">
        <v>2719</v>
      </c>
      <c r="J1209" t="s">
        <v>36</v>
      </c>
      <c r="L1209" t="s">
        <v>2355</v>
      </c>
      <c r="M1209">
        <v>230755558102</v>
      </c>
      <c r="N1209" t="s">
        <v>2702</v>
      </c>
      <c r="O1209" s="1">
        <v>45294</v>
      </c>
      <c r="T1209" t="s">
        <v>2662</v>
      </c>
      <c r="U1209" t="s">
        <v>5481</v>
      </c>
      <c r="V1209">
        <v>18</v>
      </c>
      <c r="W1209" t="s">
        <v>2677</v>
      </c>
      <c r="X1209">
        <v>1</v>
      </c>
      <c r="Y1209" t="s">
        <v>2772</v>
      </c>
      <c r="Z1209" t="s">
        <v>2684</v>
      </c>
      <c r="AA1209">
        <v>230755558102</v>
      </c>
      <c r="AB1209" t="s">
        <v>2297</v>
      </c>
      <c r="AC1209">
        <v>0</v>
      </c>
      <c r="AD1209">
        <v>4</v>
      </c>
      <c r="AE1209">
        <v>2307555581024</v>
      </c>
      <c r="AF1209" t="s">
        <v>5477</v>
      </c>
      <c r="AG1209">
        <v>1</v>
      </c>
      <c r="AH1209">
        <v>0</v>
      </c>
    </row>
    <row r="1210" spans="1:34">
      <c r="A1210">
        <v>2026</v>
      </c>
      <c r="B1210" s="1">
        <v>46054</v>
      </c>
      <c r="C1210" t="s">
        <v>2657</v>
      </c>
      <c r="D1210" t="s">
        <v>5482</v>
      </c>
      <c r="E1210" s="43">
        <v>46055.761041273145</v>
      </c>
      <c r="F1210" s="1">
        <v>46055</v>
      </c>
      <c r="G1210" s="43">
        <v>46058.673063437498</v>
      </c>
      <c r="H1210" t="s">
        <v>2725</v>
      </c>
      <c r="I1210" t="s">
        <v>2669</v>
      </c>
      <c r="J1210" t="s">
        <v>39</v>
      </c>
      <c r="L1210" t="s">
        <v>2336</v>
      </c>
      <c r="M1210">
        <v>127737463602</v>
      </c>
      <c r="N1210" t="s">
        <v>2746</v>
      </c>
      <c r="O1210" s="1">
        <v>45661</v>
      </c>
      <c r="T1210" t="s">
        <v>2662</v>
      </c>
      <c r="U1210" t="s">
        <v>5483</v>
      </c>
      <c r="V1210">
        <v>3</v>
      </c>
      <c r="W1210" t="s">
        <v>2743</v>
      </c>
      <c r="X1210">
        <v>1</v>
      </c>
      <c r="Y1210" t="s">
        <v>2717</v>
      </c>
      <c r="AA1210">
        <v>127737463602</v>
      </c>
      <c r="AB1210" t="s">
        <v>1066</v>
      </c>
      <c r="AC1210">
        <v>0</v>
      </c>
      <c r="AD1210">
        <v>6</v>
      </c>
      <c r="AE1210">
        <v>1277374636026</v>
      </c>
      <c r="AF1210" t="s">
        <v>5484</v>
      </c>
      <c r="AG1210">
        <v>1</v>
      </c>
      <c r="AH1210">
        <v>1</v>
      </c>
    </row>
    <row r="1211" spans="1:34">
      <c r="A1211">
        <v>2026</v>
      </c>
      <c r="B1211" s="1">
        <v>46054</v>
      </c>
      <c r="C1211" t="s">
        <v>2657</v>
      </c>
      <c r="D1211" t="s">
        <v>5485</v>
      </c>
      <c r="E1211" s="43">
        <v>46065.648252256942</v>
      </c>
      <c r="F1211" s="1">
        <v>46065</v>
      </c>
      <c r="G1211" s="43">
        <v>46066.701419965277</v>
      </c>
      <c r="H1211" t="s">
        <v>2725</v>
      </c>
      <c r="I1211" t="s">
        <v>2681</v>
      </c>
      <c r="J1211" t="s">
        <v>39</v>
      </c>
      <c r="L1211" t="s">
        <v>2336</v>
      </c>
      <c r="M1211">
        <v>127737463602</v>
      </c>
      <c r="N1211" t="s">
        <v>2746</v>
      </c>
      <c r="O1211" s="1">
        <v>45661</v>
      </c>
      <c r="T1211" t="s">
        <v>2662</v>
      </c>
      <c r="U1211" t="s">
        <v>5486</v>
      </c>
      <c r="V1211">
        <v>1</v>
      </c>
      <c r="W1211" t="s">
        <v>2743</v>
      </c>
      <c r="X1211">
        <v>1</v>
      </c>
      <c r="Y1211" t="s">
        <v>2717</v>
      </c>
      <c r="AA1211">
        <v>127737463602</v>
      </c>
      <c r="AB1211" t="s">
        <v>1066</v>
      </c>
      <c r="AC1211">
        <v>0</v>
      </c>
      <c r="AD1211">
        <v>7</v>
      </c>
      <c r="AE1211">
        <v>1277374636027</v>
      </c>
      <c r="AF1211" t="s">
        <v>5484</v>
      </c>
      <c r="AG1211">
        <v>1</v>
      </c>
      <c r="AH1211">
        <v>0</v>
      </c>
    </row>
    <row r="1212" spans="1:34">
      <c r="A1212">
        <v>2026</v>
      </c>
      <c r="B1212" s="1">
        <v>46054</v>
      </c>
      <c r="C1212" t="s">
        <v>2657</v>
      </c>
      <c r="D1212" t="s">
        <v>5487</v>
      </c>
      <c r="E1212" s="43">
        <v>46072.630485740738</v>
      </c>
      <c r="F1212" s="1">
        <v>46072</v>
      </c>
      <c r="G1212" s="43">
        <v>46073.650593275466</v>
      </c>
      <c r="H1212" t="s">
        <v>2725</v>
      </c>
      <c r="I1212" t="s">
        <v>2719</v>
      </c>
      <c r="J1212" t="s">
        <v>39</v>
      </c>
      <c r="L1212" t="s">
        <v>2336</v>
      </c>
      <c r="M1212">
        <v>127737463602</v>
      </c>
      <c r="N1212" t="s">
        <v>2746</v>
      </c>
      <c r="O1212" s="1">
        <v>45661</v>
      </c>
      <c r="T1212" t="s">
        <v>2662</v>
      </c>
      <c r="U1212" t="s">
        <v>5488</v>
      </c>
      <c r="V1212">
        <v>1</v>
      </c>
      <c r="W1212" t="s">
        <v>2671</v>
      </c>
      <c r="X1212">
        <v>1</v>
      </c>
      <c r="Y1212" t="s">
        <v>2672</v>
      </c>
      <c r="AA1212">
        <v>127737463602</v>
      </c>
      <c r="AB1212" t="s">
        <v>1066</v>
      </c>
      <c r="AC1212">
        <v>0</v>
      </c>
      <c r="AD1212">
        <v>8</v>
      </c>
      <c r="AE1212">
        <v>1277374636028</v>
      </c>
      <c r="AF1212" t="s">
        <v>5484</v>
      </c>
      <c r="AG1212">
        <v>1</v>
      </c>
      <c r="AH1212">
        <v>0</v>
      </c>
    </row>
    <row r="1213" spans="1:34">
      <c r="A1213">
        <v>2026</v>
      </c>
      <c r="B1213" s="1">
        <v>46054</v>
      </c>
      <c r="C1213" t="s">
        <v>2657</v>
      </c>
      <c r="D1213" t="s">
        <v>5489</v>
      </c>
      <c r="E1213" s="43">
        <v>46073.649507638889</v>
      </c>
      <c r="F1213" s="1">
        <v>46073</v>
      </c>
      <c r="G1213" s="43">
        <v>46076.609889224535</v>
      </c>
      <c r="H1213" t="s">
        <v>2725</v>
      </c>
      <c r="I1213" t="s">
        <v>2719</v>
      </c>
      <c r="J1213" t="s">
        <v>39</v>
      </c>
      <c r="L1213" t="s">
        <v>2336</v>
      </c>
      <c r="M1213">
        <v>127737463602</v>
      </c>
      <c r="N1213" t="s">
        <v>2746</v>
      </c>
      <c r="O1213" s="1">
        <v>45661</v>
      </c>
      <c r="T1213" t="s">
        <v>2662</v>
      </c>
      <c r="U1213" t="s">
        <v>5490</v>
      </c>
      <c r="V1213">
        <v>1</v>
      </c>
      <c r="W1213" t="s">
        <v>2743</v>
      </c>
      <c r="X1213">
        <v>1</v>
      </c>
      <c r="Y1213" t="s">
        <v>2717</v>
      </c>
      <c r="AA1213">
        <v>127737463602</v>
      </c>
      <c r="AB1213" t="s">
        <v>1066</v>
      </c>
      <c r="AC1213">
        <v>0</v>
      </c>
      <c r="AD1213">
        <v>8</v>
      </c>
      <c r="AE1213">
        <v>1277374636028</v>
      </c>
      <c r="AF1213" t="s">
        <v>5484</v>
      </c>
      <c r="AG1213">
        <v>0</v>
      </c>
      <c r="AH1213">
        <v>0</v>
      </c>
    </row>
    <row r="1214" spans="1:34">
      <c r="A1214">
        <v>2025</v>
      </c>
      <c r="B1214" s="1">
        <v>45992</v>
      </c>
      <c r="C1214" t="s">
        <v>2657</v>
      </c>
      <c r="D1214" t="s">
        <v>5491</v>
      </c>
      <c r="E1214" s="43">
        <v>45995.618358738429</v>
      </c>
      <c r="F1214" s="1">
        <v>45995</v>
      </c>
      <c r="G1214" s="43">
        <v>45996.573168657407</v>
      </c>
      <c r="H1214" t="s">
        <v>2686</v>
      </c>
      <c r="I1214" t="s">
        <v>2669</v>
      </c>
      <c r="J1214" t="s">
        <v>100</v>
      </c>
      <c r="L1214" t="s">
        <v>2353</v>
      </c>
      <c r="M1214">
        <v>320035971002</v>
      </c>
      <c r="N1214" t="s">
        <v>2675</v>
      </c>
      <c r="O1214" s="1">
        <v>45669</v>
      </c>
      <c r="T1214" t="s">
        <v>2662</v>
      </c>
      <c r="U1214" t="s">
        <v>5492</v>
      </c>
      <c r="V1214">
        <v>1</v>
      </c>
      <c r="X1214">
        <v>1</v>
      </c>
      <c r="Y1214" t="s">
        <v>2721</v>
      </c>
      <c r="AA1214">
        <v>320035971002</v>
      </c>
      <c r="AB1214" t="s">
        <v>208</v>
      </c>
      <c r="AC1214">
        <v>0</v>
      </c>
      <c r="AD1214">
        <v>49</v>
      </c>
      <c r="AE1214">
        <v>32003597100249</v>
      </c>
      <c r="AF1214" t="s">
        <v>5493</v>
      </c>
      <c r="AG1214">
        <v>1</v>
      </c>
      <c r="AH1214">
        <v>1</v>
      </c>
    </row>
    <row r="1215" spans="1:34">
      <c r="A1215">
        <v>2025</v>
      </c>
      <c r="B1215" s="1">
        <v>45992</v>
      </c>
      <c r="C1215" t="s">
        <v>2657</v>
      </c>
      <c r="D1215" t="s">
        <v>5494</v>
      </c>
      <c r="E1215" s="43">
        <v>46009.755068298611</v>
      </c>
      <c r="F1215" s="1">
        <v>46009</v>
      </c>
      <c r="G1215" s="43">
        <v>46057.539210925926</v>
      </c>
      <c r="H1215" t="s">
        <v>2686</v>
      </c>
      <c r="I1215" t="s">
        <v>2719</v>
      </c>
      <c r="J1215" t="s">
        <v>100</v>
      </c>
      <c r="L1215" t="s">
        <v>2353</v>
      </c>
      <c r="M1215">
        <v>320035971002</v>
      </c>
      <c r="N1215" t="s">
        <v>2675</v>
      </c>
      <c r="O1215" s="1">
        <v>45669</v>
      </c>
      <c r="T1215" t="s">
        <v>2662</v>
      </c>
      <c r="U1215" t="s">
        <v>5495</v>
      </c>
      <c r="V1215">
        <v>34</v>
      </c>
      <c r="X1215">
        <v>1</v>
      </c>
      <c r="Y1215" t="s">
        <v>2721</v>
      </c>
      <c r="AA1215">
        <v>320035971002</v>
      </c>
      <c r="AB1215" t="s">
        <v>208</v>
      </c>
      <c r="AC1215">
        <v>0</v>
      </c>
      <c r="AD1215">
        <v>51</v>
      </c>
      <c r="AE1215">
        <v>32003597100251</v>
      </c>
      <c r="AF1215" t="s">
        <v>5493</v>
      </c>
      <c r="AG1215">
        <v>1</v>
      </c>
      <c r="AH1215">
        <v>0</v>
      </c>
    </row>
    <row r="1216" spans="1:34">
      <c r="A1216">
        <v>2026</v>
      </c>
      <c r="B1216" s="1">
        <v>46054</v>
      </c>
      <c r="C1216" t="s">
        <v>2657</v>
      </c>
      <c r="D1216" t="s">
        <v>5496</v>
      </c>
      <c r="E1216" s="43">
        <v>46059.528206238429</v>
      </c>
      <c r="F1216" s="1">
        <v>46059</v>
      </c>
      <c r="G1216" s="43">
        <v>46059.528206238429</v>
      </c>
      <c r="H1216" t="s">
        <v>2725</v>
      </c>
      <c r="I1216" t="s">
        <v>2669</v>
      </c>
      <c r="J1216" t="s">
        <v>38</v>
      </c>
      <c r="L1216" t="s">
        <v>2379</v>
      </c>
      <c r="M1216">
        <v>627010921602</v>
      </c>
      <c r="N1216" t="s">
        <v>2675</v>
      </c>
      <c r="O1216" s="1">
        <v>45503</v>
      </c>
      <c r="T1216" t="s">
        <v>2662</v>
      </c>
      <c r="U1216" t="s">
        <v>5497</v>
      </c>
      <c r="V1216">
        <v>0</v>
      </c>
      <c r="W1216" t="s">
        <v>2671</v>
      </c>
      <c r="X1216">
        <v>1</v>
      </c>
      <c r="Y1216" t="s">
        <v>2688</v>
      </c>
      <c r="AA1216">
        <v>627010921602</v>
      </c>
      <c r="AB1216" t="s">
        <v>1204</v>
      </c>
      <c r="AC1216">
        <v>0</v>
      </c>
      <c r="AD1216">
        <v>6</v>
      </c>
      <c r="AE1216">
        <v>6270109216026</v>
      </c>
      <c r="AF1216" t="s">
        <v>5498</v>
      </c>
      <c r="AG1216">
        <v>1</v>
      </c>
      <c r="AH1216">
        <v>1</v>
      </c>
    </row>
    <row r="1217" spans="1:35">
      <c r="A1217">
        <v>2026</v>
      </c>
      <c r="B1217" s="1">
        <v>46054</v>
      </c>
      <c r="C1217" t="s">
        <v>2657</v>
      </c>
      <c r="D1217" t="s">
        <v>5499</v>
      </c>
      <c r="E1217" s="43">
        <v>46062.550273749999</v>
      </c>
      <c r="F1217" s="1">
        <v>46062</v>
      </c>
      <c r="G1217" s="43">
        <v>46065.689752048609</v>
      </c>
      <c r="H1217" t="s">
        <v>2725</v>
      </c>
      <c r="I1217" t="s">
        <v>2681</v>
      </c>
      <c r="J1217" t="s">
        <v>38</v>
      </c>
      <c r="L1217" t="s">
        <v>2379</v>
      </c>
      <c r="M1217">
        <v>627010921602</v>
      </c>
      <c r="N1217" t="s">
        <v>2675</v>
      </c>
      <c r="O1217" s="1">
        <v>45503</v>
      </c>
      <c r="T1217" t="s">
        <v>2662</v>
      </c>
      <c r="U1217" t="s">
        <v>5500</v>
      </c>
      <c r="V1217">
        <v>3</v>
      </c>
      <c r="W1217" t="s">
        <v>2671</v>
      </c>
      <c r="X1217">
        <v>1</v>
      </c>
      <c r="Y1217" t="s">
        <v>2692</v>
      </c>
      <c r="AA1217">
        <v>627010921602</v>
      </c>
      <c r="AB1217" t="s">
        <v>1204</v>
      </c>
      <c r="AC1217">
        <v>0</v>
      </c>
      <c r="AD1217">
        <v>7</v>
      </c>
      <c r="AE1217">
        <v>6270109216027</v>
      </c>
      <c r="AF1217" t="s">
        <v>5498</v>
      </c>
      <c r="AG1217">
        <v>1</v>
      </c>
      <c r="AH1217">
        <v>0</v>
      </c>
    </row>
    <row r="1218" spans="1:35">
      <c r="A1218">
        <v>2026</v>
      </c>
      <c r="B1218" s="1">
        <v>46054</v>
      </c>
      <c r="C1218" t="s">
        <v>2657</v>
      </c>
      <c r="D1218" t="s">
        <v>5501</v>
      </c>
      <c r="E1218" s="43">
        <v>46065.582981701387</v>
      </c>
      <c r="F1218" s="1">
        <v>46065</v>
      </c>
      <c r="G1218" s="43">
        <v>46065.817092511577</v>
      </c>
      <c r="H1218" t="s">
        <v>2725</v>
      </c>
      <c r="I1218" t="s">
        <v>2681</v>
      </c>
      <c r="J1218" t="s">
        <v>38</v>
      </c>
      <c r="L1218" t="s">
        <v>2379</v>
      </c>
      <c r="M1218">
        <v>627010921602</v>
      </c>
      <c r="N1218" t="s">
        <v>2675</v>
      </c>
      <c r="O1218" s="1">
        <v>45503</v>
      </c>
      <c r="T1218" t="s">
        <v>2662</v>
      </c>
      <c r="U1218" t="s">
        <v>5502</v>
      </c>
      <c r="V1218">
        <v>0</v>
      </c>
      <c r="W1218" t="s">
        <v>2985</v>
      </c>
      <c r="X1218">
        <v>1</v>
      </c>
      <c r="Y1218" t="s">
        <v>2985</v>
      </c>
      <c r="AA1218">
        <v>627010921602</v>
      </c>
      <c r="AB1218" t="s">
        <v>1204</v>
      </c>
      <c r="AC1218">
        <v>0</v>
      </c>
      <c r="AD1218">
        <v>7</v>
      </c>
      <c r="AE1218">
        <v>6270109216027</v>
      </c>
      <c r="AF1218" t="s">
        <v>5498</v>
      </c>
      <c r="AG1218">
        <v>0</v>
      </c>
      <c r="AH1218">
        <v>0</v>
      </c>
    </row>
    <row r="1219" spans="1:35">
      <c r="A1219">
        <v>2026</v>
      </c>
      <c r="B1219" s="1">
        <v>46054</v>
      </c>
      <c r="C1219" t="s">
        <v>2657</v>
      </c>
      <c r="D1219" t="s">
        <v>5503</v>
      </c>
      <c r="E1219" s="43">
        <v>46073.683916493057</v>
      </c>
      <c r="F1219" s="1">
        <v>46073</v>
      </c>
      <c r="G1219" s="43">
        <v>46077.603738900463</v>
      </c>
      <c r="H1219" t="s">
        <v>2725</v>
      </c>
      <c r="I1219" t="s">
        <v>2719</v>
      </c>
      <c r="J1219" t="s">
        <v>38</v>
      </c>
      <c r="L1219" t="s">
        <v>2379</v>
      </c>
      <c r="M1219">
        <v>627010921602</v>
      </c>
      <c r="N1219" t="s">
        <v>2675</v>
      </c>
      <c r="O1219" s="1">
        <v>45503</v>
      </c>
      <c r="T1219" t="s">
        <v>2662</v>
      </c>
      <c r="U1219" t="s">
        <v>5504</v>
      </c>
      <c r="V1219">
        <v>2</v>
      </c>
      <c r="W1219" t="s">
        <v>2985</v>
      </c>
      <c r="X1219">
        <v>1</v>
      </c>
      <c r="Y1219" t="s">
        <v>2985</v>
      </c>
      <c r="AA1219">
        <v>627010921602</v>
      </c>
      <c r="AB1219" t="s">
        <v>1204</v>
      </c>
      <c r="AC1219">
        <v>0</v>
      </c>
      <c r="AD1219">
        <v>8</v>
      </c>
      <c r="AE1219">
        <v>6270109216028</v>
      </c>
      <c r="AF1219" t="s">
        <v>5498</v>
      </c>
      <c r="AG1219">
        <v>1</v>
      </c>
      <c r="AH1219">
        <v>0</v>
      </c>
    </row>
    <row r="1220" spans="1:35">
      <c r="A1220">
        <v>2025</v>
      </c>
      <c r="B1220" s="1">
        <v>45992</v>
      </c>
      <c r="C1220" t="s">
        <v>2657</v>
      </c>
      <c r="D1220" s="44" t="s">
        <v>5505</v>
      </c>
      <c r="E1220" s="43">
        <v>45993.834926064817</v>
      </c>
      <c r="F1220" s="1">
        <v>45993</v>
      </c>
      <c r="G1220" s="43">
        <v>45994.601263055556</v>
      </c>
      <c r="H1220" t="s">
        <v>2686</v>
      </c>
      <c r="I1220" t="s">
        <v>2669</v>
      </c>
      <c r="J1220" t="s">
        <v>2735</v>
      </c>
      <c r="L1220" t="s">
        <v>2362</v>
      </c>
      <c r="M1220">
        <v>25248213105</v>
      </c>
      <c r="N1220" t="s">
        <v>2746</v>
      </c>
      <c r="O1220" s="1">
        <v>45294</v>
      </c>
      <c r="T1220" t="s">
        <v>2662</v>
      </c>
      <c r="U1220" t="s">
        <v>5506</v>
      </c>
      <c r="V1220">
        <v>1</v>
      </c>
      <c r="W1220" t="s">
        <v>2671</v>
      </c>
      <c r="X1220">
        <v>1</v>
      </c>
      <c r="Y1220" t="s">
        <v>2672</v>
      </c>
      <c r="AA1220">
        <v>25248213105</v>
      </c>
      <c r="AB1220" t="s">
        <v>1611</v>
      </c>
      <c r="AC1220">
        <v>0</v>
      </c>
      <c r="AD1220">
        <v>49</v>
      </c>
      <c r="AE1220">
        <v>2524821310549</v>
      </c>
      <c r="AF1220" t="s">
        <v>5507</v>
      </c>
      <c r="AG1220">
        <v>1</v>
      </c>
      <c r="AH1220">
        <v>1</v>
      </c>
    </row>
    <row r="1221" spans="1:35">
      <c r="A1221">
        <v>2025</v>
      </c>
      <c r="B1221" s="1">
        <v>45992</v>
      </c>
      <c r="C1221" t="s">
        <v>2657</v>
      </c>
      <c r="D1221" t="s">
        <v>5508</v>
      </c>
      <c r="E1221" s="43">
        <v>46001.844756342594</v>
      </c>
      <c r="F1221" s="1">
        <v>46001</v>
      </c>
      <c r="G1221" s="43">
        <v>46007.739149594905</v>
      </c>
      <c r="H1221" t="s">
        <v>2686</v>
      </c>
      <c r="I1221" t="s">
        <v>2681</v>
      </c>
      <c r="J1221" t="s">
        <v>2735</v>
      </c>
      <c r="L1221" t="s">
        <v>2362</v>
      </c>
      <c r="M1221">
        <v>25248213105</v>
      </c>
      <c r="N1221" t="s">
        <v>2746</v>
      </c>
      <c r="O1221" s="1">
        <v>45294</v>
      </c>
      <c r="T1221" t="s">
        <v>2662</v>
      </c>
      <c r="U1221" t="s">
        <v>5509</v>
      </c>
      <c r="V1221">
        <v>4</v>
      </c>
      <c r="W1221" t="s">
        <v>2671</v>
      </c>
      <c r="X1221">
        <v>1</v>
      </c>
      <c r="Y1221" t="s">
        <v>2764</v>
      </c>
      <c r="AA1221">
        <v>25248213105</v>
      </c>
      <c r="AB1221" t="s">
        <v>1611</v>
      </c>
      <c r="AC1221">
        <v>0</v>
      </c>
      <c r="AD1221">
        <v>50</v>
      </c>
      <c r="AE1221">
        <v>2524821310550</v>
      </c>
      <c r="AF1221" t="s">
        <v>5507</v>
      </c>
      <c r="AG1221">
        <v>1</v>
      </c>
      <c r="AH1221">
        <v>0</v>
      </c>
      <c r="AI1221" t="s">
        <v>3001</v>
      </c>
    </row>
    <row r="1222" spans="1:35">
      <c r="A1222">
        <v>2025</v>
      </c>
      <c r="B1222" s="1">
        <v>45992</v>
      </c>
      <c r="C1222" t="s">
        <v>2657</v>
      </c>
      <c r="D1222" t="s">
        <v>5510</v>
      </c>
      <c r="E1222" s="43">
        <v>46007.53071042824</v>
      </c>
      <c r="F1222" s="1">
        <v>46007</v>
      </c>
      <c r="G1222" s="43">
        <v>46007.53071042824</v>
      </c>
      <c r="H1222" t="s">
        <v>2686</v>
      </c>
      <c r="I1222" t="s">
        <v>2719</v>
      </c>
      <c r="J1222" t="s">
        <v>2735</v>
      </c>
      <c r="L1222" t="s">
        <v>2362</v>
      </c>
      <c r="M1222">
        <v>25248213105</v>
      </c>
      <c r="N1222" t="s">
        <v>2746</v>
      </c>
      <c r="O1222" s="1">
        <v>45294</v>
      </c>
      <c r="T1222" t="s">
        <v>2662</v>
      </c>
      <c r="U1222" t="s">
        <v>5511</v>
      </c>
      <c r="V1222">
        <v>0</v>
      </c>
      <c r="W1222" t="s">
        <v>2671</v>
      </c>
      <c r="X1222">
        <v>1</v>
      </c>
      <c r="Y1222" t="s">
        <v>2727</v>
      </c>
      <c r="AA1222">
        <v>25248213105</v>
      </c>
      <c r="AB1222" t="s">
        <v>1611</v>
      </c>
      <c r="AC1222">
        <v>0</v>
      </c>
      <c r="AD1222">
        <v>51</v>
      </c>
      <c r="AE1222">
        <v>2524821310551</v>
      </c>
      <c r="AF1222" t="s">
        <v>5507</v>
      </c>
      <c r="AG1222">
        <v>0</v>
      </c>
      <c r="AH1222">
        <v>0</v>
      </c>
    </row>
    <row r="1223" spans="1:35">
      <c r="A1223">
        <v>2025</v>
      </c>
      <c r="B1223" s="1">
        <v>45992</v>
      </c>
      <c r="C1223" t="s">
        <v>2657</v>
      </c>
      <c r="D1223" t="s">
        <v>5512</v>
      </c>
      <c r="E1223" s="43">
        <v>46008.760738310186</v>
      </c>
      <c r="F1223" s="1">
        <v>46008</v>
      </c>
      <c r="G1223" s="43">
        <v>46010.563229340281</v>
      </c>
      <c r="H1223" t="s">
        <v>2686</v>
      </c>
      <c r="I1223" t="s">
        <v>2719</v>
      </c>
      <c r="J1223" t="s">
        <v>2735</v>
      </c>
      <c r="L1223" t="s">
        <v>2362</v>
      </c>
      <c r="M1223">
        <v>25248213105</v>
      </c>
      <c r="N1223" t="s">
        <v>2746</v>
      </c>
      <c r="O1223" s="1">
        <v>45294</v>
      </c>
      <c r="T1223" t="s">
        <v>2662</v>
      </c>
      <c r="U1223" t="s">
        <v>5513</v>
      </c>
      <c r="V1223">
        <v>2</v>
      </c>
      <c r="W1223" t="s">
        <v>2671</v>
      </c>
      <c r="X1223">
        <v>1</v>
      </c>
      <c r="Y1223" t="s">
        <v>2764</v>
      </c>
      <c r="AA1223">
        <v>25248213105</v>
      </c>
      <c r="AB1223" t="s">
        <v>1611</v>
      </c>
      <c r="AC1223">
        <v>0</v>
      </c>
      <c r="AD1223">
        <v>51</v>
      </c>
      <c r="AE1223">
        <v>2524821310551</v>
      </c>
      <c r="AF1223" t="s">
        <v>5507</v>
      </c>
      <c r="AG1223">
        <v>0</v>
      </c>
      <c r="AH1223">
        <v>0</v>
      </c>
    </row>
    <row r="1224" spans="1:35">
      <c r="A1224">
        <v>2025</v>
      </c>
      <c r="B1224" s="1">
        <v>45992</v>
      </c>
      <c r="C1224" t="s">
        <v>2657</v>
      </c>
      <c r="D1224" t="s">
        <v>5514</v>
      </c>
      <c r="E1224" s="43">
        <v>46007.529759386576</v>
      </c>
      <c r="F1224" s="1">
        <v>46007</v>
      </c>
      <c r="G1224" s="43">
        <v>46008.488945821759</v>
      </c>
      <c r="H1224" t="s">
        <v>2686</v>
      </c>
      <c r="I1224" t="s">
        <v>2719</v>
      </c>
      <c r="J1224" t="s">
        <v>2735</v>
      </c>
      <c r="L1224" t="s">
        <v>2362</v>
      </c>
      <c r="M1224">
        <v>25248213105</v>
      </c>
      <c r="N1224" t="s">
        <v>2746</v>
      </c>
      <c r="O1224" s="1">
        <v>45294</v>
      </c>
      <c r="T1224" t="s">
        <v>2662</v>
      </c>
      <c r="U1224" t="s">
        <v>5515</v>
      </c>
      <c r="V1224">
        <v>1</v>
      </c>
      <c r="W1224" t="s">
        <v>2671</v>
      </c>
      <c r="X1224">
        <v>1</v>
      </c>
      <c r="AA1224">
        <v>25248213105</v>
      </c>
      <c r="AB1224" t="s">
        <v>1611</v>
      </c>
      <c r="AC1224">
        <v>0</v>
      </c>
      <c r="AD1224">
        <v>51</v>
      </c>
      <c r="AE1224">
        <v>2524821310551</v>
      </c>
      <c r="AF1224" t="s">
        <v>5507</v>
      </c>
      <c r="AG1224">
        <v>1</v>
      </c>
      <c r="AH1224">
        <v>0</v>
      </c>
    </row>
    <row r="1225" spans="1:35">
      <c r="A1225">
        <v>2025</v>
      </c>
      <c r="B1225" s="1">
        <v>45992</v>
      </c>
      <c r="C1225" t="s">
        <v>2657</v>
      </c>
      <c r="D1225" t="s">
        <v>5516</v>
      </c>
      <c r="E1225" s="43">
        <v>46007.531287164355</v>
      </c>
      <c r="F1225" s="1">
        <v>46007</v>
      </c>
      <c r="G1225" s="43">
        <v>46010.563488796295</v>
      </c>
      <c r="H1225" t="s">
        <v>2686</v>
      </c>
      <c r="I1225" t="s">
        <v>2719</v>
      </c>
      <c r="J1225" t="s">
        <v>2735</v>
      </c>
      <c r="L1225" t="s">
        <v>2362</v>
      </c>
      <c r="M1225">
        <v>25248213105</v>
      </c>
      <c r="N1225" t="s">
        <v>2746</v>
      </c>
      <c r="O1225" s="1">
        <v>45294</v>
      </c>
      <c r="T1225" t="s">
        <v>2662</v>
      </c>
      <c r="U1225" t="s">
        <v>5517</v>
      </c>
      <c r="V1225">
        <v>3</v>
      </c>
      <c r="W1225" t="s">
        <v>2671</v>
      </c>
      <c r="X1225">
        <v>1</v>
      </c>
      <c r="Y1225" t="s">
        <v>2727</v>
      </c>
      <c r="AA1225">
        <v>25248213105</v>
      </c>
      <c r="AB1225" t="s">
        <v>1611</v>
      </c>
      <c r="AC1225">
        <v>0</v>
      </c>
      <c r="AD1225">
        <v>51</v>
      </c>
      <c r="AE1225">
        <v>2524821310551</v>
      </c>
      <c r="AF1225" t="s">
        <v>5507</v>
      </c>
      <c r="AG1225">
        <v>0</v>
      </c>
      <c r="AH1225">
        <v>0</v>
      </c>
    </row>
    <row r="1226" spans="1:35">
      <c r="A1226">
        <v>2025</v>
      </c>
      <c r="B1226" s="1">
        <v>45931</v>
      </c>
      <c r="C1226" t="s">
        <v>2657</v>
      </c>
      <c r="D1226" t="s">
        <v>5518</v>
      </c>
      <c r="E1226" s="43">
        <v>45943.81765769676</v>
      </c>
      <c r="F1226" s="1">
        <v>45943</v>
      </c>
      <c r="G1226" s="43">
        <v>45957.587813854167</v>
      </c>
      <c r="H1226" t="s">
        <v>2659</v>
      </c>
      <c r="I1226" t="s">
        <v>2681</v>
      </c>
      <c r="J1226" t="s">
        <v>37</v>
      </c>
      <c r="L1226" t="s">
        <v>2351</v>
      </c>
      <c r="M1226">
        <v>1030040901202</v>
      </c>
      <c r="N1226" t="s">
        <v>2661</v>
      </c>
      <c r="O1226" s="1">
        <v>45702</v>
      </c>
      <c r="T1226" t="s">
        <v>2662</v>
      </c>
      <c r="U1226" t="s">
        <v>5519</v>
      </c>
      <c r="V1226">
        <v>10</v>
      </c>
      <c r="W1226" t="s">
        <v>2677</v>
      </c>
      <c r="X1226">
        <v>1</v>
      </c>
      <c r="Y1226" t="s">
        <v>2807</v>
      </c>
      <c r="AA1226">
        <v>1030040901202</v>
      </c>
      <c r="AB1226" t="s">
        <v>810</v>
      </c>
      <c r="AC1226">
        <v>0</v>
      </c>
      <c r="AD1226">
        <v>42</v>
      </c>
      <c r="AE1226">
        <v>103004090120242</v>
      </c>
      <c r="AF1226" t="s">
        <v>5520</v>
      </c>
      <c r="AG1226">
        <v>0</v>
      </c>
      <c r="AH1226">
        <v>0</v>
      </c>
    </row>
    <row r="1227" spans="1:35">
      <c r="A1227">
        <v>2025</v>
      </c>
      <c r="B1227" s="1">
        <v>45931</v>
      </c>
      <c r="C1227" t="s">
        <v>2657</v>
      </c>
      <c r="D1227" t="s">
        <v>5521</v>
      </c>
      <c r="E1227" s="43">
        <v>45943.585393148147</v>
      </c>
      <c r="F1227" s="1">
        <v>45943</v>
      </c>
      <c r="G1227" s="43">
        <v>45943.585393148147</v>
      </c>
      <c r="H1227" t="s">
        <v>2659</v>
      </c>
      <c r="I1227" t="s">
        <v>2681</v>
      </c>
      <c r="J1227" t="s">
        <v>38</v>
      </c>
      <c r="L1227" t="s">
        <v>2351</v>
      </c>
      <c r="M1227">
        <v>1030040901202</v>
      </c>
      <c r="N1227" t="s">
        <v>2661</v>
      </c>
      <c r="O1227" s="1">
        <v>45702</v>
      </c>
      <c r="T1227" t="s">
        <v>2662</v>
      </c>
      <c r="U1227" t="s">
        <v>5522</v>
      </c>
      <c r="V1227">
        <v>0</v>
      </c>
      <c r="W1227" t="s">
        <v>2671</v>
      </c>
      <c r="X1227">
        <v>1</v>
      </c>
      <c r="Y1227" t="s">
        <v>2695</v>
      </c>
      <c r="AA1227">
        <v>1030040901202</v>
      </c>
      <c r="AB1227" t="s">
        <v>810</v>
      </c>
      <c r="AC1227">
        <v>0</v>
      </c>
      <c r="AD1227">
        <v>42</v>
      </c>
      <c r="AE1227">
        <v>103004090120242</v>
      </c>
      <c r="AF1227" t="s">
        <v>5520</v>
      </c>
      <c r="AG1227">
        <v>1</v>
      </c>
      <c r="AH1227">
        <v>0</v>
      </c>
    </row>
    <row r="1228" spans="1:35">
      <c r="A1228">
        <v>2025</v>
      </c>
      <c r="B1228" s="1">
        <v>45931</v>
      </c>
      <c r="C1228" t="s">
        <v>2657</v>
      </c>
      <c r="D1228" t="s">
        <v>5523</v>
      </c>
      <c r="E1228" s="43">
        <v>45938.549070555557</v>
      </c>
      <c r="F1228" s="1">
        <v>45938</v>
      </c>
      <c r="G1228" s="43">
        <v>45940.753483657405</v>
      </c>
      <c r="H1228" t="s">
        <v>2659</v>
      </c>
      <c r="I1228" t="s">
        <v>2681</v>
      </c>
      <c r="J1228" t="s">
        <v>38</v>
      </c>
      <c r="L1228" t="s">
        <v>2351</v>
      </c>
      <c r="M1228">
        <v>1030040901202</v>
      </c>
      <c r="N1228" t="s">
        <v>2661</v>
      </c>
      <c r="O1228" s="1">
        <v>45702</v>
      </c>
      <c r="T1228" t="s">
        <v>2662</v>
      </c>
      <c r="U1228" t="s">
        <v>5524</v>
      </c>
      <c r="V1228">
        <v>2</v>
      </c>
      <c r="X1228">
        <v>1</v>
      </c>
      <c r="Y1228" t="s">
        <v>2721</v>
      </c>
      <c r="AA1228">
        <v>1030040901202</v>
      </c>
      <c r="AB1228" t="s">
        <v>810</v>
      </c>
      <c r="AC1228">
        <v>0</v>
      </c>
      <c r="AD1228">
        <v>41</v>
      </c>
      <c r="AE1228">
        <v>103004090120241</v>
      </c>
      <c r="AF1228" t="s">
        <v>5520</v>
      </c>
      <c r="AG1228">
        <v>0</v>
      </c>
      <c r="AH1228">
        <v>0</v>
      </c>
    </row>
    <row r="1229" spans="1:35">
      <c r="A1229">
        <v>2025</v>
      </c>
      <c r="B1229" s="1">
        <v>45931</v>
      </c>
      <c r="C1229" t="s">
        <v>2657</v>
      </c>
      <c r="D1229" t="s">
        <v>5525</v>
      </c>
      <c r="E1229" s="43">
        <v>45938.547488807868</v>
      </c>
      <c r="F1229" s="1">
        <v>45938</v>
      </c>
      <c r="G1229" s="43">
        <v>45940.747213206021</v>
      </c>
      <c r="H1229" t="s">
        <v>2659</v>
      </c>
      <c r="I1229" t="s">
        <v>2681</v>
      </c>
      <c r="J1229" t="s">
        <v>38</v>
      </c>
      <c r="L1229" t="s">
        <v>2351</v>
      </c>
      <c r="M1229">
        <v>1030040901202</v>
      </c>
      <c r="N1229" t="s">
        <v>2661</v>
      </c>
      <c r="O1229" s="1">
        <v>45702</v>
      </c>
      <c r="T1229" t="s">
        <v>2662</v>
      </c>
      <c r="U1229" t="s">
        <v>5526</v>
      </c>
      <c r="V1229">
        <v>2</v>
      </c>
      <c r="W1229" t="s">
        <v>2671</v>
      </c>
      <c r="X1229">
        <v>1</v>
      </c>
      <c r="Y1229" t="s">
        <v>3237</v>
      </c>
      <c r="Z1229" t="s">
        <v>2684</v>
      </c>
      <c r="AA1229">
        <v>1030040901202</v>
      </c>
      <c r="AB1229" t="s">
        <v>810</v>
      </c>
      <c r="AC1229">
        <v>0</v>
      </c>
      <c r="AD1229">
        <v>41</v>
      </c>
      <c r="AE1229">
        <v>103004090120241</v>
      </c>
      <c r="AF1229" t="s">
        <v>5520</v>
      </c>
      <c r="AG1229">
        <v>1</v>
      </c>
      <c r="AH1229">
        <v>1</v>
      </c>
    </row>
    <row r="1230" spans="1:35">
      <c r="A1230">
        <v>2025</v>
      </c>
      <c r="B1230" s="1">
        <v>45931</v>
      </c>
      <c r="C1230" t="s">
        <v>2657</v>
      </c>
      <c r="D1230" t="s">
        <v>5527</v>
      </c>
      <c r="E1230" s="43">
        <v>45946.710008333335</v>
      </c>
      <c r="F1230" s="1">
        <v>45946</v>
      </c>
      <c r="G1230" s="43">
        <v>45957.588018645831</v>
      </c>
      <c r="H1230" t="s">
        <v>2659</v>
      </c>
      <c r="I1230" t="s">
        <v>2719</v>
      </c>
      <c r="J1230" t="s">
        <v>37</v>
      </c>
      <c r="L1230" t="s">
        <v>2351</v>
      </c>
      <c r="M1230">
        <v>1030040901202</v>
      </c>
      <c r="N1230" t="s">
        <v>2661</v>
      </c>
      <c r="O1230" s="1">
        <v>45702</v>
      </c>
      <c r="T1230" t="s">
        <v>2662</v>
      </c>
      <c r="U1230" t="s">
        <v>5528</v>
      </c>
      <c r="V1230">
        <v>7</v>
      </c>
      <c r="W1230" t="s">
        <v>2671</v>
      </c>
      <c r="X1230">
        <v>1</v>
      </c>
      <c r="Y1230" t="s">
        <v>2683</v>
      </c>
      <c r="AA1230">
        <v>1030040901202</v>
      </c>
      <c r="AB1230" t="s">
        <v>810</v>
      </c>
      <c r="AC1230">
        <v>0</v>
      </c>
      <c r="AD1230">
        <v>42</v>
      </c>
      <c r="AE1230">
        <v>103004090120242</v>
      </c>
      <c r="AF1230" t="s">
        <v>5520</v>
      </c>
      <c r="AG1230">
        <v>0</v>
      </c>
      <c r="AH1230">
        <v>0</v>
      </c>
    </row>
    <row r="1231" spans="1:35">
      <c r="A1231">
        <v>2025</v>
      </c>
      <c r="B1231" s="1">
        <v>45931</v>
      </c>
      <c r="C1231" t="s">
        <v>2657</v>
      </c>
      <c r="D1231" t="s">
        <v>5529</v>
      </c>
      <c r="E1231" s="43">
        <v>45947.718533692132</v>
      </c>
      <c r="F1231" s="1">
        <v>45947</v>
      </c>
      <c r="G1231" s="43">
        <v>45959.593495335648</v>
      </c>
      <c r="H1231" t="s">
        <v>2659</v>
      </c>
      <c r="I1231" t="s">
        <v>2719</v>
      </c>
      <c r="J1231" t="s">
        <v>37</v>
      </c>
      <c r="L1231" t="s">
        <v>2351</v>
      </c>
      <c r="M1231">
        <v>1030040901202</v>
      </c>
      <c r="N1231" t="s">
        <v>2661</v>
      </c>
      <c r="O1231" s="1">
        <v>45702</v>
      </c>
      <c r="T1231" t="s">
        <v>2662</v>
      </c>
      <c r="U1231" t="s">
        <v>5530</v>
      </c>
      <c r="V1231">
        <v>8</v>
      </c>
      <c r="W1231" t="s">
        <v>2677</v>
      </c>
      <c r="X1231">
        <v>1</v>
      </c>
      <c r="Y1231" t="s">
        <v>2807</v>
      </c>
      <c r="AA1231">
        <v>1030040901202</v>
      </c>
      <c r="AB1231" t="s">
        <v>810</v>
      </c>
      <c r="AC1231">
        <v>0</v>
      </c>
      <c r="AD1231">
        <v>42</v>
      </c>
      <c r="AE1231">
        <v>103004090120242</v>
      </c>
      <c r="AF1231" t="s">
        <v>5520</v>
      </c>
      <c r="AG1231">
        <v>0</v>
      </c>
      <c r="AH1231">
        <v>0</v>
      </c>
    </row>
    <row r="1232" spans="1:35">
      <c r="A1232">
        <v>2025</v>
      </c>
      <c r="B1232" s="1">
        <v>45931</v>
      </c>
      <c r="C1232" t="s">
        <v>2657</v>
      </c>
      <c r="D1232" t="s">
        <v>5531</v>
      </c>
      <c r="E1232" s="43">
        <v>45957.614811053238</v>
      </c>
      <c r="F1232" s="1">
        <v>45957</v>
      </c>
      <c r="G1232" s="43">
        <v>45957.615136087959</v>
      </c>
      <c r="H1232" t="s">
        <v>2659</v>
      </c>
      <c r="I1232" t="s">
        <v>2660</v>
      </c>
      <c r="J1232" t="s">
        <v>37</v>
      </c>
      <c r="L1232" t="s">
        <v>2351</v>
      </c>
      <c r="M1232">
        <v>1030040901202</v>
      </c>
      <c r="N1232" t="s">
        <v>2661</v>
      </c>
      <c r="O1232" s="1">
        <v>45702</v>
      </c>
      <c r="T1232" t="s">
        <v>2662</v>
      </c>
      <c r="U1232" t="s">
        <v>5532</v>
      </c>
      <c r="V1232">
        <v>0</v>
      </c>
      <c r="W1232" t="s">
        <v>2671</v>
      </c>
      <c r="X1232">
        <v>1</v>
      </c>
      <c r="Y1232" t="s">
        <v>2695</v>
      </c>
      <c r="AA1232">
        <v>1030040901202</v>
      </c>
      <c r="AB1232" t="s">
        <v>810</v>
      </c>
      <c r="AC1232">
        <v>0</v>
      </c>
      <c r="AD1232">
        <v>44</v>
      </c>
      <c r="AE1232">
        <v>103004090120244</v>
      </c>
      <c r="AF1232" t="s">
        <v>5520</v>
      </c>
      <c r="AG1232">
        <v>1</v>
      </c>
      <c r="AH1232">
        <v>0</v>
      </c>
    </row>
    <row r="1233" spans="1:34">
      <c r="A1233">
        <v>2025</v>
      </c>
      <c r="B1233" s="1">
        <v>45931</v>
      </c>
      <c r="C1233" t="s">
        <v>2657</v>
      </c>
      <c r="D1233" t="s">
        <v>5533</v>
      </c>
      <c r="E1233" s="43">
        <v>45957.880169155091</v>
      </c>
      <c r="F1233" s="1">
        <v>45957</v>
      </c>
      <c r="G1233" s="43">
        <v>45957.880169155091</v>
      </c>
      <c r="H1233" t="s">
        <v>2659</v>
      </c>
      <c r="I1233" t="s">
        <v>2660</v>
      </c>
      <c r="J1233" t="s">
        <v>37</v>
      </c>
      <c r="L1233" t="s">
        <v>2351</v>
      </c>
      <c r="M1233">
        <v>1030040901202</v>
      </c>
      <c r="N1233" t="s">
        <v>2661</v>
      </c>
      <c r="O1233" s="1">
        <v>45702</v>
      </c>
      <c r="T1233" t="s">
        <v>2662</v>
      </c>
      <c r="U1233" t="s">
        <v>5534</v>
      </c>
      <c r="V1233">
        <v>0</v>
      </c>
      <c r="W1233" t="s">
        <v>2677</v>
      </c>
      <c r="X1233">
        <v>1</v>
      </c>
      <c r="Y1233" t="s">
        <v>2807</v>
      </c>
      <c r="AA1233">
        <v>1030040901202</v>
      </c>
      <c r="AB1233" t="s">
        <v>810</v>
      </c>
      <c r="AC1233">
        <v>0</v>
      </c>
      <c r="AD1233">
        <v>44</v>
      </c>
      <c r="AE1233">
        <v>103004090120244</v>
      </c>
      <c r="AF1233" t="s">
        <v>5520</v>
      </c>
      <c r="AG1233">
        <v>0</v>
      </c>
      <c r="AH1233">
        <v>0</v>
      </c>
    </row>
    <row r="1234" spans="1:34">
      <c r="A1234">
        <v>2025</v>
      </c>
      <c r="B1234" s="1">
        <v>45931</v>
      </c>
      <c r="C1234" t="s">
        <v>2657</v>
      </c>
      <c r="D1234" t="s">
        <v>5535</v>
      </c>
      <c r="E1234" s="43">
        <v>45960.832549814812</v>
      </c>
      <c r="F1234" s="1">
        <v>45960</v>
      </c>
      <c r="G1234" s="43">
        <v>45985.524376354166</v>
      </c>
      <c r="H1234" t="s">
        <v>2659</v>
      </c>
      <c r="I1234" t="s">
        <v>2697</v>
      </c>
      <c r="J1234" t="s">
        <v>37</v>
      </c>
      <c r="L1234" t="s">
        <v>2351</v>
      </c>
      <c r="M1234">
        <v>1030040901202</v>
      </c>
      <c r="N1234" t="s">
        <v>2661</v>
      </c>
      <c r="O1234" s="1">
        <v>45702</v>
      </c>
      <c r="T1234" t="s">
        <v>2662</v>
      </c>
      <c r="U1234" t="s">
        <v>5536</v>
      </c>
      <c r="V1234">
        <v>17</v>
      </c>
      <c r="W1234" t="s">
        <v>2677</v>
      </c>
      <c r="X1234">
        <v>1</v>
      </c>
      <c r="Y1234" t="s">
        <v>2807</v>
      </c>
      <c r="AA1234">
        <v>1030040901202</v>
      </c>
      <c r="AB1234" t="s">
        <v>810</v>
      </c>
      <c r="AC1234">
        <v>0</v>
      </c>
      <c r="AD1234">
        <v>44</v>
      </c>
      <c r="AE1234">
        <v>103004090120244</v>
      </c>
      <c r="AF1234" t="s">
        <v>5520</v>
      </c>
      <c r="AG1234">
        <v>0</v>
      </c>
      <c r="AH1234">
        <v>0</v>
      </c>
    </row>
    <row r="1235" spans="1:34">
      <c r="A1235">
        <v>2026</v>
      </c>
      <c r="B1235" s="1">
        <v>46054</v>
      </c>
      <c r="C1235" t="s">
        <v>2657</v>
      </c>
      <c r="D1235" t="s">
        <v>5537</v>
      </c>
      <c r="E1235" s="43">
        <v>46079.822115474541</v>
      </c>
      <c r="F1235" s="1">
        <v>46079</v>
      </c>
      <c r="G1235" s="43">
        <v>46085.574315335645</v>
      </c>
      <c r="H1235" t="s">
        <v>2725</v>
      </c>
      <c r="I1235" t="s">
        <v>2660</v>
      </c>
      <c r="J1235" t="s">
        <v>37</v>
      </c>
      <c r="L1235" t="s">
        <v>2364</v>
      </c>
      <c r="M1235">
        <v>364311616102</v>
      </c>
      <c r="N1235" t="s">
        <v>2661</v>
      </c>
      <c r="O1235" s="1">
        <v>46020</v>
      </c>
      <c r="T1235" t="s">
        <v>2798</v>
      </c>
      <c r="U1235" t="s">
        <v>5538</v>
      </c>
      <c r="V1235">
        <v>11</v>
      </c>
      <c r="W1235" t="s">
        <v>2677</v>
      </c>
      <c r="X1235">
        <v>0</v>
      </c>
      <c r="Y1235" t="s">
        <v>2760</v>
      </c>
      <c r="AA1235">
        <v>364311616102</v>
      </c>
      <c r="AB1235" t="s">
        <v>2607</v>
      </c>
      <c r="AC1235">
        <v>1</v>
      </c>
      <c r="AD1235">
        <v>9</v>
      </c>
      <c r="AE1235">
        <v>3643116161029</v>
      </c>
      <c r="AF1235" t="s">
        <v>5539</v>
      </c>
      <c r="AG1235">
        <v>1</v>
      </c>
      <c r="AH1235">
        <v>1</v>
      </c>
    </row>
    <row r="1236" spans="1:34">
      <c r="A1236">
        <v>2025</v>
      </c>
      <c r="B1236" s="1">
        <v>45992</v>
      </c>
      <c r="C1236" t="s">
        <v>2657</v>
      </c>
      <c r="D1236" t="s">
        <v>5540</v>
      </c>
      <c r="E1236" s="43">
        <v>45994.844880706019</v>
      </c>
      <c r="F1236" s="1">
        <v>45994</v>
      </c>
      <c r="G1236" s="43">
        <v>45994.844880706019</v>
      </c>
      <c r="H1236" t="s">
        <v>2686</v>
      </c>
      <c r="I1236" t="s">
        <v>2669</v>
      </c>
      <c r="J1236" t="s">
        <v>36</v>
      </c>
      <c r="L1236" t="s">
        <v>2363</v>
      </c>
      <c r="M1236">
        <v>45030065502</v>
      </c>
      <c r="N1236" t="s">
        <v>2702</v>
      </c>
      <c r="O1236" s="1">
        <v>45669</v>
      </c>
      <c r="T1236" t="s">
        <v>2662</v>
      </c>
      <c r="U1236" t="s">
        <v>5541</v>
      </c>
      <c r="V1236">
        <v>0</v>
      </c>
      <c r="X1236">
        <v>1</v>
      </c>
      <c r="Y1236" t="s">
        <v>2695</v>
      </c>
      <c r="AA1236">
        <v>45030065502</v>
      </c>
      <c r="AB1236" t="s">
        <v>2284</v>
      </c>
      <c r="AC1236">
        <v>0</v>
      </c>
      <c r="AD1236">
        <v>49</v>
      </c>
      <c r="AE1236">
        <v>4503006550249</v>
      </c>
      <c r="AF1236" t="s">
        <v>5542</v>
      </c>
      <c r="AG1236">
        <v>1</v>
      </c>
      <c r="AH1236">
        <v>1</v>
      </c>
    </row>
    <row r="1237" spans="1:34">
      <c r="A1237">
        <v>2025</v>
      </c>
      <c r="B1237" s="1">
        <v>45992</v>
      </c>
      <c r="C1237" t="s">
        <v>2657</v>
      </c>
      <c r="D1237" t="s">
        <v>5543</v>
      </c>
      <c r="E1237" s="43">
        <v>46007.884857858793</v>
      </c>
      <c r="F1237" s="1">
        <v>46007</v>
      </c>
      <c r="G1237" s="43">
        <v>46035.558734282407</v>
      </c>
      <c r="H1237" t="s">
        <v>2686</v>
      </c>
      <c r="I1237" t="s">
        <v>2719</v>
      </c>
      <c r="J1237" t="s">
        <v>100</v>
      </c>
      <c r="L1237" t="s">
        <v>2363</v>
      </c>
      <c r="M1237">
        <v>45030065502</v>
      </c>
      <c r="N1237" t="s">
        <v>2702</v>
      </c>
      <c r="O1237" s="1">
        <v>45669</v>
      </c>
      <c r="T1237" t="s">
        <v>2662</v>
      </c>
      <c r="U1237" t="s">
        <v>5544</v>
      </c>
      <c r="V1237">
        <v>20</v>
      </c>
      <c r="X1237">
        <v>1</v>
      </c>
      <c r="Y1237" t="s">
        <v>2717</v>
      </c>
      <c r="AA1237">
        <v>45030065502</v>
      </c>
      <c r="AB1237" t="s">
        <v>2284</v>
      </c>
      <c r="AC1237">
        <v>0</v>
      </c>
      <c r="AD1237">
        <v>51</v>
      </c>
      <c r="AE1237">
        <v>4503006550251</v>
      </c>
      <c r="AF1237" t="s">
        <v>5542</v>
      </c>
      <c r="AG1237">
        <v>1</v>
      </c>
      <c r="AH1237">
        <v>0</v>
      </c>
    </row>
    <row r="1238" spans="1:34">
      <c r="A1238">
        <v>2025</v>
      </c>
      <c r="B1238" s="1">
        <v>45931</v>
      </c>
      <c r="C1238" t="s">
        <v>2657</v>
      </c>
      <c r="D1238" t="s">
        <v>5545</v>
      </c>
      <c r="E1238" s="43">
        <v>45936.838961574074</v>
      </c>
      <c r="F1238" s="1">
        <v>45936</v>
      </c>
      <c r="G1238" s="43">
        <v>45937.657178773145</v>
      </c>
      <c r="H1238" t="s">
        <v>2659</v>
      </c>
      <c r="I1238" t="s">
        <v>2669</v>
      </c>
      <c r="J1238" t="s">
        <v>2735</v>
      </c>
      <c r="L1238" t="s">
        <v>2361</v>
      </c>
      <c r="M1238">
        <v>794325328902</v>
      </c>
      <c r="N1238" t="s">
        <v>2746</v>
      </c>
      <c r="O1238" s="1">
        <v>45457</v>
      </c>
      <c r="T1238" t="s">
        <v>2662</v>
      </c>
      <c r="U1238" t="s">
        <v>5546</v>
      </c>
      <c r="V1238">
        <v>1</v>
      </c>
      <c r="W1238" t="s">
        <v>2664</v>
      </c>
      <c r="X1238">
        <v>1</v>
      </c>
      <c r="Y1238" t="s">
        <v>2665</v>
      </c>
      <c r="AA1238">
        <v>97759973202</v>
      </c>
      <c r="AB1238" t="s">
        <v>2118</v>
      </c>
      <c r="AC1238">
        <v>0</v>
      </c>
      <c r="AD1238">
        <v>41</v>
      </c>
      <c r="AE1238">
        <v>9775997320241</v>
      </c>
      <c r="AF1238" t="s">
        <v>5547</v>
      </c>
      <c r="AG1238">
        <v>1</v>
      </c>
      <c r="AH1238">
        <v>0</v>
      </c>
    </row>
    <row r="1239" spans="1:34">
      <c r="A1239">
        <v>2025</v>
      </c>
      <c r="B1239" s="1">
        <v>45931</v>
      </c>
      <c r="C1239" t="s">
        <v>2657</v>
      </c>
      <c r="D1239" t="s">
        <v>5548</v>
      </c>
      <c r="E1239" s="43">
        <v>45933.695473715277</v>
      </c>
      <c r="F1239" s="1">
        <v>45933</v>
      </c>
      <c r="G1239" s="43">
        <v>45936.509683090277</v>
      </c>
      <c r="H1239" t="s">
        <v>2659</v>
      </c>
      <c r="I1239" t="s">
        <v>2669</v>
      </c>
      <c r="J1239" t="s">
        <v>2735</v>
      </c>
      <c r="L1239" t="s">
        <v>2361</v>
      </c>
      <c r="M1239">
        <v>97759973202</v>
      </c>
      <c r="N1239" t="s">
        <v>2746</v>
      </c>
      <c r="O1239" s="1">
        <v>45294</v>
      </c>
      <c r="T1239" t="s">
        <v>2662</v>
      </c>
      <c r="U1239" t="s">
        <v>5546</v>
      </c>
      <c r="V1239">
        <v>1</v>
      </c>
      <c r="W1239" t="s">
        <v>2671</v>
      </c>
      <c r="X1239">
        <v>1</v>
      </c>
      <c r="Y1239" t="s">
        <v>2672</v>
      </c>
      <c r="AA1239">
        <v>97759973202</v>
      </c>
      <c r="AB1239" t="s">
        <v>2118</v>
      </c>
      <c r="AC1239">
        <v>0</v>
      </c>
      <c r="AD1239">
        <v>40</v>
      </c>
      <c r="AE1239">
        <v>9775997320240</v>
      </c>
      <c r="AF1239" t="s">
        <v>5547</v>
      </c>
      <c r="AG1239">
        <v>1</v>
      </c>
      <c r="AH1239">
        <v>1</v>
      </c>
    </row>
    <row r="1240" spans="1:34">
      <c r="A1240">
        <v>2025</v>
      </c>
      <c r="B1240" s="1">
        <v>45931</v>
      </c>
      <c r="C1240" t="s">
        <v>2657</v>
      </c>
      <c r="D1240" t="s">
        <v>5549</v>
      </c>
      <c r="E1240" s="43">
        <v>45950.778898888886</v>
      </c>
      <c r="F1240" s="1">
        <v>45950</v>
      </c>
      <c r="G1240" s="43">
        <v>45958.813975405094</v>
      </c>
      <c r="H1240" t="s">
        <v>2659</v>
      </c>
      <c r="I1240" t="s">
        <v>2719</v>
      </c>
      <c r="J1240" t="s">
        <v>2735</v>
      </c>
      <c r="L1240" t="s">
        <v>2361</v>
      </c>
      <c r="M1240">
        <v>794325328902</v>
      </c>
      <c r="N1240" t="s">
        <v>2746</v>
      </c>
      <c r="O1240" s="1">
        <v>45457</v>
      </c>
      <c r="T1240" t="s">
        <v>2662</v>
      </c>
      <c r="U1240" t="s">
        <v>5550</v>
      </c>
      <c r="V1240">
        <v>6</v>
      </c>
      <c r="W1240" t="s">
        <v>2664</v>
      </c>
      <c r="X1240">
        <v>1</v>
      </c>
      <c r="Y1240" t="s">
        <v>2665</v>
      </c>
      <c r="AA1240">
        <v>97759973202</v>
      </c>
      <c r="AB1240" t="s">
        <v>2118</v>
      </c>
      <c r="AC1240">
        <v>0</v>
      </c>
      <c r="AD1240">
        <v>43</v>
      </c>
      <c r="AE1240">
        <v>9775997320243</v>
      </c>
      <c r="AF1240" t="s">
        <v>5547</v>
      </c>
      <c r="AG1240">
        <v>1</v>
      </c>
      <c r="AH1240">
        <v>0</v>
      </c>
    </row>
    <row r="1241" spans="1:34">
      <c r="A1241">
        <v>2025</v>
      </c>
      <c r="B1241" s="1">
        <v>45931</v>
      </c>
      <c r="C1241" t="s">
        <v>2657</v>
      </c>
      <c r="D1241" s="44" t="s">
        <v>5551</v>
      </c>
      <c r="E1241" s="43">
        <v>45961.545609537039</v>
      </c>
      <c r="F1241" s="1">
        <v>45961</v>
      </c>
      <c r="G1241" s="43">
        <v>45964.590257534721</v>
      </c>
      <c r="H1241" t="s">
        <v>2659</v>
      </c>
      <c r="I1241" t="s">
        <v>2697</v>
      </c>
      <c r="J1241" t="s">
        <v>2735</v>
      </c>
      <c r="L1241" t="s">
        <v>2361</v>
      </c>
      <c r="M1241">
        <v>794325328902</v>
      </c>
      <c r="N1241" t="s">
        <v>2746</v>
      </c>
      <c r="O1241" s="1">
        <v>45457</v>
      </c>
      <c r="T1241" t="s">
        <v>2662</v>
      </c>
      <c r="U1241" t="s">
        <v>5552</v>
      </c>
      <c r="V1241">
        <v>1</v>
      </c>
      <c r="X1241">
        <v>1</v>
      </c>
      <c r="Y1241" t="s">
        <v>2931</v>
      </c>
      <c r="Z1241" t="s">
        <v>2684</v>
      </c>
      <c r="AA1241">
        <v>97759973202</v>
      </c>
      <c r="AB1241" t="s">
        <v>2118</v>
      </c>
      <c r="AC1241">
        <v>0</v>
      </c>
      <c r="AD1241">
        <v>44</v>
      </c>
      <c r="AE1241">
        <v>9775997320244</v>
      </c>
      <c r="AF1241" t="s">
        <v>5547</v>
      </c>
      <c r="AG1241">
        <v>1</v>
      </c>
      <c r="AH1241">
        <v>0</v>
      </c>
    </row>
    <row r="1242" spans="1:34">
      <c r="A1242">
        <v>2026</v>
      </c>
      <c r="B1242" s="1">
        <v>46082</v>
      </c>
      <c r="C1242" t="s">
        <v>2657</v>
      </c>
      <c r="D1242" t="s">
        <v>5553</v>
      </c>
      <c r="E1242" s="43">
        <v>46090.594819189813</v>
      </c>
      <c r="F1242" s="1">
        <v>46090</v>
      </c>
      <c r="G1242" s="43">
        <v>46090.609002650461</v>
      </c>
      <c r="H1242" t="s">
        <v>2668</v>
      </c>
      <c r="I1242" t="s">
        <v>2681</v>
      </c>
      <c r="J1242" t="s">
        <v>38</v>
      </c>
      <c r="L1242" t="s">
        <v>2379</v>
      </c>
      <c r="M1242">
        <v>627010921602</v>
      </c>
      <c r="N1242" t="s">
        <v>2675</v>
      </c>
      <c r="O1242" s="1">
        <v>45503</v>
      </c>
      <c r="T1242" t="s">
        <v>2662</v>
      </c>
      <c r="U1242" t="s">
        <v>5554</v>
      </c>
      <c r="V1242">
        <v>0</v>
      </c>
      <c r="W1242" t="s">
        <v>2671</v>
      </c>
      <c r="X1242">
        <v>1</v>
      </c>
      <c r="Y1242" t="s">
        <v>2692</v>
      </c>
      <c r="AA1242">
        <v>627010921602</v>
      </c>
      <c r="AB1242" t="s">
        <v>1204</v>
      </c>
      <c r="AC1242">
        <v>1</v>
      </c>
      <c r="AD1242">
        <v>11</v>
      </c>
      <c r="AE1242">
        <v>62701092160211</v>
      </c>
      <c r="AF1242" t="s">
        <v>5555</v>
      </c>
      <c r="AG1242">
        <v>1</v>
      </c>
      <c r="AH1242">
        <v>1</v>
      </c>
    </row>
    <row r="1243" spans="1:34">
      <c r="A1243">
        <v>2026</v>
      </c>
      <c r="B1243" s="1">
        <v>46054</v>
      </c>
      <c r="C1243" t="s">
        <v>2657</v>
      </c>
      <c r="D1243" t="s">
        <v>5556</v>
      </c>
      <c r="E1243" s="43">
        <v>46078.772250520837</v>
      </c>
      <c r="F1243" s="1">
        <v>46078</v>
      </c>
      <c r="G1243" s="43">
        <v>46080.526043032405</v>
      </c>
      <c r="H1243" t="s">
        <v>2725</v>
      </c>
      <c r="I1243" t="s">
        <v>2660</v>
      </c>
      <c r="J1243" t="s">
        <v>36</v>
      </c>
      <c r="L1243" t="s">
        <v>2421</v>
      </c>
      <c r="M1243">
        <v>308287047902</v>
      </c>
      <c r="N1243" t="s">
        <v>2661</v>
      </c>
      <c r="O1243" s="1">
        <v>45669</v>
      </c>
      <c r="T1243" t="s">
        <v>2662</v>
      </c>
      <c r="U1243" t="s">
        <v>5557</v>
      </c>
      <c r="V1243">
        <v>2</v>
      </c>
      <c r="W1243" t="s">
        <v>2743</v>
      </c>
      <c r="X1243">
        <v>1</v>
      </c>
      <c r="Y1243" t="s">
        <v>2721</v>
      </c>
      <c r="AA1243">
        <v>685488901302</v>
      </c>
      <c r="AB1243" t="s">
        <v>414</v>
      </c>
      <c r="AC1243">
        <v>0</v>
      </c>
      <c r="AD1243">
        <v>9</v>
      </c>
      <c r="AE1243">
        <v>6854889013029</v>
      </c>
      <c r="AF1243" t="s">
        <v>5558</v>
      </c>
      <c r="AG1243">
        <v>1</v>
      </c>
      <c r="AH1243">
        <v>1</v>
      </c>
    </row>
    <row r="1244" spans="1:34">
      <c r="A1244">
        <v>2025</v>
      </c>
      <c r="B1244" s="1">
        <v>45962</v>
      </c>
      <c r="C1244" t="s">
        <v>2657</v>
      </c>
      <c r="D1244" t="s">
        <v>5559</v>
      </c>
      <c r="E1244" s="43">
        <v>45965.590073414351</v>
      </c>
      <c r="F1244" s="1">
        <v>45965</v>
      </c>
      <c r="G1244" s="43">
        <v>45979.705920787041</v>
      </c>
      <c r="H1244" t="s">
        <v>2802</v>
      </c>
      <c r="I1244" t="s">
        <v>2669</v>
      </c>
      <c r="J1244" t="s">
        <v>38</v>
      </c>
      <c r="L1244" t="s">
        <v>2379</v>
      </c>
      <c r="M1244">
        <v>366470259302</v>
      </c>
      <c r="N1244" t="s">
        <v>2675</v>
      </c>
      <c r="O1244" s="1">
        <v>45294</v>
      </c>
      <c r="T1244" t="s">
        <v>2662</v>
      </c>
      <c r="U1244" t="s">
        <v>5560</v>
      </c>
      <c r="V1244">
        <v>10</v>
      </c>
      <c r="W1244" t="s">
        <v>2677</v>
      </c>
      <c r="X1244">
        <v>1</v>
      </c>
      <c r="Y1244" t="s">
        <v>2779</v>
      </c>
      <c r="AA1244">
        <v>827345792502</v>
      </c>
      <c r="AB1244" t="s">
        <v>2415</v>
      </c>
      <c r="AC1244">
        <v>0</v>
      </c>
      <c r="AD1244">
        <v>45</v>
      </c>
      <c r="AE1244">
        <v>82734579250245</v>
      </c>
      <c r="AF1244" t="s">
        <v>5561</v>
      </c>
      <c r="AG1244">
        <v>1</v>
      </c>
      <c r="AH1244">
        <v>1</v>
      </c>
    </row>
    <row r="1245" spans="1:34">
      <c r="A1245">
        <v>2025</v>
      </c>
      <c r="B1245" s="1">
        <v>45901</v>
      </c>
      <c r="C1245" t="s">
        <v>2657</v>
      </c>
      <c r="D1245" t="s">
        <v>5562</v>
      </c>
      <c r="E1245" s="43">
        <v>45904.792526203702</v>
      </c>
      <c r="F1245" s="1">
        <v>45904</v>
      </c>
      <c r="G1245" s="43">
        <v>45908.526268935188</v>
      </c>
      <c r="H1245" t="s">
        <v>2734</v>
      </c>
      <c r="I1245" t="s">
        <v>2669</v>
      </c>
      <c r="J1245" t="s">
        <v>2735</v>
      </c>
      <c r="L1245" t="s">
        <v>2362</v>
      </c>
      <c r="M1245">
        <v>25248213105</v>
      </c>
      <c r="N1245" t="s">
        <v>2746</v>
      </c>
      <c r="O1245" s="1">
        <v>45294</v>
      </c>
      <c r="T1245" t="s">
        <v>2662</v>
      </c>
      <c r="U1245" t="s">
        <v>5563</v>
      </c>
      <c r="V1245">
        <v>2</v>
      </c>
      <c r="W1245" t="s">
        <v>2671</v>
      </c>
      <c r="X1245">
        <v>1</v>
      </c>
      <c r="Y1245" t="s">
        <v>2764</v>
      </c>
      <c r="Z1245" t="s">
        <v>2684</v>
      </c>
      <c r="AA1245">
        <v>25248213105</v>
      </c>
      <c r="AB1245" t="s">
        <v>1611</v>
      </c>
      <c r="AC1245">
        <v>0</v>
      </c>
      <c r="AD1245">
        <v>36</v>
      </c>
      <c r="AE1245">
        <v>2524821310536</v>
      </c>
      <c r="AF1245" t="s">
        <v>5564</v>
      </c>
      <c r="AG1245">
        <v>0</v>
      </c>
      <c r="AH1245">
        <v>0</v>
      </c>
    </row>
    <row r="1246" spans="1:34">
      <c r="A1246">
        <v>2025</v>
      </c>
      <c r="B1246" s="1">
        <v>45901</v>
      </c>
      <c r="C1246" t="s">
        <v>2657</v>
      </c>
      <c r="D1246" t="s">
        <v>5565</v>
      </c>
      <c r="E1246" s="43">
        <v>45902.713470798612</v>
      </c>
      <c r="F1246" s="1">
        <v>45902</v>
      </c>
      <c r="G1246" s="43">
        <v>45904.79112494213</v>
      </c>
      <c r="H1246" t="s">
        <v>2734</v>
      </c>
      <c r="I1246" t="s">
        <v>2669</v>
      </c>
      <c r="J1246" t="s">
        <v>2735</v>
      </c>
      <c r="L1246" t="s">
        <v>2362</v>
      </c>
      <c r="M1246">
        <v>25248213105</v>
      </c>
      <c r="N1246" t="s">
        <v>2746</v>
      </c>
      <c r="O1246" s="1">
        <v>45294</v>
      </c>
      <c r="T1246" t="s">
        <v>2662</v>
      </c>
      <c r="U1246" t="s">
        <v>5566</v>
      </c>
      <c r="V1246">
        <v>2</v>
      </c>
      <c r="W1246" t="s">
        <v>2985</v>
      </c>
      <c r="X1246">
        <v>1</v>
      </c>
      <c r="Y1246" t="s">
        <v>2985</v>
      </c>
      <c r="AA1246">
        <v>25248213105</v>
      </c>
      <c r="AB1246" t="s">
        <v>1611</v>
      </c>
      <c r="AC1246">
        <v>0</v>
      </c>
      <c r="AD1246">
        <v>36</v>
      </c>
      <c r="AE1246">
        <v>2524821310536</v>
      </c>
      <c r="AF1246" t="s">
        <v>5564</v>
      </c>
      <c r="AG1246">
        <v>1</v>
      </c>
      <c r="AH1246">
        <v>1</v>
      </c>
    </row>
    <row r="1247" spans="1:34">
      <c r="A1247">
        <v>2025</v>
      </c>
      <c r="B1247" s="1">
        <v>45901</v>
      </c>
      <c r="C1247" t="s">
        <v>2657</v>
      </c>
      <c r="D1247" t="s">
        <v>5567</v>
      </c>
      <c r="E1247" s="43">
        <v>45917.640161226853</v>
      </c>
      <c r="F1247" s="1">
        <v>45917</v>
      </c>
      <c r="G1247" s="43">
        <v>45917.640161226853</v>
      </c>
      <c r="H1247" t="s">
        <v>2734</v>
      </c>
      <c r="I1247" t="s">
        <v>2719</v>
      </c>
      <c r="J1247" t="s">
        <v>2735</v>
      </c>
      <c r="L1247" t="s">
        <v>2362</v>
      </c>
      <c r="M1247">
        <v>25248213105</v>
      </c>
      <c r="N1247" t="s">
        <v>2746</v>
      </c>
      <c r="O1247" s="1">
        <v>45294</v>
      </c>
      <c r="T1247" t="s">
        <v>2662</v>
      </c>
      <c r="U1247" t="s">
        <v>5568</v>
      </c>
      <c r="V1247">
        <v>0</v>
      </c>
      <c r="W1247" t="s">
        <v>2677</v>
      </c>
      <c r="X1247">
        <v>1</v>
      </c>
      <c r="Y1247" t="s">
        <v>2772</v>
      </c>
      <c r="Z1247" t="s">
        <v>2684</v>
      </c>
      <c r="AA1247">
        <v>25248213105</v>
      </c>
      <c r="AB1247" t="s">
        <v>1611</v>
      </c>
      <c r="AC1247">
        <v>0</v>
      </c>
      <c r="AD1247">
        <v>38</v>
      </c>
      <c r="AE1247">
        <v>2524821310538</v>
      </c>
      <c r="AF1247" t="s">
        <v>5564</v>
      </c>
      <c r="AG1247">
        <v>0</v>
      </c>
      <c r="AH1247">
        <v>0</v>
      </c>
    </row>
    <row r="1248" spans="1:34">
      <c r="A1248">
        <v>2025</v>
      </c>
      <c r="B1248" s="1">
        <v>45901</v>
      </c>
      <c r="C1248" t="s">
        <v>2657</v>
      </c>
      <c r="D1248" t="s">
        <v>5569</v>
      </c>
      <c r="E1248" s="43">
        <v>45917.633312812497</v>
      </c>
      <c r="F1248" s="1">
        <v>45917</v>
      </c>
      <c r="G1248" s="43">
        <v>45936.860643576387</v>
      </c>
      <c r="H1248" t="s">
        <v>2734</v>
      </c>
      <c r="I1248" t="s">
        <v>2719</v>
      </c>
      <c r="J1248" t="s">
        <v>2735</v>
      </c>
      <c r="L1248" t="s">
        <v>2362</v>
      </c>
      <c r="M1248">
        <v>25248213105</v>
      </c>
      <c r="N1248" t="s">
        <v>2746</v>
      </c>
      <c r="O1248" s="1">
        <v>45294</v>
      </c>
      <c r="T1248" t="s">
        <v>2662</v>
      </c>
      <c r="U1248" t="s">
        <v>5570</v>
      </c>
      <c r="V1248">
        <v>13</v>
      </c>
      <c r="W1248" t="s">
        <v>2671</v>
      </c>
      <c r="X1248">
        <v>1</v>
      </c>
      <c r="Y1248" t="s">
        <v>2683</v>
      </c>
      <c r="Z1248" t="s">
        <v>2684</v>
      </c>
      <c r="AA1248">
        <v>25248213105</v>
      </c>
      <c r="AB1248" t="s">
        <v>1611</v>
      </c>
      <c r="AC1248">
        <v>0</v>
      </c>
      <c r="AD1248">
        <v>38</v>
      </c>
      <c r="AE1248">
        <v>2524821310538</v>
      </c>
      <c r="AF1248" t="s">
        <v>5564</v>
      </c>
      <c r="AG1248">
        <v>0</v>
      </c>
      <c r="AH1248">
        <v>0</v>
      </c>
    </row>
    <row r="1249" spans="1:34">
      <c r="A1249">
        <v>2025</v>
      </c>
      <c r="B1249" s="1">
        <v>45901</v>
      </c>
      <c r="C1249" t="s">
        <v>2657</v>
      </c>
      <c r="D1249" t="s">
        <v>5571</v>
      </c>
      <c r="E1249" s="43">
        <v>45915.672663101854</v>
      </c>
      <c r="F1249" s="1">
        <v>45915</v>
      </c>
      <c r="G1249" s="43">
        <v>45917.660435868056</v>
      </c>
      <c r="H1249" t="s">
        <v>2734</v>
      </c>
      <c r="I1249" t="s">
        <v>2719</v>
      </c>
      <c r="J1249" t="s">
        <v>2735</v>
      </c>
      <c r="L1249" t="s">
        <v>2362</v>
      </c>
      <c r="M1249">
        <v>25248213105</v>
      </c>
      <c r="N1249" t="s">
        <v>2746</v>
      </c>
      <c r="O1249" s="1">
        <v>45294</v>
      </c>
      <c r="T1249" t="s">
        <v>2662</v>
      </c>
      <c r="U1249" t="s">
        <v>4534</v>
      </c>
      <c r="V1249">
        <v>2</v>
      </c>
      <c r="W1249" t="s">
        <v>2671</v>
      </c>
      <c r="X1249">
        <v>1</v>
      </c>
      <c r="Y1249" t="s">
        <v>2764</v>
      </c>
      <c r="Z1249" t="s">
        <v>2684</v>
      </c>
      <c r="AA1249">
        <v>25248213105</v>
      </c>
      <c r="AB1249" t="s">
        <v>1611</v>
      </c>
      <c r="AC1249">
        <v>0</v>
      </c>
      <c r="AD1249">
        <v>38</v>
      </c>
      <c r="AE1249">
        <v>2524821310538</v>
      </c>
      <c r="AF1249" t="s">
        <v>5564</v>
      </c>
      <c r="AG1249">
        <v>1</v>
      </c>
      <c r="AH1249">
        <v>0</v>
      </c>
    </row>
    <row r="1250" spans="1:34">
      <c r="A1250">
        <v>2025</v>
      </c>
      <c r="B1250" s="1">
        <v>45901</v>
      </c>
      <c r="C1250" t="s">
        <v>2657</v>
      </c>
      <c r="D1250" t="s">
        <v>5572</v>
      </c>
      <c r="E1250" s="43">
        <v>45917.63412599537</v>
      </c>
      <c r="F1250" s="1">
        <v>45917</v>
      </c>
      <c r="G1250" s="43">
        <v>45917.63412599537</v>
      </c>
      <c r="H1250" t="s">
        <v>2734</v>
      </c>
      <c r="I1250" t="s">
        <v>2719</v>
      </c>
      <c r="J1250" t="s">
        <v>2735</v>
      </c>
      <c r="L1250" t="s">
        <v>2362</v>
      </c>
      <c r="M1250">
        <v>25248213105</v>
      </c>
      <c r="N1250" t="s">
        <v>2746</v>
      </c>
      <c r="O1250" s="1">
        <v>45294</v>
      </c>
      <c r="T1250" t="s">
        <v>2662</v>
      </c>
      <c r="U1250" t="s">
        <v>5573</v>
      </c>
      <c r="V1250">
        <v>0</v>
      </c>
      <c r="W1250" t="s">
        <v>2677</v>
      </c>
      <c r="X1250">
        <v>1</v>
      </c>
      <c r="Y1250" t="s">
        <v>2779</v>
      </c>
      <c r="Z1250" t="s">
        <v>2684</v>
      </c>
      <c r="AA1250">
        <v>25248213105</v>
      </c>
      <c r="AB1250" t="s">
        <v>1611</v>
      </c>
      <c r="AC1250">
        <v>0</v>
      </c>
      <c r="AD1250">
        <v>38</v>
      </c>
      <c r="AE1250">
        <v>2524821310538</v>
      </c>
      <c r="AF1250" t="s">
        <v>5564</v>
      </c>
      <c r="AG1250">
        <v>0</v>
      </c>
      <c r="AH1250">
        <v>0</v>
      </c>
    </row>
    <row r="1251" spans="1:34">
      <c r="A1251">
        <v>2025</v>
      </c>
      <c r="B1251" s="1">
        <v>45901</v>
      </c>
      <c r="C1251" t="s">
        <v>2657</v>
      </c>
      <c r="D1251" t="s">
        <v>5574</v>
      </c>
      <c r="E1251" s="43">
        <v>45917.629156793984</v>
      </c>
      <c r="F1251" s="1">
        <v>45917</v>
      </c>
      <c r="G1251" s="43">
        <v>45918.543684363423</v>
      </c>
      <c r="H1251" t="s">
        <v>2734</v>
      </c>
      <c r="I1251" t="s">
        <v>2719</v>
      </c>
      <c r="J1251" t="s">
        <v>2735</v>
      </c>
      <c r="L1251" t="s">
        <v>2362</v>
      </c>
      <c r="M1251">
        <v>25248213105</v>
      </c>
      <c r="N1251" t="s">
        <v>2746</v>
      </c>
      <c r="O1251" s="1">
        <v>45294</v>
      </c>
      <c r="T1251" t="s">
        <v>2662</v>
      </c>
      <c r="U1251" t="s">
        <v>5575</v>
      </c>
      <c r="V1251">
        <v>1</v>
      </c>
      <c r="W1251" t="s">
        <v>2671</v>
      </c>
      <c r="X1251">
        <v>1</v>
      </c>
      <c r="Y1251" t="s">
        <v>2764</v>
      </c>
      <c r="Z1251" t="s">
        <v>2684</v>
      </c>
      <c r="AA1251">
        <v>25248213105</v>
      </c>
      <c r="AB1251" t="s">
        <v>1611</v>
      </c>
      <c r="AC1251">
        <v>0</v>
      </c>
      <c r="AD1251">
        <v>38</v>
      </c>
      <c r="AE1251">
        <v>2524821310538</v>
      </c>
      <c r="AF1251" t="s">
        <v>5564</v>
      </c>
      <c r="AG1251">
        <v>0</v>
      </c>
      <c r="AH1251">
        <v>0</v>
      </c>
    </row>
    <row r="1252" spans="1:34">
      <c r="A1252">
        <v>2025</v>
      </c>
      <c r="B1252" s="1">
        <v>45901</v>
      </c>
      <c r="C1252" t="s">
        <v>2657</v>
      </c>
      <c r="D1252" t="s">
        <v>5576</v>
      </c>
      <c r="E1252" s="43">
        <v>45918.808035613423</v>
      </c>
      <c r="F1252" s="1">
        <v>45918</v>
      </c>
      <c r="G1252" s="43">
        <v>45919.6049197338</v>
      </c>
      <c r="H1252" t="s">
        <v>2734</v>
      </c>
      <c r="I1252" t="s">
        <v>2719</v>
      </c>
      <c r="J1252" t="s">
        <v>2735</v>
      </c>
      <c r="L1252" t="s">
        <v>2362</v>
      </c>
      <c r="M1252">
        <v>25248213105</v>
      </c>
      <c r="N1252" t="s">
        <v>2746</v>
      </c>
      <c r="O1252" s="1">
        <v>45294</v>
      </c>
      <c r="T1252" t="s">
        <v>2662</v>
      </c>
      <c r="U1252" t="s">
        <v>5577</v>
      </c>
      <c r="V1252">
        <v>1</v>
      </c>
      <c r="W1252" t="s">
        <v>2671</v>
      </c>
      <c r="X1252">
        <v>1</v>
      </c>
      <c r="Y1252" t="s">
        <v>2683</v>
      </c>
      <c r="AA1252">
        <v>25248213105</v>
      </c>
      <c r="AB1252" t="s">
        <v>1611</v>
      </c>
      <c r="AC1252">
        <v>0</v>
      </c>
      <c r="AD1252">
        <v>38</v>
      </c>
      <c r="AE1252">
        <v>2524821310538</v>
      </c>
      <c r="AF1252" t="s">
        <v>5564</v>
      </c>
      <c r="AG1252">
        <v>0</v>
      </c>
      <c r="AH1252">
        <v>0</v>
      </c>
    </row>
    <row r="1253" spans="1:34">
      <c r="A1253">
        <v>2025</v>
      </c>
      <c r="B1253" s="1">
        <v>45901</v>
      </c>
      <c r="C1253" t="s">
        <v>2657</v>
      </c>
      <c r="D1253" t="s">
        <v>5578</v>
      </c>
      <c r="E1253" s="43">
        <v>45918.492309224537</v>
      </c>
      <c r="F1253" s="1">
        <v>45918</v>
      </c>
      <c r="G1253" s="43">
        <v>45919.502099814817</v>
      </c>
      <c r="H1253" t="s">
        <v>2734</v>
      </c>
      <c r="I1253" t="s">
        <v>2719</v>
      </c>
      <c r="J1253" t="s">
        <v>2735</v>
      </c>
      <c r="L1253" t="s">
        <v>2362</v>
      </c>
      <c r="M1253">
        <v>25248213105</v>
      </c>
      <c r="N1253" t="s">
        <v>2746</v>
      </c>
      <c r="O1253" s="1">
        <v>45294</v>
      </c>
      <c r="T1253" t="s">
        <v>2662</v>
      </c>
      <c r="U1253" t="s">
        <v>5579</v>
      </c>
      <c r="V1253">
        <v>1</v>
      </c>
      <c r="W1253" t="s">
        <v>2671</v>
      </c>
      <c r="X1253">
        <v>1</v>
      </c>
      <c r="Y1253" t="s">
        <v>2672</v>
      </c>
      <c r="Z1253" t="s">
        <v>2684</v>
      </c>
      <c r="AA1253">
        <v>25248213105</v>
      </c>
      <c r="AB1253" t="s">
        <v>1611</v>
      </c>
      <c r="AC1253">
        <v>0</v>
      </c>
      <c r="AD1253">
        <v>38</v>
      </c>
      <c r="AE1253">
        <v>2524821310538</v>
      </c>
      <c r="AF1253" t="s">
        <v>5564</v>
      </c>
      <c r="AG1253">
        <v>0</v>
      </c>
      <c r="AH1253">
        <v>0</v>
      </c>
    </row>
    <row r="1254" spans="1:34">
      <c r="A1254">
        <v>2025</v>
      </c>
      <c r="B1254" s="1">
        <v>45901</v>
      </c>
      <c r="C1254" t="s">
        <v>2657</v>
      </c>
      <c r="D1254" t="s">
        <v>5580</v>
      </c>
      <c r="E1254" s="43">
        <v>45918.490941701391</v>
      </c>
      <c r="F1254" s="1">
        <v>45918</v>
      </c>
      <c r="G1254" s="43">
        <v>45919.502694722221</v>
      </c>
      <c r="H1254" t="s">
        <v>2734</v>
      </c>
      <c r="I1254" t="s">
        <v>2719</v>
      </c>
      <c r="J1254" t="s">
        <v>2735</v>
      </c>
      <c r="L1254" t="s">
        <v>2362</v>
      </c>
      <c r="M1254">
        <v>25248213105</v>
      </c>
      <c r="N1254" t="s">
        <v>2746</v>
      </c>
      <c r="O1254" s="1">
        <v>45294</v>
      </c>
      <c r="T1254" t="s">
        <v>2662</v>
      </c>
      <c r="U1254" t="s">
        <v>5581</v>
      </c>
      <c r="V1254">
        <v>1</v>
      </c>
      <c r="W1254" t="s">
        <v>2677</v>
      </c>
      <c r="X1254">
        <v>1</v>
      </c>
      <c r="Y1254" t="s">
        <v>2807</v>
      </c>
      <c r="Z1254" t="s">
        <v>2684</v>
      </c>
      <c r="AA1254">
        <v>25248213105</v>
      </c>
      <c r="AB1254" t="s">
        <v>1611</v>
      </c>
      <c r="AC1254">
        <v>0</v>
      </c>
      <c r="AD1254">
        <v>38</v>
      </c>
      <c r="AE1254">
        <v>2524821310538</v>
      </c>
      <c r="AF1254" t="s">
        <v>5564</v>
      </c>
      <c r="AG1254">
        <v>0</v>
      </c>
      <c r="AH1254">
        <v>0</v>
      </c>
    </row>
    <row r="1255" spans="1:34">
      <c r="A1255">
        <v>2025</v>
      </c>
      <c r="B1255" s="1">
        <v>45901</v>
      </c>
      <c r="C1255" t="s">
        <v>2657</v>
      </c>
      <c r="D1255" t="s">
        <v>5582</v>
      </c>
      <c r="E1255" s="43">
        <v>45922.640933310184</v>
      </c>
      <c r="F1255" s="1">
        <v>45922</v>
      </c>
      <c r="G1255" s="43">
        <v>45924.530452638886</v>
      </c>
      <c r="H1255" t="s">
        <v>2734</v>
      </c>
      <c r="I1255" t="s">
        <v>2660</v>
      </c>
      <c r="J1255" t="s">
        <v>2735</v>
      </c>
      <c r="L1255" t="s">
        <v>2362</v>
      </c>
      <c r="M1255">
        <v>25248213105</v>
      </c>
      <c r="N1255" t="s">
        <v>2746</v>
      </c>
      <c r="O1255" s="1">
        <v>45294</v>
      </c>
      <c r="T1255" t="s">
        <v>2662</v>
      </c>
      <c r="U1255" t="s">
        <v>5583</v>
      </c>
      <c r="V1255">
        <v>2</v>
      </c>
      <c r="W1255" t="s">
        <v>2671</v>
      </c>
      <c r="X1255">
        <v>1</v>
      </c>
      <c r="Y1255" t="s">
        <v>2672</v>
      </c>
      <c r="AA1255">
        <v>25248213105</v>
      </c>
      <c r="AB1255" t="s">
        <v>1611</v>
      </c>
      <c r="AC1255">
        <v>0</v>
      </c>
      <c r="AD1255">
        <v>39</v>
      </c>
      <c r="AE1255">
        <v>2524821310539</v>
      </c>
      <c r="AF1255" t="s">
        <v>5564</v>
      </c>
      <c r="AG1255">
        <v>1</v>
      </c>
      <c r="AH1255">
        <v>0</v>
      </c>
    </row>
    <row r="1256" spans="1:34">
      <c r="A1256">
        <v>2025</v>
      </c>
      <c r="B1256" s="1">
        <v>45901</v>
      </c>
      <c r="C1256" t="s">
        <v>2657</v>
      </c>
      <c r="D1256" s="44" t="s">
        <v>5584</v>
      </c>
      <c r="E1256" s="43">
        <v>45922.807079699072</v>
      </c>
      <c r="F1256" s="1">
        <v>45922</v>
      </c>
      <c r="G1256" s="43">
        <v>45922.807079699072</v>
      </c>
      <c r="H1256" t="s">
        <v>2734</v>
      </c>
      <c r="I1256" t="s">
        <v>2660</v>
      </c>
      <c r="J1256" t="s">
        <v>2735</v>
      </c>
      <c r="L1256" t="s">
        <v>2362</v>
      </c>
      <c r="M1256">
        <v>25248213105</v>
      </c>
      <c r="N1256" t="s">
        <v>2746</v>
      </c>
      <c r="O1256" s="1">
        <v>45294</v>
      </c>
      <c r="T1256" t="s">
        <v>2662</v>
      </c>
      <c r="U1256" t="s">
        <v>5585</v>
      </c>
      <c r="V1256">
        <v>0</v>
      </c>
      <c r="W1256" t="s">
        <v>2671</v>
      </c>
      <c r="X1256">
        <v>1</v>
      </c>
      <c r="Y1256" t="s">
        <v>2683</v>
      </c>
      <c r="AA1256">
        <v>25248213105</v>
      </c>
      <c r="AB1256" t="s">
        <v>1611</v>
      </c>
      <c r="AC1256">
        <v>0</v>
      </c>
      <c r="AD1256">
        <v>39</v>
      </c>
      <c r="AE1256">
        <v>2524821310539</v>
      </c>
      <c r="AF1256" t="s">
        <v>5564</v>
      </c>
      <c r="AG1256">
        <v>0</v>
      </c>
      <c r="AH1256">
        <v>0</v>
      </c>
    </row>
    <row r="1257" spans="1:34">
      <c r="A1257">
        <v>2025</v>
      </c>
      <c r="B1257" s="1">
        <v>45931</v>
      </c>
      <c r="C1257" t="s">
        <v>2657</v>
      </c>
      <c r="D1257" t="s">
        <v>5586</v>
      </c>
      <c r="E1257" s="43">
        <v>45933.915098807869</v>
      </c>
      <c r="F1257" s="1">
        <v>45933</v>
      </c>
      <c r="G1257" s="43">
        <v>45936.652406875</v>
      </c>
      <c r="H1257" t="s">
        <v>2659</v>
      </c>
      <c r="I1257" t="s">
        <v>2669</v>
      </c>
      <c r="J1257" t="s">
        <v>2735</v>
      </c>
      <c r="L1257" t="s">
        <v>2351</v>
      </c>
      <c r="M1257">
        <v>175133439302</v>
      </c>
      <c r="N1257" t="s">
        <v>2661</v>
      </c>
      <c r="O1257" s="1">
        <v>45320</v>
      </c>
      <c r="T1257" t="s">
        <v>2662</v>
      </c>
      <c r="U1257" t="s">
        <v>5587</v>
      </c>
      <c r="V1257">
        <v>1</v>
      </c>
      <c r="W1257" t="s">
        <v>2677</v>
      </c>
      <c r="X1257">
        <v>1</v>
      </c>
      <c r="Y1257" t="s">
        <v>2779</v>
      </c>
      <c r="AA1257">
        <v>175133439302</v>
      </c>
      <c r="AB1257" t="s">
        <v>920</v>
      </c>
      <c r="AC1257">
        <v>0</v>
      </c>
      <c r="AD1257">
        <v>40</v>
      </c>
      <c r="AE1257">
        <v>17513343930240</v>
      </c>
      <c r="AF1257" t="s">
        <v>5588</v>
      </c>
      <c r="AG1257">
        <v>1</v>
      </c>
      <c r="AH1257">
        <v>1</v>
      </c>
    </row>
    <row r="1258" spans="1:34">
      <c r="A1258">
        <v>2025</v>
      </c>
      <c r="B1258" s="1">
        <v>45931</v>
      </c>
      <c r="C1258" t="s">
        <v>2657</v>
      </c>
      <c r="D1258" t="s">
        <v>5589</v>
      </c>
      <c r="E1258" s="43">
        <v>45957.619186053242</v>
      </c>
      <c r="F1258" s="1">
        <v>45957</v>
      </c>
      <c r="G1258" s="43">
        <v>45966.48686020833</v>
      </c>
      <c r="H1258" t="s">
        <v>2659</v>
      </c>
      <c r="I1258" t="s">
        <v>2660</v>
      </c>
      <c r="J1258" t="s">
        <v>37</v>
      </c>
      <c r="L1258" t="s">
        <v>2351</v>
      </c>
      <c r="M1258">
        <v>175133439302</v>
      </c>
      <c r="N1258" t="s">
        <v>2661</v>
      </c>
      <c r="O1258" s="1">
        <v>45320</v>
      </c>
      <c r="T1258" t="s">
        <v>2662</v>
      </c>
      <c r="U1258" t="s">
        <v>5590</v>
      </c>
      <c r="V1258">
        <v>7</v>
      </c>
      <c r="W1258" t="s">
        <v>2671</v>
      </c>
      <c r="X1258">
        <v>1</v>
      </c>
      <c r="Y1258" t="s">
        <v>2779</v>
      </c>
      <c r="Z1258" t="s">
        <v>2684</v>
      </c>
      <c r="AA1258">
        <v>175133439302</v>
      </c>
      <c r="AB1258" t="s">
        <v>920</v>
      </c>
      <c r="AC1258">
        <v>0</v>
      </c>
      <c r="AD1258">
        <v>44</v>
      </c>
      <c r="AE1258">
        <v>17513343930244</v>
      </c>
      <c r="AF1258" t="s">
        <v>5588</v>
      </c>
      <c r="AG1258">
        <v>1</v>
      </c>
      <c r="AH1258">
        <v>0</v>
      </c>
    </row>
    <row r="1259" spans="1:34">
      <c r="A1259">
        <v>2026</v>
      </c>
      <c r="B1259" s="1">
        <v>46054</v>
      </c>
      <c r="C1259" t="s">
        <v>2657</v>
      </c>
      <c r="D1259" t="s">
        <v>5591</v>
      </c>
      <c r="E1259" s="43">
        <v>46057.699752083332</v>
      </c>
      <c r="F1259" s="1">
        <v>46057</v>
      </c>
      <c r="G1259" s="43">
        <v>46058.523632719909</v>
      </c>
      <c r="H1259" t="s">
        <v>2725</v>
      </c>
      <c r="I1259" t="s">
        <v>2669</v>
      </c>
      <c r="J1259" t="s">
        <v>36</v>
      </c>
      <c r="L1259" t="s">
        <v>2421</v>
      </c>
      <c r="M1259">
        <v>119969424302</v>
      </c>
      <c r="N1259" t="s">
        <v>2661</v>
      </c>
      <c r="O1259" s="1">
        <v>46020</v>
      </c>
      <c r="T1259" t="s">
        <v>2662</v>
      </c>
      <c r="U1259" t="s">
        <v>5592</v>
      </c>
      <c r="V1259">
        <v>1</v>
      </c>
      <c r="W1259" t="s">
        <v>2671</v>
      </c>
      <c r="X1259">
        <v>1</v>
      </c>
      <c r="Y1259" t="s">
        <v>2721</v>
      </c>
      <c r="AA1259">
        <v>119969424302</v>
      </c>
      <c r="AB1259" t="s">
        <v>2525</v>
      </c>
      <c r="AC1259">
        <v>1</v>
      </c>
      <c r="AD1259">
        <v>6</v>
      </c>
      <c r="AE1259">
        <v>1199694243026</v>
      </c>
      <c r="AF1259" t="s">
        <v>5593</v>
      </c>
      <c r="AG1259">
        <v>1</v>
      </c>
      <c r="AH1259">
        <v>1</v>
      </c>
    </row>
    <row r="1260" spans="1:34">
      <c r="A1260">
        <v>2026</v>
      </c>
      <c r="B1260" s="1">
        <v>46082</v>
      </c>
      <c r="C1260" t="s">
        <v>2657</v>
      </c>
      <c r="D1260" t="s">
        <v>5594</v>
      </c>
      <c r="E1260" s="43">
        <v>46084.63049945602</v>
      </c>
      <c r="F1260" s="1">
        <v>46084</v>
      </c>
      <c r="G1260" s="43">
        <v>46086.705992476855</v>
      </c>
      <c r="H1260" t="s">
        <v>2668</v>
      </c>
      <c r="I1260" t="s">
        <v>2669</v>
      </c>
      <c r="J1260" t="s">
        <v>38</v>
      </c>
      <c r="L1260" t="s">
        <v>2363</v>
      </c>
      <c r="M1260">
        <v>1102146047902</v>
      </c>
      <c r="N1260" t="s">
        <v>2702</v>
      </c>
      <c r="O1260" s="1">
        <v>45842</v>
      </c>
      <c r="T1260" t="s">
        <v>2662</v>
      </c>
      <c r="U1260" t="s">
        <v>5595</v>
      </c>
      <c r="V1260">
        <v>2</v>
      </c>
      <c r="W1260" t="s">
        <v>2704</v>
      </c>
      <c r="X1260">
        <v>1</v>
      </c>
      <c r="Y1260" t="s">
        <v>2699</v>
      </c>
      <c r="AA1260">
        <v>21753463202</v>
      </c>
      <c r="AB1260" t="s">
        <v>2172</v>
      </c>
      <c r="AC1260">
        <v>1</v>
      </c>
      <c r="AD1260">
        <v>10</v>
      </c>
      <c r="AE1260">
        <v>2175346320210</v>
      </c>
      <c r="AF1260" t="s">
        <v>5596</v>
      </c>
      <c r="AG1260">
        <v>1</v>
      </c>
      <c r="AH1260">
        <v>1</v>
      </c>
    </row>
    <row r="1261" spans="1:34">
      <c r="A1261">
        <v>2026</v>
      </c>
      <c r="B1261" s="1">
        <v>46054</v>
      </c>
      <c r="C1261" t="s">
        <v>2657</v>
      </c>
      <c r="D1261" t="s">
        <v>5597</v>
      </c>
      <c r="E1261" s="43">
        <v>46064.542678634258</v>
      </c>
      <c r="F1261" s="1">
        <v>46064</v>
      </c>
      <c r="G1261" s="43">
        <v>46064.542678634258</v>
      </c>
      <c r="H1261" t="s">
        <v>2725</v>
      </c>
      <c r="I1261" t="s">
        <v>2681</v>
      </c>
      <c r="J1261" t="s">
        <v>37</v>
      </c>
      <c r="L1261" t="s">
        <v>2364</v>
      </c>
      <c r="M1261">
        <v>702794226702</v>
      </c>
      <c r="N1261" t="s">
        <v>2661</v>
      </c>
      <c r="O1261" s="1">
        <v>46021</v>
      </c>
      <c r="T1261" t="s">
        <v>2662</v>
      </c>
      <c r="U1261" t="s">
        <v>5598</v>
      </c>
      <c r="V1261">
        <v>0</v>
      </c>
      <c r="W1261" t="s">
        <v>2677</v>
      </c>
      <c r="X1261">
        <v>1</v>
      </c>
      <c r="Y1261" t="s">
        <v>2695</v>
      </c>
      <c r="AA1261">
        <v>702794226702</v>
      </c>
      <c r="AB1261" t="s">
        <v>2587</v>
      </c>
      <c r="AC1261">
        <v>0</v>
      </c>
      <c r="AD1261">
        <v>7</v>
      </c>
      <c r="AE1261">
        <v>7027942267027</v>
      </c>
      <c r="AF1261" t="s">
        <v>5599</v>
      </c>
      <c r="AG1261">
        <v>0</v>
      </c>
      <c r="AH1261">
        <v>0</v>
      </c>
    </row>
    <row r="1262" spans="1:34">
      <c r="A1262">
        <v>2026</v>
      </c>
      <c r="B1262" s="1">
        <v>46054</v>
      </c>
      <c r="C1262" t="s">
        <v>2657</v>
      </c>
      <c r="D1262" t="s">
        <v>5600</v>
      </c>
      <c r="E1262" s="43">
        <v>46064.533435057871</v>
      </c>
      <c r="F1262" s="1">
        <v>46064</v>
      </c>
      <c r="G1262" s="43">
        <v>46084.91187452546</v>
      </c>
      <c r="H1262" t="s">
        <v>2725</v>
      </c>
      <c r="I1262" t="s">
        <v>2681</v>
      </c>
      <c r="J1262" t="s">
        <v>37</v>
      </c>
      <c r="L1262" t="s">
        <v>2364</v>
      </c>
      <c r="M1262">
        <v>702794226702</v>
      </c>
      <c r="N1262" t="s">
        <v>2661</v>
      </c>
      <c r="O1262" s="1">
        <v>46021</v>
      </c>
      <c r="T1262" t="s">
        <v>2662</v>
      </c>
      <c r="U1262" t="s">
        <v>5601</v>
      </c>
      <c r="V1262">
        <v>14</v>
      </c>
      <c r="W1262" t="s">
        <v>2671</v>
      </c>
      <c r="X1262">
        <v>1</v>
      </c>
      <c r="Y1262" t="s">
        <v>2727</v>
      </c>
      <c r="AA1262">
        <v>702794226702</v>
      </c>
      <c r="AB1262" t="s">
        <v>2587</v>
      </c>
      <c r="AC1262">
        <v>0</v>
      </c>
      <c r="AD1262">
        <v>7</v>
      </c>
      <c r="AE1262">
        <v>7027942267027</v>
      </c>
      <c r="AF1262" t="s">
        <v>5599</v>
      </c>
      <c r="AG1262">
        <v>1</v>
      </c>
      <c r="AH1262">
        <v>1</v>
      </c>
    </row>
    <row r="1263" spans="1:34">
      <c r="A1263">
        <v>2026</v>
      </c>
      <c r="B1263" s="1">
        <v>46054</v>
      </c>
      <c r="C1263" t="s">
        <v>2657</v>
      </c>
      <c r="D1263" t="s">
        <v>5602</v>
      </c>
      <c r="E1263" s="43">
        <v>46079.824616446756</v>
      </c>
      <c r="F1263" s="1">
        <v>46079</v>
      </c>
      <c r="G1263" s="43">
        <v>46084.911993240741</v>
      </c>
      <c r="H1263" t="s">
        <v>2725</v>
      </c>
      <c r="I1263" t="s">
        <v>2660</v>
      </c>
      <c r="J1263" t="s">
        <v>37</v>
      </c>
      <c r="L1263" t="s">
        <v>2364</v>
      </c>
      <c r="M1263">
        <v>702794226702</v>
      </c>
      <c r="N1263" t="s">
        <v>2661</v>
      </c>
      <c r="O1263" s="1">
        <v>46021</v>
      </c>
      <c r="T1263" t="s">
        <v>2662</v>
      </c>
      <c r="U1263" t="s">
        <v>5603</v>
      </c>
      <c r="V1263">
        <v>3</v>
      </c>
      <c r="W1263" t="s">
        <v>2743</v>
      </c>
      <c r="X1263">
        <v>1</v>
      </c>
      <c r="Y1263" t="s">
        <v>2985</v>
      </c>
      <c r="AA1263">
        <v>702794226702</v>
      </c>
      <c r="AB1263" t="s">
        <v>2587</v>
      </c>
      <c r="AC1263">
        <v>1</v>
      </c>
      <c r="AD1263">
        <v>9</v>
      </c>
      <c r="AE1263">
        <v>7027942267029</v>
      </c>
      <c r="AF1263" t="s">
        <v>5599</v>
      </c>
      <c r="AG1263">
        <v>1</v>
      </c>
      <c r="AH1263">
        <v>0</v>
      </c>
    </row>
    <row r="1264" spans="1:34">
      <c r="A1264">
        <v>2026</v>
      </c>
      <c r="B1264" s="1">
        <v>46023</v>
      </c>
      <c r="C1264" t="s">
        <v>2657</v>
      </c>
      <c r="D1264" t="s">
        <v>5604</v>
      </c>
      <c r="E1264" s="43">
        <v>46031.824907361108</v>
      </c>
      <c r="F1264" s="1">
        <v>46031</v>
      </c>
      <c r="G1264" s="43">
        <v>46031.824907361108</v>
      </c>
      <c r="H1264" t="s">
        <v>2701</v>
      </c>
      <c r="I1264" t="s">
        <v>2681</v>
      </c>
      <c r="J1264" t="s">
        <v>36</v>
      </c>
      <c r="L1264" t="s">
        <v>2355</v>
      </c>
      <c r="M1264">
        <v>20068852602</v>
      </c>
      <c r="N1264" t="s">
        <v>2702</v>
      </c>
      <c r="O1264" s="1">
        <v>45669</v>
      </c>
      <c r="T1264" t="s">
        <v>2662</v>
      </c>
      <c r="U1264" t="s">
        <v>5605</v>
      </c>
      <c r="V1264">
        <v>0</v>
      </c>
      <c r="W1264" t="s">
        <v>2664</v>
      </c>
      <c r="X1264">
        <v>1</v>
      </c>
      <c r="Y1264" t="s">
        <v>2665</v>
      </c>
      <c r="AA1264">
        <v>20068852602</v>
      </c>
      <c r="AB1264" t="s">
        <v>427</v>
      </c>
      <c r="AC1264">
        <v>0</v>
      </c>
      <c r="AD1264">
        <v>2</v>
      </c>
      <c r="AE1264">
        <v>200688526022</v>
      </c>
      <c r="AF1264" t="s">
        <v>5606</v>
      </c>
      <c r="AG1264">
        <v>1</v>
      </c>
      <c r="AH1264">
        <v>1</v>
      </c>
    </row>
    <row r="1265" spans="1:34">
      <c r="A1265">
        <v>2026</v>
      </c>
      <c r="B1265" s="1">
        <v>46023</v>
      </c>
      <c r="C1265" t="s">
        <v>2657</v>
      </c>
      <c r="D1265" t="s">
        <v>5607</v>
      </c>
      <c r="E1265" s="43">
        <v>46049.544085567133</v>
      </c>
      <c r="F1265" s="1">
        <v>46049</v>
      </c>
      <c r="G1265" s="43">
        <v>46050.697792581021</v>
      </c>
      <c r="H1265" t="s">
        <v>2701</v>
      </c>
      <c r="I1265" t="s">
        <v>2660</v>
      </c>
      <c r="J1265" t="s">
        <v>36</v>
      </c>
      <c r="L1265" t="s">
        <v>2355</v>
      </c>
      <c r="M1265">
        <v>20068852602</v>
      </c>
      <c r="N1265" t="s">
        <v>2702</v>
      </c>
      <c r="O1265" s="1">
        <v>45669</v>
      </c>
      <c r="T1265" t="s">
        <v>2662</v>
      </c>
      <c r="U1265" t="s">
        <v>5608</v>
      </c>
      <c r="V1265">
        <v>1</v>
      </c>
      <c r="X1265">
        <v>1</v>
      </c>
      <c r="Y1265" t="s">
        <v>2665</v>
      </c>
      <c r="AA1265">
        <v>20068852602</v>
      </c>
      <c r="AB1265" t="s">
        <v>427</v>
      </c>
      <c r="AC1265">
        <v>0</v>
      </c>
      <c r="AD1265">
        <v>5</v>
      </c>
      <c r="AE1265">
        <v>200688526025</v>
      </c>
      <c r="AF1265" t="s">
        <v>5606</v>
      </c>
      <c r="AG1265">
        <v>1</v>
      </c>
      <c r="AH1265">
        <v>0</v>
      </c>
    </row>
    <row r="1266" spans="1:34">
      <c r="A1266">
        <v>2026</v>
      </c>
      <c r="B1266" s="1">
        <v>46023</v>
      </c>
      <c r="C1266" t="s">
        <v>2657</v>
      </c>
      <c r="D1266" t="s">
        <v>5609</v>
      </c>
      <c r="E1266" s="43">
        <v>46044.870967060182</v>
      </c>
      <c r="F1266" s="1">
        <v>46044</v>
      </c>
      <c r="G1266" s="43">
        <v>46080.820526909723</v>
      </c>
      <c r="H1266" t="s">
        <v>2701</v>
      </c>
      <c r="I1266" t="s">
        <v>2660</v>
      </c>
      <c r="J1266" t="s">
        <v>36</v>
      </c>
      <c r="L1266" t="s">
        <v>2355</v>
      </c>
      <c r="M1266">
        <v>20068852602</v>
      </c>
      <c r="N1266" t="s">
        <v>2702</v>
      </c>
      <c r="O1266" s="1">
        <v>45669</v>
      </c>
      <c r="T1266" t="s">
        <v>2662</v>
      </c>
      <c r="U1266" t="s">
        <v>5610</v>
      </c>
      <c r="V1266">
        <v>26</v>
      </c>
      <c r="W1266" t="s">
        <v>2704</v>
      </c>
      <c r="X1266">
        <v>1</v>
      </c>
      <c r="Y1266" t="s">
        <v>2699</v>
      </c>
      <c r="AA1266">
        <v>20068852602</v>
      </c>
      <c r="AB1266" t="s">
        <v>427</v>
      </c>
      <c r="AC1266">
        <v>0</v>
      </c>
      <c r="AD1266">
        <v>4</v>
      </c>
      <c r="AE1266">
        <v>200688526024</v>
      </c>
      <c r="AF1266" t="s">
        <v>5606</v>
      </c>
      <c r="AG1266">
        <v>1</v>
      </c>
      <c r="AH1266">
        <v>0</v>
      </c>
    </row>
    <row r="1267" spans="1:34">
      <c r="A1267">
        <v>2025</v>
      </c>
      <c r="B1267" s="1">
        <v>45962</v>
      </c>
      <c r="C1267" t="s">
        <v>2657</v>
      </c>
      <c r="D1267" t="s">
        <v>5611</v>
      </c>
      <c r="E1267" s="43">
        <v>45971.500546203701</v>
      </c>
      <c r="F1267" s="1">
        <v>45971</v>
      </c>
      <c r="G1267" s="43">
        <v>45973.572723518519</v>
      </c>
      <c r="H1267" t="s">
        <v>2802</v>
      </c>
      <c r="I1267" t="s">
        <v>2681</v>
      </c>
      <c r="J1267" t="s">
        <v>2735</v>
      </c>
      <c r="L1267" t="s">
        <v>2336</v>
      </c>
      <c r="M1267">
        <v>902277407302</v>
      </c>
      <c r="N1267" t="s">
        <v>2746</v>
      </c>
      <c r="O1267" s="1">
        <v>45661</v>
      </c>
      <c r="T1267" t="s">
        <v>2662</v>
      </c>
      <c r="U1267" t="s">
        <v>5612</v>
      </c>
      <c r="V1267">
        <v>2</v>
      </c>
      <c r="W1267" t="s">
        <v>2671</v>
      </c>
      <c r="X1267">
        <v>1</v>
      </c>
      <c r="Y1267" t="s">
        <v>2683</v>
      </c>
      <c r="AA1267">
        <v>92771955402</v>
      </c>
      <c r="AB1267" t="s">
        <v>645</v>
      </c>
      <c r="AC1267">
        <v>0</v>
      </c>
      <c r="AD1267">
        <v>46</v>
      </c>
      <c r="AE1267">
        <v>9277195540246</v>
      </c>
      <c r="AF1267" t="s">
        <v>5613</v>
      </c>
      <c r="AG1267">
        <v>1</v>
      </c>
      <c r="AH1267">
        <v>1</v>
      </c>
    </row>
    <row r="1268" spans="1:34">
      <c r="A1268">
        <v>2025</v>
      </c>
      <c r="B1268" s="1">
        <v>45962</v>
      </c>
      <c r="C1268" t="s">
        <v>2657</v>
      </c>
      <c r="D1268" s="44" t="s">
        <v>5614</v>
      </c>
      <c r="E1268" s="43">
        <v>45985.775962129628</v>
      </c>
      <c r="F1268" s="1">
        <v>45985</v>
      </c>
      <c r="G1268" s="43">
        <v>45988.51482423611</v>
      </c>
      <c r="H1268" t="s">
        <v>2802</v>
      </c>
      <c r="I1268" t="s">
        <v>2660</v>
      </c>
      <c r="J1268" t="s">
        <v>2735</v>
      </c>
      <c r="L1268" t="s">
        <v>2336</v>
      </c>
      <c r="M1268">
        <v>92771955402</v>
      </c>
      <c r="N1268" t="s">
        <v>2746</v>
      </c>
      <c r="O1268" s="1">
        <v>45661</v>
      </c>
      <c r="T1268" t="s">
        <v>2662</v>
      </c>
      <c r="U1268" t="s">
        <v>5615</v>
      </c>
      <c r="V1268">
        <v>3</v>
      </c>
      <c r="W1268" t="s">
        <v>2671</v>
      </c>
      <c r="X1268">
        <v>1</v>
      </c>
      <c r="Y1268" t="s">
        <v>2692</v>
      </c>
      <c r="AA1268">
        <v>92771955402</v>
      </c>
      <c r="AB1268" t="s">
        <v>645</v>
      </c>
      <c r="AC1268">
        <v>0</v>
      </c>
      <c r="AD1268">
        <v>48</v>
      </c>
      <c r="AE1268">
        <v>9277195540248</v>
      </c>
      <c r="AF1268" t="s">
        <v>5613</v>
      </c>
      <c r="AG1268">
        <v>1</v>
      </c>
      <c r="AH1268">
        <v>0</v>
      </c>
    </row>
    <row r="1269" spans="1:34">
      <c r="A1269">
        <v>2026</v>
      </c>
      <c r="B1269" s="1">
        <v>46023</v>
      </c>
      <c r="C1269" t="s">
        <v>2657</v>
      </c>
      <c r="D1269" t="s">
        <v>5616</v>
      </c>
      <c r="E1269" s="43">
        <v>46029.644540960646</v>
      </c>
      <c r="F1269" s="1">
        <v>46029</v>
      </c>
      <c r="G1269" s="43">
        <v>46034.567094560189</v>
      </c>
      <c r="H1269" t="s">
        <v>2701</v>
      </c>
      <c r="I1269" t="s">
        <v>2669</v>
      </c>
      <c r="J1269" t="s">
        <v>39</v>
      </c>
      <c r="L1269" t="s">
        <v>2408</v>
      </c>
      <c r="M1269">
        <v>24383333802</v>
      </c>
      <c r="N1269" t="s">
        <v>2746</v>
      </c>
      <c r="O1269" s="1">
        <v>45661</v>
      </c>
      <c r="T1269" t="s">
        <v>2662</v>
      </c>
      <c r="U1269" t="s">
        <v>5617</v>
      </c>
      <c r="V1269">
        <v>3</v>
      </c>
      <c r="W1269" t="s">
        <v>2671</v>
      </c>
      <c r="X1269">
        <v>1</v>
      </c>
      <c r="Y1269" t="s">
        <v>2683</v>
      </c>
      <c r="AA1269">
        <v>24383333802</v>
      </c>
      <c r="AB1269" t="s">
        <v>1342</v>
      </c>
      <c r="AC1269">
        <v>0</v>
      </c>
      <c r="AD1269">
        <v>2</v>
      </c>
      <c r="AE1269">
        <v>243833338022</v>
      </c>
      <c r="AF1269" t="s">
        <v>5618</v>
      </c>
      <c r="AG1269">
        <v>0</v>
      </c>
      <c r="AH1269">
        <v>0</v>
      </c>
    </row>
    <row r="1270" spans="1:34">
      <c r="A1270">
        <v>2026</v>
      </c>
      <c r="B1270" s="1">
        <v>46023</v>
      </c>
      <c r="C1270" t="s">
        <v>2657</v>
      </c>
      <c r="D1270" t="s">
        <v>5619</v>
      </c>
      <c r="E1270" s="43">
        <v>46029.537904375</v>
      </c>
      <c r="F1270" s="1">
        <v>46029</v>
      </c>
      <c r="G1270" s="43">
        <v>46036.53067641204</v>
      </c>
      <c r="H1270" t="s">
        <v>2701</v>
      </c>
      <c r="I1270" t="s">
        <v>2669</v>
      </c>
      <c r="J1270" t="s">
        <v>39</v>
      </c>
      <c r="L1270" t="s">
        <v>2408</v>
      </c>
      <c r="M1270">
        <v>24383333802</v>
      </c>
      <c r="N1270" t="s">
        <v>2746</v>
      </c>
      <c r="O1270" s="1">
        <v>45661</v>
      </c>
      <c r="T1270" t="s">
        <v>2662</v>
      </c>
      <c r="U1270" t="s">
        <v>5620</v>
      </c>
      <c r="V1270">
        <v>5</v>
      </c>
      <c r="W1270" t="s">
        <v>2671</v>
      </c>
      <c r="X1270">
        <v>1</v>
      </c>
      <c r="Y1270" t="s">
        <v>2683</v>
      </c>
      <c r="AA1270">
        <v>24383333802</v>
      </c>
      <c r="AB1270" t="s">
        <v>1342</v>
      </c>
      <c r="AC1270">
        <v>0</v>
      </c>
      <c r="AD1270">
        <v>2</v>
      </c>
      <c r="AE1270">
        <v>243833338022</v>
      </c>
      <c r="AF1270" t="s">
        <v>5618</v>
      </c>
      <c r="AG1270">
        <v>1</v>
      </c>
      <c r="AH1270">
        <v>1</v>
      </c>
    </row>
    <row r="1271" spans="1:34">
      <c r="A1271">
        <v>2026</v>
      </c>
      <c r="B1271" s="1">
        <v>46023</v>
      </c>
      <c r="C1271" t="s">
        <v>2657</v>
      </c>
      <c r="D1271" t="s">
        <v>5621</v>
      </c>
      <c r="E1271" s="43">
        <v>46029.542202546298</v>
      </c>
      <c r="F1271" s="1">
        <v>46029</v>
      </c>
      <c r="G1271" s="43">
        <v>46035.798613287036</v>
      </c>
      <c r="H1271" t="s">
        <v>2701</v>
      </c>
      <c r="I1271" t="s">
        <v>2669</v>
      </c>
      <c r="J1271" t="s">
        <v>39</v>
      </c>
      <c r="L1271" t="s">
        <v>2408</v>
      </c>
      <c r="M1271">
        <v>24383333802</v>
      </c>
      <c r="N1271" t="s">
        <v>2746</v>
      </c>
      <c r="O1271" s="1">
        <v>45661</v>
      </c>
      <c r="T1271" t="s">
        <v>2662</v>
      </c>
      <c r="U1271" t="s">
        <v>5622</v>
      </c>
      <c r="V1271">
        <v>4</v>
      </c>
      <c r="W1271" t="s">
        <v>2677</v>
      </c>
      <c r="X1271">
        <v>1</v>
      </c>
      <c r="Y1271" t="s">
        <v>2760</v>
      </c>
      <c r="AA1271">
        <v>24383333802</v>
      </c>
      <c r="AB1271" t="s">
        <v>1342</v>
      </c>
      <c r="AC1271">
        <v>0</v>
      </c>
      <c r="AD1271">
        <v>2</v>
      </c>
      <c r="AE1271">
        <v>243833338022</v>
      </c>
      <c r="AF1271" t="s">
        <v>5618</v>
      </c>
      <c r="AG1271">
        <v>0</v>
      </c>
      <c r="AH1271">
        <v>0</v>
      </c>
    </row>
    <row r="1272" spans="1:34">
      <c r="A1272">
        <v>2026</v>
      </c>
      <c r="B1272" s="1">
        <v>46023</v>
      </c>
      <c r="C1272" t="s">
        <v>2657</v>
      </c>
      <c r="D1272" t="s">
        <v>5623</v>
      </c>
      <c r="E1272" s="43">
        <v>46029.812871527778</v>
      </c>
      <c r="F1272" s="1">
        <v>46029</v>
      </c>
      <c r="G1272" s="43">
        <v>46029.816459027781</v>
      </c>
      <c r="H1272" t="s">
        <v>2701</v>
      </c>
      <c r="I1272" t="s">
        <v>2669</v>
      </c>
      <c r="J1272" t="s">
        <v>39</v>
      </c>
      <c r="L1272" t="s">
        <v>2408</v>
      </c>
      <c r="M1272">
        <v>24383333802</v>
      </c>
      <c r="N1272" t="s">
        <v>2746</v>
      </c>
      <c r="O1272" s="1">
        <v>45661</v>
      </c>
      <c r="T1272" t="s">
        <v>2662</v>
      </c>
      <c r="U1272" t="s">
        <v>5624</v>
      </c>
      <c r="V1272">
        <v>0</v>
      </c>
      <c r="W1272" t="s">
        <v>2671</v>
      </c>
      <c r="X1272">
        <v>1</v>
      </c>
      <c r="Y1272" t="s">
        <v>2695</v>
      </c>
      <c r="AA1272">
        <v>24383333802</v>
      </c>
      <c r="AB1272" t="s">
        <v>1342</v>
      </c>
      <c r="AC1272">
        <v>0</v>
      </c>
      <c r="AD1272">
        <v>2</v>
      </c>
      <c r="AE1272">
        <v>243833338022</v>
      </c>
      <c r="AF1272" t="s">
        <v>5618</v>
      </c>
      <c r="AG1272">
        <v>0</v>
      </c>
      <c r="AH1272">
        <v>0</v>
      </c>
    </row>
    <row r="1273" spans="1:34">
      <c r="A1273">
        <v>2026</v>
      </c>
      <c r="B1273" s="1">
        <v>46023</v>
      </c>
      <c r="C1273" t="s">
        <v>2657</v>
      </c>
      <c r="D1273" t="s">
        <v>5625</v>
      </c>
      <c r="E1273" s="43">
        <v>46029.543028900465</v>
      </c>
      <c r="F1273" s="1">
        <v>46029</v>
      </c>
      <c r="G1273" s="43">
        <v>46035.609660590279</v>
      </c>
      <c r="H1273" t="s">
        <v>2701</v>
      </c>
      <c r="I1273" t="s">
        <v>2669</v>
      </c>
      <c r="J1273" t="s">
        <v>39</v>
      </c>
      <c r="L1273" t="s">
        <v>2408</v>
      </c>
      <c r="M1273">
        <v>24383333802</v>
      </c>
      <c r="N1273" t="s">
        <v>2746</v>
      </c>
      <c r="O1273" s="1">
        <v>45661</v>
      </c>
      <c r="T1273" t="s">
        <v>2662</v>
      </c>
      <c r="U1273" t="s">
        <v>5626</v>
      </c>
      <c r="V1273">
        <v>4</v>
      </c>
      <c r="W1273" t="s">
        <v>2677</v>
      </c>
      <c r="X1273">
        <v>1</v>
      </c>
      <c r="Y1273" t="s">
        <v>2779</v>
      </c>
      <c r="AA1273">
        <v>24383333802</v>
      </c>
      <c r="AB1273" t="s">
        <v>1342</v>
      </c>
      <c r="AC1273">
        <v>0</v>
      </c>
      <c r="AD1273">
        <v>2</v>
      </c>
      <c r="AE1273">
        <v>243833338022</v>
      </c>
      <c r="AF1273" t="s">
        <v>5618</v>
      </c>
      <c r="AG1273">
        <v>0</v>
      </c>
      <c r="AH1273">
        <v>0</v>
      </c>
    </row>
    <row r="1274" spans="1:34">
      <c r="A1274">
        <v>2026</v>
      </c>
      <c r="B1274" s="1">
        <v>46023</v>
      </c>
      <c r="C1274" t="s">
        <v>2657</v>
      </c>
      <c r="D1274" s="44" t="s">
        <v>5627</v>
      </c>
      <c r="E1274" s="43">
        <v>46030.514764097221</v>
      </c>
      <c r="F1274" s="1">
        <v>46030</v>
      </c>
      <c r="G1274" s="43">
        <v>46034.647165138886</v>
      </c>
      <c r="H1274" t="s">
        <v>2701</v>
      </c>
      <c r="I1274" t="s">
        <v>2681</v>
      </c>
      <c r="J1274" t="s">
        <v>39</v>
      </c>
      <c r="L1274" t="s">
        <v>2408</v>
      </c>
      <c r="M1274">
        <v>24383333802</v>
      </c>
      <c r="N1274" t="s">
        <v>2746</v>
      </c>
      <c r="O1274" s="1">
        <v>45661</v>
      </c>
      <c r="T1274" t="s">
        <v>2662</v>
      </c>
      <c r="U1274" t="s">
        <v>5628</v>
      </c>
      <c r="V1274">
        <v>2</v>
      </c>
      <c r="W1274" t="s">
        <v>2671</v>
      </c>
      <c r="X1274">
        <v>1</v>
      </c>
      <c r="Y1274" t="s">
        <v>2683</v>
      </c>
      <c r="AA1274">
        <v>24383333802</v>
      </c>
      <c r="AB1274" t="s">
        <v>1342</v>
      </c>
      <c r="AC1274">
        <v>0</v>
      </c>
      <c r="AD1274">
        <v>2</v>
      </c>
      <c r="AE1274">
        <v>243833338022</v>
      </c>
      <c r="AF1274" t="s">
        <v>5618</v>
      </c>
      <c r="AG1274">
        <v>0</v>
      </c>
      <c r="AH1274">
        <v>0</v>
      </c>
    </row>
    <row r="1275" spans="1:34">
      <c r="A1275">
        <v>2026</v>
      </c>
      <c r="B1275" s="1">
        <v>46023</v>
      </c>
      <c r="C1275" t="s">
        <v>2657</v>
      </c>
      <c r="D1275" t="s">
        <v>5629</v>
      </c>
      <c r="E1275" s="43">
        <v>46030.625781875002</v>
      </c>
      <c r="F1275" s="1">
        <v>46030</v>
      </c>
      <c r="G1275" s="43">
        <v>46030.662307453706</v>
      </c>
      <c r="H1275" t="s">
        <v>2701</v>
      </c>
      <c r="I1275" t="s">
        <v>2681</v>
      </c>
      <c r="J1275" t="s">
        <v>39</v>
      </c>
      <c r="L1275" t="s">
        <v>2408</v>
      </c>
      <c r="M1275">
        <v>24383333802</v>
      </c>
      <c r="N1275" t="s">
        <v>2746</v>
      </c>
      <c r="O1275" s="1">
        <v>45661</v>
      </c>
      <c r="T1275" t="s">
        <v>2662</v>
      </c>
      <c r="U1275" t="s">
        <v>5630</v>
      </c>
      <c r="V1275">
        <v>0</v>
      </c>
      <c r="W1275" t="s">
        <v>2671</v>
      </c>
      <c r="X1275">
        <v>1</v>
      </c>
      <c r="Y1275" t="s">
        <v>2692</v>
      </c>
      <c r="AA1275">
        <v>24383333802</v>
      </c>
      <c r="AB1275" t="s">
        <v>1342</v>
      </c>
      <c r="AC1275">
        <v>0</v>
      </c>
      <c r="AD1275">
        <v>2</v>
      </c>
      <c r="AE1275">
        <v>243833338022</v>
      </c>
      <c r="AF1275" t="s">
        <v>5618</v>
      </c>
      <c r="AG1275">
        <v>0</v>
      </c>
      <c r="AH1275">
        <v>0</v>
      </c>
    </row>
    <row r="1276" spans="1:34">
      <c r="A1276">
        <v>2026</v>
      </c>
      <c r="B1276" s="1">
        <v>46023</v>
      </c>
      <c r="C1276" t="s">
        <v>2657</v>
      </c>
      <c r="D1276" s="44" t="s">
        <v>5631</v>
      </c>
      <c r="E1276" s="43">
        <v>46041.723650636573</v>
      </c>
      <c r="F1276" s="1">
        <v>46041</v>
      </c>
      <c r="G1276" s="43">
        <v>46041.767745682868</v>
      </c>
      <c r="H1276" t="s">
        <v>2701</v>
      </c>
      <c r="I1276" t="s">
        <v>2719</v>
      </c>
      <c r="J1276" t="s">
        <v>39</v>
      </c>
      <c r="L1276" t="s">
        <v>2408</v>
      </c>
      <c r="M1276">
        <v>24383333802</v>
      </c>
      <c r="N1276" t="s">
        <v>2746</v>
      </c>
      <c r="O1276" s="1">
        <v>45661</v>
      </c>
      <c r="T1276" t="s">
        <v>2662</v>
      </c>
      <c r="U1276" t="s">
        <v>5632</v>
      </c>
      <c r="V1276">
        <v>0</v>
      </c>
      <c r="W1276" t="s">
        <v>2677</v>
      </c>
      <c r="X1276">
        <v>1</v>
      </c>
      <c r="Y1276" t="s">
        <v>2760</v>
      </c>
      <c r="AA1276">
        <v>24383333802</v>
      </c>
      <c r="AB1276" t="s">
        <v>1342</v>
      </c>
      <c r="AC1276">
        <v>0</v>
      </c>
      <c r="AD1276">
        <v>4</v>
      </c>
      <c r="AE1276">
        <v>243833338024</v>
      </c>
      <c r="AF1276" t="s">
        <v>5618</v>
      </c>
      <c r="AG1276">
        <v>0</v>
      </c>
      <c r="AH1276">
        <v>0</v>
      </c>
    </row>
    <row r="1277" spans="1:34">
      <c r="A1277">
        <v>2026</v>
      </c>
      <c r="B1277" s="1">
        <v>46023</v>
      </c>
      <c r="C1277" t="s">
        <v>2657</v>
      </c>
      <c r="D1277" t="s">
        <v>5633</v>
      </c>
      <c r="E1277" s="43">
        <v>46043.882912766203</v>
      </c>
      <c r="F1277" s="1">
        <v>46043</v>
      </c>
      <c r="G1277" s="43">
        <v>46044.803239803237</v>
      </c>
      <c r="H1277" t="s">
        <v>2701</v>
      </c>
      <c r="I1277" t="s">
        <v>2719</v>
      </c>
      <c r="J1277" t="s">
        <v>39</v>
      </c>
      <c r="L1277" t="s">
        <v>2408</v>
      </c>
      <c r="M1277">
        <v>24383333802</v>
      </c>
      <c r="N1277" t="s">
        <v>2746</v>
      </c>
      <c r="O1277" s="1">
        <v>45661</v>
      </c>
      <c r="T1277" t="s">
        <v>2662</v>
      </c>
      <c r="U1277" t="s">
        <v>5634</v>
      </c>
      <c r="V1277">
        <v>1</v>
      </c>
      <c r="W1277" t="s">
        <v>2677</v>
      </c>
      <c r="X1277">
        <v>1</v>
      </c>
      <c r="Y1277" t="s">
        <v>2760</v>
      </c>
      <c r="AA1277">
        <v>24383333802</v>
      </c>
      <c r="AB1277" t="s">
        <v>1342</v>
      </c>
      <c r="AC1277">
        <v>0</v>
      </c>
      <c r="AD1277">
        <v>4</v>
      </c>
      <c r="AE1277">
        <v>243833338024</v>
      </c>
      <c r="AF1277" t="s">
        <v>5618</v>
      </c>
      <c r="AG1277">
        <v>0</v>
      </c>
      <c r="AH1277">
        <v>0</v>
      </c>
    </row>
    <row r="1278" spans="1:34">
      <c r="A1278">
        <v>2026</v>
      </c>
      <c r="B1278" s="1">
        <v>46023</v>
      </c>
      <c r="C1278" t="s">
        <v>2657</v>
      </c>
      <c r="D1278" t="s">
        <v>5635</v>
      </c>
      <c r="E1278" s="43">
        <v>46041.543593564813</v>
      </c>
      <c r="F1278" s="1">
        <v>46041</v>
      </c>
      <c r="G1278" s="43">
        <v>46052.512961354165</v>
      </c>
      <c r="H1278" t="s">
        <v>2701</v>
      </c>
      <c r="I1278" t="s">
        <v>2719</v>
      </c>
      <c r="J1278" t="s">
        <v>39</v>
      </c>
      <c r="L1278" t="s">
        <v>2408</v>
      </c>
      <c r="M1278">
        <v>24383333802</v>
      </c>
      <c r="N1278" t="s">
        <v>2746</v>
      </c>
      <c r="O1278" s="1">
        <v>45661</v>
      </c>
      <c r="T1278" t="s">
        <v>2662</v>
      </c>
      <c r="U1278" t="s">
        <v>5636</v>
      </c>
      <c r="V1278">
        <v>9</v>
      </c>
      <c r="W1278" t="s">
        <v>2671</v>
      </c>
      <c r="X1278">
        <v>1</v>
      </c>
      <c r="Y1278" t="s">
        <v>2683</v>
      </c>
      <c r="AA1278">
        <v>24383333802</v>
      </c>
      <c r="AB1278" t="s">
        <v>1342</v>
      </c>
      <c r="AC1278">
        <v>0</v>
      </c>
      <c r="AD1278">
        <v>4</v>
      </c>
      <c r="AE1278">
        <v>243833338024</v>
      </c>
      <c r="AF1278" t="s">
        <v>5618</v>
      </c>
      <c r="AG1278">
        <v>1</v>
      </c>
      <c r="AH1278">
        <v>0</v>
      </c>
    </row>
    <row r="1279" spans="1:34">
      <c r="A1279">
        <v>2026</v>
      </c>
      <c r="B1279" s="1">
        <v>46023</v>
      </c>
      <c r="C1279" t="s">
        <v>2657</v>
      </c>
      <c r="D1279" t="s">
        <v>5637</v>
      </c>
      <c r="E1279" s="43">
        <v>46037.807822569448</v>
      </c>
      <c r="F1279" s="1">
        <v>46037</v>
      </c>
      <c r="G1279" s="43">
        <v>46037.807822569448</v>
      </c>
      <c r="H1279" t="s">
        <v>2701</v>
      </c>
      <c r="I1279" t="s">
        <v>2719</v>
      </c>
      <c r="J1279" t="s">
        <v>39</v>
      </c>
      <c r="L1279" t="s">
        <v>2408</v>
      </c>
      <c r="M1279">
        <v>24383333802</v>
      </c>
      <c r="N1279" t="s">
        <v>2746</v>
      </c>
      <c r="O1279" s="1">
        <v>45661</v>
      </c>
      <c r="T1279" t="s">
        <v>2662</v>
      </c>
      <c r="U1279" t="s">
        <v>5638</v>
      </c>
      <c r="V1279">
        <v>0</v>
      </c>
      <c r="W1279" t="s">
        <v>2671</v>
      </c>
      <c r="X1279">
        <v>1</v>
      </c>
      <c r="Y1279" t="s">
        <v>2683</v>
      </c>
      <c r="AA1279">
        <v>24383333802</v>
      </c>
      <c r="AB1279" t="s">
        <v>1342</v>
      </c>
      <c r="AC1279">
        <v>0</v>
      </c>
      <c r="AD1279">
        <v>3</v>
      </c>
      <c r="AE1279">
        <v>243833338023</v>
      </c>
      <c r="AF1279" t="s">
        <v>5618</v>
      </c>
      <c r="AG1279">
        <v>0</v>
      </c>
      <c r="AH1279">
        <v>0</v>
      </c>
    </row>
    <row r="1280" spans="1:34">
      <c r="A1280">
        <v>2026</v>
      </c>
      <c r="B1280" s="1">
        <v>46023</v>
      </c>
      <c r="C1280" t="s">
        <v>2657</v>
      </c>
      <c r="D1280" t="s">
        <v>5639</v>
      </c>
      <c r="E1280" s="43">
        <v>46037.745689629628</v>
      </c>
      <c r="F1280" s="1">
        <v>46037</v>
      </c>
      <c r="G1280" s="43">
        <v>46044.521052962962</v>
      </c>
      <c r="H1280" t="s">
        <v>2701</v>
      </c>
      <c r="I1280" t="s">
        <v>2719</v>
      </c>
      <c r="J1280" t="s">
        <v>39</v>
      </c>
      <c r="L1280" t="s">
        <v>2408</v>
      </c>
      <c r="M1280">
        <v>24383333802</v>
      </c>
      <c r="N1280" t="s">
        <v>2746</v>
      </c>
      <c r="O1280" s="1">
        <v>45661</v>
      </c>
      <c r="T1280" t="s">
        <v>2662</v>
      </c>
      <c r="U1280" t="s">
        <v>5640</v>
      </c>
      <c r="V1280">
        <v>5</v>
      </c>
      <c r="W1280" t="s">
        <v>2671</v>
      </c>
      <c r="X1280">
        <v>1</v>
      </c>
      <c r="Y1280" t="s">
        <v>2692</v>
      </c>
      <c r="AA1280">
        <v>24383333802</v>
      </c>
      <c r="AB1280" t="s">
        <v>1342</v>
      </c>
      <c r="AC1280">
        <v>0</v>
      </c>
      <c r="AD1280">
        <v>3</v>
      </c>
      <c r="AE1280">
        <v>243833338023</v>
      </c>
      <c r="AF1280" t="s">
        <v>5618</v>
      </c>
      <c r="AG1280">
        <v>1</v>
      </c>
      <c r="AH1280">
        <v>0</v>
      </c>
    </row>
    <row r="1281" spans="1:34">
      <c r="A1281">
        <v>2026</v>
      </c>
      <c r="B1281" s="1">
        <v>46023</v>
      </c>
      <c r="C1281" t="s">
        <v>2657</v>
      </c>
      <c r="D1281" t="s">
        <v>5641</v>
      </c>
      <c r="E1281" s="43">
        <v>46037.815364884256</v>
      </c>
      <c r="F1281" s="1">
        <v>46037</v>
      </c>
      <c r="G1281" s="43">
        <v>46043.677028032405</v>
      </c>
      <c r="H1281" t="s">
        <v>2701</v>
      </c>
      <c r="I1281" t="s">
        <v>2719</v>
      </c>
      <c r="J1281" t="s">
        <v>39</v>
      </c>
      <c r="L1281" t="s">
        <v>2408</v>
      </c>
      <c r="M1281">
        <v>24383333802</v>
      </c>
      <c r="N1281" t="s">
        <v>2746</v>
      </c>
      <c r="O1281" s="1">
        <v>45661</v>
      </c>
      <c r="T1281" t="s">
        <v>2662</v>
      </c>
      <c r="U1281" t="s">
        <v>5642</v>
      </c>
      <c r="V1281">
        <v>4</v>
      </c>
      <c r="W1281" t="s">
        <v>2677</v>
      </c>
      <c r="X1281">
        <v>1</v>
      </c>
      <c r="Y1281" t="s">
        <v>2760</v>
      </c>
      <c r="AA1281">
        <v>24383333802</v>
      </c>
      <c r="AB1281" t="s">
        <v>1342</v>
      </c>
      <c r="AC1281">
        <v>0</v>
      </c>
      <c r="AD1281">
        <v>3</v>
      </c>
      <c r="AE1281">
        <v>243833338023</v>
      </c>
      <c r="AF1281" t="s">
        <v>5618</v>
      </c>
      <c r="AG1281">
        <v>0</v>
      </c>
      <c r="AH1281">
        <v>0</v>
      </c>
    </row>
    <row r="1282" spans="1:34">
      <c r="A1282">
        <v>2026</v>
      </c>
      <c r="B1282" s="1">
        <v>46082</v>
      </c>
      <c r="C1282" t="s">
        <v>2657</v>
      </c>
      <c r="D1282" t="s">
        <v>5643</v>
      </c>
      <c r="E1282" s="43">
        <v>46086.624144247682</v>
      </c>
      <c r="F1282" s="1">
        <v>46086</v>
      </c>
      <c r="G1282" s="43">
        <v>46091.537410486111</v>
      </c>
      <c r="H1282" t="s">
        <v>2668</v>
      </c>
      <c r="I1282" t="s">
        <v>2669</v>
      </c>
      <c r="J1282" t="s">
        <v>36</v>
      </c>
      <c r="L1282" t="s">
        <v>2421</v>
      </c>
      <c r="M1282">
        <v>60769061802</v>
      </c>
      <c r="N1282" t="s">
        <v>2661</v>
      </c>
      <c r="O1282" s="1">
        <v>45299</v>
      </c>
      <c r="T1282" t="s">
        <v>2662</v>
      </c>
      <c r="U1282" t="s">
        <v>5644</v>
      </c>
      <c r="V1282">
        <v>3</v>
      </c>
      <c r="X1282">
        <v>1</v>
      </c>
      <c r="Y1282" t="s">
        <v>2772</v>
      </c>
      <c r="AA1282">
        <v>60769061802</v>
      </c>
      <c r="AB1282" t="s">
        <v>2141</v>
      </c>
      <c r="AC1282">
        <v>1</v>
      </c>
      <c r="AD1282">
        <v>10</v>
      </c>
      <c r="AE1282">
        <v>6076906180210</v>
      </c>
      <c r="AF1282" t="s">
        <v>5645</v>
      </c>
      <c r="AG1282">
        <v>1</v>
      </c>
      <c r="AH1282">
        <v>1</v>
      </c>
    </row>
    <row r="1283" spans="1:34">
      <c r="A1283">
        <v>2025</v>
      </c>
      <c r="B1283" s="1">
        <v>45962</v>
      </c>
      <c r="C1283" t="s">
        <v>2657</v>
      </c>
      <c r="D1283" t="s">
        <v>5646</v>
      </c>
      <c r="E1283" s="43">
        <v>45968.602994456021</v>
      </c>
      <c r="F1283" s="1">
        <v>45968</v>
      </c>
      <c r="G1283" s="43">
        <v>45982.538869189812</v>
      </c>
      <c r="H1283" t="s">
        <v>2802</v>
      </c>
      <c r="I1283" t="s">
        <v>2669</v>
      </c>
      <c r="J1283" t="s">
        <v>37</v>
      </c>
      <c r="L1283" t="s">
        <v>2351</v>
      </c>
      <c r="M1283">
        <v>1030040901202</v>
      </c>
      <c r="N1283" t="s">
        <v>2661</v>
      </c>
      <c r="O1283" s="1">
        <v>45702</v>
      </c>
      <c r="T1283" t="s">
        <v>2662</v>
      </c>
      <c r="U1283" t="s">
        <v>5647</v>
      </c>
      <c r="V1283">
        <v>10</v>
      </c>
      <c r="W1283" t="s">
        <v>2677</v>
      </c>
      <c r="X1283">
        <v>1</v>
      </c>
      <c r="Y1283" t="s">
        <v>2807</v>
      </c>
      <c r="AA1283">
        <v>1030040901202</v>
      </c>
      <c r="AB1283" t="s">
        <v>810</v>
      </c>
      <c r="AC1283">
        <v>0</v>
      </c>
      <c r="AD1283">
        <v>45</v>
      </c>
      <c r="AE1283">
        <v>103004090120245</v>
      </c>
      <c r="AF1283" t="s">
        <v>5648</v>
      </c>
      <c r="AG1283">
        <v>0</v>
      </c>
      <c r="AH1283">
        <v>0</v>
      </c>
    </row>
    <row r="1284" spans="1:34">
      <c r="A1284">
        <v>2025</v>
      </c>
      <c r="B1284" s="1">
        <v>45962</v>
      </c>
      <c r="C1284" t="s">
        <v>2657</v>
      </c>
      <c r="D1284" t="s">
        <v>5649</v>
      </c>
      <c r="E1284" s="43">
        <v>45967.698966550925</v>
      </c>
      <c r="F1284" s="1">
        <v>45967</v>
      </c>
      <c r="G1284" s="43">
        <v>45978.664173715275</v>
      </c>
      <c r="H1284" t="s">
        <v>2802</v>
      </c>
      <c r="I1284" t="s">
        <v>2669</v>
      </c>
      <c r="J1284" t="s">
        <v>37</v>
      </c>
      <c r="L1284" t="s">
        <v>2351</v>
      </c>
      <c r="M1284">
        <v>1030040901202</v>
      </c>
      <c r="N1284" t="s">
        <v>2661</v>
      </c>
      <c r="O1284" s="1">
        <v>45702</v>
      </c>
      <c r="T1284" t="s">
        <v>2662</v>
      </c>
      <c r="U1284" t="s">
        <v>5650</v>
      </c>
      <c r="V1284">
        <v>7</v>
      </c>
      <c r="W1284" t="s">
        <v>2671</v>
      </c>
      <c r="X1284">
        <v>1</v>
      </c>
      <c r="Y1284" t="s">
        <v>2683</v>
      </c>
      <c r="Z1284" t="s">
        <v>2684</v>
      </c>
      <c r="AA1284">
        <v>1030040901202</v>
      </c>
      <c r="AB1284" t="s">
        <v>810</v>
      </c>
      <c r="AC1284">
        <v>0</v>
      </c>
      <c r="AD1284">
        <v>45</v>
      </c>
      <c r="AE1284">
        <v>103004090120245</v>
      </c>
      <c r="AF1284" t="s">
        <v>5648</v>
      </c>
      <c r="AG1284">
        <v>1</v>
      </c>
      <c r="AH1284">
        <v>1</v>
      </c>
    </row>
    <row r="1285" spans="1:34">
      <c r="A1285">
        <v>2025</v>
      </c>
      <c r="B1285" s="1">
        <v>45962</v>
      </c>
      <c r="C1285" t="s">
        <v>2657</v>
      </c>
      <c r="D1285" t="s">
        <v>5651</v>
      </c>
      <c r="E1285" s="43">
        <v>45972.877182326389</v>
      </c>
      <c r="F1285" s="1">
        <v>45972</v>
      </c>
      <c r="G1285" s="43">
        <v>45974.747418935185</v>
      </c>
      <c r="H1285" t="s">
        <v>2802</v>
      </c>
      <c r="I1285" t="s">
        <v>2681</v>
      </c>
      <c r="J1285" t="s">
        <v>37</v>
      </c>
      <c r="L1285" t="s">
        <v>2351</v>
      </c>
      <c r="M1285">
        <v>1030040901202</v>
      </c>
      <c r="N1285" t="s">
        <v>2661</v>
      </c>
      <c r="O1285" s="1">
        <v>45702</v>
      </c>
      <c r="T1285" t="s">
        <v>2662</v>
      </c>
      <c r="U1285" t="s">
        <v>5652</v>
      </c>
      <c r="V1285">
        <v>2</v>
      </c>
      <c r="W1285" t="s">
        <v>2677</v>
      </c>
      <c r="X1285">
        <v>1</v>
      </c>
      <c r="Y1285" t="s">
        <v>2807</v>
      </c>
      <c r="AA1285">
        <v>1030040901202</v>
      </c>
      <c r="AB1285" t="s">
        <v>810</v>
      </c>
      <c r="AC1285">
        <v>0</v>
      </c>
      <c r="AD1285">
        <v>46</v>
      </c>
      <c r="AE1285">
        <v>103004090120246</v>
      </c>
      <c r="AF1285" t="s">
        <v>5648</v>
      </c>
      <c r="AG1285">
        <v>1</v>
      </c>
      <c r="AH1285">
        <v>0</v>
      </c>
    </row>
    <row r="1286" spans="1:34">
      <c r="A1286">
        <v>2025</v>
      </c>
      <c r="B1286" s="1">
        <v>45962</v>
      </c>
      <c r="C1286" t="s">
        <v>2657</v>
      </c>
      <c r="D1286" s="44" t="s">
        <v>5653</v>
      </c>
      <c r="E1286" s="43">
        <v>45972.881626805553</v>
      </c>
      <c r="F1286" s="1">
        <v>45972</v>
      </c>
      <c r="G1286" s="43">
        <v>45974.747275891204</v>
      </c>
      <c r="H1286" t="s">
        <v>2802</v>
      </c>
      <c r="I1286" t="s">
        <v>2681</v>
      </c>
      <c r="J1286" t="s">
        <v>37</v>
      </c>
      <c r="L1286" t="s">
        <v>2351</v>
      </c>
      <c r="M1286">
        <v>1030040901202</v>
      </c>
      <c r="N1286" t="s">
        <v>2661</v>
      </c>
      <c r="O1286" s="1">
        <v>45702</v>
      </c>
      <c r="T1286" t="s">
        <v>2662</v>
      </c>
      <c r="U1286" t="s">
        <v>5654</v>
      </c>
      <c r="V1286">
        <v>2</v>
      </c>
      <c r="W1286" t="s">
        <v>2677</v>
      </c>
      <c r="X1286">
        <v>1</v>
      </c>
      <c r="Y1286" t="s">
        <v>2807</v>
      </c>
      <c r="AA1286">
        <v>1030040901202</v>
      </c>
      <c r="AB1286" t="s">
        <v>810</v>
      </c>
      <c r="AC1286">
        <v>0</v>
      </c>
      <c r="AD1286">
        <v>46</v>
      </c>
      <c r="AE1286">
        <v>103004090120246</v>
      </c>
      <c r="AF1286" t="s">
        <v>5648</v>
      </c>
      <c r="AG1286">
        <v>0</v>
      </c>
      <c r="AH1286">
        <v>0</v>
      </c>
    </row>
    <row r="1287" spans="1:34">
      <c r="A1287">
        <v>2025</v>
      </c>
      <c r="B1287" s="1">
        <v>45962</v>
      </c>
      <c r="C1287" t="s">
        <v>2657</v>
      </c>
      <c r="D1287" t="s">
        <v>5655</v>
      </c>
      <c r="E1287" s="43">
        <v>45974.90041396991</v>
      </c>
      <c r="F1287" s="1">
        <v>45974</v>
      </c>
      <c r="G1287" s="43">
        <v>45974.90041396991</v>
      </c>
      <c r="H1287" t="s">
        <v>2802</v>
      </c>
      <c r="I1287" t="s">
        <v>2681</v>
      </c>
      <c r="J1287" t="s">
        <v>37</v>
      </c>
      <c r="L1287" t="s">
        <v>2351</v>
      </c>
      <c r="M1287">
        <v>1030040901202</v>
      </c>
      <c r="N1287" t="s">
        <v>2661</v>
      </c>
      <c r="O1287" s="1">
        <v>45702</v>
      </c>
      <c r="T1287" t="s">
        <v>2662</v>
      </c>
      <c r="U1287" t="s">
        <v>5656</v>
      </c>
      <c r="V1287">
        <v>0</v>
      </c>
      <c r="W1287" t="s">
        <v>2671</v>
      </c>
      <c r="X1287">
        <v>1</v>
      </c>
      <c r="Y1287" t="s">
        <v>2695</v>
      </c>
      <c r="AA1287">
        <v>1030040901202</v>
      </c>
      <c r="AB1287" t="s">
        <v>810</v>
      </c>
      <c r="AC1287">
        <v>0</v>
      </c>
      <c r="AD1287">
        <v>46</v>
      </c>
      <c r="AE1287">
        <v>103004090120246</v>
      </c>
      <c r="AF1287" t="s">
        <v>5648</v>
      </c>
      <c r="AG1287">
        <v>0</v>
      </c>
      <c r="AH1287">
        <v>0</v>
      </c>
    </row>
    <row r="1288" spans="1:34">
      <c r="A1288">
        <v>2025</v>
      </c>
      <c r="B1288" s="1">
        <v>45962</v>
      </c>
      <c r="C1288" t="s">
        <v>2657</v>
      </c>
      <c r="D1288" t="s">
        <v>5657</v>
      </c>
      <c r="E1288" s="43">
        <v>45974.899284560182</v>
      </c>
      <c r="F1288" s="1">
        <v>45974</v>
      </c>
      <c r="G1288" s="43">
        <v>45974.899284560182</v>
      </c>
      <c r="H1288" t="s">
        <v>2802</v>
      </c>
      <c r="I1288" t="s">
        <v>2681</v>
      </c>
      <c r="J1288" t="s">
        <v>37</v>
      </c>
      <c r="L1288" t="s">
        <v>2351</v>
      </c>
      <c r="M1288">
        <v>1030040901202</v>
      </c>
      <c r="N1288" t="s">
        <v>2661</v>
      </c>
      <c r="O1288" s="1">
        <v>45702</v>
      </c>
      <c r="T1288" t="s">
        <v>2662</v>
      </c>
      <c r="U1288" t="s">
        <v>5658</v>
      </c>
      <c r="V1288">
        <v>0</v>
      </c>
      <c r="W1288" t="s">
        <v>2671</v>
      </c>
      <c r="X1288">
        <v>1</v>
      </c>
      <c r="Y1288" t="s">
        <v>2695</v>
      </c>
      <c r="AA1288">
        <v>1030040901202</v>
      </c>
      <c r="AB1288" t="s">
        <v>810</v>
      </c>
      <c r="AC1288">
        <v>0</v>
      </c>
      <c r="AD1288">
        <v>46</v>
      </c>
      <c r="AE1288">
        <v>103004090120246</v>
      </c>
      <c r="AF1288" t="s">
        <v>5648</v>
      </c>
      <c r="AG1288">
        <v>0</v>
      </c>
      <c r="AH1288">
        <v>0</v>
      </c>
    </row>
    <row r="1289" spans="1:34">
      <c r="A1289">
        <v>2025</v>
      </c>
      <c r="B1289" s="1">
        <v>45962</v>
      </c>
      <c r="C1289" t="s">
        <v>2657</v>
      </c>
      <c r="D1289" t="s">
        <v>5659</v>
      </c>
      <c r="E1289" s="43">
        <v>45986.882883819446</v>
      </c>
      <c r="F1289" s="1">
        <v>45986</v>
      </c>
      <c r="G1289" s="43">
        <v>45993.739790416665</v>
      </c>
      <c r="H1289" t="s">
        <v>2802</v>
      </c>
      <c r="I1289" t="s">
        <v>2660</v>
      </c>
      <c r="J1289" t="s">
        <v>37</v>
      </c>
      <c r="L1289" t="s">
        <v>2351</v>
      </c>
      <c r="M1289">
        <v>1030040901202</v>
      </c>
      <c r="N1289" t="s">
        <v>2661</v>
      </c>
      <c r="O1289" s="1">
        <v>45702</v>
      </c>
      <c r="T1289" t="s">
        <v>2662</v>
      </c>
      <c r="U1289" t="s">
        <v>5660</v>
      </c>
      <c r="V1289">
        <v>5</v>
      </c>
      <c r="W1289" t="s">
        <v>2671</v>
      </c>
      <c r="X1289">
        <v>1</v>
      </c>
      <c r="Y1289" t="s">
        <v>2757</v>
      </c>
      <c r="AA1289">
        <v>1030040901202</v>
      </c>
      <c r="AB1289" t="s">
        <v>810</v>
      </c>
      <c r="AC1289">
        <v>0</v>
      </c>
      <c r="AD1289">
        <v>48</v>
      </c>
      <c r="AE1289">
        <v>103004090120248</v>
      </c>
      <c r="AF1289" t="s">
        <v>5648</v>
      </c>
      <c r="AG1289">
        <v>1</v>
      </c>
      <c r="AH1289">
        <v>0</v>
      </c>
    </row>
    <row r="1290" spans="1:34">
      <c r="A1290">
        <v>2025</v>
      </c>
      <c r="B1290" s="1">
        <v>45962</v>
      </c>
      <c r="C1290" t="s">
        <v>2657</v>
      </c>
      <c r="D1290" s="44" t="s">
        <v>5661</v>
      </c>
      <c r="E1290" s="43">
        <v>45986.883483634258</v>
      </c>
      <c r="F1290" s="1">
        <v>45986</v>
      </c>
      <c r="G1290" s="43">
        <v>45999.529074178237</v>
      </c>
      <c r="H1290" t="s">
        <v>2802</v>
      </c>
      <c r="I1290" t="s">
        <v>2660</v>
      </c>
      <c r="J1290" t="s">
        <v>37</v>
      </c>
      <c r="L1290" t="s">
        <v>2351</v>
      </c>
      <c r="M1290">
        <v>1030040901202</v>
      </c>
      <c r="N1290" t="s">
        <v>2661</v>
      </c>
      <c r="O1290" s="1">
        <v>45702</v>
      </c>
      <c r="T1290" t="s">
        <v>2662</v>
      </c>
      <c r="U1290" t="s">
        <v>5662</v>
      </c>
      <c r="V1290">
        <v>9</v>
      </c>
      <c r="W1290" t="s">
        <v>2671</v>
      </c>
      <c r="X1290">
        <v>1</v>
      </c>
      <c r="Y1290" t="s">
        <v>2683</v>
      </c>
      <c r="AA1290">
        <v>1030040901202</v>
      </c>
      <c r="AB1290" t="s">
        <v>810</v>
      </c>
      <c r="AC1290">
        <v>0</v>
      </c>
      <c r="AD1290">
        <v>48</v>
      </c>
      <c r="AE1290">
        <v>103004090120248</v>
      </c>
      <c r="AF1290" t="s">
        <v>5648</v>
      </c>
      <c r="AG1290">
        <v>0</v>
      </c>
      <c r="AH1290">
        <v>0</v>
      </c>
    </row>
    <row r="1291" spans="1:34">
      <c r="A1291">
        <v>2025</v>
      </c>
      <c r="B1291" s="1">
        <v>45962</v>
      </c>
      <c r="C1291" t="s">
        <v>2657</v>
      </c>
      <c r="D1291" t="s">
        <v>5663</v>
      </c>
      <c r="E1291" s="43">
        <v>45987.669000312497</v>
      </c>
      <c r="F1291" s="1">
        <v>45987</v>
      </c>
      <c r="G1291" s="43">
        <v>46020.58137284722</v>
      </c>
      <c r="H1291" t="s">
        <v>2802</v>
      </c>
      <c r="I1291" t="s">
        <v>2660</v>
      </c>
      <c r="J1291" t="s">
        <v>37</v>
      </c>
      <c r="L1291" t="s">
        <v>2351</v>
      </c>
      <c r="M1291">
        <v>1030040901202</v>
      </c>
      <c r="N1291" t="s">
        <v>2661</v>
      </c>
      <c r="O1291" s="1">
        <v>45702</v>
      </c>
      <c r="T1291" t="s">
        <v>2662</v>
      </c>
      <c r="U1291" t="s">
        <v>5664</v>
      </c>
      <c r="V1291">
        <v>23</v>
      </c>
      <c r="W1291" t="s">
        <v>2671</v>
      </c>
      <c r="X1291">
        <v>1</v>
      </c>
      <c r="Y1291" t="s">
        <v>2760</v>
      </c>
      <c r="Z1291" t="s">
        <v>2684</v>
      </c>
      <c r="AA1291">
        <v>1030040901202</v>
      </c>
      <c r="AB1291" t="s">
        <v>810</v>
      </c>
      <c r="AC1291">
        <v>0</v>
      </c>
      <c r="AD1291">
        <v>48</v>
      </c>
      <c r="AE1291">
        <v>103004090120248</v>
      </c>
      <c r="AF1291" t="s">
        <v>5648</v>
      </c>
      <c r="AG1291">
        <v>0</v>
      </c>
      <c r="AH1291">
        <v>0</v>
      </c>
    </row>
    <row r="1292" spans="1:34">
      <c r="A1292">
        <v>2026</v>
      </c>
      <c r="B1292" s="1">
        <v>46023</v>
      </c>
      <c r="C1292" t="s">
        <v>2657</v>
      </c>
      <c r="D1292" s="44" t="s">
        <v>5665</v>
      </c>
      <c r="E1292" s="43">
        <v>46048.580732581016</v>
      </c>
      <c r="F1292" s="1">
        <v>46048</v>
      </c>
      <c r="G1292" s="43">
        <v>46052.512349699071</v>
      </c>
      <c r="H1292" t="s">
        <v>2701</v>
      </c>
      <c r="I1292" t="s">
        <v>2660</v>
      </c>
      <c r="J1292" t="s">
        <v>39</v>
      </c>
      <c r="L1292" t="s">
        <v>2336</v>
      </c>
      <c r="M1292">
        <v>40274588502</v>
      </c>
      <c r="N1292" t="s">
        <v>2746</v>
      </c>
      <c r="O1292" s="1">
        <v>45842</v>
      </c>
      <c r="T1292" t="s">
        <v>2662</v>
      </c>
      <c r="U1292" t="s">
        <v>5666</v>
      </c>
      <c r="V1292">
        <v>4</v>
      </c>
      <c r="W1292" t="s">
        <v>2664</v>
      </c>
      <c r="X1292">
        <v>1</v>
      </c>
      <c r="Y1292" t="s">
        <v>2757</v>
      </c>
      <c r="AA1292">
        <v>40274588502</v>
      </c>
      <c r="AB1292" t="s">
        <v>866</v>
      </c>
      <c r="AC1292">
        <v>0</v>
      </c>
      <c r="AD1292">
        <v>5</v>
      </c>
      <c r="AE1292">
        <v>402745885025</v>
      </c>
      <c r="AF1292" t="s">
        <v>5667</v>
      </c>
      <c r="AG1292">
        <v>1</v>
      </c>
      <c r="AH1292">
        <v>0</v>
      </c>
    </row>
    <row r="1293" spans="1:34">
      <c r="A1293">
        <v>2026</v>
      </c>
      <c r="B1293" s="1">
        <v>46023</v>
      </c>
      <c r="C1293" t="s">
        <v>2657</v>
      </c>
      <c r="D1293" t="s">
        <v>5668</v>
      </c>
      <c r="E1293" s="43">
        <v>46044.62954415509</v>
      </c>
      <c r="F1293" s="1">
        <v>46044</v>
      </c>
      <c r="G1293" s="43">
        <v>46045.677667442127</v>
      </c>
      <c r="H1293" t="s">
        <v>2701</v>
      </c>
      <c r="I1293" t="s">
        <v>2660</v>
      </c>
      <c r="J1293" t="s">
        <v>39</v>
      </c>
      <c r="L1293" t="s">
        <v>2336</v>
      </c>
      <c r="M1293">
        <v>40274588502</v>
      </c>
      <c r="N1293" t="s">
        <v>2746</v>
      </c>
      <c r="O1293" s="1">
        <v>45842</v>
      </c>
      <c r="T1293" t="s">
        <v>2662</v>
      </c>
      <c r="U1293" t="s">
        <v>5669</v>
      </c>
      <c r="V1293">
        <v>1</v>
      </c>
      <c r="W1293" t="s">
        <v>2704</v>
      </c>
      <c r="X1293">
        <v>1</v>
      </c>
      <c r="Y1293" t="s">
        <v>2721</v>
      </c>
      <c r="AA1293">
        <v>40274588502</v>
      </c>
      <c r="AB1293" t="s">
        <v>866</v>
      </c>
      <c r="AC1293">
        <v>0</v>
      </c>
      <c r="AD1293">
        <v>4</v>
      </c>
      <c r="AE1293">
        <v>402745885024</v>
      </c>
      <c r="AF1293" t="s">
        <v>5667</v>
      </c>
      <c r="AG1293">
        <v>1</v>
      </c>
      <c r="AH1293">
        <v>1</v>
      </c>
    </row>
    <row r="1294" spans="1:34">
      <c r="A1294">
        <v>2026</v>
      </c>
      <c r="B1294" s="1">
        <v>46054</v>
      </c>
      <c r="C1294" t="s">
        <v>2657</v>
      </c>
      <c r="D1294" t="s">
        <v>5670</v>
      </c>
      <c r="E1294" s="43">
        <v>46055.580968379632</v>
      </c>
      <c r="F1294" s="1">
        <v>46055</v>
      </c>
      <c r="G1294" s="43">
        <v>46079.655923680555</v>
      </c>
      <c r="H1294" t="s">
        <v>2725</v>
      </c>
      <c r="I1294" t="s">
        <v>2669</v>
      </c>
      <c r="J1294" t="s">
        <v>100</v>
      </c>
      <c r="L1294" t="s">
        <v>2381</v>
      </c>
      <c r="M1294">
        <v>24558652202</v>
      </c>
      <c r="N1294" t="s">
        <v>2702</v>
      </c>
      <c r="O1294" s="1">
        <v>45669</v>
      </c>
      <c r="T1294" t="s">
        <v>2798</v>
      </c>
      <c r="U1294" t="s">
        <v>5671</v>
      </c>
      <c r="V1294">
        <v>29</v>
      </c>
      <c r="W1294" t="s">
        <v>2704</v>
      </c>
      <c r="X1294">
        <v>0</v>
      </c>
      <c r="Y1294" t="s">
        <v>2721</v>
      </c>
      <c r="AA1294">
        <v>24558652202</v>
      </c>
      <c r="AB1294" t="s">
        <v>102</v>
      </c>
      <c r="AC1294">
        <v>0</v>
      </c>
      <c r="AD1294">
        <v>6</v>
      </c>
      <c r="AE1294">
        <v>245586522026</v>
      </c>
      <c r="AF1294" t="s">
        <v>5672</v>
      </c>
      <c r="AG1294">
        <v>1</v>
      </c>
      <c r="AH1294">
        <v>1</v>
      </c>
    </row>
    <row r="1295" spans="1:34">
      <c r="A1295">
        <v>2026</v>
      </c>
      <c r="B1295" s="1">
        <v>46054</v>
      </c>
      <c r="C1295" t="s">
        <v>2657</v>
      </c>
      <c r="D1295" t="s">
        <v>5673</v>
      </c>
      <c r="E1295" s="43">
        <v>46064.638773194441</v>
      </c>
      <c r="F1295" s="1">
        <v>46064</v>
      </c>
      <c r="G1295" s="43">
        <v>46072.635974097226</v>
      </c>
      <c r="H1295" t="s">
        <v>2725</v>
      </c>
      <c r="I1295" t="s">
        <v>2681</v>
      </c>
      <c r="J1295" t="s">
        <v>100</v>
      </c>
      <c r="L1295" t="s">
        <v>2381</v>
      </c>
      <c r="M1295">
        <v>24558652202</v>
      </c>
      <c r="N1295" t="s">
        <v>2702</v>
      </c>
      <c r="O1295" s="1">
        <v>45669</v>
      </c>
      <c r="T1295" t="s">
        <v>2662</v>
      </c>
      <c r="U1295" t="s">
        <v>5674</v>
      </c>
      <c r="V1295">
        <v>6</v>
      </c>
      <c r="W1295" t="s">
        <v>2985</v>
      </c>
      <c r="X1295">
        <v>1</v>
      </c>
      <c r="Y1295" t="s">
        <v>2985</v>
      </c>
      <c r="AA1295">
        <v>24558652202</v>
      </c>
      <c r="AB1295" t="s">
        <v>102</v>
      </c>
      <c r="AC1295">
        <v>0</v>
      </c>
      <c r="AD1295">
        <v>7</v>
      </c>
      <c r="AE1295">
        <v>245586522027</v>
      </c>
      <c r="AF1295" t="s">
        <v>5672</v>
      </c>
      <c r="AG1295">
        <v>1</v>
      </c>
      <c r="AH1295">
        <v>0</v>
      </c>
    </row>
    <row r="1296" spans="1:34">
      <c r="A1296">
        <v>2026</v>
      </c>
      <c r="B1296" s="1">
        <v>46054</v>
      </c>
      <c r="C1296" t="s">
        <v>2657</v>
      </c>
      <c r="D1296" t="s">
        <v>5675</v>
      </c>
      <c r="E1296" s="43">
        <v>46066.815528148145</v>
      </c>
      <c r="F1296" s="1">
        <v>46066</v>
      </c>
      <c r="G1296" s="43">
        <v>46066.815528148145</v>
      </c>
      <c r="H1296" t="s">
        <v>2725</v>
      </c>
      <c r="I1296" t="s">
        <v>2681</v>
      </c>
      <c r="J1296" t="s">
        <v>100</v>
      </c>
      <c r="L1296" t="s">
        <v>2381</v>
      </c>
      <c r="M1296">
        <v>24558652202</v>
      </c>
      <c r="N1296" t="s">
        <v>2702</v>
      </c>
      <c r="O1296" s="1">
        <v>45669</v>
      </c>
      <c r="T1296" t="s">
        <v>2798</v>
      </c>
      <c r="U1296" t="s">
        <v>5676</v>
      </c>
      <c r="V1296">
        <v>20</v>
      </c>
      <c r="W1296" t="s">
        <v>2704</v>
      </c>
      <c r="X1296">
        <v>0</v>
      </c>
      <c r="Y1296" t="s">
        <v>2699</v>
      </c>
      <c r="AA1296">
        <v>24558652202</v>
      </c>
      <c r="AB1296" t="s">
        <v>102</v>
      </c>
      <c r="AC1296">
        <v>0</v>
      </c>
      <c r="AD1296">
        <v>7</v>
      </c>
      <c r="AE1296">
        <v>245586522027</v>
      </c>
      <c r="AF1296" t="s">
        <v>5672</v>
      </c>
      <c r="AG1296">
        <v>0</v>
      </c>
      <c r="AH1296">
        <v>0</v>
      </c>
    </row>
    <row r="1297" spans="1:34">
      <c r="A1297">
        <v>2026</v>
      </c>
      <c r="B1297" s="1">
        <v>46054</v>
      </c>
      <c r="C1297" t="s">
        <v>2657</v>
      </c>
      <c r="D1297" s="44" t="s">
        <v>5677</v>
      </c>
      <c r="E1297" s="43">
        <v>46072.648290023149</v>
      </c>
      <c r="F1297" s="1">
        <v>46072</v>
      </c>
      <c r="G1297" s="43">
        <v>46073.827850046298</v>
      </c>
      <c r="H1297" t="s">
        <v>2725</v>
      </c>
      <c r="I1297" t="s">
        <v>2719</v>
      </c>
      <c r="J1297" t="s">
        <v>100</v>
      </c>
      <c r="L1297" t="s">
        <v>2381</v>
      </c>
      <c r="M1297">
        <v>24558652202</v>
      </c>
      <c r="N1297" t="s">
        <v>2702</v>
      </c>
      <c r="O1297" s="1">
        <v>45669</v>
      </c>
      <c r="T1297" t="s">
        <v>2662</v>
      </c>
      <c r="U1297" t="s">
        <v>5678</v>
      </c>
      <c r="V1297">
        <v>1</v>
      </c>
      <c r="W1297" t="s">
        <v>2704</v>
      </c>
      <c r="X1297">
        <v>1</v>
      </c>
      <c r="Y1297" t="s">
        <v>2699</v>
      </c>
      <c r="AA1297">
        <v>24558652202</v>
      </c>
      <c r="AB1297" t="s">
        <v>102</v>
      </c>
      <c r="AC1297">
        <v>0</v>
      </c>
      <c r="AD1297">
        <v>8</v>
      </c>
      <c r="AE1297">
        <v>245586522028</v>
      </c>
      <c r="AF1297" t="s">
        <v>5672</v>
      </c>
      <c r="AG1297">
        <v>1</v>
      </c>
      <c r="AH1297">
        <v>0</v>
      </c>
    </row>
    <row r="1298" spans="1:34">
      <c r="A1298">
        <v>2026</v>
      </c>
      <c r="B1298" s="1">
        <v>46054</v>
      </c>
      <c r="C1298" t="s">
        <v>2657</v>
      </c>
      <c r="D1298" t="s">
        <v>5679</v>
      </c>
      <c r="E1298" s="43">
        <v>46078.71615252315</v>
      </c>
      <c r="F1298" s="1">
        <v>46078</v>
      </c>
      <c r="G1298" s="43">
        <v>46079.711246944447</v>
      </c>
      <c r="H1298" t="s">
        <v>2725</v>
      </c>
      <c r="I1298" t="s">
        <v>2660</v>
      </c>
      <c r="J1298" t="s">
        <v>100</v>
      </c>
      <c r="L1298" t="s">
        <v>2381</v>
      </c>
      <c r="M1298">
        <v>809933053402</v>
      </c>
      <c r="N1298" t="s">
        <v>2702</v>
      </c>
      <c r="O1298" s="1">
        <v>45669</v>
      </c>
      <c r="T1298" t="s">
        <v>2662</v>
      </c>
      <c r="U1298" t="s">
        <v>5680</v>
      </c>
      <c r="V1298">
        <v>1</v>
      </c>
      <c r="X1298">
        <v>1</v>
      </c>
      <c r="Y1298" t="s">
        <v>2699</v>
      </c>
      <c r="AA1298">
        <v>24558652202</v>
      </c>
      <c r="AB1298" t="s">
        <v>102</v>
      </c>
      <c r="AC1298">
        <v>0</v>
      </c>
      <c r="AD1298">
        <v>9</v>
      </c>
      <c r="AE1298">
        <v>245586522029</v>
      </c>
      <c r="AF1298" t="s">
        <v>5672</v>
      </c>
      <c r="AG1298">
        <v>0</v>
      </c>
      <c r="AH1298">
        <v>0</v>
      </c>
    </row>
    <row r="1299" spans="1:34">
      <c r="A1299">
        <v>2026</v>
      </c>
      <c r="B1299" s="1">
        <v>46054</v>
      </c>
      <c r="C1299" t="s">
        <v>2657</v>
      </c>
      <c r="D1299" s="44" t="s">
        <v>5681</v>
      </c>
      <c r="E1299" s="43">
        <v>46078.61197716435</v>
      </c>
      <c r="F1299" s="1">
        <v>46078</v>
      </c>
      <c r="G1299" s="43">
        <v>46079.711787858796</v>
      </c>
      <c r="H1299" t="s">
        <v>2725</v>
      </c>
      <c r="I1299" t="s">
        <v>2660</v>
      </c>
      <c r="J1299" t="s">
        <v>100</v>
      </c>
      <c r="L1299" t="s">
        <v>2381</v>
      </c>
      <c r="M1299">
        <v>24558652202</v>
      </c>
      <c r="N1299" t="s">
        <v>2702</v>
      </c>
      <c r="O1299" s="1">
        <v>45669</v>
      </c>
      <c r="T1299" t="s">
        <v>2662</v>
      </c>
      <c r="U1299" t="s">
        <v>5682</v>
      </c>
      <c r="V1299">
        <v>1</v>
      </c>
      <c r="W1299" t="s">
        <v>2704</v>
      </c>
      <c r="X1299">
        <v>1</v>
      </c>
      <c r="Y1299" t="s">
        <v>2760</v>
      </c>
      <c r="AA1299">
        <v>24558652202</v>
      </c>
      <c r="AB1299" t="s">
        <v>102</v>
      </c>
      <c r="AC1299">
        <v>0</v>
      </c>
      <c r="AD1299">
        <v>9</v>
      </c>
      <c r="AE1299">
        <v>245586522029</v>
      </c>
      <c r="AF1299" t="s">
        <v>5672</v>
      </c>
      <c r="AG1299">
        <v>1</v>
      </c>
      <c r="AH1299">
        <v>0</v>
      </c>
    </row>
    <row r="1300" spans="1:34">
      <c r="A1300">
        <v>2026</v>
      </c>
      <c r="B1300" s="1">
        <v>46054</v>
      </c>
      <c r="C1300" t="s">
        <v>2657</v>
      </c>
      <c r="D1300" t="s">
        <v>5683</v>
      </c>
      <c r="E1300" s="43">
        <v>46078.65690105324</v>
      </c>
      <c r="F1300" s="1">
        <v>46078</v>
      </c>
      <c r="G1300" s="43">
        <v>46078.65690105324</v>
      </c>
      <c r="H1300" t="s">
        <v>2725</v>
      </c>
      <c r="I1300" t="s">
        <v>2660</v>
      </c>
      <c r="J1300" t="s">
        <v>100</v>
      </c>
      <c r="L1300" t="s">
        <v>2381</v>
      </c>
      <c r="M1300">
        <v>727234475902</v>
      </c>
      <c r="N1300" t="s">
        <v>2702</v>
      </c>
      <c r="O1300" s="1">
        <v>45669</v>
      </c>
      <c r="T1300" t="s">
        <v>2798</v>
      </c>
      <c r="U1300" t="s">
        <v>5684</v>
      </c>
      <c r="V1300">
        <v>12</v>
      </c>
      <c r="X1300">
        <v>0</v>
      </c>
      <c r="Y1300" t="s">
        <v>2721</v>
      </c>
      <c r="AA1300">
        <v>24558652202</v>
      </c>
      <c r="AB1300" t="s">
        <v>102</v>
      </c>
      <c r="AC1300">
        <v>0</v>
      </c>
      <c r="AD1300">
        <v>9</v>
      </c>
      <c r="AE1300">
        <v>245586522029</v>
      </c>
      <c r="AF1300" t="s">
        <v>5672</v>
      </c>
      <c r="AG1300">
        <v>0</v>
      </c>
      <c r="AH1300">
        <v>0</v>
      </c>
    </row>
    <row r="1301" spans="1:34">
      <c r="A1301">
        <v>2026</v>
      </c>
      <c r="B1301" s="1">
        <v>46054</v>
      </c>
      <c r="C1301" t="s">
        <v>2657</v>
      </c>
      <c r="D1301" t="s">
        <v>5685</v>
      </c>
      <c r="E1301" s="43">
        <v>46058.568615578704</v>
      </c>
      <c r="F1301" s="1">
        <v>46058</v>
      </c>
      <c r="G1301" s="43">
        <v>46059.640002916669</v>
      </c>
      <c r="H1301" t="s">
        <v>2725</v>
      </c>
      <c r="I1301" t="s">
        <v>2669</v>
      </c>
      <c r="J1301" t="s">
        <v>100</v>
      </c>
      <c r="L1301" t="s">
        <v>2381</v>
      </c>
      <c r="M1301">
        <v>549848560202</v>
      </c>
      <c r="N1301" t="s">
        <v>2702</v>
      </c>
      <c r="O1301" s="1">
        <v>45669</v>
      </c>
      <c r="T1301" t="s">
        <v>2662</v>
      </c>
      <c r="U1301" t="s">
        <v>5686</v>
      </c>
      <c r="V1301">
        <v>1</v>
      </c>
      <c r="W1301" t="s">
        <v>2704</v>
      </c>
      <c r="X1301">
        <v>1</v>
      </c>
      <c r="Y1301" t="s">
        <v>2721</v>
      </c>
      <c r="AA1301">
        <v>549848560202</v>
      </c>
      <c r="AB1301" t="s">
        <v>437</v>
      </c>
      <c r="AC1301">
        <v>0</v>
      </c>
      <c r="AD1301">
        <v>6</v>
      </c>
      <c r="AE1301">
        <v>5498485602026</v>
      </c>
      <c r="AF1301" t="s">
        <v>5687</v>
      </c>
      <c r="AG1301">
        <v>0</v>
      </c>
      <c r="AH1301">
        <v>0</v>
      </c>
    </row>
    <row r="1302" spans="1:34">
      <c r="A1302">
        <v>2026</v>
      </c>
      <c r="B1302" s="1">
        <v>46054</v>
      </c>
      <c r="C1302" t="s">
        <v>2657</v>
      </c>
      <c r="D1302" t="s">
        <v>5688</v>
      </c>
      <c r="E1302" s="43">
        <v>46055.706481284724</v>
      </c>
      <c r="F1302" s="1">
        <v>46055</v>
      </c>
      <c r="G1302" s="43">
        <v>46063.545891099537</v>
      </c>
      <c r="H1302" t="s">
        <v>2725</v>
      </c>
      <c r="I1302" t="s">
        <v>2669</v>
      </c>
      <c r="J1302" t="s">
        <v>100</v>
      </c>
      <c r="L1302" t="s">
        <v>2381</v>
      </c>
      <c r="M1302">
        <v>549848560202</v>
      </c>
      <c r="N1302" t="s">
        <v>2702</v>
      </c>
      <c r="O1302" s="1">
        <v>45669</v>
      </c>
      <c r="T1302" t="s">
        <v>2662</v>
      </c>
      <c r="U1302" t="s">
        <v>5689</v>
      </c>
      <c r="V1302">
        <v>6</v>
      </c>
      <c r="W1302" t="s">
        <v>2704</v>
      </c>
      <c r="X1302">
        <v>1</v>
      </c>
      <c r="Y1302" t="s">
        <v>2721</v>
      </c>
      <c r="AA1302">
        <v>549848560202</v>
      </c>
      <c r="AB1302" t="s">
        <v>437</v>
      </c>
      <c r="AC1302">
        <v>0</v>
      </c>
      <c r="AD1302">
        <v>6</v>
      </c>
      <c r="AE1302">
        <v>5498485602026</v>
      </c>
      <c r="AF1302" t="s">
        <v>5687</v>
      </c>
      <c r="AG1302">
        <v>1</v>
      </c>
      <c r="AH1302">
        <v>1</v>
      </c>
    </row>
    <row r="1303" spans="1:34">
      <c r="A1303">
        <v>2026</v>
      </c>
      <c r="B1303" s="1">
        <v>46054</v>
      </c>
      <c r="C1303" t="s">
        <v>2657</v>
      </c>
      <c r="D1303" t="s">
        <v>5690</v>
      </c>
      <c r="E1303" s="43">
        <v>46055.71885917824</v>
      </c>
      <c r="F1303" s="1">
        <v>46055</v>
      </c>
      <c r="G1303" s="43">
        <v>46057.561161967591</v>
      </c>
      <c r="H1303" t="s">
        <v>2725</v>
      </c>
      <c r="I1303" t="s">
        <v>2669</v>
      </c>
      <c r="J1303" t="s">
        <v>100</v>
      </c>
      <c r="L1303" t="s">
        <v>2381</v>
      </c>
      <c r="M1303">
        <v>549848560202</v>
      </c>
      <c r="N1303" t="s">
        <v>2702</v>
      </c>
      <c r="O1303" s="1">
        <v>45669</v>
      </c>
      <c r="T1303" t="s">
        <v>2662</v>
      </c>
      <c r="U1303" t="s">
        <v>5691</v>
      </c>
      <c r="V1303">
        <v>2</v>
      </c>
      <c r="W1303" t="s">
        <v>2704</v>
      </c>
      <c r="X1303">
        <v>1</v>
      </c>
      <c r="Y1303" t="s">
        <v>2721</v>
      </c>
      <c r="AA1303">
        <v>549848560202</v>
      </c>
      <c r="AB1303" t="s">
        <v>437</v>
      </c>
      <c r="AC1303">
        <v>0</v>
      </c>
      <c r="AD1303">
        <v>6</v>
      </c>
      <c r="AE1303">
        <v>5498485602026</v>
      </c>
      <c r="AF1303" t="s">
        <v>5687</v>
      </c>
      <c r="AG1303">
        <v>0</v>
      </c>
      <c r="AH1303">
        <v>0</v>
      </c>
    </row>
    <row r="1304" spans="1:34">
      <c r="A1304">
        <v>2025</v>
      </c>
      <c r="B1304" s="1">
        <v>45870</v>
      </c>
      <c r="C1304" t="s">
        <v>2657</v>
      </c>
      <c r="D1304" t="s">
        <v>5692</v>
      </c>
      <c r="E1304" s="43">
        <v>45887.842493495373</v>
      </c>
      <c r="F1304" s="1">
        <v>45887</v>
      </c>
      <c r="G1304" s="43">
        <v>45919.602295474535</v>
      </c>
      <c r="H1304" t="s">
        <v>3088</v>
      </c>
      <c r="I1304" t="s">
        <v>2719</v>
      </c>
      <c r="J1304" t="s">
        <v>2735</v>
      </c>
      <c r="L1304" t="s">
        <v>2408</v>
      </c>
      <c r="M1304">
        <v>24383333802</v>
      </c>
      <c r="N1304" t="s">
        <v>2746</v>
      </c>
      <c r="O1304" s="1">
        <v>45661</v>
      </c>
      <c r="T1304" t="s">
        <v>2662</v>
      </c>
      <c r="U1304" t="s">
        <v>5693</v>
      </c>
      <c r="V1304">
        <v>24</v>
      </c>
      <c r="W1304" t="s">
        <v>2677</v>
      </c>
      <c r="X1304">
        <v>1</v>
      </c>
      <c r="Y1304" t="s">
        <v>2772</v>
      </c>
      <c r="Z1304" t="s">
        <v>2834</v>
      </c>
      <c r="AA1304">
        <v>24383333802</v>
      </c>
      <c r="AB1304" t="s">
        <v>1342</v>
      </c>
      <c r="AC1304">
        <v>0</v>
      </c>
      <c r="AD1304">
        <v>34</v>
      </c>
      <c r="AE1304">
        <v>2438333380234</v>
      </c>
      <c r="AF1304" t="s">
        <v>5694</v>
      </c>
      <c r="AG1304">
        <v>1</v>
      </c>
      <c r="AH1304">
        <v>1</v>
      </c>
    </row>
    <row r="1305" spans="1:34">
      <c r="A1305">
        <v>2025</v>
      </c>
      <c r="B1305" s="1">
        <v>45870</v>
      </c>
      <c r="C1305" t="s">
        <v>2657</v>
      </c>
      <c r="D1305" t="s">
        <v>5695</v>
      </c>
      <c r="E1305" s="43">
        <v>45897.580711377312</v>
      </c>
      <c r="F1305" s="1">
        <v>45897</v>
      </c>
      <c r="G1305" s="43">
        <v>45897.755142708331</v>
      </c>
      <c r="H1305" t="s">
        <v>3088</v>
      </c>
      <c r="I1305" t="s">
        <v>2660</v>
      </c>
      <c r="J1305" t="s">
        <v>2735</v>
      </c>
      <c r="L1305" t="s">
        <v>2408</v>
      </c>
      <c r="M1305">
        <v>24383333802</v>
      </c>
      <c r="N1305" t="s">
        <v>2746</v>
      </c>
      <c r="O1305" s="1">
        <v>45661</v>
      </c>
      <c r="T1305" t="s">
        <v>2662</v>
      </c>
      <c r="U1305" t="s">
        <v>5696</v>
      </c>
      <c r="V1305">
        <v>0</v>
      </c>
      <c r="W1305" t="s">
        <v>2671</v>
      </c>
      <c r="X1305">
        <v>1</v>
      </c>
      <c r="Y1305" t="s">
        <v>2695</v>
      </c>
      <c r="AA1305">
        <v>24383333802</v>
      </c>
      <c r="AB1305" t="s">
        <v>1342</v>
      </c>
      <c r="AC1305">
        <v>0</v>
      </c>
      <c r="AD1305">
        <v>35</v>
      </c>
      <c r="AE1305">
        <v>2438333380235</v>
      </c>
      <c r="AF1305" t="s">
        <v>5694</v>
      </c>
      <c r="AG1305">
        <v>0</v>
      </c>
      <c r="AH1305">
        <v>0</v>
      </c>
    </row>
    <row r="1306" spans="1:34">
      <c r="A1306">
        <v>2025</v>
      </c>
      <c r="B1306" s="1">
        <v>45870</v>
      </c>
      <c r="C1306" t="s">
        <v>2657</v>
      </c>
      <c r="D1306" t="s">
        <v>5697</v>
      </c>
      <c r="E1306" s="43">
        <v>45896.546158483798</v>
      </c>
      <c r="F1306" s="1">
        <v>45896</v>
      </c>
      <c r="G1306" s="43">
        <v>45902.637242453704</v>
      </c>
      <c r="H1306" t="s">
        <v>3088</v>
      </c>
      <c r="I1306" t="s">
        <v>2660</v>
      </c>
      <c r="J1306" t="s">
        <v>2735</v>
      </c>
      <c r="L1306" t="s">
        <v>2408</v>
      </c>
      <c r="M1306">
        <v>24383333802</v>
      </c>
      <c r="N1306" t="s">
        <v>2746</v>
      </c>
      <c r="O1306" s="1">
        <v>45661</v>
      </c>
      <c r="T1306" t="s">
        <v>2662</v>
      </c>
      <c r="U1306" t="s">
        <v>5698</v>
      </c>
      <c r="V1306">
        <v>4</v>
      </c>
      <c r="W1306" t="s">
        <v>2985</v>
      </c>
      <c r="X1306">
        <v>1</v>
      </c>
      <c r="Y1306" t="s">
        <v>2985</v>
      </c>
      <c r="AA1306">
        <v>24383333802</v>
      </c>
      <c r="AB1306" t="s">
        <v>1342</v>
      </c>
      <c r="AC1306">
        <v>0</v>
      </c>
      <c r="AD1306">
        <v>35</v>
      </c>
      <c r="AE1306">
        <v>2438333380235</v>
      </c>
      <c r="AF1306" t="s">
        <v>5694</v>
      </c>
      <c r="AG1306">
        <v>1</v>
      </c>
      <c r="AH1306">
        <v>0</v>
      </c>
    </row>
    <row r="1307" spans="1:34">
      <c r="A1307">
        <v>2025</v>
      </c>
      <c r="B1307" s="1">
        <v>45962</v>
      </c>
      <c r="C1307" t="s">
        <v>2657</v>
      </c>
      <c r="D1307" t="s">
        <v>5699</v>
      </c>
      <c r="E1307" s="43">
        <v>45967.69686300926</v>
      </c>
      <c r="F1307" s="1">
        <v>45967</v>
      </c>
      <c r="G1307" s="43">
        <v>45967.69686300926</v>
      </c>
      <c r="H1307" t="s">
        <v>2802</v>
      </c>
      <c r="I1307" t="s">
        <v>2669</v>
      </c>
      <c r="J1307" t="s">
        <v>36</v>
      </c>
      <c r="L1307" t="s">
        <v>2355</v>
      </c>
      <c r="M1307">
        <v>195492390002</v>
      </c>
      <c r="N1307" t="s">
        <v>2702</v>
      </c>
      <c r="O1307" s="1">
        <v>45673</v>
      </c>
      <c r="T1307" t="s">
        <v>2662</v>
      </c>
      <c r="U1307" t="s">
        <v>5700</v>
      </c>
      <c r="V1307">
        <v>0</v>
      </c>
      <c r="W1307" t="s">
        <v>2677</v>
      </c>
      <c r="X1307">
        <v>1</v>
      </c>
      <c r="Y1307" t="s">
        <v>2695</v>
      </c>
      <c r="AA1307">
        <v>153775969402</v>
      </c>
      <c r="AB1307" t="s">
        <v>1002</v>
      </c>
      <c r="AC1307">
        <v>0</v>
      </c>
      <c r="AD1307">
        <v>45</v>
      </c>
      <c r="AE1307">
        <v>15377596940245</v>
      </c>
      <c r="AF1307" t="s">
        <v>5701</v>
      </c>
      <c r="AG1307">
        <v>1</v>
      </c>
      <c r="AH1307">
        <v>1</v>
      </c>
    </row>
    <row r="1308" spans="1:34">
      <c r="A1308">
        <v>2025</v>
      </c>
      <c r="B1308" s="1">
        <v>45962</v>
      </c>
      <c r="C1308" t="s">
        <v>2657</v>
      </c>
      <c r="D1308" t="s">
        <v>5702</v>
      </c>
      <c r="E1308" s="43">
        <v>45978.765489953701</v>
      </c>
      <c r="F1308" s="1">
        <v>45978</v>
      </c>
      <c r="G1308" s="43">
        <v>45986.819983680558</v>
      </c>
      <c r="H1308" t="s">
        <v>2802</v>
      </c>
      <c r="I1308" t="s">
        <v>2719</v>
      </c>
      <c r="J1308" t="s">
        <v>36</v>
      </c>
      <c r="L1308" t="s">
        <v>2355</v>
      </c>
      <c r="M1308">
        <v>153775969402</v>
      </c>
      <c r="N1308" t="s">
        <v>2702</v>
      </c>
      <c r="O1308" s="1">
        <v>45673</v>
      </c>
      <c r="T1308" t="s">
        <v>2662</v>
      </c>
      <c r="U1308" t="s">
        <v>5703</v>
      </c>
      <c r="V1308">
        <v>6</v>
      </c>
      <c r="W1308" t="s">
        <v>2677</v>
      </c>
      <c r="X1308">
        <v>1</v>
      </c>
      <c r="Y1308" t="s">
        <v>2807</v>
      </c>
      <c r="AA1308">
        <v>153775969402</v>
      </c>
      <c r="AB1308" t="s">
        <v>1002</v>
      </c>
      <c r="AC1308">
        <v>0</v>
      </c>
      <c r="AD1308">
        <v>47</v>
      </c>
      <c r="AE1308">
        <v>15377596940247</v>
      </c>
      <c r="AF1308" t="s">
        <v>5701</v>
      </c>
      <c r="AG1308">
        <v>1</v>
      </c>
      <c r="AH1308">
        <v>0</v>
      </c>
    </row>
    <row r="1309" spans="1:34">
      <c r="A1309">
        <v>2025</v>
      </c>
      <c r="B1309" s="1">
        <v>45962</v>
      </c>
      <c r="C1309" t="s">
        <v>2657</v>
      </c>
      <c r="D1309" t="s">
        <v>5704</v>
      </c>
      <c r="E1309" s="43">
        <v>45982.674163148149</v>
      </c>
      <c r="F1309" s="1">
        <v>45982</v>
      </c>
      <c r="G1309" s="43">
        <v>45982.674892604169</v>
      </c>
      <c r="H1309" t="s">
        <v>2802</v>
      </c>
      <c r="I1309" t="s">
        <v>2719</v>
      </c>
      <c r="J1309" t="s">
        <v>36</v>
      </c>
      <c r="L1309" t="s">
        <v>2355</v>
      </c>
      <c r="M1309">
        <v>195492390002</v>
      </c>
      <c r="N1309" t="s">
        <v>2702</v>
      </c>
      <c r="O1309" s="1">
        <v>45673</v>
      </c>
      <c r="T1309" t="s">
        <v>2662</v>
      </c>
      <c r="U1309" t="s">
        <v>5705</v>
      </c>
      <c r="V1309">
        <v>0</v>
      </c>
      <c r="W1309" t="s">
        <v>2671</v>
      </c>
      <c r="X1309">
        <v>1</v>
      </c>
      <c r="Y1309" t="s">
        <v>2695</v>
      </c>
      <c r="AA1309">
        <v>153775969402</v>
      </c>
      <c r="AB1309" t="s">
        <v>1002</v>
      </c>
      <c r="AC1309">
        <v>0</v>
      </c>
      <c r="AD1309">
        <v>47</v>
      </c>
      <c r="AE1309">
        <v>15377596940247</v>
      </c>
      <c r="AF1309" t="s">
        <v>5701</v>
      </c>
      <c r="AG1309">
        <v>0</v>
      </c>
      <c r="AH1309">
        <v>0</v>
      </c>
    </row>
    <row r="1310" spans="1:34">
      <c r="A1310">
        <v>2026</v>
      </c>
      <c r="B1310" s="1">
        <v>46054</v>
      </c>
      <c r="C1310" t="s">
        <v>2657</v>
      </c>
      <c r="D1310" t="s">
        <v>5706</v>
      </c>
      <c r="E1310" s="43">
        <v>46056.759343807869</v>
      </c>
      <c r="F1310" s="1">
        <v>46056</v>
      </c>
      <c r="G1310" s="43">
        <v>46066.480448958333</v>
      </c>
      <c r="H1310" t="s">
        <v>2725</v>
      </c>
      <c r="I1310" t="s">
        <v>2669</v>
      </c>
      <c r="J1310" t="s">
        <v>36</v>
      </c>
      <c r="L1310" t="s">
        <v>2472</v>
      </c>
      <c r="M1310">
        <v>161292743602</v>
      </c>
      <c r="N1310" t="s">
        <v>2702</v>
      </c>
      <c r="O1310" s="1">
        <v>46050</v>
      </c>
      <c r="T1310" t="s">
        <v>2662</v>
      </c>
      <c r="U1310" t="s">
        <v>5707</v>
      </c>
      <c r="V1310">
        <v>8</v>
      </c>
      <c r="W1310" t="s">
        <v>2664</v>
      </c>
      <c r="X1310">
        <v>1</v>
      </c>
      <c r="Y1310" t="s">
        <v>2665</v>
      </c>
      <c r="AA1310">
        <v>161292743602</v>
      </c>
      <c r="AB1310" t="s">
        <v>2508</v>
      </c>
      <c r="AC1310">
        <v>0</v>
      </c>
      <c r="AD1310">
        <v>6</v>
      </c>
      <c r="AE1310">
        <v>1612927436026</v>
      </c>
      <c r="AF1310" t="s">
        <v>5708</v>
      </c>
      <c r="AG1310">
        <v>1</v>
      </c>
      <c r="AH1310">
        <v>1</v>
      </c>
    </row>
    <row r="1311" spans="1:34">
      <c r="A1311">
        <v>2026</v>
      </c>
      <c r="B1311" s="1">
        <v>46054</v>
      </c>
      <c r="C1311" t="s">
        <v>2657</v>
      </c>
      <c r="D1311" t="s">
        <v>5709</v>
      </c>
      <c r="E1311" s="43">
        <v>46066.486308749998</v>
      </c>
      <c r="F1311" s="1">
        <v>46066</v>
      </c>
      <c r="G1311" s="43">
        <v>46073.869099467593</v>
      </c>
      <c r="H1311" t="s">
        <v>2725</v>
      </c>
      <c r="I1311" t="s">
        <v>2681</v>
      </c>
      <c r="J1311" t="s">
        <v>36</v>
      </c>
      <c r="L1311" t="s">
        <v>2472</v>
      </c>
      <c r="M1311">
        <v>161292743602</v>
      </c>
      <c r="N1311" t="s">
        <v>2702</v>
      </c>
      <c r="O1311" s="1">
        <v>46050</v>
      </c>
      <c r="T1311" t="s">
        <v>2662</v>
      </c>
      <c r="U1311" t="s">
        <v>5710</v>
      </c>
      <c r="V1311">
        <v>5</v>
      </c>
      <c r="W1311" t="s">
        <v>2677</v>
      </c>
      <c r="X1311">
        <v>1</v>
      </c>
      <c r="Y1311" t="s">
        <v>2807</v>
      </c>
      <c r="AA1311">
        <v>161292743602</v>
      </c>
      <c r="AB1311" t="s">
        <v>2508</v>
      </c>
      <c r="AC1311">
        <v>1</v>
      </c>
      <c r="AD1311">
        <v>7</v>
      </c>
      <c r="AE1311">
        <v>1612927436027</v>
      </c>
      <c r="AF1311" t="s">
        <v>5708</v>
      </c>
      <c r="AG1311">
        <v>1</v>
      </c>
      <c r="AH1311">
        <v>0</v>
      </c>
    </row>
    <row r="1312" spans="1:34">
      <c r="A1312">
        <v>2025</v>
      </c>
      <c r="B1312" s="1">
        <v>45992</v>
      </c>
      <c r="C1312" t="s">
        <v>2657</v>
      </c>
      <c r="D1312" t="s">
        <v>5711</v>
      </c>
      <c r="E1312" s="43">
        <v>46003.522337592593</v>
      </c>
      <c r="F1312" s="1">
        <v>46003</v>
      </c>
      <c r="G1312" s="43">
        <v>46009.590510254631</v>
      </c>
      <c r="H1312" t="s">
        <v>2686</v>
      </c>
      <c r="I1312" t="s">
        <v>2681</v>
      </c>
      <c r="J1312" t="s">
        <v>36</v>
      </c>
      <c r="L1312" t="s">
        <v>2421</v>
      </c>
      <c r="M1312">
        <v>971539676602</v>
      </c>
      <c r="N1312" t="s">
        <v>2661</v>
      </c>
      <c r="O1312" s="1">
        <v>45994</v>
      </c>
      <c r="T1312" t="s">
        <v>2662</v>
      </c>
      <c r="U1312" t="s">
        <v>5712</v>
      </c>
      <c r="V1312">
        <v>4</v>
      </c>
      <c r="W1312" t="s">
        <v>2671</v>
      </c>
      <c r="X1312">
        <v>1</v>
      </c>
      <c r="Y1312" t="s">
        <v>2760</v>
      </c>
      <c r="AA1312">
        <v>971539676602</v>
      </c>
      <c r="AB1312" t="s">
        <v>2474</v>
      </c>
      <c r="AC1312">
        <v>0</v>
      </c>
      <c r="AD1312">
        <v>50</v>
      </c>
      <c r="AE1312">
        <v>97153967660250</v>
      </c>
      <c r="AF1312" t="s">
        <v>5713</v>
      </c>
      <c r="AG1312">
        <v>1</v>
      </c>
      <c r="AH1312">
        <v>1</v>
      </c>
    </row>
    <row r="1313" spans="1:34">
      <c r="A1313">
        <v>2025</v>
      </c>
      <c r="B1313" s="1">
        <v>45962</v>
      </c>
      <c r="C1313" t="s">
        <v>2657</v>
      </c>
      <c r="D1313" s="44" t="s">
        <v>5714</v>
      </c>
      <c r="E1313" s="43">
        <v>45968.820037048608</v>
      </c>
      <c r="F1313" s="1">
        <v>45968</v>
      </c>
      <c r="G1313" s="43">
        <v>45968.820037048608</v>
      </c>
      <c r="H1313" t="s">
        <v>2802</v>
      </c>
      <c r="I1313" t="s">
        <v>2669</v>
      </c>
      <c r="J1313" t="s">
        <v>38</v>
      </c>
      <c r="L1313" t="s">
        <v>2342</v>
      </c>
      <c r="M1313">
        <v>22445894402</v>
      </c>
      <c r="N1313" t="s">
        <v>2702</v>
      </c>
      <c r="O1313" s="1">
        <v>45294</v>
      </c>
      <c r="T1313" t="s">
        <v>2662</v>
      </c>
      <c r="U1313" t="s">
        <v>5715</v>
      </c>
      <c r="V1313">
        <v>0</v>
      </c>
      <c r="W1313" t="s">
        <v>2664</v>
      </c>
      <c r="X1313">
        <v>1</v>
      </c>
      <c r="Y1313" t="s">
        <v>2665</v>
      </c>
      <c r="AA1313">
        <v>22445894402</v>
      </c>
      <c r="AB1313" t="s">
        <v>573</v>
      </c>
      <c r="AC1313">
        <v>0</v>
      </c>
      <c r="AD1313">
        <v>45</v>
      </c>
      <c r="AE1313">
        <v>2244589440245</v>
      </c>
      <c r="AF1313" t="s">
        <v>5716</v>
      </c>
      <c r="AG1313">
        <v>1</v>
      </c>
      <c r="AH1313">
        <v>1</v>
      </c>
    </row>
    <row r="1314" spans="1:34">
      <c r="A1314">
        <v>2025</v>
      </c>
      <c r="B1314" s="1">
        <v>45962</v>
      </c>
      <c r="C1314" t="s">
        <v>2657</v>
      </c>
      <c r="D1314" t="s">
        <v>5717</v>
      </c>
      <c r="E1314" s="43">
        <v>45971.779229918982</v>
      </c>
      <c r="F1314" s="1">
        <v>45971</v>
      </c>
      <c r="G1314" s="43">
        <v>45971.779229918982</v>
      </c>
      <c r="H1314" t="s">
        <v>2802</v>
      </c>
      <c r="I1314" t="s">
        <v>2681</v>
      </c>
      <c r="J1314" t="s">
        <v>38</v>
      </c>
      <c r="L1314" t="s">
        <v>2342</v>
      </c>
      <c r="M1314">
        <v>22445894402</v>
      </c>
      <c r="N1314" t="s">
        <v>2702</v>
      </c>
      <c r="O1314" s="1">
        <v>45294</v>
      </c>
      <c r="T1314" t="s">
        <v>2662</v>
      </c>
      <c r="U1314" t="s">
        <v>5718</v>
      </c>
      <c r="V1314">
        <v>0</v>
      </c>
      <c r="W1314" t="s">
        <v>2664</v>
      </c>
      <c r="X1314">
        <v>1</v>
      </c>
      <c r="Y1314" t="s">
        <v>2931</v>
      </c>
      <c r="AA1314">
        <v>22445894402</v>
      </c>
      <c r="AB1314" t="s">
        <v>573</v>
      </c>
      <c r="AC1314">
        <v>0</v>
      </c>
      <c r="AD1314">
        <v>46</v>
      </c>
      <c r="AE1314">
        <v>2244589440246</v>
      </c>
      <c r="AF1314" t="s">
        <v>5716</v>
      </c>
      <c r="AG1314">
        <v>1</v>
      </c>
      <c r="AH1314">
        <v>0</v>
      </c>
    </row>
    <row r="1315" spans="1:34">
      <c r="A1315">
        <v>2025</v>
      </c>
      <c r="B1315" s="1">
        <v>45962</v>
      </c>
      <c r="C1315" t="s">
        <v>2657</v>
      </c>
      <c r="D1315" t="s">
        <v>5719</v>
      </c>
      <c r="E1315" s="43">
        <v>45971.780960023149</v>
      </c>
      <c r="F1315" s="1">
        <v>45971</v>
      </c>
      <c r="G1315" s="43">
        <v>46065.843760034724</v>
      </c>
      <c r="H1315" t="s">
        <v>2802</v>
      </c>
      <c r="I1315" t="s">
        <v>2681</v>
      </c>
      <c r="J1315" t="s">
        <v>38</v>
      </c>
      <c r="L1315" t="s">
        <v>2342</v>
      </c>
      <c r="M1315">
        <v>22445894402</v>
      </c>
      <c r="N1315" t="s">
        <v>2702</v>
      </c>
      <c r="O1315" s="1">
        <v>45294</v>
      </c>
      <c r="T1315" t="s">
        <v>2662</v>
      </c>
      <c r="U1315" t="s">
        <v>5720</v>
      </c>
      <c r="V1315">
        <v>68</v>
      </c>
      <c r="W1315" t="s">
        <v>2664</v>
      </c>
      <c r="X1315">
        <v>1</v>
      </c>
      <c r="Y1315" t="s">
        <v>2665</v>
      </c>
      <c r="AA1315">
        <v>22445894402</v>
      </c>
      <c r="AB1315" t="s">
        <v>573</v>
      </c>
      <c r="AC1315">
        <v>0</v>
      </c>
      <c r="AD1315">
        <v>46</v>
      </c>
      <c r="AE1315">
        <v>2244589440246</v>
      </c>
      <c r="AF1315" t="s">
        <v>5716</v>
      </c>
      <c r="AG1315">
        <v>0</v>
      </c>
      <c r="AH1315">
        <v>0</v>
      </c>
    </row>
    <row r="1316" spans="1:34">
      <c r="A1316">
        <v>2026</v>
      </c>
      <c r="B1316" s="1">
        <v>46054</v>
      </c>
      <c r="C1316" t="s">
        <v>2657</v>
      </c>
      <c r="D1316" t="s">
        <v>5721</v>
      </c>
      <c r="E1316" s="43">
        <v>46078.524572326387</v>
      </c>
      <c r="F1316" s="1">
        <v>46078</v>
      </c>
      <c r="G1316" s="43">
        <v>46087.70878064815</v>
      </c>
      <c r="H1316" t="s">
        <v>2725</v>
      </c>
      <c r="I1316" t="s">
        <v>2660</v>
      </c>
      <c r="J1316" t="s">
        <v>39</v>
      </c>
      <c r="L1316" t="s">
        <v>2408</v>
      </c>
      <c r="M1316">
        <v>24386750602</v>
      </c>
      <c r="N1316" t="s">
        <v>2746</v>
      </c>
      <c r="O1316" s="1">
        <v>45294</v>
      </c>
      <c r="T1316" t="s">
        <v>2662</v>
      </c>
      <c r="U1316" t="s">
        <v>5722</v>
      </c>
      <c r="V1316">
        <v>7</v>
      </c>
      <c r="W1316" t="s">
        <v>2671</v>
      </c>
      <c r="X1316">
        <v>1</v>
      </c>
      <c r="Y1316" t="s">
        <v>2692</v>
      </c>
      <c r="Z1316" t="s">
        <v>2834</v>
      </c>
      <c r="AA1316">
        <v>24386750602</v>
      </c>
      <c r="AB1316" t="s">
        <v>1847</v>
      </c>
      <c r="AC1316">
        <v>0</v>
      </c>
      <c r="AD1316">
        <v>9</v>
      </c>
      <c r="AE1316">
        <v>243867506029</v>
      </c>
      <c r="AF1316" t="s">
        <v>5723</v>
      </c>
      <c r="AG1316">
        <v>1</v>
      </c>
      <c r="AH1316">
        <v>1</v>
      </c>
    </row>
    <row r="1317" spans="1:34">
      <c r="A1317">
        <v>2025</v>
      </c>
      <c r="B1317" s="1">
        <v>45962</v>
      </c>
      <c r="C1317" t="s">
        <v>2657</v>
      </c>
      <c r="D1317" t="s">
        <v>5724</v>
      </c>
      <c r="E1317" s="43">
        <v>45964.614814675922</v>
      </c>
      <c r="F1317" s="1">
        <v>45964</v>
      </c>
      <c r="G1317" s="43">
        <v>45972.821031030093</v>
      </c>
      <c r="H1317" t="s">
        <v>2802</v>
      </c>
      <c r="I1317" t="s">
        <v>2669</v>
      </c>
      <c r="J1317" t="s">
        <v>37</v>
      </c>
      <c r="L1317" t="s">
        <v>2421</v>
      </c>
      <c r="M1317">
        <v>587254988202</v>
      </c>
      <c r="N1317" t="s">
        <v>2661</v>
      </c>
      <c r="O1317" s="1">
        <v>45349</v>
      </c>
      <c r="T1317" t="s">
        <v>2662</v>
      </c>
      <c r="U1317" t="s">
        <v>5725</v>
      </c>
      <c r="V1317">
        <v>6</v>
      </c>
      <c r="W1317" t="s">
        <v>2671</v>
      </c>
      <c r="X1317">
        <v>1</v>
      </c>
      <c r="Y1317" t="s">
        <v>2760</v>
      </c>
      <c r="AA1317">
        <v>358205651902</v>
      </c>
      <c r="AB1317" t="s">
        <v>1408</v>
      </c>
      <c r="AC1317">
        <v>0</v>
      </c>
      <c r="AD1317">
        <v>45</v>
      </c>
      <c r="AE1317">
        <v>35820565190245</v>
      </c>
      <c r="AF1317" t="s">
        <v>5726</v>
      </c>
      <c r="AG1317">
        <v>1</v>
      </c>
      <c r="AH1317">
        <v>1</v>
      </c>
    </row>
    <row r="1318" spans="1:34">
      <c r="A1318">
        <v>2025</v>
      </c>
      <c r="B1318" s="1">
        <v>45962</v>
      </c>
      <c r="C1318" t="s">
        <v>2657</v>
      </c>
      <c r="D1318" t="s">
        <v>5727</v>
      </c>
      <c r="E1318" s="43">
        <v>45988.669430844908</v>
      </c>
      <c r="F1318" s="1">
        <v>45988</v>
      </c>
      <c r="G1318" s="43">
        <v>46003.57548417824</v>
      </c>
      <c r="H1318" t="s">
        <v>2802</v>
      </c>
      <c r="I1318" t="s">
        <v>2660</v>
      </c>
      <c r="J1318" t="s">
        <v>36</v>
      </c>
      <c r="L1318" t="s">
        <v>2421</v>
      </c>
      <c r="M1318">
        <v>358205651902</v>
      </c>
      <c r="N1318" t="s">
        <v>2661</v>
      </c>
      <c r="O1318" s="1">
        <v>45294</v>
      </c>
      <c r="T1318" t="s">
        <v>2662</v>
      </c>
      <c r="U1318" t="s">
        <v>5728</v>
      </c>
      <c r="V1318">
        <v>11</v>
      </c>
      <c r="W1318" t="s">
        <v>2677</v>
      </c>
      <c r="X1318">
        <v>1</v>
      </c>
      <c r="Y1318" t="s">
        <v>2760</v>
      </c>
      <c r="AA1318">
        <v>358205651902</v>
      </c>
      <c r="AB1318" t="s">
        <v>1408</v>
      </c>
      <c r="AC1318">
        <v>0</v>
      </c>
      <c r="AD1318">
        <v>48</v>
      </c>
      <c r="AE1318">
        <v>35820565190248</v>
      </c>
      <c r="AF1318" t="s">
        <v>5726</v>
      </c>
      <c r="AG1318">
        <v>0</v>
      </c>
      <c r="AH1318">
        <v>0</v>
      </c>
    </row>
    <row r="1319" spans="1:34">
      <c r="A1319">
        <v>2025</v>
      </c>
      <c r="B1319" s="1">
        <v>45962</v>
      </c>
      <c r="C1319" t="s">
        <v>2657</v>
      </c>
      <c r="D1319" t="s">
        <v>5729</v>
      </c>
      <c r="E1319" s="43">
        <v>45985.742593483796</v>
      </c>
      <c r="F1319" s="1">
        <v>45985</v>
      </c>
      <c r="G1319" s="43">
        <v>45987.55137976852</v>
      </c>
      <c r="H1319" t="s">
        <v>2802</v>
      </c>
      <c r="I1319" t="s">
        <v>2660</v>
      </c>
      <c r="J1319" t="s">
        <v>36</v>
      </c>
      <c r="L1319" t="s">
        <v>2421</v>
      </c>
      <c r="M1319">
        <v>358205651902</v>
      </c>
      <c r="N1319" t="s">
        <v>2661</v>
      </c>
      <c r="O1319" s="1">
        <v>45294</v>
      </c>
      <c r="T1319" t="s">
        <v>2662</v>
      </c>
      <c r="U1319" t="s">
        <v>5730</v>
      </c>
      <c r="V1319">
        <v>2</v>
      </c>
      <c r="W1319" t="s">
        <v>2677</v>
      </c>
      <c r="X1319">
        <v>1</v>
      </c>
      <c r="Y1319" t="s">
        <v>2760</v>
      </c>
      <c r="AA1319">
        <v>358205651902</v>
      </c>
      <c r="AB1319" t="s">
        <v>1408</v>
      </c>
      <c r="AC1319">
        <v>0</v>
      </c>
      <c r="AD1319">
        <v>48</v>
      </c>
      <c r="AE1319">
        <v>35820565190248</v>
      </c>
      <c r="AF1319" t="s">
        <v>5726</v>
      </c>
      <c r="AG1319">
        <v>1</v>
      </c>
      <c r="AH1319">
        <v>0</v>
      </c>
    </row>
    <row r="1320" spans="1:34">
      <c r="A1320">
        <v>2026</v>
      </c>
      <c r="B1320" s="1">
        <v>46054</v>
      </c>
      <c r="C1320" t="s">
        <v>2657</v>
      </c>
      <c r="D1320" t="s">
        <v>5731</v>
      </c>
      <c r="E1320" s="43">
        <v>46055.525723888888</v>
      </c>
      <c r="F1320" s="1">
        <v>46055</v>
      </c>
      <c r="G1320" s="43">
        <v>46062.957884560186</v>
      </c>
      <c r="H1320" t="s">
        <v>2725</v>
      </c>
      <c r="I1320" t="s">
        <v>2669</v>
      </c>
      <c r="J1320" t="s">
        <v>36</v>
      </c>
      <c r="L1320" t="s">
        <v>2421</v>
      </c>
      <c r="M1320">
        <v>60769061802</v>
      </c>
      <c r="N1320" t="s">
        <v>2661</v>
      </c>
      <c r="O1320" s="1">
        <v>45299</v>
      </c>
      <c r="T1320" t="s">
        <v>2662</v>
      </c>
      <c r="U1320" t="s">
        <v>5732</v>
      </c>
      <c r="V1320">
        <v>5</v>
      </c>
      <c r="W1320" t="s">
        <v>2677</v>
      </c>
      <c r="X1320">
        <v>1</v>
      </c>
      <c r="Y1320" t="s">
        <v>2760</v>
      </c>
      <c r="Z1320" t="s">
        <v>2684</v>
      </c>
      <c r="AA1320">
        <v>60769061802</v>
      </c>
      <c r="AB1320" t="s">
        <v>2141</v>
      </c>
      <c r="AC1320">
        <v>0</v>
      </c>
      <c r="AD1320">
        <v>6</v>
      </c>
      <c r="AE1320">
        <v>607690618026</v>
      </c>
      <c r="AF1320" t="s">
        <v>5733</v>
      </c>
      <c r="AG1320">
        <v>1</v>
      </c>
      <c r="AH1320">
        <v>1</v>
      </c>
    </row>
    <row r="1321" spans="1:34">
      <c r="A1321">
        <v>2026</v>
      </c>
      <c r="B1321" s="1">
        <v>46054</v>
      </c>
      <c r="C1321" t="s">
        <v>2657</v>
      </c>
      <c r="D1321" t="s">
        <v>5734</v>
      </c>
      <c r="E1321" s="43">
        <v>46066.472608159725</v>
      </c>
      <c r="F1321" s="1">
        <v>46066</v>
      </c>
      <c r="G1321" s="43">
        <v>46085.735054895835</v>
      </c>
      <c r="H1321" t="s">
        <v>2725</v>
      </c>
      <c r="I1321" t="s">
        <v>2681</v>
      </c>
      <c r="J1321" t="s">
        <v>36</v>
      </c>
      <c r="L1321" t="s">
        <v>2421</v>
      </c>
      <c r="M1321">
        <v>60769061802</v>
      </c>
      <c r="N1321" t="s">
        <v>2661</v>
      </c>
      <c r="O1321" s="1">
        <v>45299</v>
      </c>
      <c r="T1321" t="s">
        <v>2662</v>
      </c>
      <c r="U1321" t="s">
        <v>5735</v>
      </c>
      <c r="V1321">
        <v>13</v>
      </c>
      <c r="X1321">
        <v>1</v>
      </c>
      <c r="Y1321" t="s">
        <v>2717</v>
      </c>
      <c r="AA1321">
        <v>60769061802</v>
      </c>
      <c r="AB1321" t="s">
        <v>2141</v>
      </c>
      <c r="AC1321">
        <v>0</v>
      </c>
      <c r="AD1321">
        <v>7</v>
      </c>
      <c r="AE1321">
        <v>607690618027</v>
      </c>
      <c r="AF1321" t="s">
        <v>5733</v>
      </c>
      <c r="AG1321">
        <v>0</v>
      </c>
      <c r="AH1321">
        <v>0</v>
      </c>
    </row>
    <row r="1322" spans="1:34">
      <c r="A1322">
        <v>2026</v>
      </c>
      <c r="B1322" s="1">
        <v>46054</v>
      </c>
      <c r="C1322" t="s">
        <v>2657</v>
      </c>
      <c r="D1322" t="s">
        <v>5736</v>
      </c>
      <c r="E1322" s="43">
        <v>46064.519534699073</v>
      </c>
      <c r="F1322" s="1">
        <v>46064</v>
      </c>
      <c r="G1322" s="43">
        <v>46076.70588212963</v>
      </c>
      <c r="H1322" t="s">
        <v>2725</v>
      </c>
      <c r="I1322" t="s">
        <v>2681</v>
      </c>
      <c r="J1322" t="s">
        <v>36</v>
      </c>
      <c r="L1322" t="s">
        <v>2421</v>
      </c>
      <c r="M1322">
        <v>60769061802</v>
      </c>
      <c r="N1322" t="s">
        <v>2661</v>
      </c>
      <c r="O1322" s="1">
        <v>45299</v>
      </c>
      <c r="T1322" t="s">
        <v>2798</v>
      </c>
      <c r="U1322" t="s">
        <v>5737</v>
      </c>
      <c r="V1322">
        <v>22</v>
      </c>
      <c r="W1322" t="s">
        <v>2664</v>
      </c>
      <c r="X1322">
        <v>0</v>
      </c>
      <c r="Y1322" t="s">
        <v>2665</v>
      </c>
      <c r="AA1322">
        <v>60769061802</v>
      </c>
      <c r="AB1322" t="s">
        <v>2141</v>
      </c>
      <c r="AC1322">
        <v>0</v>
      </c>
      <c r="AD1322">
        <v>7</v>
      </c>
      <c r="AE1322">
        <v>607690618027</v>
      </c>
      <c r="AF1322" t="s">
        <v>5733</v>
      </c>
      <c r="AG1322">
        <v>1</v>
      </c>
      <c r="AH1322">
        <v>0</v>
      </c>
    </row>
    <row r="1323" spans="1:34">
      <c r="A1323">
        <v>2026</v>
      </c>
      <c r="B1323" s="1">
        <v>46023</v>
      </c>
      <c r="C1323" t="s">
        <v>2657</v>
      </c>
      <c r="D1323" t="s">
        <v>5738</v>
      </c>
      <c r="E1323" s="43">
        <v>46029.618744097221</v>
      </c>
      <c r="F1323" s="1">
        <v>46029</v>
      </c>
      <c r="G1323" s="43">
        <v>46029.618744097221</v>
      </c>
      <c r="H1323" t="s">
        <v>2701</v>
      </c>
      <c r="I1323" t="s">
        <v>2669</v>
      </c>
      <c r="J1323" t="s">
        <v>100</v>
      </c>
      <c r="L1323" t="s">
        <v>2363</v>
      </c>
      <c r="M1323">
        <v>1138178402502</v>
      </c>
      <c r="N1323" t="s">
        <v>2702</v>
      </c>
      <c r="O1323" s="1">
        <v>45947</v>
      </c>
      <c r="T1323" t="s">
        <v>2662</v>
      </c>
      <c r="U1323" t="s">
        <v>5739</v>
      </c>
      <c r="V1323">
        <v>0</v>
      </c>
      <c r="W1323" t="s">
        <v>2671</v>
      </c>
      <c r="X1323">
        <v>1</v>
      </c>
      <c r="Y1323" t="s">
        <v>2695</v>
      </c>
      <c r="AA1323">
        <v>29271934502</v>
      </c>
      <c r="AB1323" t="s">
        <v>965</v>
      </c>
      <c r="AC1323">
        <v>0</v>
      </c>
      <c r="AD1323">
        <v>2</v>
      </c>
      <c r="AE1323">
        <v>292719345022</v>
      </c>
      <c r="AF1323" t="s">
        <v>5740</v>
      </c>
      <c r="AG1323">
        <v>1</v>
      </c>
      <c r="AH1323">
        <v>1</v>
      </c>
    </row>
    <row r="1324" spans="1:34">
      <c r="A1324">
        <v>2026</v>
      </c>
      <c r="B1324" s="1">
        <v>46023</v>
      </c>
      <c r="C1324" t="s">
        <v>2657</v>
      </c>
      <c r="D1324" t="s">
        <v>5741</v>
      </c>
      <c r="E1324" s="43">
        <v>46031.578228576385</v>
      </c>
      <c r="F1324" s="1">
        <v>46031</v>
      </c>
      <c r="G1324" s="43">
        <v>46035.815580891205</v>
      </c>
      <c r="H1324" t="s">
        <v>2701</v>
      </c>
      <c r="I1324" t="s">
        <v>2681</v>
      </c>
      <c r="J1324" t="s">
        <v>100</v>
      </c>
      <c r="L1324" t="s">
        <v>2363</v>
      </c>
      <c r="M1324">
        <v>29271934502</v>
      </c>
      <c r="N1324" t="s">
        <v>2702</v>
      </c>
      <c r="O1324" s="1">
        <v>45947</v>
      </c>
      <c r="T1324" t="s">
        <v>2662</v>
      </c>
      <c r="U1324" t="s">
        <v>5742</v>
      </c>
      <c r="V1324">
        <v>2</v>
      </c>
      <c r="W1324" t="s">
        <v>2743</v>
      </c>
      <c r="X1324">
        <v>1</v>
      </c>
      <c r="Y1324" t="s">
        <v>2744</v>
      </c>
      <c r="AA1324">
        <v>29271934502</v>
      </c>
      <c r="AB1324" t="s">
        <v>965</v>
      </c>
      <c r="AC1324">
        <v>0</v>
      </c>
      <c r="AD1324">
        <v>2</v>
      </c>
      <c r="AE1324">
        <v>292719345022</v>
      </c>
      <c r="AF1324" t="s">
        <v>5740</v>
      </c>
      <c r="AG1324">
        <v>0</v>
      </c>
      <c r="AH1324">
        <v>0</v>
      </c>
    </row>
    <row r="1325" spans="1:34">
      <c r="A1325">
        <v>2026</v>
      </c>
      <c r="B1325" s="1">
        <v>46023</v>
      </c>
      <c r="C1325" t="s">
        <v>2657</v>
      </c>
      <c r="D1325" t="s">
        <v>5743</v>
      </c>
      <c r="E1325" s="43">
        <v>46042.795109699073</v>
      </c>
      <c r="F1325" s="1">
        <v>46042</v>
      </c>
      <c r="G1325" s="43">
        <v>46044.550403020832</v>
      </c>
      <c r="H1325" t="s">
        <v>2701</v>
      </c>
      <c r="I1325" t="s">
        <v>2719</v>
      </c>
      <c r="J1325" t="s">
        <v>100</v>
      </c>
      <c r="L1325" t="s">
        <v>2363</v>
      </c>
      <c r="M1325">
        <v>1138178402502</v>
      </c>
      <c r="N1325" t="s">
        <v>2702</v>
      </c>
      <c r="O1325" s="1">
        <v>45947</v>
      </c>
      <c r="T1325" t="s">
        <v>2662</v>
      </c>
      <c r="U1325" t="s">
        <v>5744</v>
      </c>
      <c r="V1325">
        <v>2</v>
      </c>
      <c r="W1325" t="s">
        <v>2664</v>
      </c>
      <c r="X1325">
        <v>1</v>
      </c>
      <c r="Y1325" t="s">
        <v>2695</v>
      </c>
      <c r="AA1325">
        <v>29271934502</v>
      </c>
      <c r="AB1325" t="s">
        <v>965</v>
      </c>
      <c r="AC1325">
        <v>0</v>
      </c>
      <c r="AD1325">
        <v>4</v>
      </c>
      <c r="AE1325">
        <v>292719345024</v>
      </c>
      <c r="AF1325" t="s">
        <v>5740</v>
      </c>
      <c r="AG1325">
        <v>1</v>
      </c>
      <c r="AH1325">
        <v>0</v>
      </c>
    </row>
    <row r="1326" spans="1:34">
      <c r="A1326">
        <v>2026</v>
      </c>
      <c r="B1326" s="1">
        <v>46023</v>
      </c>
      <c r="C1326" t="s">
        <v>2657</v>
      </c>
      <c r="D1326" s="44" t="s">
        <v>5745</v>
      </c>
      <c r="E1326" s="43">
        <v>46045.835391550929</v>
      </c>
      <c r="F1326" s="1">
        <v>46045</v>
      </c>
      <c r="G1326" s="43">
        <v>46048.551415856484</v>
      </c>
      <c r="H1326" t="s">
        <v>2701</v>
      </c>
      <c r="I1326" t="s">
        <v>2660</v>
      </c>
      <c r="J1326" t="s">
        <v>100</v>
      </c>
      <c r="L1326" t="s">
        <v>2363</v>
      </c>
      <c r="M1326">
        <v>1138178402502</v>
      </c>
      <c r="N1326" t="s">
        <v>2702</v>
      </c>
      <c r="O1326" s="1">
        <v>45947</v>
      </c>
      <c r="T1326" t="s">
        <v>2662</v>
      </c>
      <c r="U1326" t="s">
        <v>5746</v>
      </c>
      <c r="V1326">
        <v>1</v>
      </c>
      <c r="W1326" t="s">
        <v>2671</v>
      </c>
      <c r="X1326">
        <v>1</v>
      </c>
      <c r="Y1326" t="s">
        <v>2672</v>
      </c>
      <c r="AA1326">
        <v>29271934502</v>
      </c>
      <c r="AB1326" t="s">
        <v>965</v>
      </c>
      <c r="AC1326">
        <v>0</v>
      </c>
      <c r="AD1326">
        <v>4</v>
      </c>
      <c r="AE1326">
        <v>292719345024</v>
      </c>
      <c r="AF1326" t="s">
        <v>5740</v>
      </c>
      <c r="AG1326">
        <v>0</v>
      </c>
      <c r="AH1326">
        <v>0</v>
      </c>
    </row>
    <row r="1327" spans="1:34">
      <c r="A1327">
        <v>2025</v>
      </c>
      <c r="B1327" s="1">
        <v>45962</v>
      </c>
      <c r="C1327" t="s">
        <v>2657</v>
      </c>
      <c r="D1327" t="s">
        <v>5747</v>
      </c>
      <c r="E1327" s="43">
        <v>45975.596858738427</v>
      </c>
      <c r="F1327" s="1">
        <v>45975</v>
      </c>
      <c r="G1327" s="43">
        <v>45975.659063333333</v>
      </c>
      <c r="H1327" t="s">
        <v>2802</v>
      </c>
      <c r="I1327" t="s">
        <v>2681</v>
      </c>
      <c r="J1327" t="s">
        <v>2735</v>
      </c>
      <c r="L1327" t="s">
        <v>2336</v>
      </c>
      <c r="M1327">
        <v>16116314302</v>
      </c>
      <c r="N1327" t="s">
        <v>2746</v>
      </c>
      <c r="O1327" s="1">
        <v>45358</v>
      </c>
      <c r="T1327" t="s">
        <v>2662</v>
      </c>
      <c r="U1327" t="s">
        <v>5748</v>
      </c>
      <c r="V1327">
        <v>0</v>
      </c>
      <c r="W1327" t="s">
        <v>2743</v>
      </c>
      <c r="X1327">
        <v>1</v>
      </c>
      <c r="Y1327" t="s">
        <v>2688</v>
      </c>
      <c r="AA1327">
        <v>16116314302</v>
      </c>
      <c r="AB1327" t="s">
        <v>1654</v>
      </c>
      <c r="AC1327">
        <v>0</v>
      </c>
      <c r="AD1327">
        <v>46</v>
      </c>
      <c r="AE1327">
        <v>1611631430246</v>
      </c>
      <c r="AF1327" t="s">
        <v>5749</v>
      </c>
      <c r="AG1327">
        <v>1</v>
      </c>
      <c r="AH1327">
        <v>1</v>
      </c>
    </row>
    <row r="1328" spans="1:34">
      <c r="A1328">
        <v>2025</v>
      </c>
      <c r="B1328" s="1">
        <v>45962</v>
      </c>
      <c r="C1328" t="s">
        <v>2657</v>
      </c>
      <c r="D1328" t="s">
        <v>5750</v>
      </c>
      <c r="E1328" s="43">
        <v>45978.666230405091</v>
      </c>
      <c r="F1328" s="1">
        <v>45978</v>
      </c>
      <c r="G1328" s="43">
        <v>45979.69356216435</v>
      </c>
      <c r="H1328" t="s">
        <v>2802</v>
      </c>
      <c r="I1328" t="s">
        <v>2719</v>
      </c>
      <c r="J1328" t="s">
        <v>2735</v>
      </c>
      <c r="L1328" t="s">
        <v>2336</v>
      </c>
      <c r="M1328">
        <v>16116314302</v>
      </c>
      <c r="N1328" t="s">
        <v>2746</v>
      </c>
      <c r="O1328" s="1">
        <v>45358</v>
      </c>
      <c r="T1328" t="s">
        <v>2662</v>
      </c>
      <c r="U1328" t="s">
        <v>5751</v>
      </c>
      <c r="V1328">
        <v>1</v>
      </c>
      <c r="W1328" t="s">
        <v>2743</v>
      </c>
      <c r="X1328">
        <v>1</v>
      </c>
      <c r="Y1328" t="s">
        <v>2764</v>
      </c>
      <c r="AA1328">
        <v>16116314302</v>
      </c>
      <c r="AB1328" t="s">
        <v>1654</v>
      </c>
      <c r="AC1328">
        <v>0</v>
      </c>
      <c r="AD1328">
        <v>47</v>
      </c>
      <c r="AE1328">
        <v>1611631430247</v>
      </c>
      <c r="AF1328" t="s">
        <v>5749</v>
      </c>
      <c r="AG1328">
        <v>1</v>
      </c>
      <c r="AH1328">
        <v>0</v>
      </c>
    </row>
    <row r="1329" spans="1:34">
      <c r="A1329">
        <v>2025</v>
      </c>
      <c r="B1329" s="1">
        <v>45931</v>
      </c>
      <c r="C1329" t="s">
        <v>2657</v>
      </c>
      <c r="D1329" s="44" t="s">
        <v>5752</v>
      </c>
      <c r="E1329" s="43">
        <v>45944.527753587965</v>
      </c>
      <c r="F1329" s="1">
        <v>45944</v>
      </c>
      <c r="G1329" s="43">
        <v>45944.527753587965</v>
      </c>
      <c r="H1329" t="s">
        <v>2659</v>
      </c>
      <c r="I1329" t="s">
        <v>2681</v>
      </c>
      <c r="J1329" t="s">
        <v>2735</v>
      </c>
      <c r="L1329" t="s">
        <v>2336</v>
      </c>
      <c r="M1329">
        <v>449549597602</v>
      </c>
      <c r="N1329" t="s">
        <v>2702</v>
      </c>
      <c r="O1329" s="1">
        <v>45358</v>
      </c>
      <c r="T1329" t="s">
        <v>2662</v>
      </c>
      <c r="U1329" t="s">
        <v>5753</v>
      </c>
      <c r="V1329">
        <v>0</v>
      </c>
      <c r="W1329" t="s">
        <v>2671</v>
      </c>
      <c r="X1329">
        <v>1</v>
      </c>
      <c r="Y1329" t="s">
        <v>2695</v>
      </c>
      <c r="AA1329">
        <v>449549597602</v>
      </c>
      <c r="AB1329" t="s">
        <v>1726</v>
      </c>
      <c r="AC1329">
        <v>0</v>
      </c>
      <c r="AD1329">
        <v>42</v>
      </c>
      <c r="AE1329">
        <v>44954959760242</v>
      </c>
      <c r="AF1329" t="s">
        <v>5754</v>
      </c>
      <c r="AG1329">
        <v>1</v>
      </c>
      <c r="AH1329">
        <v>1</v>
      </c>
    </row>
    <row r="1330" spans="1:34">
      <c r="A1330">
        <v>2025</v>
      </c>
      <c r="B1330" s="1">
        <v>45931</v>
      </c>
      <c r="C1330" t="s">
        <v>2657</v>
      </c>
      <c r="D1330" t="s">
        <v>5755</v>
      </c>
      <c r="E1330" s="43">
        <v>45947.58487121528</v>
      </c>
      <c r="F1330" s="1">
        <v>45947</v>
      </c>
      <c r="G1330" s="43">
        <v>45947.659490127313</v>
      </c>
      <c r="H1330" t="s">
        <v>2659</v>
      </c>
      <c r="I1330" t="s">
        <v>2719</v>
      </c>
      <c r="J1330" t="s">
        <v>2735</v>
      </c>
      <c r="L1330" t="s">
        <v>2336</v>
      </c>
      <c r="M1330">
        <v>449549597602</v>
      </c>
      <c r="N1330" t="s">
        <v>2702</v>
      </c>
      <c r="O1330" s="1">
        <v>45358</v>
      </c>
      <c r="T1330" t="s">
        <v>2662</v>
      </c>
      <c r="U1330" t="s">
        <v>5756</v>
      </c>
      <c r="V1330">
        <v>0</v>
      </c>
      <c r="W1330" t="s">
        <v>2677</v>
      </c>
      <c r="X1330">
        <v>1</v>
      </c>
      <c r="Y1330" t="s">
        <v>2678</v>
      </c>
      <c r="AA1330">
        <v>449549597602</v>
      </c>
      <c r="AB1330" t="s">
        <v>1726</v>
      </c>
      <c r="AC1330">
        <v>0</v>
      </c>
      <c r="AD1330">
        <v>42</v>
      </c>
      <c r="AE1330">
        <v>44954959760242</v>
      </c>
      <c r="AF1330" t="s">
        <v>5754</v>
      </c>
      <c r="AG1330">
        <v>0</v>
      </c>
      <c r="AH1330">
        <v>0</v>
      </c>
    </row>
    <row r="1331" spans="1:34">
      <c r="A1331">
        <v>2025</v>
      </c>
      <c r="B1331" s="1">
        <v>45931</v>
      </c>
      <c r="C1331" t="s">
        <v>2657</v>
      </c>
      <c r="D1331" t="s">
        <v>5757</v>
      </c>
      <c r="E1331" s="43">
        <v>45951.606807905089</v>
      </c>
      <c r="F1331" s="1">
        <v>45951</v>
      </c>
      <c r="G1331" s="43">
        <v>45961.607961979164</v>
      </c>
      <c r="H1331" t="s">
        <v>2659</v>
      </c>
      <c r="I1331" t="s">
        <v>2719</v>
      </c>
      <c r="J1331" t="s">
        <v>2735</v>
      </c>
      <c r="L1331" t="s">
        <v>2336</v>
      </c>
      <c r="M1331">
        <v>449549597602</v>
      </c>
      <c r="N1331" t="s">
        <v>2702</v>
      </c>
      <c r="O1331" s="1">
        <v>45358</v>
      </c>
      <c r="T1331" t="s">
        <v>2662</v>
      </c>
      <c r="U1331" t="s">
        <v>5758</v>
      </c>
      <c r="V1331">
        <v>8</v>
      </c>
      <c r="W1331" t="s">
        <v>2677</v>
      </c>
      <c r="X1331">
        <v>1</v>
      </c>
      <c r="Y1331" t="s">
        <v>2678</v>
      </c>
      <c r="AA1331">
        <v>449549597602</v>
      </c>
      <c r="AB1331" t="s">
        <v>1726</v>
      </c>
      <c r="AC1331">
        <v>0</v>
      </c>
      <c r="AD1331">
        <v>43</v>
      </c>
      <c r="AE1331">
        <v>44954959760243</v>
      </c>
      <c r="AF1331" t="s">
        <v>5754</v>
      </c>
      <c r="AG1331">
        <v>0</v>
      </c>
      <c r="AH1331">
        <v>0</v>
      </c>
    </row>
    <row r="1332" spans="1:34">
      <c r="A1332">
        <v>2025</v>
      </c>
      <c r="B1332" s="1">
        <v>45931</v>
      </c>
      <c r="C1332" t="s">
        <v>2657</v>
      </c>
      <c r="D1332" t="s">
        <v>5759</v>
      </c>
      <c r="E1332" s="43">
        <v>45950.526636666669</v>
      </c>
      <c r="F1332" s="1">
        <v>45950</v>
      </c>
      <c r="G1332" s="43">
        <v>45952.870302118055</v>
      </c>
      <c r="H1332" t="s">
        <v>2659</v>
      </c>
      <c r="I1332" t="s">
        <v>2719</v>
      </c>
      <c r="J1332" t="s">
        <v>2735</v>
      </c>
      <c r="L1332" t="s">
        <v>2336</v>
      </c>
      <c r="M1332">
        <v>449549597602</v>
      </c>
      <c r="N1332" t="s">
        <v>2702</v>
      </c>
      <c r="O1332" s="1">
        <v>45358</v>
      </c>
      <c r="T1332" t="s">
        <v>2662</v>
      </c>
      <c r="U1332" t="s">
        <v>5760</v>
      </c>
      <c r="V1332">
        <v>2</v>
      </c>
      <c r="W1332" t="s">
        <v>2677</v>
      </c>
      <c r="X1332">
        <v>1</v>
      </c>
      <c r="Y1332" t="s">
        <v>2678</v>
      </c>
      <c r="AA1332">
        <v>449549597602</v>
      </c>
      <c r="AB1332" t="s">
        <v>1726</v>
      </c>
      <c r="AC1332">
        <v>0</v>
      </c>
      <c r="AD1332">
        <v>43</v>
      </c>
      <c r="AE1332">
        <v>44954959760243</v>
      </c>
      <c r="AF1332" t="s">
        <v>5754</v>
      </c>
      <c r="AG1332">
        <v>0</v>
      </c>
      <c r="AH1332">
        <v>0</v>
      </c>
    </row>
    <row r="1333" spans="1:34">
      <c r="A1333">
        <v>2025</v>
      </c>
      <c r="B1333" s="1">
        <v>45931</v>
      </c>
      <c r="C1333" t="s">
        <v>2657</v>
      </c>
      <c r="D1333" t="s">
        <v>5761</v>
      </c>
      <c r="E1333" s="43">
        <v>45950.524877546297</v>
      </c>
      <c r="F1333" s="1">
        <v>45950</v>
      </c>
      <c r="G1333" s="43">
        <v>45953.760016886576</v>
      </c>
      <c r="H1333" t="s">
        <v>2659</v>
      </c>
      <c r="I1333" t="s">
        <v>2719</v>
      </c>
      <c r="J1333" t="s">
        <v>2735</v>
      </c>
      <c r="L1333" t="s">
        <v>2336</v>
      </c>
      <c r="M1333">
        <v>449549597602</v>
      </c>
      <c r="N1333" t="s">
        <v>2702</v>
      </c>
      <c r="O1333" s="1">
        <v>45358</v>
      </c>
      <c r="T1333" t="s">
        <v>2662</v>
      </c>
      <c r="U1333" t="s">
        <v>5762</v>
      </c>
      <c r="V1333">
        <v>3</v>
      </c>
      <c r="W1333" t="s">
        <v>2677</v>
      </c>
      <c r="X1333">
        <v>1</v>
      </c>
      <c r="Y1333" t="s">
        <v>2931</v>
      </c>
      <c r="AA1333">
        <v>449549597602</v>
      </c>
      <c r="AB1333" t="s">
        <v>1726</v>
      </c>
      <c r="AC1333">
        <v>0</v>
      </c>
      <c r="AD1333">
        <v>43</v>
      </c>
      <c r="AE1333">
        <v>44954959760243</v>
      </c>
      <c r="AF1333" t="s">
        <v>5754</v>
      </c>
      <c r="AG1333">
        <v>1</v>
      </c>
      <c r="AH1333">
        <v>0</v>
      </c>
    </row>
    <row r="1334" spans="1:34">
      <c r="A1334">
        <v>2025</v>
      </c>
      <c r="B1334" s="1">
        <v>45931</v>
      </c>
      <c r="C1334" t="s">
        <v>2657</v>
      </c>
      <c r="D1334" t="s">
        <v>5763</v>
      </c>
      <c r="E1334" s="43">
        <v>45958.463054074076</v>
      </c>
      <c r="F1334" s="1">
        <v>45958</v>
      </c>
      <c r="G1334" s="43">
        <v>45958.463054074076</v>
      </c>
      <c r="H1334" t="s">
        <v>2659</v>
      </c>
      <c r="I1334" t="s">
        <v>2660</v>
      </c>
      <c r="J1334" t="s">
        <v>2735</v>
      </c>
      <c r="L1334" t="s">
        <v>2336</v>
      </c>
      <c r="M1334">
        <v>449549597602</v>
      </c>
      <c r="N1334" t="s">
        <v>2702</v>
      </c>
      <c r="O1334" s="1">
        <v>45358</v>
      </c>
      <c r="T1334" t="s">
        <v>2662</v>
      </c>
      <c r="U1334" t="s">
        <v>5764</v>
      </c>
      <c r="V1334">
        <v>0</v>
      </c>
      <c r="W1334" t="s">
        <v>2677</v>
      </c>
      <c r="X1334">
        <v>1</v>
      </c>
      <c r="Y1334" t="s">
        <v>2695</v>
      </c>
      <c r="AA1334">
        <v>449549597602</v>
      </c>
      <c r="AB1334" t="s">
        <v>1726</v>
      </c>
      <c r="AC1334">
        <v>0</v>
      </c>
      <c r="AD1334">
        <v>44</v>
      </c>
      <c r="AE1334">
        <v>44954959760244</v>
      </c>
      <c r="AF1334" t="s">
        <v>5754</v>
      </c>
      <c r="AG1334">
        <v>0</v>
      </c>
      <c r="AH1334">
        <v>0</v>
      </c>
    </row>
    <row r="1335" spans="1:34">
      <c r="A1335">
        <v>2025</v>
      </c>
      <c r="B1335" s="1">
        <v>45931</v>
      </c>
      <c r="C1335" t="s">
        <v>2657</v>
      </c>
      <c r="D1335" t="s">
        <v>5765</v>
      </c>
      <c r="E1335" s="43">
        <v>45957.754356331017</v>
      </c>
      <c r="F1335" s="1">
        <v>45957</v>
      </c>
      <c r="G1335" s="43">
        <v>45958.505049143518</v>
      </c>
      <c r="H1335" t="s">
        <v>2659</v>
      </c>
      <c r="I1335" t="s">
        <v>2660</v>
      </c>
      <c r="J1335" t="s">
        <v>2735</v>
      </c>
      <c r="L1335" t="s">
        <v>2336</v>
      </c>
      <c r="M1335">
        <v>449549597602</v>
      </c>
      <c r="N1335" t="s">
        <v>2702</v>
      </c>
      <c r="O1335" s="1">
        <v>45358</v>
      </c>
      <c r="T1335" t="s">
        <v>2662</v>
      </c>
      <c r="U1335" t="s">
        <v>5766</v>
      </c>
      <c r="V1335">
        <v>1</v>
      </c>
      <c r="W1335" t="s">
        <v>2677</v>
      </c>
      <c r="X1335">
        <v>1</v>
      </c>
      <c r="Y1335" t="s">
        <v>2807</v>
      </c>
      <c r="AA1335">
        <v>449549597602</v>
      </c>
      <c r="AB1335" t="s">
        <v>1726</v>
      </c>
      <c r="AC1335">
        <v>0</v>
      </c>
      <c r="AD1335">
        <v>44</v>
      </c>
      <c r="AE1335">
        <v>44954959760244</v>
      </c>
      <c r="AF1335" t="s">
        <v>5754</v>
      </c>
      <c r="AG1335">
        <v>0</v>
      </c>
      <c r="AH1335">
        <v>0</v>
      </c>
    </row>
    <row r="1336" spans="1:34">
      <c r="A1336">
        <v>2025</v>
      </c>
      <c r="B1336" s="1">
        <v>45931</v>
      </c>
      <c r="C1336" t="s">
        <v>2657</v>
      </c>
      <c r="D1336" s="44" t="s">
        <v>5767</v>
      </c>
      <c r="E1336" s="43">
        <v>45957.76298806713</v>
      </c>
      <c r="F1336" s="1">
        <v>45957</v>
      </c>
      <c r="G1336" s="43">
        <v>45959.673209675922</v>
      </c>
      <c r="H1336" t="s">
        <v>2659</v>
      </c>
      <c r="I1336" t="s">
        <v>2660</v>
      </c>
      <c r="J1336" t="s">
        <v>2735</v>
      </c>
      <c r="L1336" t="s">
        <v>2336</v>
      </c>
      <c r="M1336">
        <v>449549597602</v>
      </c>
      <c r="N1336" t="s">
        <v>2702</v>
      </c>
      <c r="O1336" s="1">
        <v>45358</v>
      </c>
      <c r="T1336" t="s">
        <v>2662</v>
      </c>
      <c r="U1336" t="s">
        <v>5768</v>
      </c>
      <c r="V1336">
        <v>2</v>
      </c>
      <c r="W1336" t="s">
        <v>2677</v>
      </c>
      <c r="X1336">
        <v>1</v>
      </c>
      <c r="Y1336" t="s">
        <v>2678</v>
      </c>
      <c r="AA1336">
        <v>449549597602</v>
      </c>
      <c r="AB1336" t="s">
        <v>1726</v>
      </c>
      <c r="AC1336">
        <v>0</v>
      </c>
      <c r="AD1336">
        <v>44</v>
      </c>
      <c r="AE1336">
        <v>44954959760244</v>
      </c>
      <c r="AF1336" t="s">
        <v>5754</v>
      </c>
      <c r="AG1336">
        <v>0</v>
      </c>
      <c r="AH1336">
        <v>0</v>
      </c>
    </row>
    <row r="1337" spans="1:34">
      <c r="A1337">
        <v>2025</v>
      </c>
      <c r="B1337" s="1">
        <v>45931</v>
      </c>
      <c r="C1337" t="s">
        <v>2657</v>
      </c>
      <c r="D1337" t="s">
        <v>5769</v>
      </c>
      <c r="E1337" s="43">
        <v>45957.485638599537</v>
      </c>
      <c r="F1337" s="1">
        <v>45957</v>
      </c>
      <c r="G1337" s="43">
        <v>45958.508619675929</v>
      </c>
      <c r="H1337" t="s">
        <v>2659</v>
      </c>
      <c r="I1337" t="s">
        <v>2660</v>
      </c>
      <c r="J1337" t="s">
        <v>2735</v>
      </c>
      <c r="L1337" t="s">
        <v>2336</v>
      </c>
      <c r="M1337">
        <v>449549597602</v>
      </c>
      <c r="N1337" t="s">
        <v>2702</v>
      </c>
      <c r="O1337" s="1">
        <v>45358</v>
      </c>
      <c r="T1337" t="s">
        <v>2662</v>
      </c>
      <c r="U1337" t="s">
        <v>5770</v>
      </c>
      <c r="V1337">
        <v>1</v>
      </c>
      <c r="W1337" t="s">
        <v>2677</v>
      </c>
      <c r="X1337">
        <v>1</v>
      </c>
      <c r="Y1337" t="s">
        <v>2807</v>
      </c>
      <c r="AA1337">
        <v>449549597602</v>
      </c>
      <c r="AB1337" t="s">
        <v>1726</v>
      </c>
      <c r="AC1337">
        <v>0</v>
      </c>
      <c r="AD1337">
        <v>44</v>
      </c>
      <c r="AE1337">
        <v>44954959760244</v>
      </c>
      <c r="AF1337" t="s">
        <v>5754</v>
      </c>
      <c r="AG1337">
        <v>1</v>
      </c>
      <c r="AH1337">
        <v>0</v>
      </c>
    </row>
    <row r="1338" spans="1:34">
      <c r="A1338">
        <v>2025</v>
      </c>
      <c r="B1338" s="1">
        <v>45931</v>
      </c>
      <c r="C1338" t="s">
        <v>2657</v>
      </c>
      <c r="D1338" t="s">
        <v>5771</v>
      </c>
      <c r="E1338" s="43">
        <v>45953.625988009262</v>
      </c>
      <c r="F1338" s="1">
        <v>45953</v>
      </c>
      <c r="G1338" s="43">
        <v>45953.625988009262</v>
      </c>
      <c r="H1338" t="s">
        <v>2659</v>
      </c>
      <c r="I1338" t="s">
        <v>2660</v>
      </c>
      <c r="J1338" t="s">
        <v>2735</v>
      </c>
      <c r="L1338" t="s">
        <v>2336</v>
      </c>
      <c r="M1338">
        <v>449549597602</v>
      </c>
      <c r="N1338" t="s">
        <v>2702</v>
      </c>
      <c r="O1338" s="1">
        <v>45358</v>
      </c>
      <c r="T1338" t="s">
        <v>2662</v>
      </c>
      <c r="U1338" t="s">
        <v>5772</v>
      </c>
      <c r="V1338">
        <v>0</v>
      </c>
      <c r="W1338" t="s">
        <v>2671</v>
      </c>
      <c r="X1338">
        <v>1</v>
      </c>
      <c r="Y1338" t="s">
        <v>2695</v>
      </c>
      <c r="AA1338">
        <v>449549597602</v>
      </c>
      <c r="AB1338" t="s">
        <v>1726</v>
      </c>
      <c r="AC1338">
        <v>0</v>
      </c>
      <c r="AD1338">
        <v>43</v>
      </c>
      <c r="AE1338">
        <v>44954959760243</v>
      </c>
      <c r="AF1338" t="s">
        <v>5754</v>
      </c>
      <c r="AG1338">
        <v>0</v>
      </c>
      <c r="AH1338">
        <v>0</v>
      </c>
    </row>
    <row r="1339" spans="1:34">
      <c r="A1339">
        <v>2025</v>
      </c>
      <c r="B1339" s="1">
        <v>45931</v>
      </c>
      <c r="C1339" t="s">
        <v>2657</v>
      </c>
      <c r="D1339" s="44" t="s">
        <v>5773</v>
      </c>
      <c r="E1339" s="43">
        <v>45952.594696701388</v>
      </c>
      <c r="F1339" s="1">
        <v>45952</v>
      </c>
      <c r="G1339" s="43">
        <v>45952.594696701388</v>
      </c>
      <c r="H1339" t="s">
        <v>2659</v>
      </c>
      <c r="I1339" t="s">
        <v>2660</v>
      </c>
      <c r="J1339" t="s">
        <v>2735</v>
      </c>
      <c r="L1339" t="s">
        <v>2336</v>
      </c>
      <c r="M1339">
        <v>449549597602</v>
      </c>
      <c r="N1339" t="s">
        <v>2702</v>
      </c>
      <c r="O1339" s="1">
        <v>45358</v>
      </c>
      <c r="T1339" t="s">
        <v>2662</v>
      </c>
      <c r="U1339" t="s">
        <v>5774</v>
      </c>
      <c r="V1339">
        <v>0</v>
      </c>
      <c r="W1339" t="s">
        <v>2677</v>
      </c>
      <c r="X1339">
        <v>1</v>
      </c>
      <c r="Y1339" t="s">
        <v>2695</v>
      </c>
      <c r="AA1339">
        <v>449549597602</v>
      </c>
      <c r="AB1339" t="s">
        <v>1726</v>
      </c>
      <c r="AC1339">
        <v>0</v>
      </c>
      <c r="AD1339">
        <v>43</v>
      </c>
      <c r="AE1339">
        <v>44954959760243</v>
      </c>
      <c r="AF1339" t="s">
        <v>5754</v>
      </c>
      <c r="AG1339">
        <v>0</v>
      </c>
      <c r="AH1339">
        <v>0</v>
      </c>
    </row>
    <row r="1340" spans="1:34">
      <c r="A1340">
        <v>2025</v>
      </c>
      <c r="B1340" s="1">
        <v>45931</v>
      </c>
      <c r="C1340" t="s">
        <v>2657</v>
      </c>
      <c r="D1340" t="s">
        <v>5775</v>
      </c>
      <c r="E1340" s="43">
        <v>45954.588294050925</v>
      </c>
      <c r="F1340" s="1">
        <v>45954</v>
      </c>
      <c r="G1340" s="43">
        <v>45954.620216041665</v>
      </c>
      <c r="H1340" t="s">
        <v>2659</v>
      </c>
      <c r="I1340" t="s">
        <v>2660</v>
      </c>
      <c r="J1340" t="s">
        <v>2735</v>
      </c>
      <c r="L1340" t="s">
        <v>2336</v>
      </c>
      <c r="M1340">
        <v>449549597602</v>
      </c>
      <c r="N1340" t="s">
        <v>2702</v>
      </c>
      <c r="O1340" s="1">
        <v>45358</v>
      </c>
      <c r="T1340" t="s">
        <v>2662</v>
      </c>
      <c r="U1340" t="s">
        <v>5776</v>
      </c>
      <c r="V1340">
        <v>0</v>
      </c>
      <c r="W1340" t="s">
        <v>2664</v>
      </c>
      <c r="X1340">
        <v>1</v>
      </c>
      <c r="Y1340" t="s">
        <v>2695</v>
      </c>
      <c r="AA1340">
        <v>449549597602</v>
      </c>
      <c r="AB1340" t="s">
        <v>1726</v>
      </c>
      <c r="AC1340">
        <v>0</v>
      </c>
      <c r="AD1340">
        <v>43</v>
      </c>
      <c r="AE1340">
        <v>44954959760243</v>
      </c>
      <c r="AF1340" t="s">
        <v>5754</v>
      </c>
      <c r="AG1340">
        <v>0</v>
      </c>
      <c r="AH1340">
        <v>0</v>
      </c>
    </row>
    <row r="1341" spans="1:34">
      <c r="A1341">
        <v>2025</v>
      </c>
      <c r="B1341" s="1">
        <v>45931</v>
      </c>
      <c r="C1341" t="s">
        <v>2657</v>
      </c>
      <c r="D1341" t="s">
        <v>5777</v>
      </c>
      <c r="E1341" s="43">
        <v>45954.532552314813</v>
      </c>
      <c r="F1341" s="1">
        <v>45954</v>
      </c>
      <c r="G1341" s="43">
        <v>45957.488255405093</v>
      </c>
      <c r="H1341" t="s">
        <v>2659</v>
      </c>
      <c r="I1341" t="s">
        <v>2660</v>
      </c>
      <c r="J1341" t="s">
        <v>2735</v>
      </c>
      <c r="L1341" t="s">
        <v>2336</v>
      </c>
      <c r="M1341">
        <v>449549597602</v>
      </c>
      <c r="N1341" t="s">
        <v>2702</v>
      </c>
      <c r="O1341" s="1">
        <v>45358</v>
      </c>
      <c r="T1341" t="s">
        <v>2662</v>
      </c>
      <c r="U1341" t="s">
        <v>5778</v>
      </c>
      <c r="V1341">
        <v>1</v>
      </c>
      <c r="W1341" t="s">
        <v>2664</v>
      </c>
      <c r="X1341">
        <v>1</v>
      </c>
      <c r="Y1341" t="s">
        <v>2665</v>
      </c>
      <c r="Z1341" t="s">
        <v>2684</v>
      </c>
      <c r="AA1341">
        <v>449549597602</v>
      </c>
      <c r="AB1341" t="s">
        <v>1726</v>
      </c>
      <c r="AC1341">
        <v>0</v>
      </c>
      <c r="AD1341">
        <v>43</v>
      </c>
      <c r="AE1341">
        <v>44954959760243</v>
      </c>
      <c r="AF1341" t="s">
        <v>5754</v>
      </c>
      <c r="AG1341">
        <v>0</v>
      </c>
      <c r="AH1341">
        <v>0</v>
      </c>
    </row>
    <row r="1342" spans="1:34">
      <c r="A1342">
        <v>2025</v>
      </c>
      <c r="B1342" s="1">
        <v>45931</v>
      </c>
      <c r="C1342" t="s">
        <v>2657</v>
      </c>
      <c r="D1342" t="s">
        <v>5779</v>
      </c>
      <c r="E1342" s="43">
        <v>45953.539204375003</v>
      </c>
      <c r="F1342" s="1">
        <v>45953</v>
      </c>
      <c r="G1342" s="43">
        <v>45959.845231932872</v>
      </c>
      <c r="H1342" t="s">
        <v>2659</v>
      </c>
      <c r="I1342" t="s">
        <v>2660</v>
      </c>
      <c r="J1342" t="s">
        <v>2735</v>
      </c>
      <c r="L1342" t="s">
        <v>2336</v>
      </c>
      <c r="M1342">
        <v>449549597602</v>
      </c>
      <c r="N1342" t="s">
        <v>2702</v>
      </c>
      <c r="O1342" s="1">
        <v>45358</v>
      </c>
      <c r="T1342" t="s">
        <v>2662</v>
      </c>
      <c r="U1342" t="s">
        <v>5780</v>
      </c>
      <c r="V1342">
        <v>4</v>
      </c>
      <c r="W1342" t="s">
        <v>2677</v>
      </c>
      <c r="X1342">
        <v>1</v>
      </c>
      <c r="Y1342" t="s">
        <v>2807</v>
      </c>
      <c r="AA1342">
        <v>449549597602</v>
      </c>
      <c r="AB1342" t="s">
        <v>1726</v>
      </c>
      <c r="AC1342">
        <v>0</v>
      </c>
      <c r="AD1342">
        <v>43</v>
      </c>
      <c r="AE1342">
        <v>44954959760243</v>
      </c>
      <c r="AF1342" t="s">
        <v>5754</v>
      </c>
      <c r="AG1342">
        <v>0</v>
      </c>
      <c r="AH1342">
        <v>0</v>
      </c>
    </row>
    <row r="1343" spans="1:34">
      <c r="A1343">
        <v>2025</v>
      </c>
      <c r="B1343" s="1">
        <v>45931</v>
      </c>
      <c r="C1343" t="s">
        <v>2657</v>
      </c>
      <c r="D1343" t="s">
        <v>5781</v>
      </c>
      <c r="E1343" s="43">
        <v>45961.595243993055</v>
      </c>
      <c r="F1343" s="1">
        <v>45961</v>
      </c>
      <c r="G1343" s="43">
        <v>45964.520402222224</v>
      </c>
      <c r="H1343" t="s">
        <v>2659</v>
      </c>
      <c r="I1343" t="s">
        <v>2697</v>
      </c>
      <c r="J1343" t="s">
        <v>2735</v>
      </c>
      <c r="L1343" t="s">
        <v>2336</v>
      </c>
      <c r="M1343">
        <v>449549597602</v>
      </c>
      <c r="N1343" t="s">
        <v>2702</v>
      </c>
      <c r="O1343" s="1">
        <v>45358</v>
      </c>
      <c r="T1343" t="s">
        <v>2662</v>
      </c>
      <c r="U1343" t="s">
        <v>5782</v>
      </c>
      <c r="V1343">
        <v>1</v>
      </c>
      <c r="W1343" t="s">
        <v>2677</v>
      </c>
      <c r="X1343">
        <v>1</v>
      </c>
      <c r="Y1343" t="s">
        <v>2807</v>
      </c>
      <c r="AA1343">
        <v>449549597602</v>
      </c>
      <c r="AB1343" t="s">
        <v>1726</v>
      </c>
      <c r="AC1343">
        <v>0</v>
      </c>
      <c r="AD1343">
        <v>44</v>
      </c>
      <c r="AE1343">
        <v>44954959760244</v>
      </c>
      <c r="AF1343" t="s">
        <v>5754</v>
      </c>
      <c r="AG1343">
        <v>0</v>
      </c>
      <c r="AH1343">
        <v>0</v>
      </c>
    </row>
    <row r="1344" spans="1:34">
      <c r="A1344">
        <v>2025</v>
      </c>
      <c r="B1344" s="1">
        <v>45931</v>
      </c>
      <c r="C1344" t="s">
        <v>2657</v>
      </c>
      <c r="D1344" t="s">
        <v>5783</v>
      </c>
      <c r="E1344" s="43">
        <v>45960.873494120373</v>
      </c>
      <c r="F1344" s="1">
        <v>45960</v>
      </c>
      <c r="G1344" s="43">
        <v>45964.520421018518</v>
      </c>
      <c r="H1344" t="s">
        <v>2659</v>
      </c>
      <c r="I1344" t="s">
        <v>2697</v>
      </c>
      <c r="J1344" t="s">
        <v>2735</v>
      </c>
      <c r="L1344" t="s">
        <v>2336</v>
      </c>
      <c r="M1344">
        <v>449549597602</v>
      </c>
      <c r="N1344" t="s">
        <v>2702</v>
      </c>
      <c r="O1344" s="1">
        <v>45358</v>
      </c>
      <c r="T1344" t="s">
        <v>2662</v>
      </c>
      <c r="U1344" t="s">
        <v>5784</v>
      </c>
      <c r="V1344">
        <v>2</v>
      </c>
      <c r="W1344" t="s">
        <v>2677</v>
      </c>
      <c r="X1344">
        <v>1</v>
      </c>
      <c r="Y1344" t="s">
        <v>2807</v>
      </c>
      <c r="AA1344">
        <v>449549597602</v>
      </c>
      <c r="AB1344" t="s">
        <v>1726</v>
      </c>
      <c r="AC1344">
        <v>0</v>
      </c>
      <c r="AD1344">
        <v>44</v>
      </c>
      <c r="AE1344">
        <v>44954959760244</v>
      </c>
      <c r="AF1344" t="s">
        <v>5754</v>
      </c>
      <c r="AG1344">
        <v>0</v>
      </c>
      <c r="AH1344">
        <v>0</v>
      </c>
    </row>
    <row r="1345" spans="1:34">
      <c r="A1345">
        <v>2025</v>
      </c>
      <c r="B1345" s="1">
        <v>45992</v>
      </c>
      <c r="C1345" t="s">
        <v>2657</v>
      </c>
      <c r="D1345" t="s">
        <v>5785</v>
      </c>
      <c r="E1345" s="43">
        <v>46002.567524837963</v>
      </c>
      <c r="F1345" s="1">
        <v>46002</v>
      </c>
      <c r="G1345" s="43">
        <v>46003.86462912037</v>
      </c>
      <c r="H1345" t="s">
        <v>2686</v>
      </c>
      <c r="I1345" t="s">
        <v>2681</v>
      </c>
      <c r="J1345" t="s">
        <v>100</v>
      </c>
      <c r="L1345" t="s">
        <v>2363</v>
      </c>
      <c r="M1345">
        <v>20025747402</v>
      </c>
      <c r="N1345" t="s">
        <v>2702</v>
      </c>
      <c r="O1345" s="1">
        <v>45294</v>
      </c>
      <c r="T1345" t="s">
        <v>2662</v>
      </c>
      <c r="U1345" t="s">
        <v>5786</v>
      </c>
      <c r="V1345">
        <v>1</v>
      </c>
      <c r="W1345" t="s">
        <v>2677</v>
      </c>
      <c r="X1345">
        <v>1</v>
      </c>
      <c r="Y1345" t="s">
        <v>2807</v>
      </c>
      <c r="AA1345">
        <v>20025747402</v>
      </c>
      <c r="AB1345" t="s">
        <v>524</v>
      </c>
      <c r="AC1345">
        <v>0</v>
      </c>
      <c r="AD1345">
        <v>50</v>
      </c>
      <c r="AE1345">
        <v>2002574740250</v>
      </c>
      <c r="AF1345" t="s">
        <v>5787</v>
      </c>
      <c r="AG1345">
        <v>1</v>
      </c>
      <c r="AH1345">
        <v>1</v>
      </c>
    </row>
    <row r="1346" spans="1:34">
      <c r="A1346">
        <v>2025</v>
      </c>
      <c r="B1346" s="1">
        <v>45992</v>
      </c>
      <c r="C1346" t="s">
        <v>2657</v>
      </c>
      <c r="D1346" t="s">
        <v>5788</v>
      </c>
      <c r="E1346" s="43">
        <v>46003.721069120373</v>
      </c>
      <c r="F1346" s="1">
        <v>46003</v>
      </c>
      <c r="G1346" s="43">
        <v>46027.817973032405</v>
      </c>
      <c r="H1346" t="s">
        <v>2686</v>
      </c>
      <c r="I1346" t="s">
        <v>2681</v>
      </c>
      <c r="J1346" t="s">
        <v>100</v>
      </c>
      <c r="L1346" t="s">
        <v>2363</v>
      </c>
      <c r="M1346">
        <v>20025747402</v>
      </c>
      <c r="N1346" t="s">
        <v>2702</v>
      </c>
      <c r="O1346" s="1">
        <v>45294</v>
      </c>
      <c r="T1346" t="s">
        <v>2662</v>
      </c>
      <c r="U1346" t="s">
        <v>5789</v>
      </c>
      <c r="V1346">
        <v>16</v>
      </c>
      <c r="W1346" t="s">
        <v>2677</v>
      </c>
      <c r="X1346">
        <v>1</v>
      </c>
      <c r="Y1346" t="s">
        <v>2807</v>
      </c>
      <c r="AA1346">
        <v>20025747402</v>
      </c>
      <c r="AB1346" t="s">
        <v>524</v>
      </c>
      <c r="AC1346">
        <v>0</v>
      </c>
      <c r="AD1346">
        <v>50</v>
      </c>
      <c r="AE1346">
        <v>2002574740250</v>
      </c>
      <c r="AF1346" t="s">
        <v>5787</v>
      </c>
      <c r="AG1346">
        <v>0</v>
      </c>
      <c r="AH1346">
        <v>0</v>
      </c>
    </row>
    <row r="1347" spans="1:34">
      <c r="A1347">
        <v>2026</v>
      </c>
      <c r="B1347" s="1">
        <v>46054</v>
      </c>
      <c r="C1347" t="s">
        <v>2657</v>
      </c>
      <c r="D1347" t="s">
        <v>5790</v>
      </c>
      <c r="E1347" s="43">
        <v>46058.586315520835</v>
      </c>
      <c r="F1347" s="3">
        <v>46058</v>
      </c>
      <c r="G1347" s="43">
        <v>46077.65184460648</v>
      </c>
      <c r="H1347" t="s">
        <v>2725</v>
      </c>
      <c r="I1347" t="s">
        <v>2669</v>
      </c>
      <c r="J1347" t="s">
        <v>36</v>
      </c>
      <c r="L1347" t="s">
        <v>2355</v>
      </c>
      <c r="M1347">
        <v>538911850502</v>
      </c>
      <c r="N1347" t="s">
        <v>2702</v>
      </c>
      <c r="O1347" s="1">
        <v>45669</v>
      </c>
      <c r="T1347" t="s">
        <v>2662</v>
      </c>
      <c r="U1347" t="s">
        <v>5791</v>
      </c>
      <c r="V1347">
        <v>13</v>
      </c>
      <c r="W1347" t="s">
        <v>2677</v>
      </c>
      <c r="X1347">
        <v>1</v>
      </c>
      <c r="Y1347" t="s">
        <v>2760</v>
      </c>
      <c r="AA1347">
        <v>538911850502</v>
      </c>
      <c r="AB1347" t="s">
        <v>2306</v>
      </c>
      <c r="AC1347">
        <v>0</v>
      </c>
      <c r="AD1347">
        <v>6</v>
      </c>
      <c r="AE1347">
        <v>5389118505026</v>
      </c>
      <c r="AF1347" t="s">
        <v>5792</v>
      </c>
      <c r="AG1347">
        <v>1</v>
      </c>
      <c r="AH1347">
        <v>1</v>
      </c>
    </row>
    <row r="1348" spans="1:34">
      <c r="A1348">
        <v>2026</v>
      </c>
      <c r="B1348" s="1">
        <v>46054</v>
      </c>
      <c r="C1348" t="s">
        <v>2657</v>
      </c>
      <c r="D1348" t="s">
        <v>5793</v>
      </c>
      <c r="E1348" s="43">
        <v>46055.803930439812</v>
      </c>
      <c r="F1348" s="3">
        <v>46055</v>
      </c>
      <c r="G1348" s="43">
        <v>46058.676618449077</v>
      </c>
      <c r="H1348" t="s">
        <v>2725</v>
      </c>
      <c r="I1348" t="s">
        <v>2669</v>
      </c>
      <c r="J1348" t="s">
        <v>39</v>
      </c>
      <c r="L1348" t="s">
        <v>2362</v>
      </c>
      <c r="M1348">
        <v>361885515402</v>
      </c>
      <c r="N1348" t="s">
        <v>2746</v>
      </c>
      <c r="O1348" s="1">
        <v>45669</v>
      </c>
      <c r="T1348" t="s">
        <v>2662</v>
      </c>
      <c r="U1348" t="s">
        <v>5794</v>
      </c>
      <c r="V1348">
        <v>3</v>
      </c>
      <c r="W1348" t="s">
        <v>2743</v>
      </c>
      <c r="X1348">
        <v>1</v>
      </c>
      <c r="Y1348" t="s">
        <v>2717</v>
      </c>
      <c r="Z1348" t="s">
        <v>2834</v>
      </c>
      <c r="AA1348">
        <v>361885515402</v>
      </c>
      <c r="AB1348" t="s">
        <v>1603</v>
      </c>
      <c r="AC1348">
        <v>0</v>
      </c>
      <c r="AD1348">
        <v>6</v>
      </c>
      <c r="AE1348">
        <v>3618855154026</v>
      </c>
      <c r="AF1348" t="s">
        <v>5795</v>
      </c>
      <c r="AG1348">
        <v>1</v>
      </c>
      <c r="AH1348">
        <v>1</v>
      </c>
    </row>
    <row r="1349" spans="1:34">
      <c r="A1349">
        <v>2026</v>
      </c>
      <c r="B1349" s="1">
        <v>46054</v>
      </c>
      <c r="C1349" t="s">
        <v>2657</v>
      </c>
      <c r="D1349" s="44" t="s">
        <v>5796</v>
      </c>
      <c r="E1349" s="43">
        <v>46059.838224560182</v>
      </c>
      <c r="F1349" s="3">
        <v>46059</v>
      </c>
      <c r="G1349" s="43">
        <v>46070.853430902775</v>
      </c>
      <c r="H1349" t="s">
        <v>2725</v>
      </c>
      <c r="I1349" t="s">
        <v>2669</v>
      </c>
      <c r="J1349" t="s">
        <v>39</v>
      </c>
      <c r="L1349" t="s">
        <v>2362</v>
      </c>
      <c r="M1349">
        <v>361885515402</v>
      </c>
      <c r="N1349" t="s">
        <v>2746</v>
      </c>
      <c r="O1349" s="1">
        <v>45669</v>
      </c>
      <c r="T1349" t="s">
        <v>2662</v>
      </c>
      <c r="U1349" t="s">
        <v>5797</v>
      </c>
      <c r="V1349">
        <v>7</v>
      </c>
      <c r="W1349" t="s">
        <v>2743</v>
      </c>
      <c r="X1349">
        <v>1</v>
      </c>
      <c r="Y1349" t="s">
        <v>2764</v>
      </c>
      <c r="AA1349">
        <v>361885515402</v>
      </c>
      <c r="AB1349" t="s">
        <v>1603</v>
      </c>
      <c r="AC1349">
        <v>0</v>
      </c>
      <c r="AD1349">
        <v>6</v>
      </c>
      <c r="AE1349">
        <v>3618855154026</v>
      </c>
      <c r="AF1349" t="s">
        <v>5795</v>
      </c>
      <c r="AG1349">
        <v>0</v>
      </c>
      <c r="AH1349">
        <v>0</v>
      </c>
    </row>
    <row r="1350" spans="1:34">
      <c r="A1350">
        <v>2026</v>
      </c>
      <c r="B1350" s="1">
        <v>46054</v>
      </c>
      <c r="C1350" t="s">
        <v>2657</v>
      </c>
      <c r="D1350" s="44" t="s">
        <v>5798</v>
      </c>
      <c r="E1350" s="43">
        <v>46057.82719084491</v>
      </c>
      <c r="F1350" s="3">
        <v>46057</v>
      </c>
      <c r="G1350" s="43">
        <v>46057.82719084491</v>
      </c>
      <c r="H1350" t="s">
        <v>2725</v>
      </c>
      <c r="I1350" t="s">
        <v>2669</v>
      </c>
      <c r="J1350" t="s">
        <v>39</v>
      </c>
      <c r="L1350" t="s">
        <v>2362</v>
      </c>
      <c r="M1350">
        <v>361885515402</v>
      </c>
      <c r="N1350" t="s">
        <v>2746</v>
      </c>
      <c r="O1350" s="1">
        <v>45669</v>
      </c>
      <c r="T1350" t="s">
        <v>2662</v>
      </c>
      <c r="U1350" t="s">
        <v>5799</v>
      </c>
      <c r="V1350">
        <v>0</v>
      </c>
      <c r="W1350" t="s">
        <v>2677</v>
      </c>
      <c r="X1350">
        <v>1</v>
      </c>
      <c r="Y1350" t="s">
        <v>2760</v>
      </c>
      <c r="AA1350">
        <v>361885515402</v>
      </c>
      <c r="AB1350" t="s">
        <v>1603</v>
      </c>
      <c r="AC1350">
        <v>0</v>
      </c>
      <c r="AD1350">
        <v>6</v>
      </c>
      <c r="AE1350">
        <v>3618855154026</v>
      </c>
      <c r="AF1350" t="s">
        <v>5795</v>
      </c>
      <c r="AG1350">
        <v>0</v>
      </c>
      <c r="AH1350">
        <v>0</v>
      </c>
    </row>
    <row r="1351" spans="1:34">
      <c r="A1351">
        <v>2026</v>
      </c>
      <c r="B1351" s="1">
        <v>46054</v>
      </c>
      <c r="C1351" t="s">
        <v>2657</v>
      </c>
      <c r="D1351" t="s">
        <v>5800</v>
      </c>
      <c r="E1351" s="43">
        <v>46064.600405752317</v>
      </c>
      <c r="F1351" s="3">
        <v>46064</v>
      </c>
      <c r="G1351" s="43">
        <v>46065.839139976852</v>
      </c>
      <c r="H1351" t="s">
        <v>2725</v>
      </c>
      <c r="I1351" t="s">
        <v>2681</v>
      </c>
      <c r="J1351" t="s">
        <v>39</v>
      </c>
      <c r="L1351" t="s">
        <v>2362</v>
      </c>
      <c r="M1351">
        <v>361885515402</v>
      </c>
      <c r="N1351" t="s">
        <v>2746</v>
      </c>
      <c r="O1351" s="1">
        <v>45669</v>
      </c>
      <c r="T1351" t="s">
        <v>2662</v>
      </c>
      <c r="U1351" t="s">
        <v>5801</v>
      </c>
      <c r="V1351">
        <v>1</v>
      </c>
      <c r="W1351" t="s">
        <v>2743</v>
      </c>
      <c r="X1351">
        <v>1</v>
      </c>
      <c r="Y1351" t="s">
        <v>2688</v>
      </c>
      <c r="AA1351">
        <v>361885515402</v>
      </c>
      <c r="AB1351" t="s">
        <v>1603</v>
      </c>
      <c r="AC1351">
        <v>0</v>
      </c>
      <c r="AD1351">
        <v>7</v>
      </c>
      <c r="AE1351">
        <v>3618855154027</v>
      </c>
      <c r="AF1351" t="s">
        <v>5795</v>
      </c>
      <c r="AG1351">
        <v>1</v>
      </c>
      <c r="AH1351">
        <v>0</v>
      </c>
    </row>
    <row r="1352" spans="1:34">
      <c r="A1352">
        <v>2026</v>
      </c>
      <c r="B1352" s="1">
        <v>46054</v>
      </c>
      <c r="C1352" t="s">
        <v>2657</v>
      </c>
      <c r="D1352" t="s">
        <v>5802</v>
      </c>
      <c r="E1352" s="43">
        <v>46070.822289930555</v>
      </c>
      <c r="F1352" s="3">
        <v>46070</v>
      </c>
      <c r="G1352" s="43">
        <v>46093.736626365739</v>
      </c>
      <c r="H1352" t="s">
        <v>2725</v>
      </c>
      <c r="I1352" t="s">
        <v>2719</v>
      </c>
      <c r="J1352" t="s">
        <v>39</v>
      </c>
      <c r="L1352" t="s">
        <v>2362</v>
      </c>
      <c r="M1352">
        <v>361885515402</v>
      </c>
      <c r="N1352" t="s">
        <v>2746</v>
      </c>
      <c r="O1352" s="1">
        <v>45669</v>
      </c>
      <c r="T1352" t="s">
        <v>2662</v>
      </c>
      <c r="U1352" t="s">
        <v>5803</v>
      </c>
      <c r="V1352">
        <v>17</v>
      </c>
      <c r="W1352" t="s">
        <v>2743</v>
      </c>
      <c r="X1352">
        <v>1</v>
      </c>
      <c r="Y1352" t="s">
        <v>2699</v>
      </c>
      <c r="AA1352">
        <v>361885515402</v>
      </c>
      <c r="AB1352" t="s">
        <v>1603</v>
      </c>
      <c r="AC1352">
        <v>0</v>
      </c>
      <c r="AD1352">
        <v>8</v>
      </c>
      <c r="AE1352">
        <v>3618855154028</v>
      </c>
      <c r="AF1352" t="s">
        <v>5795</v>
      </c>
      <c r="AG1352">
        <v>1</v>
      </c>
      <c r="AH1352">
        <v>0</v>
      </c>
    </row>
    <row r="1353" spans="1:34">
      <c r="A1353">
        <v>2026</v>
      </c>
      <c r="B1353" s="1">
        <v>46054</v>
      </c>
      <c r="C1353" t="s">
        <v>2657</v>
      </c>
      <c r="D1353" t="s">
        <v>5804</v>
      </c>
      <c r="E1353" s="43">
        <v>46076.572279918983</v>
      </c>
      <c r="F1353" s="3">
        <v>46076</v>
      </c>
      <c r="G1353" s="43">
        <v>46078.632891678244</v>
      </c>
      <c r="H1353" t="s">
        <v>2725</v>
      </c>
      <c r="I1353" t="s">
        <v>2660</v>
      </c>
      <c r="J1353" t="s">
        <v>39</v>
      </c>
      <c r="L1353" t="s">
        <v>2362</v>
      </c>
      <c r="M1353">
        <v>361885515402</v>
      </c>
      <c r="N1353" t="s">
        <v>2746</v>
      </c>
      <c r="O1353" s="1">
        <v>45669</v>
      </c>
      <c r="T1353" t="s">
        <v>2662</v>
      </c>
      <c r="U1353" t="s">
        <v>5805</v>
      </c>
      <c r="V1353">
        <v>2</v>
      </c>
      <c r="W1353" t="s">
        <v>2664</v>
      </c>
      <c r="X1353">
        <v>1</v>
      </c>
      <c r="Y1353" t="s">
        <v>2665</v>
      </c>
      <c r="AA1353">
        <v>361885515402</v>
      </c>
      <c r="AB1353" t="s">
        <v>1603</v>
      </c>
      <c r="AC1353">
        <v>0</v>
      </c>
      <c r="AD1353">
        <v>9</v>
      </c>
      <c r="AE1353">
        <v>3618855154029</v>
      </c>
      <c r="AF1353" t="s">
        <v>5795</v>
      </c>
      <c r="AG1353">
        <v>0</v>
      </c>
      <c r="AH1353">
        <v>0</v>
      </c>
    </row>
    <row r="1354" spans="1:34">
      <c r="A1354">
        <v>2026</v>
      </c>
      <c r="B1354" s="1">
        <v>46054</v>
      </c>
      <c r="C1354" t="s">
        <v>2657</v>
      </c>
      <c r="D1354" t="s">
        <v>5806</v>
      </c>
      <c r="E1354" s="43">
        <v>46076.503166666669</v>
      </c>
      <c r="F1354" s="3">
        <v>46076</v>
      </c>
      <c r="G1354" s="43">
        <v>46077.666329409723</v>
      </c>
      <c r="H1354" t="s">
        <v>2725</v>
      </c>
      <c r="I1354" t="s">
        <v>2660</v>
      </c>
      <c r="J1354" t="s">
        <v>39</v>
      </c>
      <c r="L1354" t="s">
        <v>2362</v>
      </c>
      <c r="M1354">
        <v>361885515402</v>
      </c>
      <c r="N1354" t="s">
        <v>2746</v>
      </c>
      <c r="O1354" s="1">
        <v>45669</v>
      </c>
      <c r="T1354" t="s">
        <v>2662</v>
      </c>
      <c r="U1354" t="s">
        <v>5807</v>
      </c>
      <c r="V1354">
        <v>1</v>
      </c>
      <c r="W1354" t="s">
        <v>2677</v>
      </c>
      <c r="X1354">
        <v>1</v>
      </c>
      <c r="Y1354" t="s">
        <v>3237</v>
      </c>
      <c r="AA1354">
        <v>361885515402</v>
      </c>
      <c r="AB1354" t="s">
        <v>1603</v>
      </c>
      <c r="AC1354">
        <v>0</v>
      </c>
      <c r="AD1354">
        <v>9</v>
      </c>
      <c r="AE1354">
        <v>3618855154029</v>
      </c>
      <c r="AF1354" t="s">
        <v>5795</v>
      </c>
      <c r="AG1354">
        <v>1</v>
      </c>
      <c r="AH1354">
        <v>0</v>
      </c>
    </row>
    <row r="1355" spans="1:34">
      <c r="A1355">
        <v>2025</v>
      </c>
      <c r="B1355" s="1">
        <v>45992</v>
      </c>
      <c r="C1355" t="s">
        <v>2657</v>
      </c>
      <c r="D1355" s="44" t="s">
        <v>5808</v>
      </c>
      <c r="E1355" s="43">
        <v>45992.505720057874</v>
      </c>
      <c r="F1355" s="3">
        <v>45992</v>
      </c>
      <c r="G1355" s="43">
        <v>45994.668736793981</v>
      </c>
      <c r="H1355" t="s">
        <v>2686</v>
      </c>
      <c r="I1355" t="s">
        <v>2669</v>
      </c>
      <c r="J1355" t="s">
        <v>2735</v>
      </c>
      <c r="L1355" t="s">
        <v>2408</v>
      </c>
      <c r="M1355">
        <v>24386750602</v>
      </c>
      <c r="N1355" t="s">
        <v>2746</v>
      </c>
      <c r="O1355" s="1">
        <v>45294</v>
      </c>
      <c r="T1355" t="s">
        <v>2662</v>
      </c>
      <c r="U1355" t="s">
        <v>5809</v>
      </c>
      <c r="V1355">
        <v>2</v>
      </c>
      <c r="W1355" t="s">
        <v>2743</v>
      </c>
      <c r="X1355">
        <v>1</v>
      </c>
      <c r="Y1355" t="s">
        <v>2699</v>
      </c>
      <c r="AA1355">
        <v>24386750602</v>
      </c>
      <c r="AB1355" t="s">
        <v>1847</v>
      </c>
      <c r="AC1355">
        <v>0</v>
      </c>
      <c r="AD1355">
        <v>49</v>
      </c>
      <c r="AE1355">
        <v>2438675060249</v>
      </c>
      <c r="AF1355" t="s">
        <v>5810</v>
      </c>
      <c r="AG1355">
        <v>1</v>
      </c>
      <c r="AH1355">
        <v>1</v>
      </c>
    </row>
    <row r="1356" spans="1:34">
      <c r="A1356">
        <v>2025</v>
      </c>
      <c r="B1356" s="1">
        <v>45962</v>
      </c>
      <c r="C1356" t="s">
        <v>2657</v>
      </c>
      <c r="D1356" t="s">
        <v>5811</v>
      </c>
      <c r="E1356" s="43">
        <v>45966.806939282411</v>
      </c>
      <c r="F1356" s="3">
        <v>45966</v>
      </c>
      <c r="G1356" s="43">
        <v>45978.65479429398</v>
      </c>
      <c r="H1356" t="s">
        <v>2802</v>
      </c>
      <c r="I1356" t="s">
        <v>2669</v>
      </c>
      <c r="J1356" t="s">
        <v>37</v>
      </c>
      <c r="L1356" t="s">
        <v>2364</v>
      </c>
      <c r="M1356">
        <v>575629095302</v>
      </c>
      <c r="N1356" t="s">
        <v>2661</v>
      </c>
      <c r="O1356" s="1">
        <v>45294</v>
      </c>
      <c r="T1356" t="s">
        <v>2662</v>
      </c>
      <c r="U1356" t="s">
        <v>5812</v>
      </c>
      <c r="V1356">
        <v>8</v>
      </c>
      <c r="W1356" t="s">
        <v>2677</v>
      </c>
      <c r="X1356">
        <v>1</v>
      </c>
      <c r="Y1356" t="s">
        <v>2807</v>
      </c>
      <c r="AA1356">
        <v>625725137302</v>
      </c>
      <c r="AB1356" t="s">
        <v>1537</v>
      </c>
      <c r="AC1356">
        <v>0</v>
      </c>
      <c r="AD1356">
        <v>45</v>
      </c>
      <c r="AE1356">
        <v>62572513730245</v>
      </c>
      <c r="AF1356" t="s">
        <v>5813</v>
      </c>
      <c r="AG1356">
        <v>1</v>
      </c>
      <c r="AH1356">
        <v>1</v>
      </c>
    </row>
    <row r="1357" spans="1:34">
      <c r="A1357">
        <v>2025</v>
      </c>
      <c r="B1357" s="1">
        <v>45962</v>
      </c>
      <c r="C1357" t="s">
        <v>2657</v>
      </c>
      <c r="D1357" t="s">
        <v>5814</v>
      </c>
      <c r="E1357" s="43">
        <v>45966.846688865742</v>
      </c>
      <c r="F1357" s="3">
        <v>45966</v>
      </c>
      <c r="G1357" s="43">
        <v>45992.860201446761</v>
      </c>
      <c r="H1357" t="s">
        <v>2802</v>
      </c>
      <c r="I1357" t="s">
        <v>2669</v>
      </c>
      <c r="J1357" t="s">
        <v>37</v>
      </c>
      <c r="L1357" t="s">
        <v>2364</v>
      </c>
      <c r="M1357">
        <v>625725137302</v>
      </c>
      <c r="N1357" t="s">
        <v>2661</v>
      </c>
      <c r="O1357" s="1">
        <v>45294</v>
      </c>
      <c r="T1357" t="s">
        <v>2662</v>
      </c>
      <c r="U1357" t="s">
        <v>5815</v>
      </c>
      <c r="V1357">
        <v>18</v>
      </c>
      <c r="W1357" t="s">
        <v>2677</v>
      </c>
      <c r="X1357">
        <v>1</v>
      </c>
      <c r="Y1357" t="s">
        <v>2807</v>
      </c>
      <c r="AA1357">
        <v>625725137302</v>
      </c>
      <c r="AB1357" t="s">
        <v>1537</v>
      </c>
      <c r="AC1357">
        <v>0</v>
      </c>
      <c r="AD1357">
        <v>45</v>
      </c>
      <c r="AE1357">
        <v>62572513730245</v>
      </c>
      <c r="AF1357" t="s">
        <v>5813</v>
      </c>
      <c r="AG1357">
        <v>0</v>
      </c>
      <c r="AH1357">
        <v>0</v>
      </c>
    </row>
    <row r="1358" spans="1:34">
      <c r="A1358">
        <v>2025</v>
      </c>
      <c r="B1358" s="1">
        <v>45962</v>
      </c>
      <c r="C1358" t="s">
        <v>2657</v>
      </c>
      <c r="D1358" t="s">
        <v>5816</v>
      </c>
      <c r="E1358" s="43">
        <v>45972.901176423613</v>
      </c>
      <c r="F1358" s="3">
        <v>45972</v>
      </c>
      <c r="G1358" s="43">
        <v>45978.7357466088</v>
      </c>
      <c r="H1358" t="s">
        <v>2802</v>
      </c>
      <c r="I1358" t="s">
        <v>2681</v>
      </c>
      <c r="J1358" t="s">
        <v>37</v>
      </c>
      <c r="L1358" t="s">
        <v>2364</v>
      </c>
      <c r="M1358">
        <v>625725137302</v>
      </c>
      <c r="N1358" t="s">
        <v>2661</v>
      </c>
      <c r="O1358" s="1">
        <v>45294</v>
      </c>
      <c r="T1358" t="s">
        <v>2662</v>
      </c>
      <c r="U1358" t="s">
        <v>5817</v>
      </c>
      <c r="V1358">
        <v>4</v>
      </c>
      <c r="W1358" t="s">
        <v>2671</v>
      </c>
      <c r="X1358">
        <v>1</v>
      </c>
      <c r="Y1358" t="s">
        <v>2688</v>
      </c>
      <c r="AA1358">
        <v>625725137302</v>
      </c>
      <c r="AB1358" t="s">
        <v>1537</v>
      </c>
      <c r="AC1358">
        <v>0</v>
      </c>
      <c r="AD1358">
        <v>46</v>
      </c>
      <c r="AE1358">
        <v>62572513730246</v>
      </c>
      <c r="AF1358" t="s">
        <v>5813</v>
      </c>
      <c r="AG1358">
        <v>0</v>
      </c>
      <c r="AH1358">
        <v>0</v>
      </c>
    </row>
    <row r="1359" spans="1:34">
      <c r="A1359">
        <v>2025</v>
      </c>
      <c r="B1359" s="1">
        <v>45962</v>
      </c>
      <c r="C1359" t="s">
        <v>2657</v>
      </c>
      <c r="D1359" t="s">
        <v>5818</v>
      </c>
      <c r="E1359" s="43">
        <v>45972.798964374997</v>
      </c>
      <c r="F1359" s="3">
        <v>45972</v>
      </c>
      <c r="G1359" s="43">
        <v>45985.559135173608</v>
      </c>
      <c r="H1359" t="s">
        <v>2802</v>
      </c>
      <c r="I1359" t="s">
        <v>2681</v>
      </c>
      <c r="J1359" t="s">
        <v>37</v>
      </c>
      <c r="L1359" t="s">
        <v>2364</v>
      </c>
      <c r="M1359">
        <v>625725137302</v>
      </c>
      <c r="N1359" t="s">
        <v>2661</v>
      </c>
      <c r="O1359" s="1">
        <v>45294</v>
      </c>
      <c r="T1359" t="s">
        <v>2662</v>
      </c>
      <c r="U1359" t="s">
        <v>5819</v>
      </c>
      <c r="V1359">
        <v>9</v>
      </c>
      <c r="W1359" t="s">
        <v>2671</v>
      </c>
      <c r="X1359">
        <v>1</v>
      </c>
      <c r="Y1359" t="s">
        <v>2699</v>
      </c>
      <c r="AA1359">
        <v>625725137302</v>
      </c>
      <c r="AB1359" t="s">
        <v>1537</v>
      </c>
      <c r="AC1359">
        <v>0</v>
      </c>
      <c r="AD1359">
        <v>46</v>
      </c>
      <c r="AE1359">
        <v>62572513730246</v>
      </c>
      <c r="AF1359" t="s">
        <v>5813</v>
      </c>
      <c r="AG1359">
        <v>1</v>
      </c>
      <c r="AH1359">
        <v>0</v>
      </c>
    </row>
    <row r="1360" spans="1:34">
      <c r="A1360">
        <v>2025</v>
      </c>
      <c r="B1360" s="1">
        <v>45962</v>
      </c>
      <c r="C1360" t="s">
        <v>2657</v>
      </c>
      <c r="D1360" t="s">
        <v>5820</v>
      </c>
      <c r="E1360" s="43">
        <v>45973.675873993052</v>
      </c>
      <c r="F1360" s="3">
        <v>45973</v>
      </c>
      <c r="G1360" s="43">
        <v>46001.559374201388</v>
      </c>
      <c r="H1360" t="s">
        <v>2802</v>
      </c>
      <c r="I1360" t="s">
        <v>2681</v>
      </c>
      <c r="J1360" t="s">
        <v>37</v>
      </c>
      <c r="L1360" t="s">
        <v>2364</v>
      </c>
      <c r="M1360">
        <v>810505986102</v>
      </c>
      <c r="N1360" t="s">
        <v>2661</v>
      </c>
      <c r="O1360" s="1">
        <v>45492</v>
      </c>
      <c r="T1360" t="s">
        <v>2662</v>
      </c>
      <c r="U1360" t="s">
        <v>5821</v>
      </c>
      <c r="V1360">
        <v>20</v>
      </c>
      <c r="W1360" t="s">
        <v>2671</v>
      </c>
      <c r="X1360">
        <v>1</v>
      </c>
      <c r="Y1360" t="s">
        <v>2760</v>
      </c>
      <c r="Z1360" t="s">
        <v>2684</v>
      </c>
      <c r="AA1360">
        <v>625725137302</v>
      </c>
      <c r="AB1360" t="s">
        <v>1537</v>
      </c>
      <c r="AC1360">
        <v>0</v>
      </c>
      <c r="AD1360">
        <v>46</v>
      </c>
      <c r="AE1360">
        <v>62572513730246</v>
      </c>
      <c r="AF1360" t="s">
        <v>5813</v>
      </c>
      <c r="AG1360">
        <v>0</v>
      </c>
      <c r="AH1360">
        <v>0</v>
      </c>
    </row>
    <row r="1361" spans="1:34">
      <c r="A1361">
        <v>2025</v>
      </c>
      <c r="B1361" s="1">
        <v>45962</v>
      </c>
      <c r="C1361" t="s">
        <v>2657</v>
      </c>
      <c r="D1361" t="s">
        <v>5822</v>
      </c>
      <c r="E1361" s="43">
        <v>45967.743677233797</v>
      </c>
      <c r="F1361" s="3">
        <v>45967</v>
      </c>
      <c r="G1361" s="43">
        <v>45967.743677233797</v>
      </c>
      <c r="H1361" t="s">
        <v>2802</v>
      </c>
      <c r="I1361" t="s">
        <v>2669</v>
      </c>
      <c r="J1361" t="s">
        <v>2735</v>
      </c>
      <c r="L1361" t="s">
        <v>2408</v>
      </c>
      <c r="M1361">
        <v>10369153302</v>
      </c>
      <c r="N1361" t="s">
        <v>2746</v>
      </c>
      <c r="O1361" s="1">
        <v>45751</v>
      </c>
      <c r="T1361" t="s">
        <v>2662</v>
      </c>
      <c r="U1361" t="s">
        <v>5823</v>
      </c>
      <c r="V1361">
        <v>0</v>
      </c>
      <c r="W1361" t="s">
        <v>2743</v>
      </c>
      <c r="X1361">
        <v>1</v>
      </c>
      <c r="Y1361" t="s">
        <v>2695</v>
      </c>
      <c r="AA1361">
        <v>10369153302</v>
      </c>
      <c r="AB1361" t="s">
        <v>329</v>
      </c>
      <c r="AC1361">
        <v>0</v>
      </c>
      <c r="AD1361">
        <v>45</v>
      </c>
      <c r="AE1361">
        <v>1036915330245</v>
      </c>
      <c r="AF1361" t="s">
        <v>5824</v>
      </c>
      <c r="AG1361">
        <v>0</v>
      </c>
      <c r="AH1361">
        <v>0</v>
      </c>
    </row>
    <row r="1362" spans="1:34">
      <c r="A1362">
        <v>2025</v>
      </c>
      <c r="B1362" s="1">
        <v>45962</v>
      </c>
      <c r="C1362" t="s">
        <v>2657</v>
      </c>
      <c r="D1362" t="s">
        <v>5825</v>
      </c>
      <c r="E1362" s="43">
        <v>45965.680963645835</v>
      </c>
      <c r="F1362" s="3">
        <v>45965</v>
      </c>
      <c r="G1362" s="43">
        <v>45966.806427916665</v>
      </c>
      <c r="H1362" t="s">
        <v>2802</v>
      </c>
      <c r="I1362" t="s">
        <v>2669</v>
      </c>
      <c r="J1362" t="s">
        <v>2735</v>
      </c>
      <c r="L1362" t="s">
        <v>2408</v>
      </c>
      <c r="M1362">
        <v>10369153302</v>
      </c>
      <c r="N1362" t="s">
        <v>2746</v>
      </c>
      <c r="O1362" s="1">
        <v>45751</v>
      </c>
      <c r="T1362" t="s">
        <v>2662</v>
      </c>
      <c r="U1362" t="s">
        <v>5826</v>
      </c>
      <c r="V1362">
        <v>1</v>
      </c>
      <c r="W1362" t="s">
        <v>2671</v>
      </c>
      <c r="X1362">
        <v>1</v>
      </c>
      <c r="Y1362" t="s">
        <v>2692</v>
      </c>
      <c r="AA1362">
        <v>10369153302</v>
      </c>
      <c r="AB1362" t="s">
        <v>329</v>
      </c>
      <c r="AC1362">
        <v>0</v>
      </c>
      <c r="AD1362">
        <v>45</v>
      </c>
      <c r="AE1362">
        <v>1036915330245</v>
      </c>
      <c r="AF1362" t="s">
        <v>5824</v>
      </c>
      <c r="AG1362">
        <v>1</v>
      </c>
      <c r="AH1362">
        <v>1</v>
      </c>
    </row>
    <row r="1363" spans="1:34">
      <c r="A1363">
        <v>2025</v>
      </c>
      <c r="B1363" s="1">
        <v>45962</v>
      </c>
      <c r="C1363" t="s">
        <v>2657</v>
      </c>
      <c r="D1363" t="s">
        <v>5827</v>
      </c>
      <c r="E1363" s="43">
        <v>45965.688529039355</v>
      </c>
      <c r="F1363" s="3">
        <v>45965</v>
      </c>
      <c r="G1363" s="43">
        <v>45968.494362083336</v>
      </c>
      <c r="H1363" t="s">
        <v>2802</v>
      </c>
      <c r="I1363" t="s">
        <v>2669</v>
      </c>
      <c r="J1363" t="s">
        <v>2735</v>
      </c>
      <c r="L1363" t="s">
        <v>2408</v>
      </c>
      <c r="M1363">
        <v>10369153302</v>
      </c>
      <c r="N1363" t="s">
        <v>2746</v>
      </c>
      <c r="O1363" s="1">
        <v>45751</v>
      </c>
      <c r="T1363" t="s">
        <v>2662</v>
      </c>
      <c r="V1363">
        <v>3</v>
      </c>
      <c r="W1363" t="s">
        <v>2664</v>
      </c>
      <c r="X1363">
        <v>1</v>
      </c>
      <c r="Y1363" t="s">
        <v>3994</v>
      </c>
      <c r="AA1363">
        <v>10369153302</v>
      </c>
      <c r="AB1363" t="s">
        <v>329</v>
      </c>
      <c r="AC1363">
        <v>0</v>
      </c>
      <c r="AD1363">
        <v>45</v>
      </c>
      <c r="AE1363">
        <v>1036915330245</v>
      </c>
      <c r="AF1363" t="s">
        <v>5824</v>
      </c>
      <c r="AG1363">
        <v>0</v>
      </c>
      <c r="AH1363">
        <v>0</v>
      </c>
    </row>
    <row r="1364" spans="1:34">
      <c r="A1364">
        <v>2025</v>
      </c>
      <c r="B1364" s="1">
        <v>45962</v>
      </c>
      <c r="C1364" t="s">
        <v>2657</v>
      </c>
      <c r="D1364" t="s">
        <v>5828</v>
      </c>
      <c r="E1364" s="43">
        <v>45965.68791364583</v>
      </c>
      <c r="F1364" s="3">
        <v>45965</v>
      </c>
      <c r="G1364" s="43">
        <v>45965.68791364583</v>
      </c>
      <c r="H1364" t="s">
        <v>2802</v>
      </c>
      <c r="I1364" t="s">
        <v>2669</v>
      </c>
      <c r="J1364" t="s">
        <v>2735</v>
      </c>
      <c r="L1364" t="s">
        <v>2408</v>
      </c>
      <c r="M1364">
        <v>10369153302</v>
      </c>
      <c r="N1364" t="s">
        <v>2746</v>
      </c>
      <c r="O1364" s="1">
        <v>45751</v>
      </c>
      <c r="T1364" t="s">
        <v>2662</v>
      </c>
      <c r="U1364" t="s">
        <v>5829</v>
      </c>
      <c r="V1364">
        <v>0</v>
      </c>
      <c r="W1364" t="s">
        <v>2677</v>
      </c>
      <c r="X1364">
        <v>1</v>
      </c>
      <c r="Y1364" t="s">
        <v>2695</v>
      </c>
      <c r="AA1364">
        <v>10369153302</v>
      </c>
      <c r="AB1364" t="s">
        <v>329</v>
      </c>
      <c r="AC1364">
        <v>0</v>
      </c>
      <c r="AD1364">
        <v>45</v>
      </c>
      <c r="AE1364">
        <v>1036915330245</v>
      </c>
      <c r="AF1364" t="s">
        <v>5824</v>
      </c>
      <c r="AG1364">
        <v>0</v>
      </c>
      <c r="AH1364">
        <v>0</v>
      </c>
    </row>
    <row r="1365" spans="1:34">
      <c r="A1365">
        <v>2025</v>
      </c>
      <c r="B1365" s="1">
        <v>45962</v>
      </c>
      <c r="C1365" t="s">
        <v>2657</v>
      </c>
      <c r="D1365" t="s">
        <v>5830</v>
      </c>
      <c r="E1365" s="43">
        <v>45973.749008969906</v>
      </c>
      <c r="F1365" s="3">
        <v>45973</v>
      </c>
      <c r="G1365" s="43">
        <v>45975.659228842589</v>
      </c>
      <c r="H1365" t="s">
        <v>2802</v>
      </c>
      <c r="I1365" t="s">
        <v>2681</v>
      </c>
      <c r="J1365" t="s">
        <v>2735</v>
      </c>
      <c r="L1365" t="s">
        <v>2408</v>
      </c>
      <c r="M1365">
        <v>10369153302</v>
      </c>
      <c r="N1365" t="s">
        <v>2746</v>
      </c>
      <c r="O1365" s="1">
        <v>45751</v>
      </c>
      <c r="T1365" t="s">
        <v>2662</v>
      </c>
      <c r="U1365" t="s">
        <v>5831</v>
      </c>
      <c r="V1365">
        <v>2</v>
      </c>
      <c r="W1365" t="s">
        <v>2743</v>
      </c>
      <c r="X1365">
        <v>1</v>
      </c>
      <c r="Y1365" t="s">
        <v>2699</v>
      </c>
      <c r="AA1365">
        <v>10369153302</v>
      </c>
      <c r="AB1365" t="s">
        <v>329</v>
      </c>
      <c r="AC1365">
        <v>0</v>
      </c>
      <c r="AD1365">
        <v>46</v>
      </c>
      <c r="AE1365">
        <v>1036915330246</v>
      </c>
      <c r="AF1365" t="s">
        <v>5824</v>
      </c>
      <c r="AG1365">
        <v>0</v>
      </c>
      <c r="AH1365">
        <v>0</v>
      </c>
    </row>
    <row r="1366" spans="1:34">
      <c r="A1366">
        <v>2025</v>
      </c>
      <c r="B1366" s="1">
        <v>45962</v>
      </c>
      <c r="C1366" t="s">
        <v>2657</v>
      </c>
      <c r="D1366" t="s">
        <v>5832</v>
      </c>
      <c r="E1366" s="43">
        <v>45972.559894976854</v>
      </c>
      <c r="F1366" s="3">
        <v>45972</v>
      </c>
      <c r="G1366" s="43">
        <v>45974.840152893521</v>
      </c>
      <c r="H1366" t="s">
        <v>2802</v>
      </c>
      <c r="I1366" t="s">
        <v>2681</v>
      </c>
      <c r="J1366" t="s">
        <v>2735</v>
      </c>
      <c r="L1366" t="s">
        <v>2408</v>
      </c>
      <c r="M1366">
        <v>10369153302</v>
      </c>
      <c r="N1366" t="s">
        <v>2746</v>
      </c>
      <c r="O1366" s="1">
        <v>45751</v>
      </c>
      <c r="T1366" t="s">
        <v>2662</v>
      </c>
      <c r="U1366" t="s">
        <v>5833</v>
      </c>
      <c r="V1366">
        <v>2</v>
      </c>
      <c r="W1366" t="s">
        <v>2671</v>
      </c>
      <c r="X1366">
        <v>1</v>
      </c>
      <c r="Y1366" t="s">
        <v>2683</v>
      </c>
      <c r="AA1366">
        <v>10369153302</v>
      </c>
      <c r="AB1366" t="s">
        <v>329</v>
      </c>
      <c r="AC1366">
        <v>0</v>
      </c>
      <c r="AD1366">
        <v>46</v>
      </c>
      <c r="AE1366">
        <v>1036915330246</v>
      </c>
      <c r="AF1366" t="s">
        <v>5824</v>
      </c>
      <c r="AG1366">
        <v>0</v>
      </c>
      <c r="AH1366">
        <v>0</v>
      </c>
    </row>
    <row r="1367" spans="1:34">
      <c r="A1367">
        <v>2025</v>
      </c>
      <c r="B1367" s="1">
        <v>45962</v>
      </c>
      <c r="C1367" t="s">
        <v>2657</v>
      </c>
      <c r="D1367" t="s">
        <v>5834</v>
      </c>
      <c r="E1367" s="43">
        <v>45972.655974733796</v>
      </c>
      <c r="F1367" s="3">
        <v>45972</v>
      </c>
      <c r="G1367" s="43">
        <v>45972.655974733796</v>
      </c>
      <c r="H1367" t="s">
        <v>2802</v>
      </c>
      <c r="I1367" t="s">
        <v>2681</v>
      </c>
      <c r="J1367" t="s">
        <v>2735</v>
      </c>
      <c r="L1367" t="s">
        <v>2408</v>
      </c>
      <c r="M1367">
        <v>10369153302</v>
      </c>
      <c r="N1367" t="s">
        <v>2746</v>
      </c>
      <c r="O1367" s="1">
        <v>45751</v>
      </c>
      <c r="T1367" t="s">
        <v>2662</v>
      </c>
      <c r="U1367" t="s">
        <v>5835</v>
      </c>
      <c r="V1367">
        <v>0</v>
      </c>
      <c r="W1367" t="s">
        <v>2671</v>
      </c>
      <c r="X1367">
        <v>1</v>
      </c>
      <c r="Y1367" t="s">
        <v>2764</v>
      </c>
      <c r="AA1367">
        <v>10369153302</v>
      </c>
      <c r="AB1367" t="s">
        <v>329</v>
      </c>
      <c r="AC1367">
        <v>0</v>
      </c>
      <c r="AD1367">
        <v>46</v>
      </c>
      <c r="AE1367">
        <v>1036915330246</v>
      </c>
      <c r="AF1367" t="s">
        <v>5824</v>
      </c>
      <c r="AG1367">
        <v>0</v>
      </c>
      <c r="AH1367">
        <v>0</v>
      </c>
    </row>
    <row r="1368" spans="1:34">
      <c r="A1368">
        <v>2025</v>
      </c>
      <c r="B1368" s="1">
        <v>45962</v>
      </c>
      <c r="C1368" t="s">
        <v>2657</v>
      </c>
      <c r="D1368" t="s">
        <v>5836</v>
      </c>
      <c r="E1368" s="43">
        <v>45971.816335509262</v>
      </c>
      <c r="F1368" s="3">
        <v>45971</v>
      </c>
      <c r="G1368" s="43">
        <v>45972.669071342592</v>
      </c>
      <c r="H1368" t="s">
        <v>2802</v>
      </c>
      <c r="I1368" t="s">
        <v>2681</v>
      </c>
      <c r="J1368" t="s">
        <v>2735</v>
      </c>
      <c r="L1368" t="s">
        <v>2408</v>
      </c>
      <c r="M1368">
        <v>10369153302</v>
      </c>
      <c r="N1368" t="s">
        <v>2746</v>
      </c>
      <c r="O1368" s="1">
        <v>45751</v>
      </c>
      <c r="T1368" t="s">
        <v>2662</v>
      </c>
      <c r="U1368" t="s">
        <v>5837</v>
      </c>
      <c r="V1368">
        <v>1</v>
      </c>
      <c r="W1368" t="s">
        <v>2671</v>
      </c>
      <c r="X1368">
        <v>1</v>
      </c>
      <c r="Y1368" t="s">
        <v>2764</v>
      </c>
      <c r="AA1368">
        <v>10369153302</v>
      </c>
      <c r="AB1368" t="s">
        <v>329</v>
      </c>
      <c r="AC1368">
        <v>0</v>
      </c>
      <c r="AD1368">
        <v>46</v>
      </c>
      <c r="AE1368">
        <v>1036915330246</v>
      </c>
      <c r="AF1368" t="s">
        <v>5824</v>
      </c>
      <c r="AG1368">
        <v>1</v>
      </c>
      <c r="AH1368">
        <v>0</v>
      </c>
    </row>
    <row r="1369" spans="1:34">
      <c r="A1369">
        <v>2025</v>
      </c>
      <c r="B1369" s="1">
        <v>45962</v>
      </c>
      <c r="C1369" t="s">
        <v>2657</v>
      </c>
      <c r="D1369" t="s">
        <v>5838</v>
      </c>
      <c r="E1369" s="43">
        <v>45975.598005150459</v>
      </c>
      <c r="F1369" s="3">
        <v>45975</v>
      </c>
      <c r="G1369" s="43">
        <v>45975.658535648145</v>
      </c>
      <c r="H1369" t="s">
        <v>2802</v>
      </c>
      <c r="I1369" t="s">
        <v>2681</v>
      </c>
      <c r="J1369" t="s">
        <v>2735</v>
      </c>
      <c r="L1369" t="s">
        <v>2408</v>
      </c>
      <c r="M1369">
        <v>639050652002</v>
      </c>
      <c r="N1369" t="s">
        <v>2746</v>
      </c>
      <c r="O1369" s="1">
        <v>45751</v>
      </c>
      <c r="T1369" t="s">
        <v>2662</v>
      </c>
      <c r="U1369" t="s">
        <v>5839</v>
      </c>
      <c r="V1369">
        <v>0</v>
      </c>
      <c r="W1369" t="s">
        <v>2743</v>
      </c>
      <c r="X1369">
        <v>1</v>
      </c>
      <c r="Y1369" t="s">
        <v>2688</v>
      </c>
      <c r="AA1369">
        <v>10369153302</v>
      </c>
      <c r="AB1369" t="s">
        <v>329</v>
      </c>
      <c r="AC1369">
        <v>0</v>
      </c>
      <c r="AD1369">
        <v>46</v>
      </c>
      <c r="AE1369">
        <v>1036915330246</v>
      </c>
      <c r="AF1369" t="s">
        <v>5824</v>
      </c>
      <c r="AG1369">
        <v>0</v>
      </c>
      <c r="AH1369">
        <v>0</v>
      </c>
    </row>
    <row r="1370" spans="1:34">
      <c r="A1370">
        <v>2025</v>
      </c>
      <c r="B1370" s="1">
        <v>45962</v>
      </c>
      <c r="C1370" t="s">
        <v>2657</v>
      </c>
      <c r="D1370" t="s">
        <v>5840</v>
      </c>
      <c r="E1370" s="43">
        <v>45974.742492245372</v>
      </c>
      <c r="F1370" s="3">
        <v>45974</v>
      </c>
      <c r="G1370" s="43">
        <v>45975.76622109954</v>
      </c>
      <c r="H1370" t="s">
        <v>2802</v>
      </c>
      <c r="I1370" t="s">
        <v>2681</v>
      </c>
      <c r="J1370" t="s">
        <v>2735</v>
      </c>
      <c r="L1370" t="s">
        <v>2408</v>
      </c>
      <c r="M1370">
        <v>639050652002</v>
      </c>
      <c r="N1370" t="s">
        <v>2746</v>
      </c>
      <c r="O1370" s="1">
        <v>45751</v>
      </c>
      <c r="T1370" t="s">
        <v>2662</v>
      </c>
      <c r="U1370" t="s">
        <v>5841</v>
      </c>
      <c r="V1370">
        <v>1</v>
      </c>
      <c r="W1370" t="s">
        <v>2677</v>
      </c>
      <c r="X1370">
        <v>1</v>
      </c>
      <c r="Y1370" t="s">
        <v>2779</v>
      </c>
      <c r="AA1370">
        <v>10369153302</v>
      </c>
      <c r="AB1370" t="s">
        <v>329</v>
      </c>
      <c r="AC1370">
        <v>0</v>
      </c>
      <c r="AD1370">
        <v>46</v>
      </c>
      <c r="AE1370">
        <v>1036915330246</v>
      </c>
      <c r="AF1370" t="s">
        <v>5824</v>
      </c>
      <c r="AG1370">
        <v>0</v>
      </c>
      <c r="AH1370">
        <v>0</v>
      </c>
    </row>
    <row r="1371" spans="1:34">
      <c r="A1371">
        <v>2025</v>
      </c>
      <c r="B1371" s="1">
        <v>45962</v>
      </c>
      <c r="C1371" t="s">
        <v>2657</v>
      </c>
      <c r="D1371" t="s">
        <v>5842</v>
      </c>
      <c r="E1371" s="43">
        <v>45980.547651469904</v>
      </c>
      <c r="F1371" s="3">
        <v>45980</v>
      </c>
      <c r="G1371" s="43">
        <v>45980.751842280093</v>
      </c>
      <c r="H1371" t="s">
        <v>2802</v>
      </c>
      <c r="I1371" t="s">
        <v>2719</v>
      </c>
      <c r="J1371" t="s">
        <v>2735</v>
      </c>
      <c r="L1371" t="s">
        <v>2408</v>
      </c>
      <c r="M1371">
        <v>639050652002</v>
      </c>
      <c r="N1371" t="s">
        <v>2746</v>
      </c>
      <c r="O1371" s="1">
        <v>45751</v>
      </c>
      <c r="T1371" t="s">
        <v>2662</v>
      </c>
      <c r="U1371" t="s">
        <v>5843</v>
      </c>
      <c r="V1371">
        <v>0</v>
      </c>
      <c r="W1371" t="s">
        <v>2743</v>
      </c>
      <c r="X1371">
        <v>1</v>
      </c>
      <c r="Y1371" t="s">
        <v>2721</v>
      </c>
      <c r="AA1371">
        <v>10369153302</v>
      </c>
      <c r="AB1371" t="s">
        <v>329</v>
      </c>
      <c r="AC1371">
        <v>0</v>
      </c>
      <c r="AD1371">
        <v>47</v>
      </c>
      <c r="AE1371">
        <v>1036915330247</v>
      </c>
      <c r="AF1371" t="s">
        <v>5824</v>
      </c>
      <c r="AG1371">
        <v>1</v>
      </c>
      <c r="AH1371">
        <v>0</v>
      </c>
    </row>
    <row r="1372" spans="1:34">
      <c r="A1372">
        <v>2025</v>
      </c>
      <c r="B1372" s="1">
        <v>45962</v>
      </c>
      <c r="C1372" t="s">
        <v>2657</v>
      </c>
      <c r="D1372" t="s">
        <v>5844</v>
      </c>
      <c r="E1372" s="43">
        <v>45987.688387743059</v>
      </c>
      <c r="F1372" s="3">
        <v>45987</v>
      </c>
      <c r="G1372" s="43">
        <v>45987.850979062503</v>
      </c>
      <c r="H1372" t="s">
        <v>2802</v>
      </c>
      <c r="I1372" t="s">
        <v>2660</v>
      </c>
      <c r="J1372" t="s">
        <v>2735</v>
      </c>
      <c r="L1372" t="s">
        <v>2408</v>
      </c>
      <c r="M1372">
        <v>10369153302</v>
      </c>
      <c r="N1372" t="s">
        <v>2746</v>
      </c>
      <c r="O1372" s="1">
        <v>45751</v>
      </c>
      <c r="T1372" t="s">
        <v>2662</v>
      </c>
      <c r="U1372" t="s">
        <v>5845</v>
      </c>
      <c r="V1372">
        <v>0</v>
      </c>
      <c r="W1372" t="s">
        <v>2671</v>
      </c>
      <c r="X1372">
        <v>1</v>
      </c>
      <c r="Y1372" t="s">
        <v>2721</v>
      </c>
      <c r="AA1372">
        <v>10369153302</v>
      </c>
      <c r="AB1372" t="s">
        <v>329</v>
      </c>
      <c r="AC1372">
        <v>0</v>
      </c>
      <c r="AD1372">
        <v>48</v>
      </c>
      <c r="AE1372">
        <v>1036915330248</v>
      </c>
      <c r="AF1372" t="s">
        <v>5824</v>
      </c>
      <c r="AG1372">
        <v>0</v>
      </c>
      <c r="AH1372">
        <v>0</v>
      </c>
    </row>
    <row r="1373" spans="1:34">
      <c r="A1373">
        <v>2025</v>
      </c>
      <c r="B1373" s="1">
        <v>45962</v>
      </c>
      <c r="C1373" t="s">
        <v>2657</v>
      </c>
      <c r="D1373" s="44" t="s">
        <v>5846</v>
      </c>
      <c r="E1373" s="43">
        <v>45985.528224479167</v>
      </c>
      <c r="F1373" s="3">
        <v>45985</v>
      </c>
      <c r="G1373" s="43">
        <v>45985.705655555554</v>
      </c>
      <c r="H1373" t="s">
        <v>2802</v>
      </c>
      <c r="I1373" t="s">
        <v>2660</v>
      </c>
      <c r="J1373" t="s">
        <v>2735</v>
      </c>
      <c r="L1373" t="s">
        <v>2408</v>
      </c>
      <c r="M1373">
        <v>639050652002</v>
      </c>
      <c r="N1373" t="s">
        <v>2746</v>
      </c>
      <c r="O1373" s="1">
        <v>45751</v>
      </c>
      <c r="T1373" t="s">
        <v>2662</v>
      </c>
      <c r="U1373" t="s">
        <v>5847</v>
      </c>
      <c r="V1373">
        <v>0</v>
      </c>
      <c r="W1373" t="s">
        <v>2743</v>
      </c>
      <c r="X1373">
        <v>1</v>
      </c>
      <c r="Y1373" t="s">
        <v>2717</v>
      </c>
      <c r="AA1373">
        <v>10369153302</v>
      </c>
      <c r="AB1373" t="s">
        <v>329</v>
      </c>
      <c r="AC1373">
        <v>0</v>
      </c>
      <c r="AD1373">
        <v>48</v>
      </c>
      <c r="AE1373">
        <v>1036915330248</v>
      </c>
      <c r="AF1373" t="s">
        <v>5824</v>
      </c>
      <c r="AG1373">
        <v>1</v>
      </c>
      <c r="AH1373">
        <v>0</v>
      </c>
    </row>
    <row r="1374" spans="1:34">
      <c r="A1374">
        <v>2025</v>
      </c>
      <c r="B1374" s="1">
        <v>45870</v>
      </c>
      <c r="C1374" t="s">
        <v>2657</v>
      </c>
      <c r="D1374" t="s">
        <v>5848</v>
      </c>
      <c r="E1374" s="43">
        <v>45890.515049606482</v>
      </c>
      <c r="F1374" s="3">
        <v>45890</v>
      </c>
      <c r="G1374" s="43">
        <v>45890.515049606482</v>
      </c>
      <c r="H1374" t="s">
        <v>3088</v>
      </c>
      <c r="I1374" t="s">
        <v>2719</v>
      </c>
      <c r="J1374" t="s">
        <v>2735</v>
      </c>
      <c r="L1374" t="s">
        <v>2351</v>
      </c>
      <c r="M1374">
        <v>175133439302</v>
      </c>
      <c r="N1374" t="s">
        <v>2661</v>
      </c>
      <c r="O1374" s="1">
        <v>45320</v>
      </c>
      <c r="T1374" t="s">
        <v>2662</v>
      </c>
      <c r="U1374" t="s">
        <v>5849</v>
      </c>
      <c r="V1374">
        <v>0</v>
      </c>
      <c r="W1374" t="s">
        <v>2677</v>
      </c>
      <c r="X1374">
        <v>1</v>
      </c>
      <c r="Y1374" t="s">
        <v>2779</v>
      </c>
      <c r="AA1374">
        <v>175133439302</v>
      </c>
      <c r="AB1374" t="s">
        <v>920</v>
      </c>
      <c r="AC1374">
        <v>0</v>
      </c>
      <c r="AD1374">
        <v>34</v>
      </c>
      <c r="AE1374">
        <v>17513343930234</v>
      </c>
      <c r="AF1374" t="s">
        <v>5850</v>
      </c>
      <c r="AG1374">
        <v>0</v>
      </c>
      <c r="AH1374">
        <v>0</v>
      </c>
    </row>
    <row r="1375" spans="1:34">
      <c r="A1375">
        <v>2025</v>
      </c>
      <c r="B1375" s="1">
        <v>45870</v>
      </c>
      <c r="C1375" t="s">
        <v>2657</v>
      </c>
      <c r="D1375" t="s">
        <v>5851</v>
      </c>
      <c r="E1375" s="43">
        <v>45888.758997951387</v>
      </c>
      <c r="F1375" s="3">
        <v>45888</v>
      </c>
      <c r="G1375" s="43">
        <v>45894.531361527777</v>
      </c>
      <c r="H1375" t="s">
        <v>3088</v>
      </c>
      <c r="I1375" t="s">
        <v>2719</v>
      </c>
      <c r="J1375" t="s">
        <v>2735</v>
      </c>
      <c r="L1375" t="s">
        <v>2351</v>
      </c>
      <c r="M1375">
        <v>175133439302</v>
      </c>
      <c r="N1375" t="s">
        <v>2661</v>
      </c>
      <c r="O1375" s="1">
        <v>45320</v>
      </c>
      <c r="T1375" t="s">
        <v>2662</v>
      </c>
      <c r="U1375" t="s">
        <v>5852</v>
      </c>
      <c r="V1375">
        <v>4</v>
      </c>
      <c r="W1375" t="s">
        <v>2677</v>
      </c>
      <c r="X1375">
        <v>1</v>
      </c>
      <c r="Y1375" t="s">
        <v>2779</v>
      </c>
      <c r="AA1375">
        <v>175133439302</v>
      </c>
      <c r="AB1375" t="s">
        <v>920</v>
      </c>
      <c r="AC1375">
        <v>0</v>
      </c>
      <c r="AD1375">
        <v>34</v>
      </c>
      <c r="AE1375">
        <v>17513343930234</v>
      </c>
      <c r="AF1375" t="s">
        <v>5850</v>
      </c>
      <c r="AG1375">
        <v>1</v>
      </c>
      <c r="AH1375">
        <v>1</v>
      </c>
    </row>
    <row r="1376" spans="1:34">
      <c r="A1376">
        <v>2026</v>
      </c>
      <c r="B1376" s="1">
        <v>46023</v>
      </c>
      <c r="C1376" t="s">
        <v>2657</v>
      </c>
      <c r="D1376" t="s">
        <v>5853</v>
      </c>
      <c r="E1376" s="43">
        <v>46034.843677974539</v>
      </c>
      <c r="F1376" s="3">
        <v>46034</v>
      </c>
      <c r="G1376" s="43">
        <v>46064.511809571763</v>
      </c>
      <c r="H1376" t="s">
        <v>2701</v>
      </c>
      <c r="I1376" t="s">
        <v>2681</v>
      </c>
      <c r="J1376" t="s">
        <v>37</v>
      </c>
      <c r="L1376" t="s">
        <v>2364</v>
      </c>
      <c r="M1376">
        <v>24679550702</v>
      </c>
      <c r="N1376" t="s">
        <v>2661</v>
      </c>
      <c r="O1376" s="1">
        <v>45994</v>
      </c>
      <c r="T1376" t="s">
        <v>2662</v>
      </c>
      <c r="U1376" t="s">
        <v>5854</v>
      </c>
      <c r="V1376">
        <v>22</v>
      </c>
      <c r="W1376" t="s">
        <v>2671</v>
      </c>
      <c r="X1376">
        <v>1</v>
      </c>
      <c r="Y1376" t="s">
        <v>2727</v>
      </c>
      <c r="AA1376">
        <v>24679550702</v>
      </c>
      <c r="AB1376" t="s">
        <v>2389</v>
      </c>
      <c r="AC1376">
        <v>0</v>
      </c>
      <c r="AD1376">
        <v>3</v>
      </c>
      <c r="AE1376">
        <v>246795507023</v>
      </c>
      <c r="AF1376" t="s">
        <v>5855</v>
      </c>
      <c r="AG1376">
        <v>1</v>
      </c>
      <c r="AH1376">
        <v>1</v>
      </c>
    </row>
    <row r="1377" spans="1:34">
      <c r="A1377">
        <v>2026</v>
      </c>
      <c r="B1377" s="1">
        <v>46023</v>
      </c>
      <c r="C1377" t="s">
        <v>2657</v>
      </c>
      <c r="D1377" t="s">
        <v>5856</v>
      </c>
      <c r="E1377" s="43">
        <v>46037.795319351855</v>
      </c>
      <c r="F1377" s="3">
        <v>46037</v>
      </c>
      <c r="G1377" s="43">
        <v>46041.563231678243</v>
      </c>
      <c r="H1377" t="s">
        <v>2701</v>
      </c>
      <c r="I1377" t="s">
        <v>2719</v>
      </c>
      <c r="J1377" t="s">
        <v>37</v>
      </c>
      <c r="L1377" t="s">
        <v>2364</v>
      </c>
      <c r="M1377">
        <v>24679550702</v>
      </c>
      <c r="N1377" t="s">
        <v>2661</v>
      </c>
      <c r="O1377" s="1">
        <v>45994</v>
      </c>
      <c r="T1377" t="s">
        <v>2662</v>
      </c>
      <c r="U1377" t="s">
        <v>5857</v>
      </c>
      <c r="V1377">
        <v>2</v>
      </c>
      <c r="W1377" t="s">
        <v>2671</v>
      </c>
      <c r="X1377">
        <v>1</v>
      </c>
      <c r="Y1377" t="s">
        <v>2683</v>
      </c>
      <c r="AA1377">
        <v>24679550702</v>
      </c>
      <c r="AB1377" t="s">
        <v>2389</v>
      </c>
      <c r="AC1377">
        <v>0</v>
      </c>
      <c r="AD1377">
        <v>3</v>
      </c>
      <c r="AE1377">
        <v>246795507023</v>
      </c>
      <c r="AF1377" t="s">
        <v>5855</v>
      </c>
      <c r="AG1377">
        <v>0</v>
      </c>
      <c r="AH1377">
        <v>0</v>
      </c>
    </row>
    <row r="1378" spans="1:34">
      <c r="A1378">
        <v>2026</v>
      </c>
      <c r="B1378" s="1">
        <v>46023</v>
      </c>
      <c r="C1378" t="s">
        <v>2657</v>
      </c>
      <c r="D1378" s="44" t="s">
        <v>5858</v>
      </c>
      <c r="E1378" s="43">
        <v>46049.616723263891</v>
      </c>
      <c r="F1378" s="3">
        <v>46049</v>
      </c>
      <c r="G1378" s="43">
        <v>46076.66803403935</v>
      </c>
      <c r="H1378" t="s">
        <v>2701</v>
      </c>
      <c r="I1378" t="s">
        <v>2660</v>
      </c>
      <c r="J1378" t="s">
        <v>37</v>
      </c>
      <c r="L1378" t="s">
        <v>2364</v>
      </c>
      <c r="M1378">
        <v>24679550702</v>
      </c>
      <c r="N1378" t="s">
        <v>2661</v>
      </c>
      <c r="O1378" s="1">
        <v>45994</v>
      </c>
      <c r="T1378" t="s">
        <v>2662</v>
      </c>
      <c r="U1378" t="s">
        <v>5859</v>
      </c>
      <c r="V1378">
        <v>19</v>
      </c>
      <c r="W1378" t="s">
        <v>2677</v>
      </c>
      <c r="X1378">
        <v>1</v>
      </c>
      <c r="Y1378" t="s">
        <v>2772</v>
      </c>
      <c r="AA1378">
        <v>24679550702</v>
      </c>
      <c r="AB1378" t="s">
        <v>2389</v>
      </c>
      <c r="AC1378">
        <v>0</v>
      </c>
      <c r="AD1378">
        <v>5</v>
      </c>
      <c r="AE1378">
        <v>246795507025</v>
      </c>
      <c r="AF1378" t="s">
        <v>5855</v>
      </c>
      <c r="AG1378">
        <v>1</v>
      </c>
      <c r="AH1378">
        <v>0</v>
      </c>
    </row>
    <row r="1379" spans="1:34">
      <c r="A1379">
        <v>2025</v>
      </c>
      <c r="B1379" s="1">
        <v>45870</v>
      </c>
      <c r="C1379" t="s">
        <v>2657</v>
      </c>
      <c r="D1379" t="s">
        <v>5860</v>
      </c>
      <c r="E1379" s="43">
        <v>45881.750405462961</v>
      </c>
      <c r="F1379" s="3">
        <v>45881</v>
      </c>
      <c r="G1379" s="43">
        <v>45883.727231805555</v>
      </c>
      <c r="H1379" t="s">
        <v>3088</v>
      </c>
      <c r="I1379" t="s">
        <v>2681</v>
      </c>
      <c r="J1379" t="s">
        <v>38</v>
      </c>
      <c r="L1379" t="s">
        <v>2351</v>
      </c>
      <c r="M1379">
        <v>1030040901202</v>
      </c>
      <c r="N1379" t="s">
        <v>2661</v>
      </c>
      <c r="O1379" s="1">
        <v>45702</v>
      </c>
      <c r="T1379" t="s">
        <v>2662</v>
      </c>
      <c r="U1379" t="s">
        <v>5861</v>
      </c>
      <c r="V1379">
        <v>2</v>
      </c>
      <c r="W1379" t="s">
        <v>2671</v>
      </c>
      <c r="X1379">
        <v>1</v>
      </c>
      <c r="Y1379" t="s">
        <v>2683</v>
      </c>
      <c r="AA1379">
        <v>1030040901202</v>
      </c>
      <c r="AB1379" t="s">
        <v>810</v>
      </c>
      <c r="AC1379">
        <v>0</v>
      </c>
      <c r="AD1379">
        <v>33</v>
      </c>
      <c r="AE1379">
        <v>103004090120233</v>
      </c>
      <c r="AF1379" t="s">
        <v>5862</v>
      </c>
      <c r="AG1379">
        <v>1</v>
      </c>
      <c r="AH1379">
        <v>1</v>
      </c>
    </row>
    <row r="1380" spans="1:34">
      <c r="A1380">
        <v>2025</v>
      </c>
      <c r="B1380" s="1">
        <v>45870</v>
      </c>
      <c r="C1380" t="s">
        <v>2657</v>
      </c>
      <c r="D1380" t="s">
        <v>5863</v>
      </c>
      <c r="E1380" s="43">
        <v>45890.785881400465</v>
      </c>
      <c r="F1380" s="3">
        <v>45890</v>
      </c>
      <c r="G1380" s="43">
        <v>45891.610433692127</v>
      </c>
      <c r="H1380" t="s">
        <v>3088</v>
      </c>
      <c r="I1380" t="s">
        <v>2719</v>
      </c>
      <c r="J1380" t="s">
        <v>38</v>
      </c>
      <c r="L1380" t="s">
        <v>2351</v>
      </c>
      <c r="M1380">
        <v>1030040901202</v>
      </c>
      <c r="N1380" t="s">
        <v>2661</v>
      </c>
      <c r="O1380" s="1">
        <v>45702</v>
      </c>
      <c r="T1380" t="s">
        <v>2662</v>
      </c>
      <c r="U1380" t="s">
        <v>5864</v>
      </c>
      <c r="V1380">
        <v>1</v>
      </c>
      <c r="W1380" t="s">
        <v>2671</v>
      </c>
      <c r="X1380">
        <v>1</v>
      </c>
      <c r="Y1380" t="s">
        <v>2699</v>
      </c>
      <c r="AA1380">
        <v>1030040901202</v>
      </c>
      <c r="AB1380" t="s">
        <v>810</v>
      </c>
      <c r="AC1380">
        <v>0</v>
      </c>
      <c r="AD1380">
        <v>34</v>
      </c>
      <c r="AE1380">
        <v>103004090120234</v>
      </c>
      <c r="AF1380" t="s">
        <v>5862</v>
      </c>
      <c r="AG1380">
        <v>1</v>
      </c>
      <c r="AH1380">
        <v>0</v>
      </c>
    </row>
    <row r="1381" spans="1:34">
      <c r="A1381">
        <v>2025</v>
      </c>
      <c r="B1381" s="1">
        <v>45992</v>
      </c>
      <c r="C1381" t="s">
        <v>2657</v>
      </c>
      <c r="D1381" t="s">
        <v>5865</v>
      </c>
      <c r="E1381" s="43">
        <v>45993.552298437498</v>
      </c>
      <c r="F1381" s="3">
        <v>45993</v>
      </c>
      <c r="G1381" s="43">
        <v>45994.602725023149</v>
      </c>
      <c r="H1381" t="s">
        <v>2686</v>
      </c>
      <c r="I1381" t="s">
        <v>2669</v>
      </c>
      <c r="J1381" t="s">
        <v>36</v>
      </c>
      <c r="L1381" t="s">
        <v>2408</v>
      </c>
      <c r="M1381">
        <v>861076042402</v>
      </c>
      <c r="N1381" t="s">
        <v>2746</v>
      </c>
      <c r="O1381" s="1">
        <v>45669</v>
      </c>
      <c r="T1381" t="s">
        <v>2662</v>
      </c>
      <c r="U1381" t="s">
        <v>5866</v>
      </c>
      <c r="V1381">
        <v>1</v>
      </c>
      <c r="W1381" t="s">
        <v>2677</v>
      </c>
      <c r="X1381">
        <v>1</v>
      </c>
      <c r="Y1381" t="s">
        <v>2672</v>
      </c>
      <c r="AA1381">
        <v>508996769902</v>
      </c>
      <c r="AB1381" t="s">
        <v>2193</v>
      </c>
      <c r="AC1381">
        <v>0</v>
      </c>
      <c r="AD1381">
        <v>49</v>
      </c>
      <c r="AE1381">
        <v>50899676990249</v>
      </c>
      <c r="AF1381" t="s">
        <v>5867</v>
      </c>
      <c r="AG1381">
        <v>0</v>
      </c>
      <c r="AH1381">
        <v>0</v>
      </c>
    </row>
    <row r="1382" spans="1:34">
      <c r="A1382">
        <v>2025</v>
      </c>
      <c r="B1382" s="1">
        <v>45992</v>
      </c>
      <c r="C1382" t="s">
        <v>2657</v>
      </c>
      <c r="D1382" t="s">
        <v>5868</v>
      </c>
      <c r="E1382" s="43">
        <v>45996.507531076386</v>
      </c>
      <c r="F1382" s="3">
        <v>45996</v>
      </c>
      <c r="G1382" s="43">
        <v>46000.812392465275</v>
      </c>
      <c r="H1382" t="s">
        <v>2686</v>
      </c>
      <c r="I1382" t="s">
        <v>2669</v>
      </c>
      <c r="J1382" t="s">
        <v>36</v>
      </c>
      <c r="L1382" t="s">
        <v>2408</v>
      </c>
      <c r="M1382">
        <v>508996769902</v>
      </c>
      <c r="N1382" t="s">
        <v>2746</v>
      </c>
      <c r="O1382" s="1">
        <v>45669</v>
      </c>
      <c r="T1382" t="s">
        <v>2662</v>
      </c>
      <c r="U1382" t="s">
        <v>5869</v>
      </c>
      <c r="V1382">
        <v>2</v>
      </c>
      <c r="W1382" t="s">
        <v>2677</v>
      </c>
      <c r="X1382">
        <v>1</v>
      </c>
      <c r="Y1382" t="s">
        <v>2760</v>
      </c>
      <c r="AA1382">
        <v>508996769902</v>
      </c>
      <c r="AB1382" t="s">
        <v>2193</v>
      </c>
      <c r="AC1382">
        <v>0</v>
      </c>
      <c r="AD1382">
        <v>49</v>
      </c>
      <c r="AE1382">
        <v>50899676990249</v>
      </c>
      <c r="AF1382" t="s">
        <v>5867</v>
      </c>
      <c r="AG1382">
        <v>0</v>
      </c>
      <c r="AH1382">
        <v>0</v>
      </c>
    </row>
    <row r="1383" spans="1:34">
      <c r="A1383">
        <v>2025</v>
      </c>
      <c r="B1383" s="1">
        <v>45992</v>
      </c>
      <c r="C1383" t="s">
        <v>2657</v>
      </c>
      <c r="D1383" t="s">
        <v>5870</v>
      </c>
      <c r="E1383" s="43">
        <v>45994.725426909725</v>
      </c>
      <c r="F1383" s="3">
        <v>45994</v>
      </c>
      <c r="G1383" s="43">
        <v>45994.877876874998</v>
      </c>
      <c r="H1383" t="s">
        <v>2686</v>
      </c>
      <c r="I1383" t="s">
        <v>2669</v>
      </c>
      <c r="J1383" t="s">
        <v>36</v>
      </c>
      <c r="L1383" t="s">
        <v>2408</v>
      </c>
      <c r="M1383">
        <v>508996769902</v>
      </c>
      <c r="N1383" t="s">
        <v>2746</v>
      </c>
      <c r="O1383" s="1">
        <v>45669</v>
      </c>
      <c r="T1383" t="s">
        <v>2662</v>
      </c>
      <c r="U1383" t="s">
        <v>5871</v>
      </c>
      <c r="V1383">
        <v>0</v>
      </c>
      <c r="W1383" t="s">
        <v>2677</v>
      </c>
      <c r="X1383">
        <v>1</v>
      </c>
      <c r="Y1383" t="s">
        <v>2807</v>
      </c>
      <c r="AA1383">
        <v>508996769902</v>
      </c>
      <c r="AB1383" t="s">
        <v>2193</v>
      </c>
      <c r="AC1383">
        <v>0</v>
      </c>
      <c r="AD1383">
        <v>49</v>
      </c>
      <c r="AE1383">
        <v>50899676990249</v>
      </c>
      <c r="AF1383" t="s">
        <v>5867</v>
      </c>
      <c r="AG1383">
        <v>0</v>
      </c>
      <c r="AH1383">
        <v>0</v>
      </c>
    </row>
    <row r="1384" spans="1:34">
      <c r="A1384">
        <v>2025</v>
      </c>
      <c r="B1384" s="1">
        <v>45992</v>
      </c>
      <c r="C1384" t="s">
        <v>2657</v>
      </c>
      <c r="D1384" t="s">
        <v>5872</v>
      </c>
      <c r="E1384" s="43">
        <v>45992.684062372682</v>
      </c>
      <c r="F1384" s="3">
        <v>45992</v>
      </c>
      <c r="G1384" s="43">
        <v>45996.512202442129</v>
      </c>
      <c r="H1384" t="s">
        <v>2686</v>
      </c>
      <c r="I1384" t="s">
        <v>2669</v>
      </c>
      <c r="J1384" t="s">
        <v>36</v>
      </c>
      <c r="L1384" t="s">
        <v>2408</v>
      </c>
      <c r="M1384">
        <v>861076042402</v>
      </c>
      <c r="N1384" t="s">
        <v>2746</v>
      </c>
      <c r="O1384" s="1">
        <v>45669</v>
      </c>
      <c r="T1384" t="s">
        <v>2662</v>
      </c>
      <c r="U1384" t="s">
        <v>5873</v>
      </c>
      <c r="V1384">
        <v>4</v>
      </c>
      <c r="W1384" t="s">
        <v>2677</v>
      </c>
      <c r="X1384">
        <v>1</v>
      </c>
      <c r="Y1384" t="s">
        <v>2779</v>
      </c>
      <c r="AA1384">
        <v>508996769902</v>
      </c>
      <c r="AB1384" t="s">
        <v>2193</v>
      </c>
      <c r="AC1384">
        <v>0</v>
      </c>
      <c r="AD1384">
        <v>49</v>
      </c>
      <c r="AE1384">
        <v>50899676990249</v>
      </c>
      <c r="AF1384" t="s">
        <v>5867</v>
      </c>
      <c r="AG1384">
        <v>1</v>
      </c>
      <c r="AH1384">
        <v>1</v>
      </c>
    </row>
    <row r="1385" spans="1:34">
      <c r="A1385">
        <v>2025</v>
      </c>
      <c r="B1385" s="1">
        <v>45992</v>
      </c>
      <c r="C1385" t="s">
        <v>2657</v>
      </c>
      <c r="D1385" t="s">
        <v>5874</v>
      </c>
      <c r="E1385" s="43">
        <v>46005.568548553238</v>
      </c>
      <c r="F1385" s="3">
        <v>46005</v>
      </c>
      <c r="G1385" s="43">
        <v>46006.573669398145</v>
      </c>
      <c r="H1385" t="s">
        <v>2686</v>
      </c>
      <c r="I1385" t="s">
        <v>2681</v>
      </c>
      <c r="J1385" t="s">
        <v>2735</v>
      </c>
      <c r="L1385" t="s">
        <v>2408</v>
      </c>
      <c r="M1385">
        <v>861076042402</v>
      </c>
      <c r="N1385" t="s">
        <v>2746</v>
      </c>
      <c r="O1385" s="1">
        <v>45669</v>
      </c>
      <c r="T1385" t="s">
        <v>2662</v>
      </c>
      <c r="U1385" t="s">
        <v>5875</v>
      </c>
      <c r="V1385">
        <v>0</v>
      </c>
      <c r="W1385" t="s">
        <v>2677</v>
      </c>
      <c r="X1385">
        <v>1</v>
      </c>
      <c r="Y1385" t="s">
        <v>2760</v>
      </c>
      <c r="AA1385">
        <v>508996769902</v>
      </c>
      <c r="AB1385" t="s">
        <v>2193</v>
      </c>
      <c r="AC1385">
        <v>0</v>
      </c>
      <c r="AD1385">
        <v>50</v>
      </c>
      <c r="AE1385">
        <v>50899676990250</v>
      </c>
      <c r="AF1385" t="s">
        <v>5867</v>
      </c>
      <c r="AG1385">
        <v>0</v>
      </c>
      <c r="AH1385">
        <v>0</v>
      </c>
    </row>
    <row r="1386" spans="1:34">
      <c r="A1386">
        <v>2025</v>
      </c>
      <c r="B1386" s="1">
        <v>45992</v>
      </c>
      <c r="C1386" t="s">
        <v>2657</v>
      </c>
      <c r="D1386" t="s">
        <v>5876</v>
      </c>
      <c r="E1386" s="43">
        <v>46003.822098761571</v>
      </c>
      <c r="F1386" s="3">
        <v>46003</v>
      </c>
      <c r="G1386" s="43">
        <v>46006.676029247683</v>
      </c>
      <c r="H1386" t="s">
        <v>2686</v>
      </c>
      <c r="I1386" t="s">
        <v>2681</v>
      </c>
      <c r="J1386" t="s">
        <v>2735</v>
      </c>
      <c r="L1386" t="s">
        <v>2408</v>
      </c>
      <c r="M1386">
        <v>861076042402</v>
      </c>
      <c r="N1386" t="s">
        <v>2746</v>
      </c>
      <c r="O1386" s="1">
        <v>45669</v>
      </c>
      <c r="T1386" t="s">
        <v>2662</v>
      </c>
      <c r="U1386" t="s">
        <v>5877</v>
      </c>
      <c r="V1386">
        <v>1</v>
      </c>
      <c r="W1386" t="s">
        <v>2671</v>
      </c>
      <c r="X1386">
        <v>1</v>
      </c>
      <c r="AA1386">
        <v>508996769902</v>
      </c>
      <c r="AB1386" t="s">
        <v>2193</v>
      </c>
      <c r="AC1386">
        <v>0</v>
      </c>
      <c r="AD1386">
        <v>50</v>
      </c>
      <c r="AE1386">
        <v>50899676990250</v>
      </c>
      <c r="AF1386" t="s">
        <v>5867</v>
      </c>
      <c r="AG1386">
        <v>1</v>
      </c>
      <c r="AH1386">
        <v>0</v>
      </c>
    </row>
    <row r="1387" spans="1:34">
      <c r="A1387">
        <v>2025</v>
      </c>
      <c r="B1387" s="1">
        <v>45992</v>
      </c>
      <c r="C1387" t="s">
        <v>2657</v>
      </c>
      <c r="D1387" t="s">
        <v>5878</v>
      </c>
      <c r="E1387" s="43">
        <v>46006.572827418982</v>
      </c>
      <c r="F1387" s="3">
        <v>46006</v>
      </c>
      <c r="G1387" s="43">
        <v>46006.720547708333</v>
      </c>
      <c r="H1387" t="s">
        <v>2686</v>
      </c>
      <c r="I1387" t="s">
        <v>2719</v>
      </c>
      <c r="J1387" t="s">
        <v>2735</v>
      </c>
      <c r="L1387" t="s">
        <v>2408</v>
      </c>
      <c r="M1387">
        <v>861076042402</v>
      </c>
      <c r="N1387" t="s">
        <v>2746</v>
      </c>
      <c r="O1387" s="1">
        <v>45669</v>
      </c>
      <c r="T1387" t="s">
        <v>2662</v>
      </c>
      <c r="U1387" t="s">
        <v>5879</v>
      </c>
      <c r="V1387">
        <v>0</v>
      </c>
      <c r="W1387" t="s">
        <v>2671</v>
      </c>
      <c r="X1387">
        <v>1</v>
      </c>
      <c r="Y1387" t="s">
        <v>2672</v>
      </c>
      <c r="AA1387">
        <v>508996769902</v>
      </c>
      <c r="AB1387" t="s">
        <v>2193</v>
      </c>
      <c r="AC1387">
        <v>0</v>
      </c>
      <c r="AD1387">
        <v>51</v>
      </c>
      <c r="AE1387">
        <v>50899676990251</v>
      </c>
      <c r="AF1387" t="s">
        <v>5867</v>
      </c>
      <c r="AG1387">
        <v>1</v>
      </c>
      <c r="AH1387">
        <v>0</v>
      </c>
    </row>
    <row r="1388" spans="1:34">
      <c r="A1388">
        <v>2026</v>
      </c>
      <c r="B1388" s="1">
        <v>46082</v>
      </c>
      <c r="C1388" t="s">
        <v>2657</v>
      </c>
      <c r="D1388" t="s">
        <v>5880</v>
      </c>
      <c r="E1388" s="43">
        <v>46085.560163414353</v>
      </c>
      <c r="F1388" s="3">
        <v>46085</v>
      </c>
      <c r="G1388" s="43">
        <v>46090.867598553239</v>
      </c>
      <c r="H1388" t="s">
        <v>2668</v>
      </c>
      <c r="I1388" t="s">
        <v>2669</v>
      </c>
      <c r="J1388" t="s">
        <v>39</v>
      </c>
      <c r="L1388" t="s">
        <v>2336</v>
      </c>
      <c r="M1388">
        <v>669516273102</v>
      </c>
      <c r="N1388" t="s">
        <v>2702</v>
      </c>
      <c r="O1388" s="1">
        <v>45994</v>
      </c>
      <c r="T1388" t="s">
        <v>2798</v>
      </c>
      <c r="U1388" t="s">
        <v>5881</v>
      </c>
      <c r="V1388">
        <v>7</v>
      </c>
      <c r="W1388" t="s">
        <v>2677</v>
      </c>
      <c r="X1388">
        <v>0</v>
      </c>
      <c r="Y1388" t="s">
        <v>2807</v>
      </c>
      <c r="Z1388" t="s">
        <v>2834</v>
      </c>
      <c r="AA1388">
        <v>669516273102</v>
      </c>
      <c r="AB1388" t="s">
        <v>2615</v>
      </c>
      <c r="AC1388">
        <v>0</v>
      </c>
      <c r="AD1388">
        <v>10</v>
      </c>
      <c r="AE1388">
        <v>66951627310210</v>
      </c>
      <c r="AF1388" t="s">
        <v>5882</v>
      </c>
      <c r="AG1388">
        <v>1</v>
      </c>
      <c r="AH1388">
        <v>1</v>
      </c>
    </row>
    <row r="1389" spans="1:34">
      <c r="A1389">
        <v>2026</v>
      </c>
      <c r="B1389" s="1">
        <v>46082</v>
      </c>
      <c r="C1389" t="s">
        <v>2657</v>
      </c>
      <c r="D1389" t="s">
        <v>5883</v>
      </c>
      <c r="E1389" s="43">
        <v>46085.566745393517</v>
      </c>
      <c r="F1389" s="3">
        <v>46085</v>
      </c>
      <c r="G1389" s="43">
        <v>46090.867225983799</v>
      </c>
      <c r="H1389" t="s">
        <v>2668</v>
      </c>
      <c r="I1389" t="s">
        <v>2669</v>
      </c>
      <c r="J1389" t="s">
        <v>39</v>
      </c>
      <c r="L1389" t="s">
        <v>2336</v>
      </c>
      <c r="M1389">
        <v>669516273102</v>
      </c>
      <c r="N1389" t="s">
        <v>2702</v>
      </c>
      <c r="O1389" s="1">
        <v>45994</v>
      </c>
      <c r="T1389" t="s">
        <v>2662</v>
      </c>
      <c r="U1389" t="s">
        <v>5884</v>
      </c>
      <c r="V1389">
        <v>3</v>
      </c>
      <c r="X1389">
        <v>1</v>
      </c>
      <c r="Y1389" t="s">
        <v>2717</v>
      </c>
      <c r="AA1389">
        <v>669516273102</v>
      </c>
      <c r="AB1389" t="s">
        <v>2615</v>
      </c>
      <c r="AC1389">
        <v>0</v>
      </c>
      <c r="AD1389">
        <v>10</v>
      </c>
      <c r="AE1389">
        <v>66951627310210</v>
      </c>
      <c r="AF1389" t="s">
        <v>5882</v>
      </c>
      <c r="AG1389">
        <v>0</v>
      </c>
      <c r="AH1389">
        <v>0</v>
      </c>
    </row>
    <row r="1390" spans="1:34">
      <c r="A1390">
        <v>2026</v>
      </c>
      <c r="B1390" s="1">
        <v>46082</v>
      </c>
      <c r="C1390" t="s">
        <v>2657</v>
      </c>
      <c r="D1390" t="s">
        <v>5885</v>
      </c>
      <c r="E1390" s="43">
        <v>46091.533703518522</v>
      </c>
      <c r="F1390" s="3">
        <v>46091</v>
      </c>
      <c r="G1390" s="43">
        <v>46092.631223796299</v>
      </c>
      <c r="H1390" t="s">
        <v>2668</v>
      </c>
      <c r="I1390" t="s">
        <v>2681</v>
      </c>
      <c r="J1390" t="s">
        <v>39</v>
      </c>
      <c r="L1390" t="s">
        <v>2336</v>
      </c>
      <c r="M1390">
        <v>669516273102</v>
      </c>
      <c r="N1390" t="s">
        <v>2702</v>
      </c>
      <c r="O1390" s="1">
        <v>45994</v>
      </c>
      <c r="T1390" t="s">
        <v>2662</v>
      </c>
      <c r="U1390" t="s">
        <v>5886</v>
      </c>
      <c r="V1390">
        <v>1</v>
      </c>
      <c r="X1390">
        <v>1</v>
      </c>
      <c r="Y1390" t="s">
        <v>2717</v>
      </c>
      <c r="AA1390">
        <v>669516273102</v>
      </c>
      <c r="AB1390" t="s">
        <v>2615</v>
      </c>
      <c r="AC1390">
        <v>1</v>
      </c>
      <c r="AD1390">
        <v>11</v>
      </c>
      <c r="AE1390">
        <v>66951627310211</v>
      </c>
      <c r="AF1390" t="s">
        <v>5882</v>
      </c>
      <c r="AG1390">
        <v>1</v>
      </c>
      <c r="AH1390">
        <v>0</v>
      </c>
    </row>
    <row r="1391" spans="1:34">
      <c r="A1391">
        <v>2026</v>
      </c>
      <c r="B1391" s="1">
        <v>46054</v>
      </c>
      <c r="C1391" t="s">
        <v>2657</v>
      </c>
      <c r="D1391" t="s">
        <v>5887</v>
      </c>
      <c r="E1391" s="43">
        <v>46062.779834664354</v>
      </c>
      <c r="F1391" s="3">
        <v>46062</v>
      </c>
      <c r="G1391" s="43">
        <v>46079.719169097225</v>
      </c>
      <c r="H1391" t="s">
        <v>2725</v>
      </c>
      <c r="I1391" t="s">
        <v>2681</v>
      </c>
      <c r="J1391" t="s">
        <v>100</v>
      </c>
      <c r="L1391" t="s">
        <v>2381</v>
      </c>
      <c r="M1391">
        <v>183456830502</v>
      </c>
      <c r="N1391" t="s">
        <v>2702</v>
      </c>
      <c r="O1391" s="1">
        <v>45661</v>
      </c>
      <c r="T1391" t="s">
        <v>2798</v>
      </c>
      <c r="U1391" t="s">
        <v>5888</v>
      </c>
      <c r="V1391">
        <v>24</v>
      </c>
      <c r="W1391" t="s">
        <v>2664</v>
      </c>
      <c r="X1391">
        <v>0</v>
      </c>
      <c r="Y1391" t="s">
        <v>2767</v>
      </c>
      <c r="AA1391">
        <v>183456830502</v>
      </c>
      <c r="AB1391" t="s">
        <v>1466</v>
      </c>
      <c r="AC1391">
        <v>0</v>
      </c>
      <c r="AD1391">
        <v>7</v>
      </c>
      <c r="AE1391">
        <v>1834568305027</v>
      </c>
      <c r="AF1391" t="s">
        <v>5889</v>
      </c>
      <c r="AG1391">
        <v>1</v>
      </c>
      <c r="AH1391">
        <v>1</v>
      </c>
    </row>
    <row r="1392" spans="1:34">
      <c r="A1392">
        <v>2026</v>
      </c>
      <c r="B1392" s="1">
        <v>46054</v>
      </c>
      <c r="C1392" t="s">
        <v>2657</v>
      </c>
      <c r="D1392" t="s">
        <v>5890</v>
      </c>
      <c r="E1392" s="43">
        <v>46079.787689317127</v>
      </c>
      <c r="F1392" s="3">
        <v>46079</v>
      </c>
      <c r="G1392" s="43">
        <v>46079.787689317127</v>
      </c>
      <c r="H1392" t="s">
        <v>2725</v>
      </c>
      <c r="I1392" t="s">
        <v>2660</v>
      </c>
      <c r="J1392" t="s">
        <v>100</v>
      </c>
      <c r="L1392" t="s">
        <v>2381</v>
      </c>
      <c r="M1392">
        <v>183456830502</v>
      </c>
      <c r="N1392" t="s">
        <v>2702</v>
      </c>
      <c r="O1392" s="1">
        <v>45661</v>
      </c>
      <c r="T1392" t="s">
        <v>2798</v>
      </c>
      <c r="U1392" t="s">
        <v>5891</v>
      </c>
      <c r="V1392">
        <v>11</v>
      </c>
      <c r="W1392" t="s">
        <v>2743</v>
      </c>
      <c r="X1392">
        <v>0</v>
      </c>
      <c r="Y1392" t="s">
        <v>2699</v>
      </c>
      <c r="AA1392">
        <v>183456830502</v>
      </c>
      <c r="AB1392" t="s">
        <v>1466</v>
      </c>
      <c r="AC1392">
        <v>0</v>
      </c>
      <c r="AD1392">
        <v>9</v>
      </c>
      <c r="AE1392">
        <v>1834568305029</v>
      </c>
      <c r="AF1392" t="s">
        <v>5889</v>
      </c>
      <c r="AG1392">
        <v>1</v>
      </c>
      <c r="AH1392">
        <v>0</v>
      </c>
    </row>
    <row r="1393" spans="1:34">
      <c r="A1393">
        <v>2026</v>
      </c>
      <c r="B1393" s="1">
        <v>46082</v>
      </c>
      <c r="C1393" t="s">
        <v>2657</v>
      </c>
      <c r="D1393" t="s">
        <v>5892</v>
      </c>
      <c r="E1393" s="43">
        <v>46094.847200428238</v>
      </c>
      <c r="F1393" s="3">
        <v>46094</v>
      </c>
      <c r="G1393" s="43">
        <v>46094.847200428238</v>
      </c>
      <c r="H1393" t="s">
        <v>2668</v>
      </c>
      <c r="I1393" t="s">
        <v>2681</v>
      </c>
      <c r="J1393" t="s">
        <v>36</v>
      </c>
      <c r="L1393" t="s">
        <v>2355</v>
      </c>
      <c r="M1393">
        <v>20068852602</v>
      </c>
      <c r="N1393" t="s">
        <v>2702</v>
      </c>
      <c r="O1393" s="1">
        <v>45669</v>
      </c>
      <c r="T1393" t="s">
        <v>2798</v>
      </c>
      <c r="U1393" t="s">
        <v>5893</v>
      </c>
      <c r="V1393">
        <v>0</v>
      </c>
      <c r="W1393" t="s">
        <v>2985</v>
      </c>
      <c r="X1393">
        <v>0</v>
      </c>
      <c r="Y1393" t="s">
        <v>2985</v>
      </c>
      <c r="AA1393">
        <v>20068852602</v>
      </c>
      <c r="AB1393" t="s">
        <v>427</v>
      </c>
      <c r="AC1393">
        <v>1</v>
      </c>
      <c r="AD1393">
        <v>11</v>
      </c>
      <c r="AE1393">
        <v>2006885260211</v>
      </c>
      <c r="AF1393" t="s">
        <v>5894</v>
      </c>
      <c r="AG1393">
        <v>1</v>
      </c>
      <c r="AH1393">
        <v>1</v>
      </c>
    </row>
    <row r="1394" spans="1:34">
      <c r="A1394">
        <v>2025</v>
      </c>
      <c r="B1394" s="1">
        <v>45931</v>
      </c>
      <c r="C1394" t="s">
        <v>2657</v>
      </c>
      <c r="D1394" t="s">
        <v>5895</v>
      </c>
      <c r="E1394" s="43">
        <v>45952.858638182872</v>
      </c>
      <c r="F1394" s="3">
        <v>45952</v>
      </c>
      <c r="G1394" s="43">
        <v>45973.856765775461</v>
      </c>
      <c r="H1394" t="s">
        <v>2659</v>
      </c>
      <c r="I1394" t="s">
        <v>2660</v>
      </c>
      <c r="J1394" t="s">
        <v>36</v>
      </c>
      <c r="L1394" t="s">
        <v>2355</v>
      </c>
      <c r="M1394">
        <v>133844711902</v>
      </c>
      <c r="N1394" t="s">
        <v>2702</v>
      </c>
      <c r="O1394" s="1">
        <v>44844</v>
      </c>
      <c r="T1394" t="s">
        <v>2662</v>
      </c>
      <c r="U1394" t="s">
        <v>5896</v>
      </c>
      <c r="V1394">
        <v>15</v>
      </c>
      <c r="W1394" t="s">
        <v>2664</v>
      </c>
      <c r="X1394">
        <v>1</v>
      </c>
      <c r="Y1394" t="s">
        <v>2665</v>
      </c>
      <c r="AA1394">
        <v>133844711902</v>
      </c>
      <c r="AB1394" t="s">
        <v>2283</v>
      </c>
      <c r="AC1394">
        <v>0</v>
      </c>
      <c r="AD1394">
        <v>43</v>
      </c>
      <c r="AE1394">
        <v>13384471190243</v>
      </c>
      <c r="AF1394" t="s">
        <v>5897</v>
      </c>
      <c r="AG1394">
        <v>1</v>
      </c>
      <c r="AH1394">
        <v>1</v>
      </c>
    </row>
    <row r="1395" spans="1:34">
      <c r="A1395">
        <v>2026</v>
      </c>
      <c r="B1395" s="1">
        <v>46054</v>
      </c>
      <c r="C1395" t="s">
        <v>2657</v>
      </c>
      <c r="D1395" t="s">
        <v>5898</v>
      </c>
      <c r="E1395" s="43">
        <v>46059.549986215279</v>
      </c>
      <c r="F1395" s="3">
        <v>46059</v>
      </c>
      <c r="G1395" s="43">
        <v>46062.87912784722</v>
      </c>
      <c r="H1395" t="s">
        <v>2725</v>
      </c>
      <c r="I1395" t="s">
        <v>2669</v>
      </c>
      <c r="J1395" t="s">
        <v>39</v>
      </c>
      <c r="L1395" t="s">
        <v>2362</v>
      </c>
      <c r="M1395">
        <v>803520752602</v>
      </c>
      <c r="N1395" t="s">
        <v>2746</v>
      </c>
      <c r="O1395" s="1">
        <v>45366</v>
      </c>
      <c r="T1395" t="s">
        <v>2662</v>
      </c>
      <c r="U1395" t="s">
        <v>5899</v>
      </c>
      <c r="V1395">
        <v>1</v>
      </c>
      <c r="W1395" t="s">
        <v>2671</v>
      </c>
      <c r="X1395">
        <v>1</v>
      </c>
      <c r="Y1395" t="s">
        <v>2727</v>
      </c>
      <c r="AA1395">
        <v>589580604602</v>
      </c>
      <c r="AB1395" t="s">
        <v>2070</v>
      </c>
      <c r="AC1395">
        <v>0</v>
      </c>
      <c r="AD1395">
        <v>6</v>
      </c>
      <c r="AE1395">
        <v>5895806046026</v>
      </c>
      <c r="AF1395" t="s">
        <v>5900</v>
      </c>
      <c r="AG1395">
        <v>1</v>
      </c>
      <c r="AH1395">
        <v>1</v>
      </c>
    </row>
    <row r="1396" spans="1:34">
      <c r="A1396">
        <v>2025</v>
      </c>
      <c r="B1396" s="1">
        <v>45962</v>
      </c>
      <c r="C1396" t="s">
        <v>2657</v>
      </c>
      <c r="D1396" t="s">
        <v>5901</v>
      </c>
      <c r="E1396" s="43">
        <v>45967.68796333333</v>
      </c>
      <c r="F1396" s="3">
        <v>45967</v>
      </c>
      <c r="G1396" s="43">
        <v>45972.712337175923</v>
      </c>
      <c r="H1396" t="s">
        <v>2802</v>
      </c>
      <c r="I1396" t="s">
        <v>2669</v>
      </c>
      <c r="J1396" t="s">
        <v>2735</v>
      </c>
      <c r="L1396" t="s">
        <v>2336</v>
      </c>
      <c r="M1396">
        <v>1126409110002</v>
      </c>
      <c r="N1396" t="s">
        <v>2746</v>
      </c>
      <c r="O1396" s="1">
        <v>45930</v>
      </c>
      <c r="T1396" t="s">
        <v>2662</v>
      </c>
      <c r="U1396" t="s">
        <v>5902</v>
      </c>
      <c r="V1396">
        <v>3</v>
      </c>
      <c r="W1396" t="s">
        <v>2664</v>
      </c>
      <c r="X1396">
        <v>1</v>
      </c>
      <c r="Y1396" t="s">
        <v>2757</v>
      </c>
      <c r="AA1396">
        <v>414165418502</v>
      </c>
      <c r="AB1396" t="s">
        <v>1569</v>
      </c>
      <c r="AC1396">
        <v>0</v>
      </c>
      <c r="AD1396">
        <v>45</v>
      </c>
      <c r="AE1396">
        <v>41416541850245</v>
      </c>
      <c r="AF1396" t="s">
        <v>5903</v>
      </c>
      <c r="AG1396">
        <v>0</v>
      </c>
      <c r="AH1396">
        <v>0</v>
      </c>
    </row>
    <row r="1397" spans="1:34">
      <c r="A1397">
        <v>2025</v>
      </c>
      <c r="B1397" s="1">
        <v>45962</v>
      </c>
      <c r="C1397" t="s">
        <v>2657</v>
      </c>
      <c r="D1397" t="s">
        <v>5904</v>
      </c>
      <c r="E1397" s="43">
        <v>45964.494361053243</v>
      </c>
      <c r="F1397" s="3">
        <v>45964</v>
      </c>
      <c r="G1397" s="43">
        <v>45966.803467592596</v>
      </c>
      <c r="H1397" t="s">
        <v>2802</v>
      </c>
      <c r="I1397" t="s">
        <v>2669</v>
      </c>
      <c r="J1397" t="s">
        <v>2735</v>
      </c>
      <c r="L1397" t="s">
        <v>2336</v>
      </c>
      <c r="M1397">
        <v>1126409110002</v>
      </c>
      <c r="N1397" t="s">
        <v>2746</v>
      </c>
      <c r="O1397" s="1">
        <v>45930</v>
      </c>
      <c r="T1397" t="s">
        <v>2662</v>
      </c>
      <c r="U1397" t="s">
        <v>5905</v>
      </c>
      <c r="V1397">
        <v>2</v>
      </c>
      <c r="W1397" t="s">
        <v>2677</v>
      </c>
      <c r="X1397">
        <v>1</v>
      </c>
      <c r="Y1397" t="s">
        <v>2807</v>
      </c>
      <c r="AA1397">
        <v>414165418502</v>
      </c>
      <c r="AB1397" t="s">
        <v>1569</v>
      </c>
      <c r="AC1397">
        <v>0</v>
      </c>
      <c r="AD1397">
        <v>45</v>
      </c>
      <c r="AE1397">
        <v>41416541850245</v>
      </c>
      <c r="AF1397" t="s">
        <v>5903</v>
      </c>
      <c r="AG1397">
        <v>1</v>
      </c>
      <c r="AH1397">
        <v>1</v>
      </c>
    </row>
    <row r="1398" spans="1:34">
      <c r="A1398">
        <v>2025</v>
      </c>
      <c r="B1398" s="1">
        <v>45962</v>
      </c>
      <c r="C1398" t="s">
        <v>2657</v>
      </c>
      <c r="D1398" s="44" t="s">
        <v>5906</v>
      </c>
      <c r="E1398" s="43">
        <v>45971.558657766203</v>
      </c>
      <c r="F1398" s="3">
        <v>45971</v>
      </c>
      <c r="G1398" s="43">
        <v>45973.746500243054</v>
      </c>
      <c r="H1398" t="s">
        <v>2802</v>
      </c>
      <c r="I1398" t="s">
        <v>2681</v>
      </c>
      <c r="J1398" t="s">
        <v>2735</v>
      </c>
      <c r="L1398" t="s">
        <v>2336</v>
      </c>
      <c r="M1398">
        <v>414165418502</v>
      </c>
      <c r="N1398" t="s">
        <v>2746</v>
      </c>
      <c r="O1398" s="1">
        <v>45342</v>
      </c>
      <c r="T1398" t="s">
        <v>2662</v>
      </c>
      <c r="U1398" t="s">
        <v>5907</v>
      </c>
      <c r="V1398">
        <v>2</v>
      </c>
      <c r="W1398" t="s">
        <v>2677</v>
      </c>
      <c r="X1398">
        <v>1</v>
      </c>
      <c r="Y1398" t="s">
        <v>2807</v>
      </c>
      <c r="AA1398">
        <v>414165418502</v>
      </c>
      <c r="AB1398" t="s">
        <v>1569</v>
      </c>
      <c r="AC1398">
        <v>0</v>
      </c>
      <c r="AD1398">
        <v>46</v>
      </c>
      <c r="AE1398">
        <v>41416541850246</v>
      </c>
      <c r="AF1398" t="s">
        <v>5903</v>
      </c>
      <c r="AG1398">
        <v>0</v>
      </c>
      <c r="AH1398">
        <v>0</v>
      </c>
    </row>
    <row r="1399" spans="1:34">
      <c r="A1399">
        <v>2025</v>
      </c>
      <c r="B1399" s="1">
        <v>45962</v>
      </c>
      <c r="C1399" t="s">
        <v>2657</v>
      </c>
      <c r="D1399" t="s">
        <v>5908</v>
      </c>
      <c r="E1399" s="43">
        <v>45971.558087986108</v>
      </c>
      <c r="F1399" s="3">
        <v>45971</v>
      </c>
      <c r="G1399" s="43">
        <v>45971.558087986108</v>
      </c>
      <c r="H1399" t="s">
        <v>2802</v>
      </c>
      <c r="I1399" t="s">
        <v>2681</v>
      </c>
      <c r="J1399" t="s">
        <v>2735</v>
      </c>
      <c r="L1399" t="s">
        <v>2336</v>
      </c>
      <c r="M1399">
        <v>414165418502</v>
      </c>
      <c r="N1399" t="s">
        <v>2746</v>
      </c>
      <c r="O1399" s="1">
        <v>45342</v>
      </c>
      <c r="T1399" t="s">
        <v>2662</v>
      </c>
      <c r="U1399" t="s">
        <v>5909</v>
      </c>
      <c r="V1399">
        <v>0</v>
      </c>
      <c r="W1399" t="s">
        <v>2743</v>
      </c>
      <c r="X1399">
        <v>1</v>
      </c>
      <c r="Y1399" t="s">
        <v>2695</v>
      </c>
      <c r="AA1399">
        <v>414165418502</v>
      </c>
      <c r="AB1399" t="s">
        <v>1569</v>
      </c>
      <c r="AC1399">
        <v>0</v>
      </c>
      <c r="AD1399">
        <v>46</v>
      </c>
      <c r="AE1399">
        <v>41416541850246</v>
      </c>
      <c r="AF1399" t="s">
        <v>5903</v>
      </c>
      <c r="AG1399">
        <v>1</v>
      </c>
      <c r="AH1399">
        <v>0</v>
      </c>
    </row>
    <row r="1400" spans="1:34">
      <c r="A1400">
        <v>2025</v>
      </c>
      <c r="B1400" s="1">
        <v>45962</v>
      </c>
      <c r="C1400" t="s">
        <v>2657</v>
      </c>
      <c r="D1400" t="s">
        <v>5910</v>
      </c>
      <c r="E1400" s="43">
        <v>45975.623368067128</v>
      </c>
      <c r="F1400" s="3">
        <v>45975</v>
      </c>
      <c r="G1400" s="43">
        <v>45985.60799196759</v>
      </c>
      <c r="H1400" t="s">
        <v>2802</v>
      </c>
      <c r="I1400" t="s">
        <v>2681</v>
      </c>
      <c r="J1400" t="s">
        <v>2735</v>
      </c>
      <c r="L1400" t="s">
        <v>2336</v>
      </c>
      <c r="M1400">
        <v>1126409110002</v>
      </c>
      <c r="N1400" t="s">
        <v>2746</v>
      </c>
      <c r="O1400" s="1">
        <v>45930</v>
      </c>
      <c r="T1400" t="s">
        <v>2662</v>
      </c>
      <c r="U1400" t="s">
        <v>5911</v>
      </c>
      <c r="V1400">
        <v>6</v>
      </c>
      <c r="W1400" t="s">
        <v>2671</v>
      </c>
      <c r="X1400">
        <v>1</v>
      </c>
      <c r="Y1400" t="s">
        <v>2721</v>
      </c>
      <c r="AA1400">
        <v>414165418502</v>
      </c>
      <c r="AB1400" t="s">
        <v>1569</v>
      </c>
      <c r="AC1400">
        <v>0</v>
      </c>
      <c r="AD1400">
        <v>46</v>
      </c>
      <c r="AE1400">
        <v>41416541850246</v>
      </c>
      <c r="AF1400" t="s">
        <v>5903</v>
      </c>
      <c r="AG1400">
        <v>0</v>
      </c>
      <c r="AH1400">
        <v>0</v>
      </c>
    </row>
    <row r="1401" spans="1:34">
      <c r="A1401">
        <v>2025</v>
      </c>
      <c r="B1401" s="1">
        <v>45962</v>
      </c>
      <c r="C1401" t="s">
        <v>2657</v>
      </c>
      <c r="D1401" t="s">
        <v>5912</v>
      </c>
      <c r="E1401" s="43">
        <v>45972.556905659723</v>
      </c>
      <c r="F1401" s="3">
        <v>45972</v>
      </c>
      <c r="G1401" s="43">
        <v>45972.556905659723</v>
      </c>
      <c r="H1401" t="s">
        <v>2802</v>
      </c>
      <c r="I1401" t="s">
        <v>2681</v>
      </c>
      <c r="J1401" t="s">
        <v>2735</v>
      </c>
      <c r="L1401" t="s">
        <v>2336</v>
      </c>
      <c r="M1401">
        <v>1126409110002</v>
      </c>
      <c r="N1401" t="s">
        <v>2746</v>
      </c>
      <c r="O1401" s="1">
        <v>45930</v>
      </c>
      <c r="T1401" t="s">
        <v>2662</v>
      </c>
      <c r="U1401" t="s">
        <v>5913</v>
      </c>
      <c r="V1401">
        <v>0</v>
      </c>
      <c r="W1401" t="s">
        <v>2671</v>
      </c>
      <c r="X1401">
        <v>1</v>
      </c>
      <c r="Y1401" t="s">
        <v>2695</v>
      </c>
      <c r="AA1401">
        <v>414165418502</v>
      </c>
      <c r="AB1401" t="s">
        <v>1569</v>
      </c>
      <c r="AC1401">
        <v>0</v>
      </c>
      <c r="AD1401">
        <v>46</v>
      </c>
      <c r="AE1401">
        <v>41416541850246</v>
      </c>
      <c r="AF1401" t="s">
        <v>5903</v>
      </c>
      <c r="AG1401">
        <v>0</v>
      </c>
      <c r="AH1401">
        <v>0</v>
      </c>
    </row>
    <row r="1402" spans="1:34">
      <c r="A1402">
        <v>2025</v>
      </c>
      <c r="B1402" s="1">
        <v>45962</v>
      </c>
      <c r="C1402" t="s">
        <v>2657</v>
      </c>
      <c r="D1402" t="s">
        <v>5914</v>
      </c>
      <c r="E1402" s="43">
        <v>45974.800370104167</v>
      </c>
      <c r="F1402" s="3">
        <v>45974</v>
      </c>
      <c r="G1402" s="43">
        <v>45975.759417071757</v>
      </c>
      <c r="H1402" t="s">
        <v>2802</v>
      </c>
      <c r="I1402" t="s">
        <v>2681</v>
      </c>
      <c r="J1402" t="s">
        <v>2735</v>
      </c>
      <c r="L1402" t="s">
        <v>2336</v>
      </c>
      <c r="M1402">
        <v>1126409110002</v>
      </c>
      <c r="N1402" t="s">
        <v>2746</v>
      </c>
      <c r="O1402" s="1">
        <v>45930</v>
      </c>
      <c r="T1402" t="s">
        <v>2662</v>
      </c>
      <c r="U1402" t="s">
        <v>5915</v>
      </c>
      <c r="V1402">
        <v>1</v>
      </c>
      <c r="W1402" t="s">
        <v>2671</v>
      </c>
      <c r="X1402">
        <v>1</v>
      </c>
      <c r="Y1402" t="s">
        <v>2931</v>
      </c>
      <c r="AA1402">
        <v>414165418502</v>
      </c>
      <c r="AB1402" t="s">
        <v>1569</v>
      </c>
      <c r="AC1402">
        <v>0</v>
      </c>
      <c r="AD1402">
        <v>46</v>
      </c>
      <c r="AE1402">
        <v>41416541850246</v>
      </c>
      <c r="AF1402" t="s">
        <v>5903</v>
      </c>
      <c r="AG1402">
        <v>0</v>
      </c>
      <c r="AH1402">
        <v>0</v>
      </c>
    </row>
    <row r="1403" spans="1:34">
      <c r="A1403">
        <v>2025</v>
      </c>
      <c r="B1403" s="1">
        <v>45962</v>
      </c>
      <c r="C1403" t="s">
        <v>2657</v>
      </c>
      <c r="D1403" t="s">
        <v>5916</v>
      </c>
      <c r="E1403" s="43">
        <v>45974.776926597224</v>
      </c>
      <c r="F1403" s="3">
        <v>45974</v>
      </c>
      <c r="G1403" s="43">
        <v>45974.776926597224</v>
      </c>
      <c r="H1403" t="s">
        <v>2802</v>
      </c>
      <c r="I1403" t="s">
        <v>2681</v>
      </c>
      <c r="J1403" t="s">
        <v>2735</v>
      </c>
      <c r="L1403" t="s">
        <v>2336</v>
      </c>
      <c r="M1403">
        <v>1126409110002</v>
      </c>
      <c r="N1403" t="s">
        <v>2746</v>
      </c>
      <c r="O1403" s="1">
        <v>45930</v>
      </c>
      <c r="T1403" t="s">
        <v>2662</v>
      </c>
      <c r="U1403" t="s">
        <v>5917</v>
      </c>
      <c r="V1403">
        <v>0</v>
      </c>
      <c r="W1403" t="s">
        <v>2671</v>
      </c>
      <c r="X1403">
        <v>1</v>
      </c>
      <c r="Y1403" t="s">
        <v>2695</v>
      </c>
      <c r="AA1403">
        <v>414165418502</v>
      </c>
      <c r="AB1403" t="s">
        <v>1569</v>
      </c>
      <c r="AC1403">
        <v>0</v>
      </c>
      <c r="AD1403">
        <v>46</v>
      </c>
      <c r="AE1403">
        <v>41416541850246</v>
      </c>
      <c r="AF1403" t="s">
        <v>5903</v>
      </c>
      <c r="AG1403">
        <v>0</v>
      </c>
      <c r="AH1403">
        <v>0</v>
      </c>
    </row>
    <row r="1404" spans="1:34">
      <c r="A1404">
        <v>2025</v>
      </c>
      <c r="B1404" s="1">
        <v>45962</v>
      </c>
      <c r="C1404" t="s">
        <v>2657</v>
      </c>
      <c r="D1404" t="s">
        <v>5918</v>
      </c>
      <c r="E1404" s="43">
        <v>45973.518343935182</v>
      </c>
      <c r="F1404" s="3">
        <v>45973</v>
      </c>
      <c r="G1404" s="43">
        <v>45973.866254050925</v>
      </c>
      <c r="H1404" t="s">
        <v>2802</v>
      </c>
      <c r="I1404" t="s">
        <v>2681</v>
      </c>
      <c r="J1404" t="s">
        <v>2735</v>
      </c>
      <c r="L1404" t="s">
        <v>2336</v>
      </c>
      <c r="M1404">
        <v>1126409110002</v>
      </c>
      <c r="N1404" t="s">
        <v>2746</v>
      </c>
      <c r="O1404" s="1">
        <v>45930</v>
      </c>
      <c r="T1404" t="s">
        <v>2662</v>
      </c>
      <c r="U1404" t="s">
        <v>5919</v>
      </c>
      <c r="V1404">
        <v>0</v>
      </c>
      <c r="W1404" t="s">
        <v>2671</v>
      </c>
      <c r="X1404">
        <v>1</v>
      </c>
      <c r="Y1404" t="s">
        <v>2764</v>
      </c>
      <c r="AA1404">
        <v>414165418502</v>
      </c>
      <c r="AB1404" t="s">
        <v>1569</v>
      </c>
      <c r="AC1404">
        <v>0</v>
      </c>
      <c r="AD1404">
        <v>46</v>
      </c>
      <c r="AE1404">
        <v>41416541850246</v>
      </c>
      <c r="AF1404" t="s">
        <v>5903</v>
      </c>
      <c r="AG1404">
        <v>0</v>
      </c>
      <c r="AH1404">
        <v>0</v>
      </c>
    </row>
    <row r="1405" spans="1:34">
      <c r="A1405">
        <v>2025</v>
      </c>
      <c r="B1405" s="1">
        <v>45962</v>
      </c>
      <c r="C1405" t="s">
        <v>2657</v>
      </c>
      <c r="D1405" t="s">
        <v>5920</v>
      </c>
      <c r="E1405" s="43">
        <v>45971.790908761577</v>
      </c>
      <c r="F1405" s="3">
        <v>45971</v>
      </c>
      <c r="G1405" s="43">
        <v>45971.790908761577</v>
      </c>
      <c r="H1405" t="s">
        <v>2802</v>
      </c>
      <c r="I1405" t="s">
        <v>2681</v>
      </c>
      <c r="J1405" t="s">
        <v>2735</v>
      </c>
      <c r="L1405" t="s">
        <v>2336</v>
      </c>
      <c r="M1405">
        <v>1126409110002</v>
      </c>
      <c r="N1405" t="s">
        <v>2746</v>
      </c>
      <c r="O1405" s="1">
        <v>45930</v>
      </c>
      <c r="T1405" t="s">
        <v>2662</v>
      </c>
      <c r="U1405" t="s">
        <v>5921</v>
      </c>
      <c r="V1405">
        <v>0</v>
      </c>
      <c r="W1405" t="s">
        <v>2671</v>
      </c>
      <c r="X1405">
        <v>1</v>
      </c>
      <c r="Y1405" t="s">
        <v>2721</v>
      </c>
      <c r="AA1405">
        <v>414165418502</v>
      </c>
      <c r="AB1405" t="s">
        <v>1569</v>
      </c>
      <c r="AC1405">
        <v>0</v>
      </c>
      <c r="AD1405">
        <v>46</v>
      </c>
      <c r="AE1405">
        <v>41416541850246</v>
      </c>
      <c r="AF1405" t="s">
        <v>5903</v>
      </c>
      <c r="AG1405">
        <v>0</v>
      </c>
      <c r="AH1405">
        <v>0</v>
      </c>
    </row>
    <row r="1406" spans="1:34">
      <c r="A1406">
        <v>2025</v>
      </c>
      <c r="B1406" s="1">
        <v>45962</v>
      </c>
      <c r="C1406" t="s">
        <v>2657</v>
      </c>
      <c r="D1406" t="s">
        <v>5922</v>
      </c>
      <c r="E1406" s="43">
        <v>45979.56193974537</v>
      </c>
      <c r="F1406" s="3">
        <v>45979</v>
      </c>
      <c r="G1406" s="43">
        <v>45985.833008923611</v>
      </c>
      <c r="H1406" t="s">
        <v>2802</v>
      </c>
      <c r="I1406" t="s">
        <v>2719</v>
      </c>
      <c r="J1406" t="s">
        <v>2735</v>
      </c>
      <c r="L1406" t="s">
        <v>2336</v>
      </c>
      <c r="M1406">
        <v>414165418502</v>
      </c>
      <c r="N1406" t="s">
        <v>2746</v>
      </c>
      <c r="O1406" s="1">
        <v>45342</v>
      </c>
      <c r="T1406" t="s">
        <v>2662</v>
      </c>
      <c r="U1406" t="s">
        <v>5923</v>
      </c>
      <c r="V1406">
        <v>4</v>
      </c>
      <c r="W1406" t="s">
        <v>2743</v>
      </c>
      <c r="X1406">
        <v>1</v>
      </c>
      <c r="Y1406" t="s">
        <v>2721</v>
      </c>
      <c r="AA1406">
        <v>414165418502</v>
      </c>
      <c r="AB1406" t="s">
        <v>1569</v>
      </c>
      <c r="AC1406">
        <v>0</v>
      </c>
      <c r="AD1406">
        <v>47</v>
      </c>
      <c r="AE1406">
        <v>41416541850247</v>
      </c>
      <c r="AF1406" t="s">
        <v>5903</v>
      </c>
      <c r="AG1406">
        <v>0</v>
      </c>
      <c r="AH1406">
        <v>0</v>
      </c>
    </row>
    <row r="1407" spans="1:34">
      <c r="A1407">
        <v>2025</v>
      </c>
      <c r="B1407" s="1">
        <v>45962</v>
      </c>
      <c r="C1407" t="s">
        <v>2657</v>
      </c>
      <c r="D1407" t="s">
        <v>5924</v>
      </c>
      <c r="E1407" s="43">
        <v>45978.716675219905</v>
      </c>
      <c r="F1407" s="3">
        <v>45978</v>
      </c>
      <c r="G1407" s="43">
        <v>45979.693537118059</v>
      </c>
      <c r="H1407" t="s">
        <v>2802</v>
      </c>
      <c r="I1407" t="s">
        <v>2719</v>
      </c>
      <c r="J1407" t="s">
        <v>2735</v>
      </c>
      <c r="L1407" t="s">
        <v>2336</v>
      </c>
      <c r="M1407">
        <v>414165418502</v>
      </c>
      <c r="N1407" t="s">
        <v>2746</v>
      </c>
      <c r="O1407" s="1">
        <v>45342</v>
      </c>
      <c r="T1407" t="s">
        <v>2662</v>
      </c>
      <c r="U1407" t="s">
        <v>5925</v>
      </c>
      <c r="V1407">
        <v>1</v>
      </c>
      <c r="W1407" t="s">
        <v>2743</v>
      </c>
      <c r="X1407">
        <v>1</v>
      </c>
      <c r="Y1407" t="s">
        <v>2764</v>
      </c>
      <c r="AA1407">
        <v>414165418502</v>
      </c>
      <c r="AB1407" t="s">
        <v>1569</v>
      </c>
      <c r="AC1407">
        <v>0</v>
      </c>
      <c r="AD1407">
        <v>47</v>
      </c>
      <c r="AE1407">
        <v>41416541850247</v>
      </c>
      <c r="AF1407" t="s">
        <v>5903</v>
      </c>
      <c r="AG1407">
        <v>1</v>
      </c>
      <c r="AH1407">
        <v>0</v>
      </c>
    </row>
    <row r="1408" spans="1:34">
      <c r="A1408">
        <v>2025</v>
      </c>
      <c r="B1408" s="1">
        <v>45962</v>
      </c>
      <c r="C1408" t="s">
        <v>2657</v>
      </c>
      <c r="D1408" t="s">
        <v>5926</v>
      </c>
      <c r="E1408" s="43">
        <v>45979.532271157404</v>
      </c>
      <c r="F1408" s="3">
        <v>45979</v>
      </c>
      <c r="G1408" s="43">
        <v>45979.69564341435</v>
      </c>
      <c r="H1408" t="s">
        <v>2802</v>
      </c>
      <c r="I1408" t="s">
        <v>2719</v>
      </c>
      <c r="J1408" t="s">
        <v>2735</v>
      </c>
      <c r="L1408" t="s">
        <v>2336</v>
      </c>
      <c r="M1408">
        <v>414165418502</v>
      </c>
      <c r="N1408" t="s">
        <v>2746</v>
      </c>
      <c r="O1408" s="1">
        <v>45342</v>
      </c>
      <c r="T1408" t="s">
        <v>2662</v>
      </c>
      <c r="U1408" t="s">
        <v>5927</v>
      </c>
      <c r="V1408">
        <v>0</v>
      </c>
      <c r="W1408" t="s">
        <v>2671</v>
      </c>
      <c r="X1408">
        <v>1</v>
      </c>
      <c r="Y1408" t="s">
        <v>2695</v>
      </c>
      <c r="AA1408">
        <v>414165418502</v>
      </c>
      <c r="AB1408" t="s">
        <v>1569</v>
      </c>
      <c r="AC1408">
        <v>0</v>
      </c>
      <c r="AD1408">
        <v>47</v>
      </c>
      <c r="AE1408">
        <v>41416541850247</v>
      </c>
      <c r="AF1408" t="s">
        <v>5903</v>
      </c>
      <c r="AG1408">
        <v>0</v>
      </c>
      <c r="AH1408">
        <v>0</v>
      </c>
    </row>
    <row r="1409" spans="1:34">
      <c r="A1409">
        <v>2025</v>
      </c>
      <c r="B1409" s="1">
        <v>45962</v>
      </c>
      <c r="C1409" t="s">
        <v>2657</v>
      </c>
      <c r="D1409" t="s">
        <v>5928</v>
      </c>
      <c r="E1409" s="43">
        <v>45986.618528194442</v>
      </c>
      <c r="F1409" s="3">
        <v>45986</v>
      </c>
      <c r="G1409" s="43">
        <v>45986.703614710648</v>
      </c>
      <c r="H1409" t="s">
        <v>2802</v>
      </c>
      <c r="I1409" t="s">
        <v>2660</v>
      </c>
      <c r="J1409" t="s">
        <v>2735</v>
      </c>
      <c r="L1409" t="s">
        <v>2336</v>
      </c>
      <c r="M1409">
        <v>414165418502</v>
      </c>
      <c r="N1409" t="s">
        <v>2746</v>
      </c>
      <c r="O1409" s="1">
        <v>45342</v>
      </c>
      <c r="T1409" t="s">
        <v>2662</v>
      </c>
      <c r="U1409" t="s">
        <v>5929</v>
      </c>
      <c r="V1409">
        <v>0</v>
      </c>
      <c r="W1409" t="s">
        <v>2743</v>
      </c>
      <c r="X1409">
        <v>1</v>
      </c>
      <c r="Y1409" t="s">
        <v>2688</v>
      </c>
      <c r="AA1409">
        <v>414165418502</v>
      </c>
      <c r="AB1409" t="s">
        <v>1569</v>
      </c>
      <c r="AC1409">
        <v>0</v>
      </c>
      <c r="AD1409">
        <v>48</v>
      </c>
      <c r="AE1409">
        <v>41416541850248</v>
      </c>
      <c r="AF1409" t="s">
        <v>5903</v>
      </c>
      <c r="AG1409">
        <v>0</v>
      </c>
      <c r="AH1409">
        <v>0</v>
      </c>
    </row>
    <row r="1410" spans="1:34">
      <c r="A1410">
        <v>2025</v>
      </c>
      <c r="B1410" s="1">
        <v>45962</v>
      </c>
      <c r="C1410" t="s">
        <v>2657</v>
      </c>
      <c r="D1410" t="s">
        <v>5930</v>
      </c>
      <c r="E1410" s="43">
        <v>45985.508969421295</v>
      </c>
      <c r="F1410" s="3">
        <v>45985</v>
      </c>
      <c r="G1410" s="43">
        <v>45985.607902696756</v>
      </c>
      <c r="H1410" t="s">
        <v>2802</v>
      </c>
      <c r="I1410" t="s">
        <v>2660</v>
      </c>
      <c r="J1410" t="s">
        <v>2735</v>
      </c>
      <c r="L1410" t="s">
        <v>2336</v>
      </c>
      <c r="M1410">
        <v>414165418502</v>
      </c>
      <c r="N1410" t="s">
        <v>2746</v>
      </c>
      <c r="O1410" s="1">
        <v>45342</v>
      </c>
      <c r="T1410" t="s">
        <v>2662</v>
      </c>
      <c r="U1410" t="s">
        <v>5931</v>
      </c>
      <c r="V1410">
        <v>0</v>
      </c>
      <c r="W1410" t="s">
        <v>2677</v>
      </c>
      <c r="X1410">
        <v>1</v>
      </c>
      <c r="Y1410" t="s">
        <v>2807</v>
      </c>
      <c r="AA1410">
        <v>414165418502</v>
      </c>
      <c r="AB1410" t="s">
        <v>1569</v>
      </c>
      <c r="AC1410">
        <v>0</v>
      </c>
      <c r="AD1410">
        <v>48</v>
      </c>
      <c r="AE1410">
        <v>41416541850248</v>
      </c>
      <c r="AF1410" t="s">
        <v>5903</v>
      </c>
      <c r="AG1410">
        <v>1</v>
      </c>
      <c r="AH1410">
        <v>0</v>
      </c>
    </row>
    <row r="1411" spans="1:34">
      <c r="A1411">
        <v>2025</v>
      </c>
      <c r="B1411" s="1">
        <v>45962</v>
      </c>
      <c r="C1411" t="s">
        <v>2657</v>
      </c>
      <c r="D1411" t="s">
        <v>5932</v>
      </c>
      <c r="E1411" s="43">
        <v>45988.491865902775</v>
      </c>
      <c r="F1411" s="3">
        <v>45988</v>
      </c>
      <c r="G1411" s="43">
        <v>45988.792934907404</v>
      </c>
      <c r="H1411" t="s">
        <v>2802</v>
      </c>
      <c r="I1411" t="s">
        <v>2660</v>
      </c>
      <c r="J1411" t="s">
        <v>2735</v>
      </c>
      <c r="L1411" t="s">
        <v>2336</v>
      </c>
      <c r="M1411">
        <v>1126409110002</v>
      </c>
      <c r="N1411" t="s">
        <v>2746</v>
      </c>
      <c r="O1411" s="1">
        <v>45930</v>
      </c>
      <c r="T1411" t="s">
        <v>2662</v>
      </c>
      <c r="U1411" t="s">
        <v>5933</v>
      </c>
      <c r="V1411">
        <v>0</v>
      </c>
      <c r="W1411" t="s">
        <v>2671</v>
      </c>
      <c r="X1411">
        <v>1</v>
      </c>
      <c r="Y1411" t="s">
        <v>2683</v>
      </c>
      <c r="AA1411">
        <v>414165418502</v>
      </c>
      <c r="AB1411" t="s">
        <v>1569</v>
      </c>
      <c r="AC1411">
        <v>0</v>
      </c>
      <c r="AD1411">
        <v>48</v>
      </c>
      <c r="AE1411">
        <v>41416541850248</v>
      </c>
      <c r="AF1411" t="s">
        <v>5903</v>
      </c>
      <c r="AG1411">
        <v>0</v>
      </c>
      <c r="AH1411">
        <v>0</v>
      </c>
    </row>
    <row r="1412" spans="1:34">
      <c r="A1412">
        <v>2025</v>
      </c>
      <c r="B1412" s="1">
        <v>45962</v>
      </c>
      <c r="C1412" t="s">
        <v>2657</v>
      </c>
      <c r="D1412" t="s">
        <v>5934</v>
      </c>
      <c r="E1412" s="43">
        <v>45986.785647523146</v>
      </c>
      <c r="F1412" s="3">
        <v>45986</v>
      </c>
      <c r="G1412" s="43">
        <v>45987.695201898146</v>
      </c>
      <c r="H1412" t="s">
        <v>2802</v>
      </c>
      <c r="I1412" t="s">
        <v>2660</v>
      </c>
      <c r="J1412" t="s">
        <v>2735</v>
      </c>
      <c r="L1412" t="s">
        <v>2336</v>
      </c>
      <c r="M1412">
        <v>1126409110002</v>
      </c>
      <c r="N1412" t="s">
        <v>2746</v>
      </c>
      <c r="O1412" s="1">
        <v>45930</v>
      </c>
      <c r="T1412" t="s">
        <v>2662</v>
      </c>
      <c r="U1412" t="s">
        <v>5935</v>
      </c>
      <c r="V1412">
        <v>1</v>
      </c>
      <c r="W1412" t="s">
        <v>2671</v>
      </c>
      <c r="X1412">
        <v>1</v>
      </c>
      <c r="Y1412" t="s">
        <v>2683</v>
      </c>
      <c r="AA1412">
        <v>414165418502</v>
      </c>
      <c r="AB1412" t="s">
        <v>1569</v>
      </c>
      <c r="AC1412">
        <v>0</v>
      </c>
      <c r="AD1412">
        <v>48</v>
      </c>
      <c r="AE1412">
        <v>41416541850248</v>
      </c>
      <c r="AF1412" t="s">
        <v>5903</v>
      </c>
      <c r="AG1412">
        <v>0</v>
      </c>
      <c r="AH1412">
        <v>0</v>
      </c>
    </row>
    <row r="1413" spans="1:34">
      <c r="A1413">
        <v>2025</v>
      </c>
      <c r="B1413" s="1">
        <v>45962</v>
      </c>
      <c r="C1413" t="s">
        <v>2657</v>
      </c>
      <c r="D1413" t="s">
        <v>5936</v>
      </c>
      <c r="E1413" s="43">
        <v>45973.614697696758</v>
      </c>
      <c r="F1413" s="3">
        <v>45973</v>
      </c>
      <c r="G1413" s="43">
        <v>45973.614697696758</v>
      </c>
      <c r="H1413" t="s">
        <v>2802</v>
      </c>
      <c r="I1413" t="s">
        <v>2681</v>
      </c>
      <c r="J1413" t="s">
        <v>37</v>
      </c>
      <c r="L1413" t="s">
        <v>2344</v>
      </c>
      <c r="M1413">
        <v>277711423902</v>
      </c>
      <c r="N1413" t="s">
        <v>2661</v>
      </c>
      <c r="O1413" s="1">
        <v>45884</v>
      </c>
      <c r="T1413" t="s">
        <v>2662</v>
      </c>
      <c r="U1413" t="s">
        <v>5937</v>
      </c>
      <c r="V1413">
        <v>0</v>
      </c>
      <c r="W1413" t="s">
        <v>2671</v>
      </c>
      <c r="X1413">
        <v>1</v>
      </c>
      <c r="Y1413" t="s">
        <v>2695</v>
      </c>
      <c r="AA1413">
        <v>277711423902</v>
      </c>
      <c r="AB1413" t="s">
        <v>737</v>
      </c>
      <c r="AC1413">
        <v>0</v>
      </c>
      <c r="AD1413">
        <v>46</v>
      </c>
      <c r="AE1413">
        <v>27771142390246</v>
      </c>
      <c r="AF1413" t="s">
        <v>5938</v>
      </c>
      <c r="AG1413">
        <v>1</v>
      </c>
      <c r="AH1413">
        <v>1</v>
      </c>
    </row>
    <row r="1414" spans="1:34">
      <c r="A1414">
        <v>2025</v>
      </c>
      <c r="B1414" s="1">
        <v>45901</v>
      </c>
      <c r="C1414" t="s">
        <v>2657</v>
      </c>
      <c r="D1414" s="44" t="s">
        <v>5939</v>
      </c>
      <c r="E1414" s="43">
        <v>45902.811684085646</v>
      </c>
      <c r="F1414" s="3">
        <v>45902</v>
      </c>
      <c r="G1414" s="43">
        <v>45902.811684085646</v>
      </c>
      <c r="H1414" t="s">
        <v>2734</v>
      </c>
      <c r="I1414" t="s">
        <v>2669</v>
      </c>
      <c r="J1414" t="s">
        <v>38</v>
      </c>
      <c r="L1414" t="s">
        <v>2351</v>
      </c>
      <c r="M1414">
        <v>327981185502</v>
      </c>
      <c r="N1414" t="s">
        <v>2661</v>
      </c>
      <c r="O1414" s="1">
        <v>44894</v>
      </c>
      <c r="T1414" t="s">
        <v>2662</v>
      </c>
      <c r="U1414" t="s">
        <v>5940</v>
      </c>
      <c r="V1414">
        <v>0</v>
      </c>
      <c r="W1414" t="s">
        <v>2743</v>
      </c>
      <c r="X1414">
        <v>1</v>
      </c>
      <c r="Y1414" t="s">
        <v>2931</v>
      </c>
      <c r="Z1414" t="s">
        <v>2684</v>
      </c>
      <c r="AA1414">
        <v>108483856702</v>
      </c>
      <c r="AB1414" t="s">
        <v>1316</v>
      </c>
      <c r="AC1414">
        <v>0</v>
      </c>
      <c r="AD1414">
        <v>36</v>
      </c>
      <c r="AE1414">
        <v>10848385670236</v>
      </c>
      <c r="AF1414" t="s">
        <v>5941</v>
      </c>
      <c r="AG1414">
        <v>0</v>
      </c>
      <c r="AH1414">
        <v>0</v>
      </c>
    </row>
    <row r="1415" spans="1:34">
      <c r="A1415">
        <v>2025</v>
      </c>
      <c r="B1415" s="1">
        <v>45901</v>
      </c>
      <c r="C1415" t="s">
        <v>2657</v>
      </c>
      <c r="D1415" t="s">
        <v>5942</v>
      </c>
      <c r="E1415" s="43">
        <v>45902.793207210649</v>
      </c>
      <c r="F1415" s="3">
        <v>45902</v>
      </c>
      <c r="G1415" s="43">
        <v>45904.903403449076</v>
      </c>
      <c r="H1415" t="s">
        <v>2734</v>
      </c>
      <c r="I1415" t="s">
        <v>2669</v>
      </c>
      <c r="J1415" t="s">
        <v>38</v>
      </c>
      <c r="L1415" t="s">
        <v>2351</v>
      </c>
      <c r="M1415">
        <v>592383571202</v>
      </c>
      <c r="N1415" t="s">
        <v>2661</v>
      </c>
      <c r="O1415" s="1">
        <v>45457</v>
      </c>
      <c r="T1415" t="s">
        <v>2662</v>
      </c>
      <c r="U1415" t="s">
        <v>5943</v>
      </c>
      <c r="V1415">
        <v>2</v>
      </c>
      <c r="W1415" t="s">
        <v>2677</v>
      </c>
      <c r="X1415">
        <v>1</v>
      </c>
      <c r="Y1415" t="s">
        <v>2764</v>
      </c>
      <c r="Z1415" t="s">
        <v>2684</v>
      </c>
      <c r="AA1415">
        <v>108483856702</v>
      </c>
      <c r="AB1415" t="s">
        <v>1316</v>
      </c>
      <c r="AC1415">
        <v>0</v>
      </c>
      <c r="AD1415">
        <v>36</v>
      </c>
      <c r="AE1415">
        <v>10848385670236</v>
      </c>
      <c r="AF1415" t="s">
        <v>5941</v>
      </c>
      <c r="AG1415">
        <v>0</v>
      </c>
      <c r="AH1415">
        <v>0</v>
      </c>
    </row>
    <row r="1416" spans="1:34">
      <c r="A1416">
        <v>2025</v>
      </c>
      <c r="B1416" s="1">
        <v>45901</v>
      </c>
      <c r="C1416" t="s">
        <v>2657</v>
      </c>
      <c r="D1416" t="s">
        <v>5944</v>
      </c>
      <c r="E1416" s="43">
        <v>45902.728942557871</v>
      </c>
      <c r="F1416" s="3">
        <v>45902</v>
      </c>
      <c r="G1416" s="43">
        <v>45904.899793750003</v>
      </c>
      <c r="H1416" t="s">
        <v>2734</v>
      </c>
      <c r="I1416" t="s">
        <v>2669</v>
      </c>
      <c r="J1416" t="s">
        <v>38</v>
      </c>
      <c r="L1416" t="s">
        <v>2351</v>
      </c>
      <c r="M1416">
        <v>108483856702</v>
      </c>
      <c r="N1416" t="s">
        <v>2661</v>
      </c>
      <c r="O1416" s="1">
        <v>45457</v>
      </c>
      <c r="T1416" t="s">
        <v>2662</v>
      </c>
      <c r="U1416" t="s">
        <v>5945</v>
      </c>
      <c r="V1416">
        <v>2</v>
      </c>
      <c r="W1416" t="s">
        <v>2671</v>
      </c>
      <c r="X1416">
        <v>1</v>
      </c>
      <c r="Y1416" t="s">
        <v>2764</v>
      </c>
      <c r="Z1416" t="s">
        <v>2684</v>
      </c>
      <c r="AA1416">
        <v>108483856702</v>
      </c>
      <c r="AB1416" t="s">
        <v>1316</v>
      </c>
      <c r="AC1416">
        <v>0</v>
      </c>
      <c r="AD1416">
        <v>36</v>
      </c>
      <c r="AE1416">
        <v>10848385670236</v>
      </c>
      <c r="AF1416" t="s">
        <v>5941</v>
      </c>
      <c r="AG1416">
        <v>1</v>
      </c>
      <c r="AH1416">
        <v>1</v>
      </c>
    </row>
    <row r="1417" spans="1:34">
      <c r="A1417">
        <v>2025</v>
      </c>
      <c r="B1417" s="1">
        <v>45901</v>
      </c>
      <c r="C1417" t="s">
        <v>2657</v>
      </c>
      <c r="D1417" t="s">
        <v>5946</v>
      </c>
      <c r="E1417" s="43">
        <v>45902.86073453704</v>
      </c>
      <c r="F1417" s="3">
        <v>45902</v>
      </c>
      <c r="G1417" s="43">
        <v>45905.741585787036</v>
      </c>
      <c r="H1417" t="s">
        <v>2734</v>
      </c>
      <c r="I1417" t="s">
        <v>2669</v>
      </c>
      <c r="J1417" t="s">
        <v>38</v>
      </c>
      <c r="L1417" t="s">
        <v>2351</v>
      </c>
      <c r="M1417">
        <v>368602630102</v>
      </c>
      <c r="N1417" t="s">
        <v>2661</v>
      </c>
      <c r="O1417" s="1">
        <v>45457</v>
      </c>
      <c r="T1417" t="s">
        <v>2662</v>
      </c>
      <c r="U1417" t="s">
        <v>5947</v>
      </c>
      <c r="V1417">
        <v>3</v>
      </c>
      <c r="W1417" t="s">
        <v>2677</v>
      </c>
      <c r="X1417">
        <v>1</v>
      </c>
      <c r="Y1417" t="s">
        <v>2764</v>
      </c>
      <c r="AA1417">
        <v>108483856702</v>
      </c>
      <c r="AB1417" t="s">
        <v>1316</v>
      </c>
      <c r="AC1417">
        <v>0</v>
      </c>
      <c r="AD1417">
        <v>36</v>
      </c>
      <c r="AE1417">
        <v>10848385670236</v>
      </c>
      <c r="AF1417" t="s">
        <v>5941</v>
      </c>
      <c r="AG1417">
        <v>0</v>
      </c>
      <c r="AH1417">
        <v>0</v>
      </c>
    </row>
    <row r="1418" spans="1:34">
      <c r="A1418">
        <v>2025</v>
      </c>
      <c r="B1418" s="1">
        <v>45901</v>
      </c>
      <c r="C1418" t="s">
        <v>2657</v>
      </c>
      <c r="D1418" t="s">
        <v>5948</v>
      </c>
      <c r="E1418" s="43">
        <v>45912.603189606481</v>
      </c>
      <c r="F1418" s="3">
        <v>45912</v>
      </c>
      <c r="G1418" s="43">
        <v>45952.58641167824</v>
      </c>
      <c r="H1418" t="s">
        <v>2734</v>
      </c>
      <c r="I1418" t="s">
        <v>2681</v>
      </c>
      <c r="J1418" t="s">
        <v>38</v>
      </c>
      <c r="L1418" t="s">
        <v>2351</v>
      </c>
      <c r="M1418">
        <v>327981185502</v>
      </c>
      <c r="N1418" t="s">
        <v>2661</v>
      </c>
      <c r="O1418" s="1">
        <v>44894</v>
      </c>
      <c r="T1418" t="s">
        <v>2662</v>
      </c>
      <c r="U1418" t="s">
        <v>5949</v>
      </c>
      <c r="V1418">
        <v>28</v>
      </c>
      <c r="W1418" t="s">
        <v>2677</v>
      </c>
      <c r="X1418">
        <v>1</v>
      </c>
      <c r="Y1418" t="s">
        <v>2760</v>
      </c>
      <c r="Z1418" t="s">
        <v>2684</v>
      </c>
      <c r="AA1418">
        <v>108483856702</v>
      </c>
      <c r="AB1418" t="s">
        <v>1316</v>
      </c>
      <c r="AC1418">
        <v>0</v>
      </c>
      <c r="AD1418">
        <v>37</v>
      </c>
      <c r="AE1418">
        <v>10848385670237</v>
      </c>
      <c r="AF1418" t="s">
        <v>5941</v>
      </c>
      <c r="AG1418">
        <v>0</v>
      </c>
      <c r="AH1418">
        <v>0</v>
      </c>
    </row>
    <row r="1419" spans="1:34">
      <c r="A1419">
        <v>2025</v>
      </c>
      <c r="B1419" s="1">
        <v>45901</v>
      </c>
      <c r="C1419" t="s">
        <v>2657</v>
      </c>
      <c r="D1419" t="s">
        <v>5950</v>
      </c>
      <c r="E1419" s="43">
        <v>45911.746822245368</v>
      </c>
      <c r="F1419" s="3">
        <v>45911</v>
      </c>
      <c r="G1419" s="43">
        <v>45911.746822245368</v>
      </c>
      <c r="H1419" t="s">
        <v>2734</v>
      </c>
      <c r="I1419" t="s">
        <v>2681</v>
      </c>
      <c r="J1419" t="s">
        <v>38</v>
      </c>
      <c r="L1419" t="s">
        <v>2351</v>
      </c>
      <c r="M1419">
        <v>368602630102</v>
      </c>
      <c r="N1419" t="s">
        <v>2661</v>
      </c>
      <c r="O1419" s="1">
        <v>45457</v>
      </c>
      <c r="T1419" t="s">
        <v>2662</v>
      </c>
      <c r="U1419" t="s">
        <v>5951</v>
      </c>
      <c r="V1419">
        <v>0</v>
      </c>
      <c r="W1419" t="s">
        <v>2671</v>
      </c>
      <c r="X1419">
        <v>1</v>
      </c>
      <c r="Y1419" t="s">
        <v>2672</v>
      </c>
      <c r="AA1419">
        <v>108483856702</v>
      </c>
      <c r="AB1419" t="s">
        <v>1316</v>
      </c>
      <c r="AC1419">
        <v>0</v>
      </c>
      <c r="AD1419">
        <v>37</v>
      </c>
      <c r="AE1419">
        <v>10848385670237</v>
      </c>
      <c r="AF1419" t="s">
        <v>5941</v>
      </c>
      <c r="AG1419">
        <v>1</v>
      </c>
      <c r="AH1419">
        <v>0</v>
      </c>
    </row>
    <row r="1420" spans="1:34">
      <c r="A1420">
        <v>2025</v>
      </c>
      <c r="B1420" s="1">
        <v>45901</v>
      </c>
      <c r="C1420" t="s">
        <v>2657</v>
      </c>
      <c r="D1420" s="44" t="s">
        <v>5952</v>
      </c>
      <c r="E1420" s="43">
        <v>45915.748672094909</v>
      </c>
      <c r="F1420" s="3">
        <v>45915</v>
      </c>
      <c r="G1420" s="43">
        <v>45915.748672094909</v>
      </c>
      <c r="H1420" t="s">
        <v>2734</v>
      </c>
      <c r="I1420" t="s">
        <v>2719</v>
      </c>
      <c r="J1420" t="s">
        <v>38</v>
      </c>
      <c r="L1420" t="s">
        <v>2351</v>
      </c>
      <c r="M1420">
        <v>108483856702</v>
      </c>
      <c r="N1420" t="s">
        <v>2661</v>
      </c>
      <c r="O1420" s="1">
        <v>45457</v>
      </c>
      <c r="T1420" t="s">
        <v>2662</v>
      </c>
      <c r="U1420" t="s">
        <v>5953</v>
      </c>
      <c r="V1420">
        <v>0</v>
      </c>
      <c r="W1420" t="s">
        <v>2671</v>
      </c>
      <c r="X1420">
        <v>1</v>
      </c>
      <c r="Y1420" t="s">
        <v>2695</v>
      </c>
      <c r="AA1420">
        <v>108483856702</v>
      </c>
      <c r="AB1420" t="s">
        <v>1316</v>
      </c>
      <c r="AC1420">
        <v>0</v>
      </c>
      <c r="AD1420">
        <v>38</v>
      </c>
      <c r="AE1420">
        <v>10848385670238</v>
      </c>
      <c r="AF1420" t="s">
        <v>5941</v>
      </c>
      <c r="AG1420">
        <v>1</v>
      </c>
      <c r="AH1420">
        <v>0</v>
      </c>
    </row>
    <row r="1421" spans="1:34">
      <c r="A1421">
        <v>2025</v>
      </c>
      <c r="B1421" s="1">
        <v>45901</v>
      </c>
      <c r="C1421" t="s">
        <v>2657</v>
      </c>
      <c r="D1421" t="s">
        <v>5954</v>
      </c>
      <c r="E1421" s="43">
        <v>45926.619305231485</v>
      </c>
      <c r="F1421" s="3">
        <v>45926</v>
      </c>
      <c r="G1421" s="43">
        <v>45972.732180868057</v>
      </c>
      <c r="H1421" t="s">
        <v>2734</v>
      </c>
      <c r="I1421" t="s">
        <v>2660</v>
      </c>
      <c r="J1421" t="s">
        <v>38</v>
      </c>
      <c r="L1421" t="s">
        <v>2351</v>
      </c>
      <c r="M1421">
        <v>327981185502</v>
      </c>
      <c r="N1421" t="s">
        <v>2661</v>
      </c>
      <c r="O1421" s="1">
        <v>44894</v>
      </c>
      <c r="T1421" t="s">
        <v>2662</v>
      </c>
      <c r="U1421" t="s">
        <v>5955</v>
      </c>
      <c r="V1421">
        <v>32</v>
      </c>
      <c r="W1421" t="s">
        <v>2677</v>
      </c>
      <c r="X1421">
        <v>1</v>
      </c>
      <c r="Y1421" t="s">
        <v>2807</v>
      </c>
      <c r="AA1421">
        <v>108483856702</v>
      </c>
      <c r="AB1421" t="s">
        <v>1316</v>
      </c>
      <c r="AC1421">
        <v>0</v>
      </c>
      <c r="AD1421">
        <v>39</v>
      </c>
      <c r="AE1421">
        <v>10848385670239</v>
      </c>
      <c r="AF1421" t="s">
        <v>5941</v>
      </c>
      <c r="AG1421">
        <v>0</v>
      </c>
      <c r="AH1421">
        <v>0</v>
      </c>
    </row>
    <row r="1422" spans="1:34">
      <c r="A1422">
        <v>2025</v>
      </c>
      <c r="B1422" s="1">
        <v>45901</v>
      </c>
      <c r="C1422" t="s">
        <v>2657</v>
      </c>
      <c r="D1422" s="44" t="s">
        <v>5956</v>
      </c>
      <c r="E1422" s="43">
        <v>45926.734318275463</v>
      </c>
      <c r="F1422" s="3">
        <v>45926</v>
      </c>
      <c r="G1422" s="43">
        <v>45929.723675578702</v>
      </c>
      <c r="H1422" t="s">
        <v>2734</v>
      </c>
      <c r="I1422" t="s">
        <v>2660</v>
      </c>
      <c r="J1422" t="s">
        <v>38</v>
      </c>
      <c r="L1422" t="s">
        <v>2351</v>
      </c>
      <c r="M1422">
        <v>592383571202</v>
      </c>
      <c r="N1422" t="s">
        <v>2661</v>
      </c>
      <c r="O1422" s="1">
        <v>45457</v>
      </c>
      <c r="T1422" t="s">
        <v>2662</v>
      </c>
      <c r="U1422" t="s">
        <v>5957</v>
      </c>
      <c r="V1422">
        <v>1</v>
      </c>
      <c r="W1422" t="s">
        <v>2677</v>
      </c>
      <c r="X1422">
        <v>1</v>
      </c>
      <c r="Y1422" t="s">
        <v>2760</v>
      </c>
      <c r="AA1422">
        <v>108483856702</v>
      </c>
      <c r="AB1422" t="s">
        <v>1316</v>
      </c>
      <c r="AC1422">
        <v>0</v>
      </c>
      <c r="AD1422">
        <v>39</v>
      </c>
      <c r="AE1422">
        <v>10848385670239</v>
      </c>
      <c r="AF1422" t="s">
        <v>5941</v>
      </c>
      <c r="AG1422">
        <v>0</v>
      </c>
      <c r="AH1422">
        <v>0</v>
      </c>
    </row>
    <row r="1423" spans="1:34">
      <c r="A1423">
        <v>2025</v>
      </c>
      <c r="B1423" s="1">
        <v>45901</v>
      </c>
      <c r="C1423" t="s">
        <v>2657</v>
      </c>
      <c r="D1423" t="s">
        <v>5958</v>
      </c>
      <c r="E1423" s="43">
        <v>45923.755460208333</v>
      </c>
      <c r="F1423" s="3">
        <v>45923</v>
      </c>
      <c r="G1423" s="43">
        <v>45923.755460208333</v>
      </c>
      <c r="H1423" t="s">
        <v>2734</v>
      </c>
      <c r="I1423" t="s">
        <v>2660</v>
      </c>
      <c r="J1423" t="s">
        <v>38</v>
      </c>
      <c r="L1423" t="s">
        <v>2351</v>
      </c>
      <c r="M1423">
        <v>108483856702</v>
      </c>
      <c r="N1423" t="s">
        <v>2661</v>
      </c>
      <c r="O1423" s="1">
        <v>45457</v>
      </c>
      <c r="T1423" t="s">
        <v>2662</v>
      </c>
      <c r="U1423" t="s">
        <v>5959</v>
      </c>
      <c r="V1423">
        <v>0</v>
      </c>
      <c r="W1423" t="s">
        <v>2677</v>
      </c>
      <c r="X1423">
        <v>1</v>
      </c>
      <c r="Y1423" t="s">
        <v>2779</v>
      </c>
      <c r="AA1423">
        <v>108483856702</v>
      </c>
      <c r="AB1423" t="s">
        <v>1316</v>
      </c>
      <c r="AC1423">
        <v>0</v>
      </c>
      <c r="AD1423">
        <v>39</v>
      </c>
      <c r="AE1423">
        <v>10848385670239</v>
      </c>
      <c r="AF1423" t="s">
        <v>5941</v>
      </c>
      <c r="AG1423">
        <v>1</v>
      </c>
      <c r="AH1423">
        <v>0</v>
      </c>
    </row>
    <row r="1424" spans="1:34">
      <c r="A1424">
        <v>2025</v>
      </c>
      <c r="B1424" s="1">
        <v>45901</v>
      </c>
      <c r="C1424" t="s">
        <v>2657</v>
      </c>
      <c r="D1424" t="s">
        <v>5960</v>
      </c>
      <c r="E1424" s="43">
        <v>45926.788253935185</v>
      </c>
      <c r="F1424" s="3">
        <v>45926</v>
      </c>
      <c r="G1424" s="43">
        <v>45926.788253935185</v>
      </c>
      <c r="H1424" t="s">
        <v>2734</v>
      </c>
      <c r="I1424" t="s">
        <v>2660</v>
      </c>
      <c r="J1424" t="s">
        <v>38</v>
      </c>
      <c r="L1424" t="s">
        <v>2351</v>
      </c>
      <c r="M1424">
        <v>108483856702</v>
      </c>
      <c r="N1424" t="s">
        <v>2661</v>
      </c>
      <c r="O1424" s="1">
        <v>45457</v>
      </c>
      <c r="T1424" t="s">
        <v>2662</v>
      </c>
      <c r="U1424" t="s">
        <v>5961</v>
      </c>
      <c r="V1424">
        <v>0</v>
      </c>
      <c r="W1424" t="s">
        <v>2743</v>
      </c>
      <c r="X1424">
        <v>1</v>
      </c>
      <c r="Y1424" t="s">
        <v>2764</v>
      </c>
      <c r="AA1424">
        <v>108483856702</v>
      </c>
      <c r="AB1424" t="s">
        <v>1316</v>
      </c>
      <c r="AC1424">
        <v>0</v>
      </c>
      <c r="AD1424">
        <v>39</v>
      </c>
      <c r="AE1424">
        <v>10848385670239</v>
      </c>
      <c r="AF1424" t="s">
        <v>5941</v>
      </c>
      <c r="AG1424">
        <v>0</v>
      </c>
      <c r="AH1424">
        <v>0</v>
      </c>
    </row>
    <row r="1425" spans="1:34">
      <c r="A1425">
        <v>2026</v>
      </c>
      <c r="B1425" s="1">
        <v>46054</v>
      </c>
      <c r="C1425" t="s">
        <v>2657</v>
      </c>
      <c r="D1425" t="s">
        <v>5962</v>
      </c>
      <c r="E1425" s="43">
        <v>46056.820894351855</v>
      </c>
      <c r="F1425" s="3">
        <v>46056</v>
      </c>
      <c r="G1425" s="43">
        <v>46057.724547094906</v>
      </c>
      <c r="H1425" t="s">
        <v>2725</v>
      </c>
      <c r="I1425" t="s">
        <v>2669</v>
      </c>
      <c r="J1425" t="s">
        <v>36</v>
      </c>
      <c r="L1425" t="s">
        <v>2355</v>
      </c>
      <c r="M1425">
        <v>1026263719202</v>
      </c>
      <c r="N1425" t="s">
        <v>2661</v>
      </c>
      <c r="O1425" s="1">
        <v>45730</v>
      </c>
      <c r="T1425" t="s">
        <v>2662</v>
      </c>
      <c r="U1425" t="s">
        <v>5963</v>
      </c>
      <c r="V1425">
        <v>1</v>
      </c>
      <c r="X1425">
        <v>1</v>
      </c>
      <c r="Y1425" t="s">
        <v>2699</v>
      </c>
      <c r="AA1425">
        <v>1026263719202</v>
      </c>
      <c r="AB1425" t="s">
        <v>616</v>
      </c>
      <c r="AC1425">
        <v>0</v>
      </c>
      <c r="AD1425">
        <v>6</v>
      </c>
      <c r="AE1425">
        <v>10262637192026</v>
      </c>
      <c r="AF1425" t="s">
        <v>5964</v>
      </c>
      <c r="AG1425">
        <v>1</v>
      </c>
      <c r="AH1425">
        <v>1</v>
      </c>
    </row>
    <row r="1426" spans="1:34">
      <c r="A1426">
        <v>2026</v>
      </c>
      <c r="B1426" s="1">
        <v>46054</v>
      </c>
      <c r="C1426" t="s">
        <v>2657</v>
      </c>
      <c r="D1426" t="s">
        <v>5965</v>
      </c>
      <c r="E1426" s="43">
        <v>46065.551986168983</v>
      </c>
      <c r="F1426" s="3">
        <v>46065</v>
      </c>
      <c r="G1426" s="43">
        <v>46073.861724039351</v>
      </c>
      <c r="H1426" t="s">
        <v>2725</v>
      </c>
      <c r="I1426" t="s">
        <v>2681</v>
      </c>
      <c r="J1426" t="s">
        <v>36</v>
      </c>
      <c r="L1426" t="s">
        <v>2355</v>
      </c>
      <c r="M1426">
        <v>1026263719202</v>
      </c>
      <c r="N1426" t="s">
        <v>2661</v>
      </c>
      <c r="O1426" s="1">
        <v>45730</v>
      </c>
      <c r="T1426" t="s">
        <v>2662</v>
      </c>
      <c r="U1426" t="s">
        <v>5966</v>
      </c>
      <c r="V1426">
        <v>6</v>
      </c>
      <c r="X1426">
        <v>1</v>
      </c>
      <c r="Y1426" t="s">
        <v>2699</v>
      </c>
      <c r="AA1426">
        <v>1026263719202</v>
      </c>
      <c r="AB1426" t="s">
        <v>616</v>
      </c>
      <c r="AC1426">
        <v>0</v>
      </c>
      <c r="AD1426">
        <v>7</v>
      </c>
      <c r="AE1426">
        <v>10262637192027</v>
      </c>
      <c r="AF1426" t="s">
        <v>5964</v>
      </c>
      <c r="AG1426">
        <v>1</v>
      </c>
      <c r="AH1426">
        <v>0</v>
      </c>
    </row>
    <row r="1427" spans="1:34">
      <c r="A1427">
        <v>2026</v>
      </c>
      <c r="B1427" s="1">
        <v>46023</v>
      </c>
      <c r="C1427" t="s">
        <v>2657</v>
      </c>
      <c r="D1427" t="s">
        <v>5967</v>
      </c>
      <c r="E1427" s="43">
        <v>46030.865237835649</v>
      </c>
      <c r="F1427" s="3">
        <v>46030</v>
      </c>
      <c r="G1427" s="43">
        <v>46034.778619305558</v>
      </c>
      <c r="H1427" t="s">
        <v>2701</v>
      </c>
      <c r="I1427" t="s">
        <v>2681</v>
      </c>
      <c r="J1427" t="s">
        <v>37</v>
      </c>
      <c r="L1427" t="s">
        <v>2364</v>
      </c>
      <c r="M1427">
        <v>7763660815</v>
      </c>
      <c r="N1427" t="s">
        <v>2661</v>
      </c>
      <c r="O1427" s="1">
        <v>45661</v>
      </c>
      <c r="T1427" t="s">
        <v>2662</v>
      </c>
      <c r="U1427" t="s">
        <v>5968</v>
      </c>
      <c r="V1427">
        <v>2</v>
      </c>
      <c r="W1427" t="s">
        <v>2671</v>
      </c>
      <c r="X1427">
        <v>1</v>
      </c>
      <c r="Y1427" t="s">
        <v>2672</v>
      </c>
      <c r="AA1427">
        <v>7763660815</v>
      </c>
      <c r="AB1427" t="s">
        <v>895</v>
      </c>
      <c r="AC1427">
        <v>0</v>
      </c>
      <c r="AD1427">
        <v>2</v>
      </c>
      <c r="AE1427">
        <v>77636608152</v>
      </c>
      <c r="AF1427" t="s">
        <v>5969</v>
      </c>
      <c r="AG1427">
        <v>1</v>
      </c>
      <c r="AH1427">
        <v>1</v>
      </c>
    </row>
    <row r="1428" spans="1:34">
      <c r="A1428">
        <v>2026</v>
      </c>
      <c r="B1428" s="1">
        <v>46054</v>
      </c>
      <c r="C1428" t="s">
        <v>2657</v>
      </c>
      <c r="D1428" t="s">
        <v>5970</v>
      </c>
      <c r="E1428" s="43">
        <v>46078.774953993059</v>
      </c>
      <c r="F1428" s="3">
        <v>46078</v>
      </c>
      <c r="G1428" s="43">
        <v>46078.774953993059</v>
      </c>
      <c r="H1428" t="s">
        <v>2725</v>
      </c>
      <c r="I1428" t="s">
        <v>2660</v>
      </c>
      <c r="J1428" t="s">
        <v>38</v>
      </c>
      <c r="L1428" t="s">
        <v>2379</v>
      </c>
      <c r="M1428">
        <v>922736911702</v>
      </c>
      <c r="N1428" t="s">
        <v>2675</v>
      </c>
      <c r="O1428" s="1">
        <v>45751</v>
      </c>
      <c r="T1428" t="s">
        <v>2662</v>
      </c>
      <c r="U1428" t="s">
        <v>5971</v>
      </c>
      <c r="V1428">
        <v>0</v>
      </c>
      <c r="W1428" t="s">
        <v>2671</v>
      </c>
      <c r="X1428">
        <v>1</v>
      </c>
      <c r="Y1428" t="s">
        <v>2672</v>
      </c>
      <c r="AA1428">
        <v>1147177827502</v>
      </c>
      <c r="AB1428" t="s">
        <v>2578</v>
      </c>
      <c r="AC1428">
        <v>1</v>
      </c>
      <c r="AD1428">
        <v>9</v>
      </c>
      <c r="AE1428">
        <v>11471778275029</v>
      </c>
      <c r="AF1428" t="s">
        <v>5972</v>
      </c>
      <c r="AG1428">
        <v>1</v>
      </c>
      <c r="AH1428">
        <v>1</v>
      </c>
    </row>
    <row r="1429" spans="1:34">
      <c r="A1429">
        <v>2025</v>
      </c>
      <c r="B1429" s="1">
        <v>45962</v>
      </c>
      <c r="C1429" t="s">
        <v>2657</v>
      </c>
      <c r="D1429" t="s">
        <v>5973</v>
      </c>
      <c r="E1429" s="43">
        <v>45979.771185729165</v>
      </c>
      <c r="F1429" s="3">
        <v>45979</v>
      </c>
      <c r="G1429" s="43">
        <v>45986.899889687498</v>
      </c>
      <c r="H1429" t="s">
        <v>2802</v>
      </c>
      <c r="I1429" t="s">
        <v>2719</v>
      </c>
      <c r="J1429" t="s">
        <v>38</v>
      </c>
      <c r="L1429" t="s">
        <v>2393</v>
      </c>
      <c r="M1429">
        <v>380157072302</v>
      </c>
      <c r="N1429" t="s">
        <v>2702</v>
      </c>
      <c r="O1429" s="1">
        <v>45294</v>
      </c>
      <c r="T1429" t="s">
        <v>2662</v>
      </c>
      <c r="U1429" t="s">
        <v>5974</v>
      </c>
      <c r="V1429">
        <v>5</v>
      </c>
      <c r="W1429" t="s">
        <v>2677</v>
      </c>
      <c r="X1429">
        <v>1</v>
      </c>
      <c r="Y1429" t="s">
        <v>2807</v>
      </c>
      <c r="AA1429">
        <v>380157072302</v>
      </c>
      <c r="AB1429" t="s">
        <v>2293</v>
      </c>
      <c r="AC1429">
        <v>0</v>
      </c>
      <c r="AD1429">
        <v>47</v>
      </c>
      <c r="AE1429">
        <v>38015707230247</v>
      </c>
      <c r="AF1429" t="s">
        <v>5975</v>
      </c>
      <c r="AG1429">
        <v>1</v>
      </c>
      <c r="AH1429">
        <v>1</v>
      </c>
    </row>
    <row r="1430" spans="1:34">
      <c r="A1430">
        <v>2025</v>
      </c>
      <c r="B1430" s="1">
        <v>45962</v>
      </c>
      <c r="C1430" t="s">
        <v>2657</v>
      </c>
      <c r="D1430" s="44" t="s">
        <v>5976</v>
      </c>
      <c r="E1430" s="43">
        <v>45982.732718067127</v>
      </c>
      <c r="F1430" s="3">
        <v>45982</v>
      </c>
      <c r="G1430" s="43">
        <v>45994.772629583334</v>
      </c>
      <c r="H1430" t="s">
        <v>2802</v>
      </c>
      <c r="I1430" t="s">
        <v>2719</v>
      </c>
      <c r="J1430" t="s">
        <v>38</v>
      </c>
      <c r="L1430" t="s">
        <v>2393</v>
      </c>
      <c r="M1430">
        <v>380157072302</v>
      </c>
      <c r="N1430" t="s">
        <v>2702</v>
      </c>
      <c r="O1430" s="1">
        <v>45294</v>
      </c>
      <c r="T1430" t="s">
        <v>2662</v>
      </c>
      <c r="U1430" t="s">
        <v>5977</v>
      </c>
      <c r="V1430">
        <v>8</v>
      </c>
      <c r="W1430" t="s">
        <v>2677</v>
      </c>
      <c r="X1430">
        <v>1</v>
      </c>
      <c r="Y1430" t="s">
        <v>2807</v>
      </c>
      <c r="AA1430">
        <v>380157072302</v>
      </c>
      <c r="AB1430" t="s">
        <v>2293</v>
      </c>
      <c r="AC1430">
        <v>0</v>
      </c>
      <c r="AD1430">
        <v>47</v>
      </c>
      <c r="AE1430">
        <v>38015707230247</v>
      </c>
      <c r="AF1430" t="s">
        <v>5975</v>
      </c>
      <c r="AG1430">
        <v>0</v>
      </c>
      <c r="AH1430">
        <v>0</v>
      </c>
    </row>
    <row r="1431" spans="1:34">
      <c r="A1431">
        <v>2025</v>
      </c>
      <c r="B1431" s="1">
        <v>45992</v>
      </c>
      <c r="C1431" t="s">
        <v>2657</v>
      </c>
      <c r="D1431" t="s">
        <v>5978</v>
      </c>
      <c r="E1431" s="43">
        <v>45995.576382326391</v>
      </c>
      <c r="F1431" s="3">
        <v>45995</v>
      </c>
      <c r="G1431" s="43">
        <v>45999.627585555558</v>
      </c>
      <c r="H1431" t="s">
        <v>2686</v>
      </c>
      <c r="I1431" t="s">
        <v>2669</v>
      </c>
      <c r="J1431" t="s">
        <v>100</v>
      </c>
      <c r="L1431" t="s">
        <v>2361</v>
      </c>
      <c r="M1431">
        <v>98998632802</v>
      </c>
      <c r="N1431" t="s">
        <v>2746</v>
      </c>
      <c r="O1431" s="1">
        <v>45947</v>
      </c>
      <c r="T1431" t="s">
        <v>2662</v>
      </c>
      <c r="U1431" t="s">
        <v>5979</v>
      </c>
      <c r="V1431">
        <v>2</v>
      </c>
      <c r="W1431" t="s">
        <v>2743</v>
      </c>
      <c r="X1431">
        <v>1</v>
      </c>
      <c r="Y1431" t="s">
        <v>2764</v>
      </c>
      <c r="AA1431">
        <v>98998632802</v>
      </c>
      <c r="AB1431" t="s">
        <v>2040</v>
      </c>
      <c r="AC1431">
        <v>0</v>
      </c>
      <c r="AD1431">
        <v>49</v>
      </c>
      <c r="AE1431">
        <v>9899863280249</v>
      </c>
      <c r="AF1431" t="s">
        <v>5980</v>
      </c>
      <c r="AG1431">
        <v>1</v>
      </c>
      <c r="AH1431">
        <v>1</v>
      </c>
    </row>
    <row r="1432" spans="1:34">
      <c r="A1432">
        <v>2025</v>
      </c>
      <c r="B1432" s="1">
        <v>45992</v>
      </c>
      <c r="C1432" t="s">
        <v>2657</v>
      </c>
      <c r="D1432" s="44" t="s">
        <v>5981</v>
      </c>
      <c r="E1432" s="43">
        <v>45999.632622673613</v>
      </c>
      <c r="F1432" s="3">
        <v>45999</v>
      </c>
      <c r="G1432" s="43">
        <v>45999.644151446759</v>
      </c>
      <c r="H1432" t="s">
        <v>2686</v>
      </c>
      <c r="I1432" t="s">
        <v>2681</v>
      </c>
      <c r="J1432" t="s">
        <v>100</v>
      </c>
      <c r="L1432" t="s">
        <v>2361</v>
      </c>
      <c r="M1432">
        <v>98998632802</v>
      </c>
      <c r="N1432" t="s">
        <v>2746</v>
      </c>
      <c r="O1432" s="1">
        <v>45947</v>
      </c>
      <c r="T1432" t="s">
        <v>2662</v>
      </c>
      <c r="U1432" t="s">
        <v>5982</v>
      </c>
      <c r="V1432">
        <v>0</v>
      </c>
      <c r="W1432" t="s">
        <v>2743</v>
      </c>
      <c r="X1432">
        <v>1</v>
      </c>
      <c r="Y1432" t="s">
        <v>2931</v>
      </c>
      <c r="AA1432">
        <v>98998632802</v>
      </c>
      <c r="AB1432" t="s">
        <v>2040</v>
      </c>
      <c r="AC1432">
        <v>0</v>
      </c>
      <c r="AD1432">
        <v>50</v>
      </c>
      <c r="AE1432">
        <v>9899863280250</v>
      </c>
      <c r="AF1432" t="s">
        <v>5980</v>
      </c>
      <c r="AG1432">
        <v>1</v>
      </c>
      <c r="AH1432">
        <v>0</v>
      </c>
    </row>
    <row r="1433" spans="1:34">
      <c r="A1433">
        <v>2025</v>
      </c>
      <c r="B1433" s="1">
        <v>45992</v>
      </c>
      <c r="C1433" t="s">
        <v>2657</v>
      </c>
      <c r="D1433" t="s">
        <v>5983</v>
      </c>
      <c r="E1433" s="43">
        <v>46001.615576666663</v>
      </c>
      <c r="F1433" s="3">
        <v>46001</v>
      </c>
      <c r="G1433" s="43">
        <v>46020.826509421298</v>
      </c>
      <c r="H1433" t="s">
        <v>2686</v>
      </c>
      <c r="I1433" t="s">
        <v>2681</v>
      </c>
      <c r="J1433" t="s">
        <v>100</v>
      </c>
      <c r="L1433" t="s">
        <v>2361</v>
      </c>
      <c r="M1433">
        <v>98998632802</v>
      </c>
      <c r="N1433" t="s">
        <v>2746</v>
      </c>
      <c r="O1433" s="1">
        <v>45947</v>
      </c>
      <c r="T1433" t="s">
        <v>2662</v>
      </c>
      <c r="U1433" t="s">
        <v>5984</v>
      </c>
      <c r="V1433">
        <v>13</v>
      </c>
      <c r="W1433" t="s">
        <v>2743</v>
      </c>
      <c r="X1433">
        <v>1</v>
      </c>
      <c r="Y1433" t="s">
        <v>2717</v>
      </c>
      <c r="AA1433">
        <v>98998632802</v>
      </c>
      <c r="AB1433" t="s">
        <v>2040</v>
      </c>
      <c r="AC1433">
        <v>1</v>
      </c>
      <c r="AD1433">
        <v>50</v>
      </c>
      <c r="AE1433">
        <v>9899863280250</v>
      </c>
      <c r="AF1433" t="s">
        <v>5980</v>
      </c>
      <c r="AG1433">
        <v>0</v>
      </c>
      <c r="AH1433">
        <v>0</v>
      </c>
    </row>
    <row r="1434" spans="1:34">
      <c r="A1434">
        <v>2025</v>
      </c>
      <c r="B1434" s="1">
        <v>45901</v>
      </c>
      <c r="C1434" t="s">
        <v>2657</v>
      </c>
      <c r="D1434" t="s">
        <v>5985</v>
      </c>
      <c r="E1434" s="43">
        <v>45917.821071527775</v>
      </c>
      <c r="F1434" s="3">
        <v>45917</v>
      </c>
      <c r="G1434" s="43">
        <v>45919.797051666668</v>
      </c>
      <c r="H1434" t="s">
        <v>2734</v>
      </c>
      <c r="I1434" t="s">
        <v>2719</v>
      </c>
      <c r="J1434" t="s">
        <v>38</v>
      </c>
      <c r="L1434" t="s">
        <v>2379</v>
      </c>
      <c r="M1434">
        <v>653060435802</v>
      </c>
      <c r="N1434" t="s">
        <v>2675</v>
      </c>
      <c r="O1434" s="1">
        <v>45294</v>
      </c>
      <c r="T1434" t="s">
        <v>2662</v>
      </c>
      <c r="U1434" t="s">
        <v>5986</v>
      </c>
      <c r="V1434">
        <v>2</v>
      </c>
      <c r="W1434" t="s">
        <v>2671</v>
      </c>
      <c r="X1434">
        <v>1</v>
      </c>
      <c r="Y1434" t="s">
        <v>2672</v>
      </c>
      <c r="AA1434">
        <v>653060435802</v>
      </c>
      <c r="AB1434" t="s">
        <v>851</v>
      </c>
      <c r="AC1434">
        <v>0</v>
      </c>
      <c r="AD1434">
        <v>38</v>
      </c>
      <c r="AE1434">
        <v>65306043580238</v>
      </c>
      <c r="AF1434" t="s">
        <v>5987</v>
      </c>
      <c r="AG1434">
        <v>1</v>
      </c>
      <c r="AH1434">
        <v>1</v>
      </c>
    </row>
    <row r="1435" spans="1:34">
      <c r="A1435">
        <v>2026</v>
      </c>
      <c r="B1435" s="1">
        <v>46023</v>
      </c>
      <c r="C1435" t="s">
        <v>2657</v>
      </c>
      <c r="D1435" t="s">
        <v>5988</v>
      </c>
      <c r="E1435" s="43">
        <v>46036.893379583336</v>
      </c>
      <c r="F1435" s="3">
        <v>46036</v>
      </c>
      <c r="G1435" s="43">
        <v>46037.716827546297</v>
      </c>
      <c r="H1435" t="s">
        <v>2701</v>
      </c>
      <c r="I1435" t="s">
        <v>2681</v>
      </c>
      <c r="J1435" t="s">
        <v>38</v>
      </c>
      <c r="L1435" t="s">
        <v>2342</v>
      </c>
      <c r="M1435">
        <v>755841394202</v>
      </c>
      <c r="N1435" t="s">
        <v>2702</v>
      </c>
      <c r="O1435" s="1">
        <v>45411</v>
      </c>
      <c r="T1435" t="s">
        <v>2662</v>
      </c>
      <c r="U1435" t="s">
        <v>5989</v>
      </c>
      <c r="V1435">
        <v>1</v>
      </c>
      <c r="W1435" t="s">
        <v>2671</v>
      </c>
      <c r="X1435">
        <v>1</v>
      </c>
      <c r="Y1435" t="s">
        <v>2985</v>
      </c>
      <c r="AA1435">
        <v>755841394202</v>
      </c>
      <c r="AB1435" t="s">
        <v>376</v>
      </c>
      <c r="AC1435">
        <v>0</v>
      </c>
      <c r="AD1435">
        <v>3</v>
      </c>
      <c r="AE1435">
        <v>7558413942023</v>
      </c>
      <c r="AF1435" t="s">
        <v>5990</v>
      </c>
      <c r="AG1435">
        <v>1</v>
      </c>
      <c r="AH1435">
        <v>1</v>
      </c>
    </row>
    <row r="1436" spans="1:34">
      <c r="A1436">
        <v>2026</v>
      </c>
      <c r="B1436" s="1">
        <v>46023</v>
      </c>
      <c r="C1436" t="s">
        <v>2657</v>
      </c>
      <c r="D1436" t="s">
        <v>5991</v>
      </c>
      <c r="E1436" s="43">
        <v>46043.55086171296</v>
      </c>
      <c r="F1436" s="3">
        <v>46043</v>
      </c>
      <c r="G1436" s="43">
        <v>46056.589102361111</v>
      </c>
      <c r="H1436" t="s">
        <v>2701</v>
      </c>
      <c r="I1436" t="s">
        <v>2719</v>
      </c>
      <c r="J1436" t="s">
        <v>38</v>
      </c>
      <c r="L1436" t="s">
        <v>2342</v>
      </c>
      <c r="M1436">
        <v>755841394202</v>
      </c>
      <c r="N1436" t="s">
        <v>2702</v>
      </c>
      <c r="O1436" s="1">
        <v>45411</v>
      </c>
      <c r="T1436" t="s">
        <v>2662</v>
      </c>
      <c r="U1436" t="s">
        <v>5992</v>
      </c>
      <c r="V1436">
        <v>9</v>
      </c>
      <c r="W1436" t="s">
        <v>2677</v>
      </c>
      <c r="X1436">
        <v>1</v>
      </c>
      <c r="Y1436" t="s">
        <v>2807</v>
      </c>
      <c r="AA1436">
        <v>755841394202</v>
      </c>
      <c r="AB1436" t="s">
        <v>376</v>
      </c>
      <c r="AC1436">
        <v>0</v>
      </c>
      <c r="AD1436">
        <v>4</v>
      </c>
      <c r="AE1436">
        <v>7558413942024</v>
      </c>
      <c r="AF1436" t="s">
        <v>5990</v>
      </c>
      <c r="AG1436">
        <v>1</v>
      </c>
      <c r="AH1436">
        <v>0</v>
      </c>
    </row>
    <row r="1437" spans="1:34">
      <c r="A1437">
        <v>2026</v>
      </c>
      <c r="B1437" s="1">
        <v>46023</v>
      </c>
      <c r="C1437" t="s">
        <v>2657</v>
      </c>
      <c r="D1437" t="s">
        <v>5993</v>
      </c>
      <c r="E1437" s="43">
        <v>46038.734733263889</v>
      </c>
      <c r="F1437" s="3">
        <v>46038</v>
      </c>
      <c r="G1437" s="43">
        <v>46043.541718564818</v>
      </c>
      <c r="H1437" t="s">
        <v>2701</v>
      </c>
      <c r="I1437" t="s">
        <v>2719</v>
      </c>
      <c r="J1437" t="s">
        <v>38</v>
      </c>
      <c r="L1437" t="s">
        <v>2342</v>
      </c>
      <c r="M1437">
        <v>755841394202</v>
      </c>
      <c r="N1437" t="s">
        <v>2702</v>
      </c>
      <c r="O1437" s="1">
        <v>45411</v>
      </c>
      <c r="T1437" t="s">
        <v>2662</v>
      </c>
      <c r="U1437" t="s">
        <v>5994</v>
      </c>
      <c r="V1437">
        <v>3</v>
      </c>
      <c r="W1437" t="s">
        <v>2671</v>
      </c>
      <c r="X1437">
        <v>1</v>
      </c>
      <c r="Y1437" t="s">
        <v>2760</v>
      </c>
      <c r="AA1437">
        <v>755841394202</v>
      </c>
      <c r="AB1437" t="s">
        <v>376</v>
      </c>
      <c r="AC1437">
        <v>0</v>
      </c>
      <c r="AD1437">
        <v>3</v>
      </c>
      <c r="AE1437">
        <v>7558413942023</v>
      </c>
      <c r="AF1437" t="s">
        <v>5990</v>
      </c>
      <c r="AG1437">
        <v>0</v>
      </c>
      <c r="AH1437">
        <v>0</v>
      </c>
    </row>
    <row r="1438" spans="1:34">
      <c r="A1438">
        <v>2026</v>
      </c>
      <c r="B1438" s="1">
        <v>46023</v>
      </c>
      <c r="C1438" t="s">
        <v>2657</v>
      </c>
      <c r="D1438" t="s">
        <v>5995</v>
      </c>
      <c r="E1438" s="43">
        <v>46037.584100208333</v>
      </c>
      <c r="F1438" s="3">
        <v>46037</v>
      </c>
      <c r="G1438" s="43">
        <v>46062.700766249996</v>
      </c>
      <c r="H1438" t="s">
        <v>2701</v>
      </c>
      <c r="I1438" t="s">
        <v>2719</v>
      </c>
      <c r="J1438" t="s">
        <v>38</v>
      </c>
      <c r="L1438" t="s">
        <v>2342</v>
      </c>
      <c r="M1438">
        <v>755841394202</v>
      </c>
      <c r="N1438" t="s">
        <v>2702</v>
      </c>
      <c r="O1438" s="1">
        <v>45411</v>
      </c>
      <c r="T1438" t="s">
        <v>2662</v>
      </c>
      <c r="U1438" t="s">
        <v>5996</v>
      </c>
      <c r="V1438">
        <v>17</v>
      </c>
      <c r="W1438" t="s">
        <v>2677</v>
      </c>
      <c r="X1438">
        <v>1</v>
      </c>
      <c r="Y1438" t="s">
        <v>2740</v>
      </c>
      <c r="AA1438">
        <v>755841394202</v>
      </c>
      <c r="AB1438" t="s">
        <v>376</v>
      </c>
      <c r="AC1438">
        <v>0</v>
      </c>
      <c r="AD1438">
        <v>3</v>
      </c>
      <c r="AE1438">
        <v>7558413942023</v>
      </c>
      <c r="AF1438" t="s">
        <v>5990</v>
      </c>
      <c r="AG1438">
        <v>0</v>
      </c>
      <c r="AH1438">
        <v>0</v>
      </c>
    </row>
    <row r="1439" spans="1:34">
      <c r="A1439">
        <v>2025</v>
      </c>
      <c r="B1439" s="1">
        <v>45962</v>
      </c>
      <c r="C1439" t="s">
        <v>2657</v>
      </c>
      <c r="D1439" t="s">
        <v>5997</v>
      </c>
      <c r="E1439" s="43">
        <v>45968.631417604163</v>
      </c>
      <c r="F1439" s="3">
        <v>45968</v>
      </c>
      <c r="G1439" s="43">
        <v>45968.631417604163</v>
      </c>
      <c r="H1439" t="s">
        <v>2802</v>
      </c>
      <c r="I1439" t="s">
        <v>2669</v>
      </c>
      <c r="J1439" t="s">
        <v>2735</v>
      </c>
      <c r="L1439" t="s">
        <v>2362</v>
      </c>
      <c r="M1439">
        <v>46733383915</v>
      </c>
      <c r="N1439" t="s">
        <v>2746</v>
      </c>
      <c r="O1439" s="1">
        <v>45145</v>
      </c>
      <c r="T1439" t="s">
        <v>2662</v>
      </c>
      <c r="U1439" t="s">
        <v>5998</v>
      </c>
      <c r="V1439">
        <v>0</v>
      </c>
      <c r="W1439" t="s">
        <v>2677</v>
      </c>
      <c r="X1439">
        <v>1</v>
      </c>
      <c r="Y1439" t="s">
        <v>2695</v>
      </c>
      <c r="AA1439">
        <v>46733383915</v>
      </c>
      <c r="AB1439" t="s">
        <v>839</v>
      </c>
      <c r="AC1439">
        <v>0</v>
      </c>
      <c r="AD1439">
        <v>45</v>
      </c>
      <c r="AE1439">
        <v>4673338391545</v>
      </c>
      <c r="AF1439" t="s">
        <v>5999</v>
      </c>
      <c r="AG1439">
        <v>1</v>
      </c>
      <c r="AH1439">
        <v>1</v>
      </c>
    </row>
    <row r="1440" spans="1:34">
      <c r="A1440">
        <v>2025</v>
      </c>
      <c r="B1440" s="1">
        <v>45962</v>
      </c>
      <c r="C1440" t="s">
        <v>2657</v>
      </c>
      <c r="D1440" t="s">
        <v>6000</v>
      </c>
      <c r="E1440" s="43">
        <v>45975.791137986111</v>
      </c>
      <c r="F1440" s="3">
        <v>45975</v>
      </c>
      <c r="G1440" s="43">
        <v>45989.653322407408</v>
      </c>
      <c r="H1440" t="s">
        <v>2802</v>
      </c>
      <c r="I1440" t="s">
        <v>2681</v>
      </c>
      <c r="J1440" t="s">
        <v>2735</v>
      </c>
      <c r="L1440" t="s">
        <v>2362</v>
      </c>
      <c r="M1440">
        <v>46733383915</v>
      </c>
      <c r="N1440" t="s">
        <v>2746</v>
      </c>
      <c r="O1440" s="1">
        <v>45145</v>
      </c>
      <c r="T1440" t="s">
        <v>2662</v>
      </c>
      <c r="U1440" t="s">
        <v>6001</v>
      </c>
      <c r="V1440">
        <v>10</v>
      </c>
      <c r="W1440" t="s">
        <v>2677</v>
      </c>
      <c r="X1440">
        <v>1</v>
      </c>
      <c r="Y1440" t="s">
        <v>2779</v>
      </c>
      <c r="AA1440">
        <v>46733383915</v>
      </c>
      <c r="AB1440" t="s">
        <v>839</v>
      </c>
      <c r="AC1440">
        <v>0</v>
      </c>
      <c r="AD1440">
        <v>46</v>
      </c>
      <c r="AE1440">
        <v>4673338391546</v>
      </c>
      <c r="AF1440" t="s">
        <v>5999</v>
      </c>
      <c r="AG1440">
        <v>1</v>
      </c>
      <c r="AH1440">
        <v>0</v>
      </c>
    </row>
    <row r="1441" spans="1:34">
      <c r="A1441">
        <v>2025</v>
      </c>
      <c r="B1441" s="1">
        <v>45962</v>
      </c>
      <c r="C1441" t="s">
        <v>2657</v>
      </c>
      <c r="D1441" t="s">
        <v>6002</v>
      </c>
      <c r="E1441" s="43">
        <v>45980.582441979168</v>
      </c>
      <c r="F1441" s="3">
        <v>45980</v>
      </c>
      <c r="G1441" s="43">
        <v>45980.582441979168</v>
      </c>
      <c r="H1441" t="s">
        <v>2802</v>
      </c>
      <c r="I1441" t="s">
        <v>2719</v>
      </c>
      <c r="J1441" t="s">
        <v>2735</v>
      </c>
      <c r="L1441" t="s">
        <v>2362</v>
      </c>
      <c r="M1441">
        <v>46733383915</v>
      </c>
      <c r="N1441" t="s">
        <v>2746</v>
      </c>
      <c r="O1441" s="1">
        <v>45145</v>
      </c>
      <c r="T1441" t="s">
        <v>2662</v>
      </c>
      <c r="U1441" t="s">
        <v>6003</v>
      </c>
      <c r="V1441">
        <v>0</v>
      </c>
      <c r="W1441" t="s">
        <v>2671</v>
      </c>
      <c r="X1441">
        <v>1</v>
      </c>
      <c r="Y1441" t="s">
        <v>2683</v>
      </c>
      <c r="AA1441">
        <v>46733383915</v>
      </c>
      <c r="AB1441" t="s">
        <v>839</v>
      </c>
      <c r="AC1441">
        <v>0</v>
      </c>
      <c r="AD1441">
        <v>47</v>
      </c>
      <c r="AE1441">
        <v>4673338391547</v>
      </c>
      <c r="AF1441" t="s">
        <v>5999</v>
      </c>
      <c r="AG1441">
        <v>1</v>
      </c>
      <c r="AH1441">
        <v>0</v>
      </c>
    </row>
    <row r="1442" spans="1:34">
      <c r="A1442">
        <v>2025</v>
      </c>
      <c r="B1442" s="1">
        <v>45962</v>
      </c>
      <c r="C1442" t="s">
        <v>2657</v>
      </c>
      <c r="D1442" t="s">
        <v>6004</v>
      </c>
      <c r="E1442" s="43">
        <v>45985.635897916669</v>
      </c>
      <c r="F1442" s="3">
        <v>45985</v>
      </c>
      <c r="G1442" s="43">
        <v>45986.765971064815</v>
      </c>
      <c r="H1442" t="s">
        <v>2802</v>
      </c>
      <c r="I1442" t="s">
        <v>2660</v>
      </c>
      <c r="J1442" t="s">
        <v>2735</v>
      </c>
      <c r="L1442" t="s">
        <v>2362</v>
      </c>
      <c r="M1442">
        <v>46733383915</v>
      </c>
      <c r="N1442" t="s">
        <v>2746</v>
      </c>
      <c r="O1442" s="1">
        <v>45145</v>
      </c>
      <c r="T1442" t="s">
        <v>2662</v>
      </c>
      <c r="U1442" t="s">
        <v>6005</v>
      </c>
      <c r="V1442">
        <v>1</v>
      </c>
      <c r="W1442" t="s">
        <v>2677</v>
      </c>
      <c r="X1442">
        <v>1</v>
      </c>
      <c r="Y1442" t="s">
        <v>2767</v>
      </c>
      <c r="AA1442">
        <v>46733383915</v>
      </c>
      <c r="AB1442" t="s">
        <v>839</v>
      </c>
      <c r="AC1442">
        <v>0</v>
      </c>
      <c r="AD1442">
        <v>48</v>
      </c>
      <c r="AE1442">
        <v>4673338391548</v>
      </c>
      <c r="AF1442" t="s">
        <v>5999</v>
      </c>
      <c r="AG1442">
        <v>0</v>
      </c>
      <c r="AH1442">
        <v>0</v>
      </c>
    </row>
    <row r="1443" spans="1:34">
      <c r="A1443">
        <v>2025</v>
      </c>
      <c r="B1443" s="1">
        <v>45962</v>
      </c>
      <c r="C1443" t="s">
        <v>2657</v>
      </c>
      <c r="D1443" t="s">
        <v>6006</v>
      </c>
      <c r="E1443" s="43">
        <v>45989.838083599534</v>
      </c>
      <c r="F1443" s="3">
        <v>45989</v>
      </c>
      <c r="G1443" s="43">
        <v>46003.576602152774</v>
      </c>
      <c r="H1443" t="s">
        <v>2802</v>
      </c>
      <c r="I1443" t="s">
        <v>2660</v>
      </c>
      <c r="J1443" t="s">
        <v>2735</v>
      </c>
      <c r="L1443" t="s">
        <v>2362</v>
      </c>
      <c r="M1443">
        <v>46733383915</v>
      </c>
      <c r="N1443" t="s">
        <v>2746</v>
      </c>
      <c r="O1443" s="1">
        <v>45145</v>
      </c>
      <c r="T1443" t="s">
        <v>2662</v>
      </c>
      <c r="U1443" t="s">
        <v>6007</v>
      </c>
      <c r="V1443">
        <v>10</v>
      </c>
      <c r="W1443" t="s">
        <v>2671</v>
      </c>
      <c r="X1443">
        <v>1</v>
      </c>
      <c r="Y1443" t="s">
        <v>2683</v>
      </c>
      <c r="AA1443">
        <v>46733383915</v>
      </c>
      <c r="AB1443" t="s">
        <v>839</v>
      </c>
      <c r="AC1443">
        <v>0</v>
      </c>
      <c r="AD1443">
        <v>48</v>
      </c>
      <c r="AE1443">
        <v>4673338391548</v>
      </c>
      <c r="AF1443" t="s">
        <v>5999</v>
      </c>
      <c r="AG1443">
        <v>0</v>
      </c>
      <c r="AH1443">
        <v>0</v>
      </c>
    </row>
    <row r="1444" spans="1:34">
      <c r="A1444">
        <v>2025</v>
      </c>
      <c r="B1444" s="1">
        <v>45962</v>
      </c>
      <c r="C1444" t="s">
        <v>2657</v>
      </c>
      <c r="D1444" t="s">
        <v>6008</v>
      </c>
      <c r="E1444" s="43">
        <v>45985.612185300924</v>
      </c>
      <c r="F1444" s="3">
        <v>45985</v>
      </c>
      <c r="G1444" s="43">
        <v>45986.552716307873</v>
      </c>
      <c r="H1444" t="s">
        <v>2802</v>
      </c>
      <c r="I1444" t="s">
        <v>2660</v>
      </c>
      <c r="J1444" t="s">
        <v>2735</v>
      </c>
      <c r="L1444" t="s">
        <v>2362</v>
      </c>
      <c r="M1444">
        <v>46733383915</v>
      </c>
      <c r="N1444" t="s">
        <v>2746</v>
      </c>
      <c r="O1444" s="1">
        <v>45145</v>
      </c>
      <c r="T1444" t="s">
        <v>2662</v>
      </c>
      <c r="U1444" t="s">
        <v>6009</v>
      </c>
      <c r="V1444">
        <v>1</v>
      </c>
      <c r="W1444" t="s">
        <v>2677</v>
      </c>
      <c r="X1444">
        <v>1</v>
      </c>
      <c r="Y1444" t="s">
        <v>2760</v>
      </c>
      <c r="Z1444" t="s">
        <v>2684</v>
      </c>
      <c r="AA1444">
        <v>46733383915</v>
      </c>
      <c r="AB1444" t="s">
        <v>839</v>
      </c>
      <c r="AC1444">
        <v>0</v>
      </c>
      <c r="AD1444">
        <v>48</v>
      </c>
      <c r="AE1444">
        <v>4673338391548</v>
      </c>
      <c r="AF1444" t="s">
        <v>5999</v>
      </c>
      <c r="AG1444">
        <v>1</v>
      </c>
      <c r="AH1444">
        <v>0</v>
      </c>
    </row>
    <row r="1445" spans="1:34">
      <c r="A1445">
        <v>2025</v>
      </c>
      <c r="B1445" s="1">
        <v>45962</v>
      </c>
      <c r="C1445" t="s">
        <v>2657</v>
      </c>
      <c r="D1445" t="s">
        <v>6010</v>
      </c>
      <c r="E1445" s="43">
        <v>45989.802740289349</v>
      </c>
      <c r="F1445" s="3">
        <v>45989</v>
      </c>
      <c r="G1445" s="43">
        <v>45992.528198726854</v>
      </c>
      <c r="H1445" t="s">
        <v>2802</v>
      </c>
      <c r="I1445" t="s">
        <v>2660</v>
      </c>
      <c r="J1445" t="s">
        <v>2735</v>
      </c>
      <c r="L1445" t="s">
        <v>2362</v>
      </c>
      <c r="M1445">
        <v>46733383915</v>
      </c>
      <c r="N1445" t="s">
        <v>2746</v>
      </c>
      <c r="O1445" s="1">
        <v>45145</v>
      </c>
      <c r="T1445" t="s">
        <v>2662</v>
      </c>
      <c r="U1445" t="s">
        <v>6011</v>
      </c>
      <c r="V1445">
        <v>1</v>
      </c>
      <c r="W1445" t="s">
        <v>2671</v>
      </c>
      <c r="X1445">
        <v>1</v>
      </c>
      <c r="Y1445" t="s">
        <v>2683</v>
      </c>
      <c r="AA1445">
        <v>46733383915</v>
      </c>
      <c r="AB1445" t="s">
        <v>839</v>
      </c>
      <c r="AC1445">
        <v>0</v>
      </c>
      <c r="AD1445">
        <v>48</v>
      </c>
      <c r="AE1445">
        <v>4673338391548</v>
      </c>
      <c r="AF1445" t="s">
        <v>5999</v>
      </c>
      <c r="AG1445">
        <v>0</v>
      </c>
      <c r="AH1445">
        <v>0</v>
      </c>
    </row>
    <row r="1446" spans="1:34">
      <c r="A1446">
        <v>2026</v>
      </c>
      <c r="B1446" s="1">
        <v>46023</v>
      </c>
      <c r="C1446" t="s">
        <v>2657</v>
      </c>
      <c r="D1446" t="s">
        <v>6012</v>
      </c>
      <c r="E1446" s="43">
        <v>46048.829454004626</v>
      </c>
      <c r="F1446" s="3">
        <v>46048</v>
      </c>
      <c r="G1446" s="43">
        <v>46079.829718483794</v>
      </c>
      <c r="H1446" t="s">
        <v>2701</v>
      </c>
      <c r="I1446" t="s">
        <v>2660</v>
      </c>
      <c r="J1446" t="s">
        <v>37</v>
      </c>
      <c r="L1446" t="s">
        <v>2351</v>
      </c>
      <c r="M1446">
        <v>175133439302</v>
      </c>
      <c r="N1446" t="s">
        <v>2661</v>
      </c>
      <c r="O1446" s="1">
        <v>45320</v>
      </c>
      <c r="T1446" t="s">
        <v>2662</v>
      </c>
      <c r="U1446" t="s">
        <v>6013</v>
      </c>
      <c r="V1446">
        <v>23</v>
      </c>
      <c r="W1446" t="s">
        <v>2743</v>
      </c>
      <c r="X1446">
        <v>1</v>
      </c>
      <c r="Y1446" t="s">
        <v>2699</v>
      </c>
      <c r="AA1446">
        <v>175133439302</v>
      </c>
      <c r="AB1446" t="s">
        <v>920</v>
      </c>
      <c r="AC1446">
        <v>0</v>
      </c>
      <c r="AD1446">
        <v>5</v>
      </c>
      <c r="AE1446">
        <v>1751334393025</v>
      </c>
      <c r="AF1446" t="s">
        <v>6014</v>
      </c>
      <c r="AG1446">
        <v>1</v>
      </c>
      <c r="AH1446">
        <v>1</v>
      </c>
    </row>
    <row r="1447" spans="1:34">
      <c r="A1447">
        <v>2026</v>
      </c>
      <c r="B1447" s="1">
        <v>46023</v>
      </c>
      <c r="C1447" t="s">
        <v>2657</v>
      </c>
      <c r="D1447" t="s">
        <v>6015</v>
      </c>
      <c r="E1447" s="43">
        <v>46049.817939884262</v>
      </c>
      <c r="F1447" s="3">
        <v>46049</v>
      </c>
      <c r="G1447" s="43">
        <v>46058.623272129633</v>
      </c>
      <c r="H1447" t="s">
        <v>2701</v>
      </c>
      <c r="I1447" t="s">
        <v>2660</v>
      </c>
      <c r="J1447" t="s">
        <v>37</v>
      </c>
      <c r="L1447" t="s">
        <v>2351</v>
      </c>
      <c r="M1447">
        <v>366781295402</v>
      </c>
      <c r="N1447" t="s">
        <v>2661</v>
      </c>
      <c r="O1447" s="1">
        <v>45294</v>
      </c>
      <c r="T1447" t="s">
        <v>2662</v>
      </c>
      <c r="U1447" t="s">
        <v>6016</v>
      </c>
      <c r="V1447">
        <v>7</v>
      </c>
      <c r="W1447" t="s">
        <v>2704</v>
      </c>
      <c r="X1447">
        <v>1</v>
      </c>
      <c r="Y1447" t="s">
        <v>2721</v>
      </c>
      <c r="AA1447">
        <v>175133439302</v>
      </c>
      <c r="AB1447" t="s">
        <v>920</v>
      </c>
      <c r="AC1447">
        <v>0</v>
      </c>
      <c r="AD1447">
        <v>5</v>
      </c>
      <c r="AE1447">
        <v>1751334393025</v>
      </c>
      <c r="AF1447" t="s">
        <v>6014</v>
      </c>
      <c r="AG1447">
        <v>0</v>
      </c>
      <c r="AH1447">
        <v>0</v>
      </c>
    </row>
    <row r="1448" spans="1:34">
      <c r="A1448">
        <v>2026</v>
      </c>
      <c r="B1448" s="1">
        <v>46023</v>
      </c>
      <c r="C1448" t="s">
        <v>2657</v>
      </c>
      <c r="D1448" t="s">
        <v>6017</v>
      </c>
      <c r="E1448" s="43">
        <v>46052.537480208332</v>
      </c>
      <c r="F1448" s="3">
        <v>46052</v>
      </c>
      <c r="G1448" s="43">
        <v>46052.863426446762</v>
      </c>
      <c r="H1448" t="s">
        <v>2701</v>
      </c>
      <c r="I1448" t="s">
        <v>2697</v>
      </c>
      <c r="J1448" t="s">
        <v>37</v>
      </c>
      <c r="L1448" t="s">
        <v>2351</v>
      </c>
      <c r="M1448">
        <v>175133439302</v>
      </c>
      <c r="N1448" t="s">
        <v>2661</v>
      </c>
      <c r="O1448" s="1">
        <v>45320</v>
      </c>
      <c r="T1448" t="s">
        <v>2662</v>
      </c>
      <c r="U1448" t="s">
        <v>6018</v>
      </c>
      <c r="V1448">
        <v>0</v>
      </c>
      <c r="X1448">
        <v>1</v>
      </c>
      <c r="Y1448" t="s">
        <v>2695</v>
      </c>
      <c r="AA1448">
        <v>175133439302</v>
      </c>
      <c r="AB1448" t="s">
        <v>920</v>
      </c>
      <c r="AC1448">
        <v>0</v>
      </c>
      <c r="AD1448">
        <v>5</v>
      </c>
      <c r="AE1448">
        <v>1751334393025</v>
      </c>
      <c r="AF1448" t="s">
        <v>6014</v>
      </c>
      <c r="AG1448">
        <v>0</v>
      </c>
      <c r="AH1448">
        <v>0</v>
      </c>
    </row>
    <row r="1449" spans="1:34">
      <c r="A1449">
        <v>2026</v>
      </c>
      <c r="B1449" s="1">
        <v>46023</v>
      </c>
      <c r="C1449" t="s">
        <v>2657</v>
      </c>
      <c r="D1449" t="s">
        <v>6019</v>
      </c>
      <c r="E1449" s="43">
        <v>46037.831622928243</v>
      </c>
      <c r="F1449" s="3">
        <v>46037</v>
      </c>
      <c r="G1449" s="43">
        <v>46037.831622928243</v>
      </c>
      <c r="H1449" t="s">
        <v>2701</v>
      </c>
      <c r="I1449" t="s">
        <v>2719</v>
      </c>
      <c r="J1449" t="s">
        <v>37</v>
      </c>
      <c r="L1449" t="s">
        <v>2364</v>
      </c>
      <c r="M1449">
        <v>1087999910402</v>
      </c>
      <c r="N1449" t="s">
        <v>2661</v>
      </c>
      <c r="O1449" s="1">
        <v>45863</v>
      </c>
      <c r="T1449" t="s">
        <v>2662</v>
      </c>
      <c r="U1449" t="s">
        <v>6020</v>
      </c>
      <c r="V1449">
        <v>0</v>
      </c>
      <c r="W1449" t="s">
        <v>2704</v>
      </c>
      <c r="X1449">
        <v>1</v>
      </c>
      <c r="Y1449" t="s">
        <v>2695</v>
      </c>
      <c r="AA1449">
        <v>1078200608102</v>
      </c>
      <c r="AB1449" t="s">
        <v>1272</v>
      </c>
      <c r="AC1449">
        <v>0</v>
      </c>
      <c r="AD1449">
        <v>3</v>
      </c>
      <c r="AE1449">
        <v>10782006081023</v>
      </c>
      <c r="AF1449" t="s">
        <v>6021</v>
      </c>
      <c r="AG1449">
        <v>0</v>
      </c>
      <c r="AH1449">
        <v>0</v>
      </c>
    </row>
    <row r="1450" spans="1:34">
      <c r="A1450">
        <v>2026</v>
      </c>
      <c r="B1450" s="1">
        <v>46023</v>
      </c>
      <c r="C1450" t="s">
        <v>2657</v>
      </c>
      <c r="D1450" t="s">
        <v>6022</v>
      </c>
      <c r="E1450" s="43">
        <v>46037.830604016206</v>
      </c>
      <c r="F1450" s="3">
        <v>46037</v>
      </c>
      <c r="G1450" s="43">
        <v>46037.830604016206</v>
      </c>
      <c r="H1450" t="s">
        <v>2701</v>
      </c>
      <c r="I1450" t="s">
        <v>2719</v>
      </c>
      <c r="J1450" t="s">
        <v>37</v>
      </c>
      <c r="L1450" t="s">
        <v>2364</v>
      </c>
      <c r="M1450">
        <v>284153487302</v>
      </c>
      <c r="N1450" t="s">
        <v>2661</v>
      </c>
      <c r="O1450" s="1">
        <v>45582</v>
      </c>
      <c r="T1450" t="s">
        <v>2662</v>
      </c>
      <c r="U1450" t="s">
        <v>6020</v>
      </c>
      <c r="V1450">
        <v>0</v>
      </c>
      <c r="W1450" t="s">
        <v>2704</v>
      </c>
      <c r="X1450">
        <v>1</v>
      </c>
      <c r="Y1450" t="s">
        <v>2695</v>
      </c>
      <c r="AA1450">
        <v>1078200608102</v>
      </c>
      <c r="AB1450" t="s">
        <v>1272</v>
      </c>
      <c r="AC1450">
        <v>0</v>
      </c>
      <c r="AD1450">
        <v>3</v>
      </c>
      <c r="AE1450">
        <v>10782006081023</v>
      </c>
      <c r="AF1450" t="s">
        <v>6021</v>
      </c>
      <c r="AG1450">
        <v>0</v>
      </c>
      <c r="AH1450">
        <v>0</v>
      </c>
    </row>
    <row r="1451" spans="1:34">
      <c r="A1451">
        <v>2026</v>
      </c>
      <c r="B1451" s="1">
        <v>46023</v>
      </c>
      <c r="C1451" t="s">
        <v>2657</v>
      </c>
      <c r="D1451" t="s">
        <v>6023</v>
      </c>
      <c r="E1451" s="43">
        <v>46037.832226516206</v>
      </c>
      <c r="F1451" s="3">
        <v>46037</v>
      </c>
      <c r="G1451" s="43">
        <v>46037.832226516206</v>
      </c>
      <c r="H1451" t="s">
        <v>2701</v>
      </c>
      <c r="I1451" t="s">
        <v>2719</v>
      </c>
      <c r="J1451" t="s">
        <v>37</v>
      </c>
      <c r="L1451" t="s">
        <v>2364</v>
      </c>
      <c r="M1451">
        <v>949931980602</v>
      </c>
      <c r="N1451" t="s">
        <v>2661</v>
      </c>
      <c r="O1451" s="1">
        <v>45863</v>
      </c>
      <c r="T1451" t="s">
        <v>2662</v>
      </c>
      <c r="U1451" t="s">
        <v>6020</v>
      </c>
      <c r="V1451">
        <v>0</v>
      </c>
      <c r="W1451" t="s">
        <v>2704</v>
      </c>
      <c r="X1451">
        <v>1</v>
      </c>
      <c r="Y1451" t="s">
        <v>2695</v>
      </c>
      <c r="AA1451">
        <v>1078200608102</v>
      </c>
      <c r="AB1451" t="s">
        <v>1272</v>
      </c>
      <c r="AC1451">
        <v>0</v>
      </c>
      <c r="AD1451">
        <v>3</v>
      </c>
      <c r="AE1451">
        <v>10782006081023</v>
      </c>
      <c r="AF1451" t="s">
        <v>6021</v>
      </c>
      <c r="AG1451">
        <v>0</v>
      </c>
      <c r="AH1451">
        <v>0</v>
      </c>
    </row>
    <row r="1452" spans="1:34">
      <c r="A1452">
        <v>2026</v>
      </c>
      <c r="B1452" s="1">
        <v>46023</v>
      </c>
      <c r="C1452" t="s">
        <v>2657</v>
      </c>
      <c r="D1452" t="s">
        <v>6024</v>
      </c>
      <c r="E1452" s="43">
        <v>46037.829987060184</v>
      </c>
      <c r="F1452" s="3">
        <v>46037</v>
      </c>
      <c r="G1452" s="43">
        <v>46037.829987060184</v>
      </c>
      <c r="H1452" t="s">
        <v>2701</v>
      </c>
      <c r="I1452" t="s">
        <v>2719</v>
      </c>
      <c r="J1452" t="s">
        <v>37</v>
      </c>
      <c r="L1452" t="s">
        <v>2364</v>
      </c>
      <c r="M1452">
        <v>287289131302</v>
      </c>
      <c r="N1452" t="s">
        <v>2661</v>
      </c>
      <c r="O1452" s="1">
        <v>45587</v>
      </c>
      <c r="T1452" t="s">
        <v>2662</v>
      </c>
      <c r="U1452" t="s">
        <v>6020</v>
      </c>
      <c r="V1452">
        <v>0</v>
      </c>
      <c r="W1452" t="s">
        <v>2704</v>
      </c>
      <c r="X1452">
        <v>1</v>
      </c>
      <c r="Y1452" t="s">
        <v>2695</v>
      </c>
      <c r="AA1452">
        <v>1078200608102</v>
      </c>
      <c r="AB1452" t="s">
        <v>1272</v>
      </c>
      <c r="AC1452">
        <v>0</v>
      </c>
      <c r="AD1452">
        <v>3</v>
      </c>
      <c r="AE1452">
        <v>10782006081023</v>
      </c>
      <c r="AF1452" t="s">
        <v>6021</v>
      </c>
      <c r="AG1452">
        <v>1</v>
      </c>
      <c r="AH1452">
        <v>1</v>
      </c>
    </row>
    <row r="1453" spans="1:34">
      <c r="A1453">
        <v>2026</v>
      </c>
      <c r="B1453" s="1">
        <v>46054</v>
      </c>
      <c r="C1453" t="s">
        <v>2657</v>
      </c>
      <c r="D1453" t="s">
        <v>6025</v>
      </c>
      <c r="E1453" s="43">
        <v>46058.582142777777</v>
      </c>
      <c r="F1453" s="3">
        <v>46058</v>
      </c>
      <c r="G1453" s="43">
        <v>46058.582142777777</v>
      </c>
      <c r="H1453" t="s">
        <v>2725</v>
      </c>
      <c r="I1453" t="s">
        <v>2669</v>
      </c>
      <c r="J1453" t="s">
        <v>37</v>
      </c>
      <c r="L1453" t="s">
        <v>2344</v>
      </c>
      <c r="M1453">
        <v>726856152402</v>
      </c>
      <c r="N1453" t="s">
        <v>2661</v>
      </c>
      <c r="O1453" s="1">
        <v>46049</v>
      </c>
      <c r="T1453" t="s">
        <v>2662</v>
      </c>
      <c r="U1453" t="s">
        <v>6026</v>
      </c>
      <c r="V1453">
        <v>0</v>
      </c>
      <c r="W1453" t="s">
        <v>2677</v>
      </c>
      <c r="X1453">
        <v>1</v>
      </c>
      <c r="Y1453" t="s">
        <v>2695</v>
      </c>
      <c r="AA1453">
        <v>726856152402</v>
      </c>
      <c r="AB1453" t="s">
        <v>2392</v>
      </c>
      <c r="AC1453">
        <v>0</v>
      </c>
      <c r="AD1453">
        <v>6</v>
      </c>
      <c r="AE1453">
        <v>7268561524026</v>
      </c>
      <c r="AF1453" t="s">
        <v>6027</v>
      </c>
      <c r="AG1453">
        <v>1</v>
      </c>
      <c r="AH1453">
        <v>1</v>
      </c>
    </row>
    <row r="1454" spans="1:34">
      <c r="A1454">
        <v>2026</v>
      </c>
      <c r="B1454" s="1">
        <v>46054</v>
      </c>
      <c r="C1454" t="s">
        <v>2657</v>
      </c>
      <c r="D1454" t="s">
        <v>6028</v>
      </c>
      <c r="E1454" s="43">
        <v>46059.796463530096</v>
      </c>
      <c r="F1454" s="3">
        <v>46059</v>
      </c>
      <c r="G1454" s="43">
        <v>46059.796463530096</v>
      </c>
      <c r="H1454" t="s">
        <v>2725</v>
      </c>
      <c r="I1454" t="s">
        <v>2669</v>
      </c>
      <c r="J1454" t="s">
        <v>37</v>
      </c>
      <c r="L1454" t="s">
        <v>2344</v>
      </c>
      <c r="M1454">
        <v>726856152402</v>
      </c>
      <c r="N1454" t="s">
        <v>2661</v>
      </c>
      <c r="O1454" s="1">
        <v>46049</v>
      </c>
      <c r="T1454" t="s">
        <v>2662</v>
      </c>
      <c r="U1454" t="s">
        <v>6029</v>
      </c>
      <c r="V1454">
        <v>0</v>
      </c>
      <c r="W1454" t="s">
        <v>2671</v>
      </c>
      <c r="X1454">
        <v>1</v>
      </c>
      <c r="Y1454" t="s">
        <v>2695</v>
      </c>
      <c r="AA1454">
        <v>726856152402</v>
      </c>
      <c r="AB1454" t="s">
        <v>2392</v>
      </c>
      <c r="AC1454">
        <v>0</v>
      </c>
      <c r="AD1454">
        <v>6</v>
      </c>
      <c r="AE1454">
        <v>7268561524026</v>
      </c>
      <c r="AF1454" t="s">
        <v>6027</v>
      </c>
      <c r="AG1454">
        <v>0</v>
      </c>
      <c r="AH1454">
        <v>0</v>
      </c>
    </row>
    <row r="1455" spans="1:34">
      <c r="A1455">
        <v>2026</v>
      </c>
      <c r="B1455" s="1">
        <v>46054</v>
      </c>
      <c r="C1455" t="s">
        <v>2657</v>
      </c>
      <c r="D1455" t="s">
        <v>6030</v>
      </c>
      <c r="E1455" s="43">
        <v>46079.823321157404</v>
      </c>
      <c r="F1455" s="3">
        <v>46079</v>
      </c>
      <c r="G1455" s="43">
        <v>46084.912124097224</v>
      </c>
      <c r="H1455" t="s">
        <v>2725</v>
      </c>
      <c r="I1455" t="s">
        <v>2660</v>
      </c>
      <c r="J1455" t="s">
        <v>37</v>
      </c>
      <c r="L1455" t="s">
        <v>2344</v>
      </c>
      <c r="M1455">
        <v>726856152402</v>
      </c>
      <c r="N1455" t="s">
        <v>2661</v>
      </c>
      <c r="O1455" s="1">
        <v>46049</v>
      </c>
      <c r="T1455" t="s">
        <v>2662</v>
      </c>
      <c r="U1455" t="s">
        <v>6031</v>
      </c>
      <c r="V1455">
        <v>3</v>
      </c>
      <c r="W1455" t="s">
        <v>2677</v>
      </c>
      <c r="X1455">
        <v>1</v>
      </c>
      <c r="Y1455" t="s">
        <v>2760</v>
      </c>
      <c r="AA1455">
        <v>726856152402</v>
      </c>
      <c r="AB1455" t="s">
        <v>2392</v>
      </c>
      <c r="AC1455">
        <v>1</v>
      </c>
      <c r="AD1455">
        <v>9</v>
      </c>
      <c r="AE1455">
        <v>7268561524029</v>
      </c>
      <c r="AF1455" t="s">
        <v>6027</v>
      </c>
      <c r="AG1455">
        <v>1</v>
      </c>
      <c r="AH1455">
        <v>0</v>
      </c>
    </row>
    <row r="1456" spans="1:34">
      <c r="A1456">
        <v>2026</v>
      </c>
      <c r="B1456" s="1">
        <v>46054</v>
      </c>
      <c r="C1456" t="s">
        <v>2657</v>
      </c>
      <c r="D1456" t="s">
        <v>6032</v>
      </c>
      <c r="E1456" s="43">
        <v>46072.706120821756</v>
      </c>
      <c r="F1456" s="3">
        <v>46072</v>
      </c>
      <c r="G1456" s="43">
        <v>46076.662225381944</v>
      </c>
      <c r="H1456" t="s">
        <v>2725</v>
      </c>
      <c r="I1456" t="s">
        <v>2719</v>
      </c>
      <c r="J1456" t="s">
        <v>36</v>
      </c>
      <c r="L1456" t="s">
        <v>2393</v>
      </c>
      <c r="M1456">
        <v>1121498636702</v>
      </c>
      <c r="N1456" t="s">
        <v>2661</v>
      </c>
      <c r="O1456" s="1">
        <v>45880</v>
      </c>
      <c r="T1456" t="s">
        <v>2662</v>
      </c>
      <c r="U1456" t="s">
        <v>6033</v>
      </c>
      <c r="V1456">
        <v>2</v>
      </c>
      <c r="W1456" t="s">
        <v>2677</v>
      </c>
      <c r="X1456">
        <v>1</v>
      </c>
      <c r="Y1456" t="s">
        <v>2760</v>
      </c>
      <c r="AA1456">
        <v>72695582302</v>
      </c>
      <c r="AB1456" t="s">
        <v>707</v>
      </c>
      <c r="AC1456">
        <v>0</v>
      </c>
      <c r="AD1456">
        <v>8</v>
      </c>
      <c r="AE1456">
        <v>726955823028</v>
      </c>
      <c r="AF1456" t="s">
        <v>6034</v>
      </c>
      <c r="AG1456">
        <v>1</v>
      </c>
      <c r="AH1456">
        <v>1</v>
      </c>
    </row>
    <row r="1457" spans="1:34">
      <c r="A1457">
        <v>2026</v>
      </c>
      <c r="B1457" s="1">
        <v>46054</v>
      </c>
      <c r="C1457" t="s">
        <v>2657</v>
      </c>
      <c r="D1457" t="s">
        <v>6035</v>
      </c>
      <c r="E1457" s="43">
        <v>46072.707844537035</v>
      </c>
      <c r="F1457" s="3">
        <v>46072</v>
      </c>
      <c r="G1457" s="43">
        <v>46085.623705775462</v>
      </c>
      <c r="H1457" t="s">
        <v>2725</v>
      </c>
      <c r="I1457" t="s">
        <v>2719</v>
      </c>
      <c r="J1457" t="s">
        <v>36</v>
      </c>
      <c r="L1457" t="s">
        <v>2393</v>
      </c>
      <c r="M1457">
        <v>1121498636702</v>
      </c>
      <c r="N1457" t="s">
        <v>2661</v>
      </c>
      <c r="O1457" s="1">
        <v>45880</v>
      </c>
      <c r="T1457" t="s">
        <v>2662</v>
      </c>
      <c r="U1457" t="s">
        <v>6036</v>
      </c>
      <c r="V1457">
        <v>9</v>
      </c>
      <c r="W1457" t="s">
        <v>2677</v>
      </c>
      <c r="X1457">
        <v>1</v>
      </c>
      <c r="Y1457" t="s">
        <v>2779</v>
      </c>
      <c r="AA1457">
        <v>72695582302</v>
      </c>
      <c r="AB1457" t="s">
        <v>707</v>
      </c>
      <c r="AC1457">
        <v>0</v>
      </c>
      <c r="AD1457">
        <v>8</v>
      </c>
      <c r="AE1457">
        <v>726955823028</v>
      </c>
      <c r="AF1457" t="s">
        <v>6034</v>
      </c>
      <c r="AG1457">
        <v>0</v>
      </c>
      <c r="AH1457">
        <v>0</v>
      </c>
    </row>
    <row r="1458" spans="1:34">
      <c r="A1458">
        <v>2025</v>
      </c>
      <c r="B1458" s="1">
        <v>45962</v>
      </c>
      <c r="C1458" t="s">
        <v>2657</v>
      </c>
      <c r="D1458" t="s">
        <v>6037</v>
      </c>
      <c r="E1458" s="43">
        <v>45964.504873819445</v>
      </c>
      <c r="F1458" s="3">
        <v>45964</v>
      </c>
      <c r="G1458" s="43">
        <v>45964.504873819445</v>
      </c>
      <c r="H1458" t="s">
        <v>2802</v>
      </c>
      <c r="I1458" t="s">
        <v>2669</v>
      </c>
      <c r="J1458" t="s">
        <v>36</v>
      </c>
      <c r="L1458" t="s">
        <v>6038</v>
      </c>
      <c r="M1458">
        <v>19309418302</v>
      </c>
      <c r="N1458" t="s">
        <v>2746</v>
      </c>
      <c r="O1458" s="1">
        <v>45842</v>
      </c>
      <c r="T1458" t="s">
        <v>2662</v>
      </c>
      <c r="U1458" t="s">
        <v>6039</v>
      </c>
      <c r="V1458">
        <v>0</v>
      </c>
      <c r="W1458" t="s">
        <v>2677</v>
      </c>
      <c r="X1458">
        <v>1</v>
      </c>
      <c r="Y1458" t="s">
        <v>2695</v>
      </c>
      <c r="AA1458">
        <v>19309418302</v>
      </c>
      <c r="AB1458" t="s">
        <v>2291</v>
      </c>
      <c r="AC1458">
        <v>0</v>
      </c>
      <c r="AD1458">
        <v>45</v>
      </c>
      <c r="AE1458">
        <v>1930941830245</v>
      </c>
      <c r="AF1458" t="s">
        <v>6040</v>
      </c>
      <c r="AG1458">
        <v>1</v>
      </c>
      <c r="AH1458">
        <v>1</v>
      </c>
    </row>
    <row r="1459" spans="1:34">
      <c r="A1459">
        <v>2025</v>
      </c>
      <c r="B1459" s="1">
        <v>45962</v>
      </c>
      <c r="C1459" t="s">
        <v>2657</v>
      </c>
      <c r="D1459" t="s">
        <v>6041</v>
      </c>
      <c r="E1459" s="43">
        <v>45973.773503715274</v>
      </c>
      <c r="F1459" s="3">
        <v>45973</v>
      </c>
      <c r="G1459" s="43">
        <v>45973.773503715274</v>
      </c>
      <c r="H1459" t="s">
        <v>2802</v>
      </c>
      <c r="I1459" t="s">
        <v>2681</v>
      </c>
      <c r="J1459" t="s">
        <v>36</v>
      </c>
      <c r="L1459" t="s">
        <v>6038</v>
      </c>
      <c r="M1459">
        <v>19309418302</v>
      </c>
      <c r="N1459" t="s">
        <v>2746</v>
      </c>
      <c r="O1459" s="1">
        <v>45842</v>
      </c>
      <c r="T1459" t="s">
        <v>2662</v>
      </c>
      <c r="U1459" t="s">
        <v>6042</v>
      </c>
      <c r="V1459">
        <v>0</v>
      </c>
      <c r="W1459" t="s">
        <v>2704</v>
      </c>
      <c r="X1459">
        <v>1</v>
      </c>
      <c r="Y1459" t="s">
        <v>2695</v>
      </c>
      <c r="AA1459">
        <v>19309418302</v>
      </c>
      <c r="AB1459" t="s">
        <v>2291</v>
      </c>
      <c r="AC1459">
        <v>1</v>
      </c>
      <c r="AD1459">
        <v>46</v>
      </c>
      <c r="AE1459">
        <v>1930941830246</v>
      </c>
      <c r="AF1459" t="s">
        <v>6040</v>
      </c>
      <c r="AG1459">
        <v>1</v>
      </c>
      <c r="AH1459">
        <v>0</v>
      </c>
    </row>
    <row r="1460" spans="1:34">
      <c r="A1460">
        <v>2025</v>
      </c>
      <c r="B1460" s="1">
        <v>45931</v>
      </c>
      <c r="C1460" t="s">
        <v>2657</v>
      </c>
      <c r="D1460" t="s">
        <v>6043</v>
      </c>
      <c r="E1460" s="43">
        <v>45946.851360381945</v>
      </c>
      <c r="F1460" s="3">
        <v>45946</v>
      </c>
      <c r="G1460" s="43">
        <v>45951.853243067133</v>
      </c>
      <c r="H1460" t="s">
        <v>2659</v>
      </c>
      <c r="I1460" t="s">
        <v>2719</v>
      </c>
      <c r="J1460" t="s">
        <v>2735</v>
      </c>
      <c r="L1460" t="s">
        <v>2361</v>
      </c>
      <c r="M1460">
        <v>159666680002</v>
      </c>
      <c r="N1460" t="s">
        <v>2702</v>
      </c>
      <c r="O1460" s="1">
        <v>45503</v>
      </c>
      <c r="T1460" t="s">
        <v>2662</v>
      </c>
      <c r="U1460" t="s">
        <v>6044</v>
      </c>
      <c r="V1460">
        <v>3</v>
      </c>
      <c r="W1460" t="s">
        <v>2677</v>
      </c>
      <c r="X1460">
        <v>1</v>
      </c>
      <c r="Y1460" t="s">
        <v>2807</v>
      </c>
      <c r="AA1460">
        <v>159666680002</v>
      </c>
      <c r="AB1460" t="s">
        <v>2109</v>
      </c>
      <c r="AC1460">
        <v>0</v>
      </c>
      <c r="AD1460">
        <v>42</v>
      </c>
      <c r="AE1460">
        <v>15966668000242</v>
      </c>
      <c r="AF1460" t="s">
        <v>6045</v>
      </c>
      <c r="AG1460">
        <v>0</v>
      </c>
      <c r="AH1460">
        <v>0</v>
      </c>
    </row>
    <row r="1461" spans="1:34">
      <c r="A1461">
        <v>2025</v>
      </c>
      <c r="B1461" s="1">
        <v>45931</v>
      </c>
      <c r="C1461" t="s">
        <v>2657</v>
      </c>
      <c r="D1461" t="s">
        <v>6046</v>
      </c>
      <c r="E1461" s="43">
        <v>45945.564142719908</v>
      </c>
      <c r="F1461" s="3">
        <v>45945</v>
      </c>
      <c r="G1461" s="43">
        <v>45958.863294976851</v>
      </c>
      <c r="H1461" t="s">
        <v>2659</v>
      </c>
      <c r="I1461" t="s">
        <v>2719</v>
      </c>
      <c r="J1461" t="s">
        <v>2735</v>
      </c>
      <c r="L1461" t="s">
        <v>2361</v>
      </c>
      <c r="M1461">
        <v>159666680002</v>
      </c>
      <c r="N1461" t="s">
        <v>2702</v>
      </c>
      <c r="O1461" s="1">
        <v>45503</v>
      </c>
      <c r="T1461" t="s">
        <v>2662</v>
      </c>
      <c r="U1461" t="s">
        <v>6047</v>
      </c>
      <c r="V1461">
        <v>9</v>
      </c>
      <c r="W1461" t="s">
        <v>2671</v>
      </c>
      <c r="X1461">
        <v>1</v>
      </c>
      <c r="Y1461" t="s">
        <v>2683</v>
      </c>
      <c r="Z1461" t="s">
        <v>2684</v>
      </c>
      <c r="AA1461">
        <v>159666680002</v>
      </c>
      <c r="AB1461" t="s">
        <v>2109</v>
      </c>
      <c r="AC1461">
        <v>0</v>
      </c>
      <c r="AD1461">
        <v>42</v>
      </c>
      <c r="AE1461">
        <v>15966668000242</v>
      </c>
      <c r="AF1461" t="s">
        <v>6045</v>
      </c>
      <c r="AG1461">
        <v>1</v>
      </c>
      <c r="AH1461">
        <v>1</v>
      </c>
    </row>
    <row r="1462" spans="1:34">
      <c r="A1462">
        <v>2025</v>
      </c>
      <c r="B1462" s="1">
        <v>45931</v>
      </c>
      <c r="C1462" t="s">
        <v>2657</v>
      </c>
      <c r="D1462" t="s">
        <v>6048</v>
      </c>
      <c r="E1462" s="43">
        <v>45957.687295891206</v>
      </c>
      <c r="F1462" s="3">
        <v>45957</v>
      </c>
      <c r="G1462" s="43">
        <v>45958.863099548609</v>
      </c>
      <c r="H1462" t="s">
        <v>2659</v>
      </c>
      <c r="I1462" t="s">
        <v>2660</v>
      </c>
      <c r="J1462" t="s">
        <v>2735</v>
      </c>
      <c r="L1462" t="s">
        <v>2361</v>
      </c>
      <c r="M1462">
        <v>159666680002</v>
      </c>
      <c r="N1462" t="s">
        <v>2702</v>
      </c>
      <c r="O1462" s="1">
        <v>45503</v>
      </c>
      <c r="T1462" t="s">
        <v>2662</v>
      </c>
      <c r="U1462" t="s">
        <v>6049</v>
      </c>
      <c r="V1462">
        <v>1</v>
      </c>
      <c r="W1462" t="s">
        <v>2671</v>
      </c>
      <c r="X1462">
        <v>1</v>
      </c>
      <c r="Y1462" t="s">
        <v>2683</v>
      </c>
      <c r="Z1462" t="s">
        <v>2684</v>
      </c>
      <c r="AA1462">
        <v>159666680002</v>
      </c>
      <c r="AB1462" t="s">
        <v>2109</v>
      </c>
      <c r="AC1462">
        <v>0</v>
      </c>
      <c r="AD1462">
        <v>44</v>
      </c>
      <c r="AE1462">
        <v>15966668000244</v>
      </c>
      <c r="AF1462" t="s">
        <v>6045</v>
      </c>
      <c r="AG1462">
        <v>1</v>
      </c>
      <c r="AH1462">
        <v>0</v>
      </c>
    </row>
    <row r="1463" spans="1:34">
      <c r="A1463">
        <v>2025</v>
      </c>
      <c r="B1463" s="1">
        <v>45992</v>
      </c>
      <c r="C1463" t="s">
        <v>2657</v>
      </c>
      <c r="D1463" t="s">
        <v>6050</v>
      </c>
      <c r="E1463" s="43">
        <v>45994.790623287037</v>
      </c>
      <c r="F1463" s="3">
        <v>45994</v>
      </c>
      <c r="G1463" s="43">
        <v>45995.89940765046</v>
      </c>
      <c r="H1463" t="s">
        <v>2686</v>
      </c>
      <c r="I1463" t="s">
        <v>2669</v>
      </c>
      <c r="J1463" t="s">
        <v>36</v>
      </c>
      <c r="L1463" t="s">
        <v>2393</v>
      </c>
      <c r="M1463">
        <v>128174680202</v>
      </c>
      <c r="N1463" t="s">
        <v>2702</v>
      </c>
      <c r="O1463" s="1">
        <v>44685</v>
      </c>
      <c r="T1463" t="s">
        <v>2662</v>
      </c>
      <c r="U1463" t="s">
        <v>6051</v>
      </c>
      <c r="V1463">
        <v>1</v>
      </c>
      <c r="W1463" t="s">
        <v>2677</v>
      </c>
      <c r="X1463">
        <v>1</v>
      </c>
      <c r="Y1463" t="s">
        <v>2760</v>
      </c>
      <c r="AA1463">
        <v>128174680202</v>
      </c>
      <c r="AB1463" t="s">
        <v>978</v>
      </c>
      <c r="AC1463">
        <v>0</v>
      </c>
      <c r="AD1463">
        <v>49</v>
      </c>
      <c r="AE1463">
        <v>12817468020249</v>
      </c>
      <c r="AF1463" t="s">
        <v>6052</v>
      </c>
      <c r="AG1463">
        <v>0</v>
      </c>
      <c r="AH1463">
        <v>0</v>
      </c>
    </row>
    <row r="1464" spans="1:34">
      <c r="A1464">
        <v>2025</v>
      </c>
      <c r="B1464" s="1">
        <v>45992</v>
      </c>
      <c r="C1464" t="s">
        <v>2657</v>
      </c>
      <c r="D1464" t="s">
        <v>6053</v>
      </c>
      <c r="E1464" s="43">
        <v>45994.773975115742</v>
      </c>
      <c r="F1464" s="3">
        <v>45994</v>
      </c>
      <c r="G1464" s="43">
        <v>46001.50938541667</v>
      </c>
      <c r="H1464" t="s">
        <v>2686</v>
      </c>
      <c r="I1464" t="s">
        <v>2669</v>
      </c>
      <c r="J1464" t="s">
        <v>36</v>
      </c>
      <c r="L1464" t="s">
        <v>2393</v>
      </c>
      <c r="M1464">
        <v>128174680202</v>
      </c>
      <c r="N1464" t="s">
        <v>2702</v>
      </c>
      <c r="O1464" s="1">
        <v>44685</v>
      </c>
      <c r="T1464" t="s">
        <v>2662</v>
      </c>
      <c r="U1464" t="s">
        <v>6054</v>
      </c>
      <c r="V1464">
        <v>5</v>
      </c>
      <c r="W1464" t="s">
        <v>2671</v>
      </c>
      <c r="X1464">
        <v>1</v>
      </c>
      <c r="Y1464" t="s">
        <v>2931</v>
      </c>
      <c r="Z1464" t="s">
        <v>2684</v>
      </c>
      <c r="AA1464">
        <v>128174680202</v>
      </c>
      <c r="AB1464" t="s">
        <v>978</v>
      </c>
      <c r="AC1464">
        <v>0</v>
      </c>
      <c r="AD1464">
        <v>49</v>
      </c>
      <c r="AE1464">
        <v>12817468020249</v>
      </c>
      <c r="AF1464" t="s">
        <v>6052</v>
      </c>
      <c r="AG1464">
        <v>1</v>
      </c>
      <c r="AH1464">
        <v>1</v>
      </c>
    </row>
    <row r="1465" spans="1:34">
      <c r="A1465">
        <v>2026</v>
      </c>
      <c r="B1465" s="1">
        <v>46054</v>
      </c>
      <c r="C1465" t="s">
        <v>2657</v>
      </c>
      <c r="D1465" t="s">
        <v>6055</v>
      </c>
      <c r="E1465" s="43">
        <v>46079.547459027781</v>
      </c>
      <c r="F1465" s="3">
        <v>46079</v>
      </c>
      <c r="G1465" s="43">
        <v>46083.589745231482</v>
      </c>
      <c r="H1465" t="s">
        <v>2725</v>
      </c>
      <c r="I1465" t="s">
        <v>2660</v>
      </c>
      <c r="J1465" t="s">
        <v>38</v>
      </c>
      <c r="L1465" t="s">
        <v>2379</v>
      </c>
      <c r="M1465">
        <v>653060435802</v>
      </c>
      <c r="N1465" t="s">
        <v>2675</v>
      </c>
      <c r="O1465" s="1">
        <v>45294</v>
      </c>
      <c r="T1465" t="s">
        <v>2662</v>
      </c>
      <c r="U1465" t="s">
        <v>6056</v>
      </c>
      <c r="V1465">
        <v>2</v>
      </c>
      <c r="W1465" t="s">
        <v>2677</v>
      </c>
      <c r="X1465">
        <v>1</v>
      </c>
      <c r="Y1465" t="s">
        <v>2807</v>
      </c>
      <c r="AA1465">
        <v>653060435802</v>
      </c>
      <c r="AB1465" t="s">
        <v>851</v>
      </c>
      <c r="AC1465">
        <v>0</v>
      </c>
      <c r="AD1465">
        <v>9</v>
      </c>
      <c r="AE1465">
        <v>6530604358029</v>
      </c>
      <c r="AF1465" t="s">
        <v>6057</v>
      </c>
      <c r="AG1465">
        <v>1</v>
      </c>
      <c r="AH1465">
        <v>1</v>
      </c>
    </row>
    <row r="1466" spans="1:34">
      <c r="A1466">
        <v>2026</v>
      </c>
      <c r="B1466" s="1">
        <v>46054</v>
      </c>
      <c r="C1466" t="s">
        <v>2657</v>
      </c>
      <c r="D1466" s="44" t="s">
        <v>6058</v>
      </c>
      <c r="E1466" s="43">
        <v>46079.574105659725</v>
      </c>
      <c r="F1466" s="3">
        <v>46079</v>
      </c>
      <c r="G1466" s="43">
        <v>46079.574105659725</v>
      </c>
      <c r="H1466" t="s">
        <v>2725</v>
      </c>
      <c r="I1466" t="s">
        <v>2660</v>
      </c>
      <c r="J1466" t="s">
        <v>38</v>
      </c>
      <c r="L1466" t="s">
        <v>2379</v>
      </c>
      <c r="M1466">
        <v>653060435802</v>
      </c>
      <c r="N1466" t="s">
        <v>2675</v>
      </c>
      <c r="O1466" s="1">
        <v>45294</v>
      </c>
      <c r="T1466" t="s">
        <v>2662</v>
      </c>
      <c r="U1466" t="s">
        <v>6059</v>
      </c>
      <c r="V1466">
        <v>0</v>
      </c>
      <c r="W1466" t="s">
        <v>2664</v>
      </c>
      <c r="X1466">
        <v>1</v>
      </c>
      <c r="Y1466" t="s">
        <v>2695</v>
      </c>
      <c r="AA1466">
        <v>653060435802</v>
      </c>
      <c r="AB1466" t="s">
        <v>851</v>
      </c>
      <c r="AC1466">
        <v>1</v>
      </c>
      <c r="AD1466">
        <v>9</v>
      </c>
      <c r="AE1466">
        <v>6530604358029</v>
      </c>
      <c r="AF1466" t="s">
        <v>6057</v>
      </c>
      <c r="AG1466">
        <v>0</v>
      </c>
      <c r="AH1466">
        <v>0</v>
      </c>
    </row>
    <row r="1467" spans="1:34">
      <c r="A1467">
        <v>2025</v>
      </c>
      <c r="B1467" s="1">
        <v>45931</v>
      </c>
      <c r="C1467" t="s">
        <v>2657</v>
      </c>
      <c r="D1467" t="s">
        <v>6060</v>
      </c>
      <c r="E1467" s="43">
        <v>45953.727712037035</v>
      </c>
      <c r="F1467" s="3">
        <v>45953</v>
      </c>
      <c r="G1467" s="43">
        <v>45953.727712037035</v>
      </c>
      <c r="H1467" t="s">
        <v>2659</v>
      </c>
      <c r="I1467" t="s">
        <v>2660</v>
      </c>
      <c r="J1467" t="s">
        <v>36</v>
      </c>
      <c r="L1467" t="s">
        <v>2393</v>
      </c>
      <c r="M1467">
        <v>851886444902</v>
      </c>
      <c r="N1467" t="s">
        <v>2702</v>
      </c>
      <c r="O1467" s="1">
        <v>45669</v>
      </c>
      <c r="T1467" t="s">
        <v>2662</v>
      </c>
      <c r="U1467" t="s">
        <v>6061</v>
      </c>
      <c r="V1467">
        <v>0</v>
      </c>
      <c r="W1467" t="s">
        <v>2671</v>
      </c>
      <c r="X1467">
        <v>1</v>
      </c>
      <c r="Y1467" t="s">
        <v>3237</v>
      </c>
      <c r="AA1467">
        <v>72695582302</v>
      </c>
      <c r="AB1467" t="s">
        <v>707</v>
      </c>
      <c r="AC1467">
        <v>0</v>
      </c>
      <c r="AD1467">
        <v>43</v>
      </c>
      <c r="AE1467">
        <v>7269558230243</v>
      </c>
      <c r="AF1467" t="s">
        <v>6062</v>
      </c>
      <c r="AG1467">
        <v>1</v>
      </c>
      <c r="AH1467">
        <v>1</v>
      </c>
    </row>
    <row r="1468" spans="1:34">
      <c r="A1468">
        <v>2025</v>
      </c>
      <c r="B1468" s="1">
        <v>45931</v>
      </c>
      <c r="C1468" t="s">
        <v>2657</v>
      </c>
      <c r="D1468" t="s">
        <v>6063</v>
      </c>
      <c r="E1468" s="43">
        <v>45958.574091875002</v>
      </c>
      <c r="F1468" s="3">
        <v>45958</v>
      </c>
      <c r="G1468" s="43">
        <v>45960.810753611113</v>
      </c>
      <c r="H1468" t="s">
        <v>2659</v>
      </c>
      <c r="I1468" t="s">
        <v>2660</v>
      </c>
      <c r="J1468" t="s">
        <v>36</v>
      </c>
      <c r="L1468" t="s">
        <v>2393</v>
      </c>
      <c r="M1468">
        <v>851886444902</v>
      </c>
      <c r="N1468" t="s">
        <v>2702</v>
      </c>
      <c r="O1468" s="1">
        <v>45669</v>
      </c>
      <c r="T1468" t="s">
        <v>2662</v>
      </c>
      <c r="U1468" t="s">
        <v>6064</v>
      </c>
      <c r="V1468">
        <v>2</v>
      </c>
      <c r="W1468" t="s">
        <v>2671</v>
      </c>
      <c r="X1468">
        <v>1</v>
      </c>
      <c r="Y1468" t="s">
        <v>2772</v>
      </c>
      <c r="AA1468">
        <v>72695582302</v>
      </c>
      <c r="AB1468" t="s">
        <v>707</v>
      </c>
      <c r="AC1468">
        <v>0</v>
      </c>
      <c r="AD1468">
        <v>44</v>
      </c>
      <c r="AE1468">
        <v>7269558230244</v>
      </c>
      <c r="AF1468" t="s">
        <v>6062</v>
      </c>
      <c r="AG1468">
        <v>1</v>
      </c>
      <c r="AH1468">
        <v>0</v>
      </c>
    </row>
    <row r="1469" spans="1:34">
      <c r="A1469">
        <v>2025</v>
      </c>
      <c r="B1469" s="1">
        <v>45962</v>
      </c>
      <c r="C1469" t="s">
        <v>2657</v>
      </c>
      <c r="D1469" t="s">
        <v>6065</v>
      </c>
      <c r="E1469" s="43">
        <v>45975.664046134261</v>
      </c>
      <c r="F1469" s="3">
        <v>45975</v>
      </c>
      <c r="G1469" s="43">
        <v>45986.677696412036</v>
      </c>
      <c r="H1469" t="s">
        <v>2802</v>
      </c>
      <c r="I1469" t="s">
        <v>2681</v>
      </c>
      <c r="J1469" t="s">
        <v>36</v>
      </c>
      <c r="L1469" t="s">
        <v>2355</v>
      </c>
      <c r="M1469">
        <v>26789844502</v>
      </c>
      <c r="N1469" t="s">
        <v>2702</v>
      </c>
      <c r="O1469" s="1">
        <v>45362</v>
      </c>
      <c r="T1469" t="s">
        <v>2662</v>
      </c>
      <c r="U1469" t="s">
        <v>6066</v>
      </c>
      <c r="V1469">
        <v>7</v>
      </c>
      <c r="W1469" t="s">
        <v>2743</v>
      </c>
      <c r="X1469">
        <v>1</v>
      </c>
      <c r="Y1469" t="s">
        <v>2717</v>
      </c>
      <c r="AA1469">
        <v>230755558102</v>
      </c>
      <c r="AB1469" t="s">
        <v>2297</v>
      </c>
      <c r="AC1469">
        <v>0</v>
      </c>
      <c r="AD1469">
        <v>46</v>
      </c>
      <c r="AE1469">
        <v>23075555810246</v>
      </c>
      <c r="AF1469" t="s">
        <v>6067</v>
      </c>
      <c r="AG1469">
        <v>0</v>
      </c>
      <c r="AH1469">
        <v>0</v>
      </c>
    </row>
    <row r="1470" spans="1:34">
      <c r="A1470">
        <v>2025</v>
      </c>
      <c r="B1470" s="1">
        <v>45962</v>
      </c>
      <c r="C1470" t="s">
        <v>2657</v>
      </c>
      <c r="D1470" t="s">
        <v>6068</v>
      </c>
      <c r="E1470" s="43">
        <v>45972.53205396991</v>
      </c>
      <c r="F1470" s="3">
        <v>45972</v>
      </c>
      <c r="G1470" s="43">
        <v>45975.913780810188</v>
      </c>
      <c r="H1470" t="s">
        <v>2802</v>
      </c>
      <c r="I1470" t="s">
        <v>2681</v>
      </c>
      <c r="J1470" t="s">
        <v>36</v>
      </c>
      <c r="L1470" t="s">
        <v>2355</v>
      </c>
      <c r="M1470">
        <v>230755558102</v>
      </c>
      <c r="N1470" t="s">
        <v>2702</v>
      </c>
      <c r="O1470" s="1">
        <v>45294</v>
      </c>
      <c r="T1470" t="s">
        <v>2662</v>
      </c>
      <c r="U1470" t="s">
        <v>6069</v>
      </c>
      <c r="V1470">
        <v>3</v>
      </c>
      <c r="W1470" t="s">
        <v>2677</v>
      </c>
      <c r="X1470">
        <v>1</v>
      </c>
      <c r="Y1470" t="s">
        <v>2779</v>
      </c>
      <c r="AA1470">
        <v>230755558102</v>
      </c>
      <c r="AB1470" t="s">
        <v>2297</v>
      </c>
      <c r="AC1470">
        <v>0</v>
      </c>
      <c r="AD1470">
        <v>46</v>
      </c>
      <c r="AE1470">
        <v>23075555810246</v>
      </c>
      <c r="AF1470" t="s">
        <v>6067</v>
      </c>
      <c r="AG1470">
        <v>1</v>
      </c>
      <c r="AH1470">
        <v>1</v>
      </c>
    </row>
    <row r="1471" spans="1:34">
      <c r="A1471">
        <v>2025</v>
      </c>
      <c r="B1471" s="1">
        <v>45962</v>
      </c>
      <c r="C1471" t="s">
        <v>2657</v>
      </c>
      <c r="D1471" t="s">
        <v>6070</v>
      </c>
      <c r="E1471" s="43">
        <v>45985.702498854167</v>
      </c>
      <c r="F1471" s="3">
        <v>45985</v>
      </c>
      <c r="G1471" s="43">
        <v>45989.838747997688</v>
      </c>
      <c r="H1471" t="s">
        <v>2802</v>
      </c>
      <c r="I1471" t="s">
        <v>2660</v>
      </c>
      <c r="J1471" t="s">
        <v>36</v>
      </c>
      <c r="L1471" t="s">
        <v>2355</v>
      </c>
      <c r="M1471">
        <v>230755558102</v>
      </c>
      <c r="N1471" t="s">
        <v>2702</v>
      </c>
      <c r="O1471" s="1">
        <v>45294</v>
      </c>
      <c r="T1471" t="s">
        <v>2662</v>
      </c>
      <c r="U1471" t="s">
        <v>6071</v>
      </c>
      <c r="V1471">
        <v>4</v>
      </c>
      <c r="W1471" t="s">
        <v>2677</v>
      </c>
      <c r="X1471">
        <v>1</v>
      </c>
      <c r="Y1471" t="s">
        <v>2772</v>
      </c>
      <c r="Z1471" t="s">
        <v>2684</v>
      </c>
      <c r="AA1471">
        <v>230755558102</v>
      </c>
      <c r="AB1471" t="s">
        <v>2297</v>
      </c>
      <c r="AC1471">
        <v>0</v>
      </c>
      <c r="AD1471">
        <v>48</v>
      </c>
      <c r="AE1471">
        <v>23075555810248</v>
      </c>
      <c r="AF1471" t="s">
        <v>6067</v>
      </c>
      <c r="AG1471">
        <v>0</v>
      </c>
      <c r="AH1471">
        <v>0</v>
      </c>
    </row>
    <row r="1472" spans="1:34">
      <c r="A1472">
        <v>2025</v>
      </c>
      <c r="B1472" s="1">
        <v>45962</v>
      </c>
      <c r="C1472" t="s">
        <v>2657</v>
      </c>
      <c r="D1472" t="s">
        <v>6072</v>
      </c>
      <c r="E1472" s="43">
        <v>45985.695761909723</v>
      </c>
      <c r="F1472" s="3">
        <v>45985</v>
      </c>
      <c r="G1472" s="43">
        <v>45989.839244085648</v>
      </c>
      <c r="H1472" t="s">
        <v>2802</v>
      </c>
      <c r="I1472" t="s">
        <v>2660</v>
      </c>
      <c r="J1472" t="s">
        <v>36</v>
      </c>
      <c r="L1472" t="s">
        <v>2355</v>
      </c>
      <c r="M1472">
        <v>230755558102</v>
      </c>
      <c r="N1472" t="s">
        <v>2702</v>
      </c>
      <c r="O1472" s="1">
        <v>45294</v>
      </c>
      <c r="T1472" t="s">
        <v>2662</v>
      </c>
      <c r="U1472" t="s">
        <v>6073</v>
      </c>
      <c r="V1472">
        <v>4</v>
      </c>
      <c r="W1472" t="s">
        <v>2677</v>
      </c>
      <c r="X1472">
        <v>1</v>
      </c>
      <c r="Y1472" t="s">
        <v>2772</v>
      </c>
      <c r="Z1472" t="s">
        <v>2684</v>
      </c>
      <c r="AA1472">
        <v>230755558102</v>
      </c>
      <c r="AB1472" t="s">
        <v>2297</v>
      </c>
      <c r="AC1472">
        <v>0</v>
      </c>
      <c r="AD1472">
        <v>48</v>
      </c>
      <c r="AE1472">
        <v>23075555810248</v>
      </c>
      <c r="AF1472" t="s">
        <v>6067</v>
      </c>
      <c r="AG1472">
        <v>0</v>
      </c>
      <c r="AH1472">
        <v>0</v>
      </c>
    </row>
    <row r="1473" spans="1:34">
      <c r="A1473">
        <v>2025</v>
      </c>
      <c r="B1473" s="1">
        <v>45962</v>
      </c>
      <c r="C1473" t="s">
        <v>2657</v>
      </c>
      <c r="D1473" t="s">
        <v>6074</v>
      </c>
      <c r="E1473" s="43">
        <v>45985.690102384258</v>
      </c>
      <c r="F1473" s="3">
        <v>45985</v>
      </c>
      <c r="G1473" s="43">
        <v>45989.837910358794</v>
      </c>
      <c r="H1473" t="s">
        <v>2802</v>
      </c>
      <c r="I1473" t="s">
        <v>2660</v>
      </c>
      <c r="J1473" t="s">
        <v>36</v>
      </c>
      <c r="L1473" t="s">
        <v>2355</v>
      </c>
      <c r="M1473">
        <v>230755558102</v>
      </c>
      <c r="N1473" t="s">
        <v>2702</v>
      </c>
      <c r="O1473" s="1">
        <v>45294</v>
      </c>
      <c r="T1473" t="s">
        <v>2662</v>
      </c>
      <c r="U1473" t="s">
        <v>6075</v>
      </c>
      <c r="V1473">
        <v>4</v>
      </c>
      <c r="W1473" t="s">
        <v>2677</v>
      </c>
      <c r="X1473">
        <v>1</v>
      </c>
      <c r="Y1473" t="s">
        <v>2772</v>
      </c>
      <c r="Z1473" t="s">
        <v>2684</v>
      </c>
      <c r="AA1473">
        <v>230755558102</v>
      </c>
      <c r="AB1473" t="s">
        <v>2297</v>
      </c>
      <c r="AC1473">
        <v>0</v>
      </c>
      <c r="AD1473">
        <v>48</v>
      </c>
      <c r="AE1473">
        <v>23075555810248</v>
      </c>
      <c r="AF1473" t="s">
        <v>6067</v>
      </c>
      <c r="AG1473">
        <v>1</v>
      </c>
      <c r="AH1473">
        <v>0</v>
      </c>
    </row>
    <row r="1474" spans="1:34">
      <c r="A1474">
        <v>2025</v>
      </c>
      <c r="B1474" s="1">
        <v>45962</v>
      </c>
      <c r="C1474" t="s">
        <v>2657</v>
      </c>
      <c r="D1474" s="44" t="s">
        <v>6076</v>
      </c>
      <c r="E1474" s="43">
        <v>45967.825420659719</v>
      </c>
      <c r="F1474" s="3">
        <v>45967</v>
      </c>
      <c r="G1474" s="43">
        <v>45967.825420659719</v>
      </c>
      <c r="H1474" t="s">
        <v>2802</v>
      </c>
      <c r="I1474" t="s">
        <v>2669</v>
      </c>
      <c r="J1474" t="s">
        <v>38</v>
      </c>
      <c r="L1474" t="s">
        <v>2472</v>
      </c>
      <c r="M1474">
        <v>596977542502</v>
      </c>
      <c r="N1474" t="s">
        <v>2702</v>
      </c>
      <c r="O1474" s="1">
        <v>45524</v>
      </c>
      <c r="T1474" t="s">
        <v>2662</v>
      </c>
      <c r="U1474" t="s">
        <v>6077</v>
      </c>
      <c r="V1474">
        <v>0</v>
      </c>
      <c r="W1474" t="s">
        <v>2671</v>
      </c>
      <c r="X1474">
        <v>1</v>
      </c>
      <c r="Y1474" t="s">
        <v>2688</v>
      </c>
      <c r="AA1474">
        <v>509224899302</v>
      </c>
      <c r="AB1474" t="s">
        <v>1857</v>
      </c>
      <c r="AC1474">
        <v>0</v>
      </c>
      <c r="AD1474">
        <v>45</v>
      </c>
      <c r="AE1474">
        <v>50922489930245</v>
      </c>
      <c r="AF1474" t="s">
        <v>6078</v>
      </c>
      <c r="AG1474">
        <v>1</v>
      </c>
      <c r="AH1474">
        <v>1</v>
      </c>
    </row>
    <row r="1475" spans="1:34">
      <c r="A1475">
        <v>2025</v>
      </c>
      <c r="B1475" s="1">
        <v>45962</v>
      </c>
      <c r="C1475" t="s">
        <v>2657</v>
      </c>
      <c r="D1475" t="s">
        <v>6079</v>
      </c>
      <c r="E1475" s="43">
        <v>45966.583237696759</v>
      </c>
      <c r="F1475" s="3">
        <v>45966</v>
      </c>
      <c r="G1475" s="43">
        <v>45966.583237696759</v>
      </c>
      <c r="H1475" t="s">
        <v>2802</v>
      </c>
      <c r="I1475" t="s">
        <v>2669</v>
      </c>
      <c r="J1475" t="s">
        <v>36</v>
      </c>
      <c r="L1475" t="s">
        <v>2355</v>
      </c>
      <c r="M1475">
        <v>133844711902</v>
      </c>
      <c r="N1475" t="s">
        <v>2702</v>
      </c>
      <c r="O1475" s="1">
        <v>44844</v>
      </c>
      <c r="T1475" t="s">
        <v>2662</v>
      </c>
      <c r="U1475" t="s">
        <v>6080</v>
      </c>
      <c r="V1475">
        <v>0</v>
      </c>
      <c r="W1475" t="s">
        <v>2704</v>
      </c>
      <c r="X1475">
        <v>1</v>
      </c>
      <c r="Y1475" t="s">
        <v>2695</v>
      </c>
      <c r="AA1475">
        <v>133844711902</v>
      </c>
      <c r="AB1475" t="s">
        <v>2283</v>
      </c>
      <c r="AC1475">
        <v>0</v>
      </c>
      <c r="AD1475">
        <v>45</v>
      </c>
      <c r="AE1475">
        <v>13384471190245</v>
      </c>
      <c r="AF1475" t="s">
        <v>6081</v>
      </c>
      <c r="AG1475">
        <v>1</v>
      </c>
      <c r="AH1475">
        <v>1</v>
      </c>
    </row>
    <row r="1476" spans="1:34">
      <c r="A1476">
        <v>2026</v>
      </c>
      <c r="B1476" s="1">
        <v>46082</v>
      </c>
      <c r="C1476" t="s">
        <v>2657</v>
      </c>
      <c r="D1476" t="s">
        <v>6082</v>
      </c>
      <c r="E1476" s="43">
        <v>46084.898670648145</v>
      </c>
      <c r="F1476" s="3">
        <v>46084</v>
      </c>
      <c r="G1476" s="43">
        <v>46085.65738193287</v>
      </c>
      <c r="H1476" t="s">
        <v>2668</v>
      </c>
      <c r="I1476" t="s">
        <v>2669</v>
      </c>
      <c r="J1476" t="s">
        <v>37</v>
      </c>
      <c r="L1476" t="s">
        <v>2364</v>
      </c>
      <c r="M1476">
        <v>687037975702</v>
      </c>
      <c r="N1476" t="s">
        <v>2661</v>
      </c>
      <c r="O1476" s="1">
        <v>45947</v>
      </c>
      <c r="T1476" t="s">
        <v>2662</v>
      </c>
      <c r="U1476" t="s">
        <v>6083</v>
      </c>
      <c r="V1476">
        <v>1</v>
      </c>
      <c r="W1476" t="s">
        <v>2677</v>
      </c>
      <c r="X1476">
        <v>1</v>
      </c>
      <c r="Y1476" t="s">
        <v>2760</v>
      </c>
      <c r="AA1476">
        <v>687037975702</v>
      </c>
      <c r="AB1476" t="s">
        <v>171</v>
      </c>
      <c r="AC1476">
        <v>1</v>
      </c>
      <c r="AD1476">
        <v>10</v>
      </c>
      <c r="AE1476">
        <v>68703797570210</v>
      </c>
      <c r="AF1476" t="s">
        <v>6084</v>
      </c>
      <c r="AG1476">
        <v>1</v>
      </c>
      <c r="AH1476">
        <v>1</v>
      </c>
    </row>
    <row r="1477" spans="1:34">
      <c r="A1477">
        <v>2025</v>
      </c>
      <c r="B1477" s="1">
        <v>45992</v>
      </c>
      <c r="C1477" t="s">
        <v>2657</v>
      </c>
      <c r="D1477" t="s">
        <v>6085</v>
      </c>
      <c r="E1477" s="43">
        <v>45992.791521817133</v>
      </c>
      <c r="F1477" s="3">
        <v>45992</v>
      </c>
      <c r="G1477" s="43">
        <v>45996.532526689814</v>
      </c>
      <c r="H1477" t="s">
        <v>2686</v>
      </c>
      <c r="I1477" t="s">
        <v>2669</v>
      </c>
      <c r="J1477" t="s">
        <v>36</v>
      </c>
      <c r="L1477" t="s">
        <v>2421</v>
      </c>
      <c r="M1477">
        <v>1044965067502</v>
      </c>
      <c r="N1477" t="s">
        <v>2661</v>
      </c>
      <c r="O1477" s="1">
        <v>45709</v>
      </c>
      <c r="T1477" t="s">
        <v>2662</v>
      </c>
      <c r="U1477" t="s">
        <v>6086</v>
      </c>
      <c r="V1477">
        <v>4</v>
      </c>
      <c r="W1477" t="s">
        <v>2677</v>
      </c>
      <c r="X1477">
        <v>1</v>
      </c>
      <c r="Y1477" t="s">
        <v>2760</v>
      </c>
      <c r="AA1477">
        <v>124090551902</v>
      </c>
      <c r="AB1477" t="s">
        <v>1956</v>
      </c>
      <c r="AC1477">
        <v>0</v>
      </c>
      <c r="AD1477">
        <v>49</v>
      </c>
      <c r="AE1477">
        <v>12409055190249</v>
      </c>
      <c r="AF1477" t="s">
        <v>6087</v>
      </c>
      <c r="AG1477">
        <v>1</v>
      </c>
      <c r="AH1477">
        <v>1</v>
      </c>
    </row>
    <row r="1478" spans="1:34">
      <c r="A1478">
        <v>2025</v>
      </c>
      <c r="B1478" s="1">
        <v>45992</v>
      </c>
      <c r="C1478" t="s">
        <v>2657</v>
      </c>
      <c r="D1478" t="s">
        <v>6088</v>
      </c>
      <c r="E1478" s="43">
        <v>45992.803529849538</v>
      </c>
      <c r="F1478" s="3">
        <v>45992</v>
      </c>
      <c r="G1478" s="43">
        <v>45996.556577187497</v>
      </c>
      <c r="H1478" t="s">
        <v>2686</v>
      </c>
      <c r="I1478" t="s">
        <v>2669</v>
      </c>
      <c r="J1478" t="s">
        <v>36</v>
      </c>
      <c r="L1478" t="s">
        <v>2421</v>
      </c>
      <c r="M1478">
        <v>1044965067502</v>
      </c>
      <c r="N1478" t="s">
        <v>2661</v>
      </c>
      <c r="O1478" s="1">
        <v>45709</v>
      </c>
      <c r="T1478" t="s">
        <v>2662</v>
      </c>
      <c r="U1478" t="s">
        <v>6089</v>
      </c>
      <c r="V1478">
        <v>4</v>
      </c>
      <c r="W1478" t="s">
        <v>2677</v>
      </c>
      <c r="X1478">
        <v>1</v>
      </c>
      <c r="Y1478" t="s">
        <v>2760</v>
      </c>
      <c r="AA1478">
        <v>124090551902</v>
      </c>
      <c r="AB1478" t="s">
        <v>1956</v>
      </c>
      <c r="AC1478">
        <v>0</v>
      </c>
      <c r="AD1478">
        <v>49</v>
      </c>
      <c r="AE1478">
        <v>12409055190249</v>
      </c>
      <c r="AF1478" t="s">
        <v>6087</v>
      </c>
      <c r="AG1478">
        <v>0</v>
      </c>
      <c r="AH1478">
        <v>0</v>
      </c>
    </row>
    <row r="1479" spans="1:34">
      <c r="A1479">
        <v>2025</v>
      </c>
      <c r="B1479" s="1">
        <v>45992</v>
      </c>
      <c r="C1479" t="s">
        <v>2657</v>
      </c>
      <c r="D1479" t="s">
        <v>6090</v>
      </c>
      <c r="E1479" s="43">
        <v>45992.79606212963</v>
      </c>
      <c r="F1479" s="3">
        <v>45992</v>
      </c>
      <c r="G1479" s="43">
        <v>45994.866933379628</v>
      </c>
      <c r="H1479" t="s">
        <v>2686</v>
      </c>
      <c r="I1479" t="s">
        <v>2669</v>
      </c>
      <c r="J1479" t="s">
        <v>36</v>
      </c>
      <c r="L1479" t="s">
        <v>2421</v>
      </c>
      <c r="M1479">
        <v>1044965067502</v>
      </c>
      <c r="N1479" t="s">
        <v>2661</v>
      </c>
      <c r="O1479" s="1">
        <v>45709</v>
      </c>
      <c r="T1479" t="s">
        <v>2662</v>
      </c>
      <c r="U1479" t="s">
        <v>6091</v>
      </c>
      <c r="V1479">
        <v>2</v>
      </c>
      <c r="W1479" t="s">
        <v>2677</v>
      </c>
      <c r="X1479">
        <v>1</v>
      </c>
      <c r="Y1479" t="s">
        <v>2760</v>
      </c>
      <c r="AA1479">
        <v>124090551902</v>
      </c>
      <c r="AB1479" t="s">
        <v>1956</v>
      </c>
      <c r="AC1479">
        <v>0</v>
      </c>
      <c r="AD1479">
        <v>49</v>
      </c>
      <c r="AE1479">
        <v>12409055190249</v>
      </c>
      <c r="AF1479" t="s">
        <v>6087</v>
      </c>
      <c r="AG1479">
        <v>0</v>
      </c>
      <c r="AH1479">
        <v>0</v>
      </c>
    </row>
    <row r="1480" spans="1:34">
      <c r="A1480">
        <v>2025</v>
      </c>
      <c r="B1480" s="1">
        <v>45992</v>
      </c>
      <c r="C1480" t="s">
        <v>2657</v>
      </c>
      <c r="D1480" t="s">
        <v>6092</v>
      </c>
      <c r="E1480" s="43">
        <v>46007.562776874998</v>
      </c>
      <c r="F1480" s="3">
        <v>46007</v>
      </c>
      <c r="G1480" s="43">
        <v>46009.58857615741</v>
      </c>
      <c r="H1480" t="s">
        <v>2686</v>
      </c>
      <c r="I1480" t="s">
        <v>2719</v>
      </c>
      <c r="J1480" t="s">
        <v>36</v>
      </c>
      <c r="L1480" t="s">
        <v>2421</v>
      </c>
      <c r="M1480">
        <v>1044965067502</v>
      </c>
      <c r="N1480" t="s">
        <v>2661</v>
      </c>
      <c r="O1480" s="1">
        <v>45709</v>
      </c>
      <c r="T1480" t="s">
        <v>2662</v>
      </c>
      <c r="U1480" t="s">
        <v>6093</v>
      </c>
      <c r="V1480">
        <v>2</v>
      </c>
      <c r="W1480" t="s">
        <v>2671</v>
      </c>
      <c r="X1480">
        <v>1</v>
      </c>
      <c r="Y1480" t="s">
        <v>2760</v>
      </c>
      <c r="AA1480">
        <v>124090551902</v>
      </c>
      <c r="AB1480" t="s">
        <v>1956</v>
      </c>
      <c r="AC1480">
        <v>0</v>
      </c>
      <c r="AD1480">
        <v>51</v>
      </c>
      <c r="AE1480">
        <v>12409055190251</v>
      </c>
      <c r="AF1480" t="s">
        <v>6087</v>
      </c>
      <c r="AG1480">
        <v>0</v>
      </c>
      <c r="AH1480">
        <v>0</v>
      </c>
    </row>
    <row r="1481" spans="1:34">
      <c r="A1481">
        <v>2025</v>
      </c>
      <c r="B1481" s="1">
        <v>45992</v>
      </c>
      <c r="C1481" t="s">
        <v>2657</v>
      </c>
      <c r="D1481" t="s">
        <v>6094</v>
      </c>
      <c r="E1481" s="43">
        <v>46007.563427824076</v>
      </c>
      <c r="F1481" s="3">
        <v>46007</v>
      </c>
      <c r="G1481" s="43">
        <v>46020.53846048611</v>
      </c>
      <c r="H1481" t="s">
        <v>2686</v>
      </c>
      <c r="I1481" t="s">
        <v>2719</v>
      </c>
      <c r="J1481" t="s">
        <v>36</v>
      </c>
      <c r="L1481" t="s">
        <v>2421</v>
      </c>
      <c r="M1481">
        <v>1044965067502</v>
      </c>
      <c r="N1481" t="s">
        <v>2661</v>
      </c>
      <c r="O1481" s="1">
        <v>45709</v>
      </c>
      <c r="T1481" t="s">
        <v>2662</v>
      </c>
      <c r="U1481" t="s">
        <v>6095</v>
      </c>
      <c r="V1481">
        <v>9</v>
      </c>
      <c r="W1481" t="s">
        <v>2664</v>
      </c>
      <c r="X1481">
        <v>1</v>
      </c>
      <c r="Y1481" t="s">
        <v>2757</v>
      </c>
      <c r="AA1481">
        <v>124090551902</v>
      </c>
      <c r="AB1481" t="s">
        <v>1956</v>
      </c>
      <c r="AC1481">
        <v>0</v>
      </c>
      <c r="AD1481">
        <v>51</v>
      </c>
      <c r="AE1481">
        <v>12409055190251</v>
      </c>
      <c r="AF1481" t="s">
        <v>6087</v>
      </c>
      <c r="AG1481">
        <v>0</v>
      </c>
      <c r="AH1481">
        <v>0</v>
      </c>
    </row>
    <row r="1482" spans="1:34">
      <c r="A1482">
        <v>2025</v>
      </c>
      <c r="B1482" s="1">
        <v>45992</v>
      </c>
      <c r="C1482" t="s">
        <v>2657</v>
      </c>
      <c r="D1482" t="s">
        <v>6096</v>
      </c>
      <c r="E1482" s="43">
        <v>46006.697724201389</v>
      </c>
      <c r="F1482" s="3">
        <v>46006</v>
      </c>
      <c r="G1482" s="43">
        <v>46028.786380196761</v>
      </c>
      <c r="H1482" t="s">
        <v>2686</v>
      </c>
      <c r="I1482" t="s">
        <v>2719</v>
      </c>
      <c r="J1482" t="s">
        <v>36</v>
      </c>
      <c r="L1482" t="s">
        <v>2421</v>
      </c>
      <c r="M1482">
        <v>124090551902</v>
      </c>
      <c r="N1482" t="s">
        <v>2661</v>
      </c>
      <c r="O1482" s="1">
        <v>45541</v>
      </c>
      <c r="T1482" t="s">
        <v>2662</v>
      </c>
      <c r="U1482" t="s">
        <v>6097</v>
      </c>
      <c r="V1482">
        <v>16</v>
      </c>
      <c r="X1482">
        <v>1</v>
      </c>
      <c r="Y1482" t="s">
        <v>2717</v>
      </c>
      <c r="AA1482">
        <v>124090551902</v>
      </c>
      <c r="AB1482" t="s">
        <v>1956</v>
      </c>
      <c r="AC1482">
        <v>0</v>
      </c>
      <c r="AD1482">
        <v>51</v>
      </c>
      <c r="AE1482">
        <v>12409055190251</v>
      </c>
      <c r="AF1482" t="s">
        <v>6087</v>
      </c>
      <c r="AG1482">
        <v>1</v>
      </c>
      <c r="AH1482">
        <v>0</v>
      </c>
    </row>
    <row r="1483" spans="1:34">
      <c r="A1483">
        <v>2026</v>
      </c>
      <c r="B1483" s="1">
        <v>46082</v>
      </c>
      <c r="C1483" t="s">
        <v>2657</v>
      </c>
      <c r="D1483" t="s">
        <v>6098</v>
      </c>
      <c r="E1483" s="43">
        <v>46083.638473159721</v>
      </c>
      <c r="F1483" s="3">
        <v>46083</v>
      </c>
      <c r="G1483" s="43">
        <v>46084.663677974539</v>
      </c>
      <c r="H1483" t="s">
        <v>2668</v>
      </c>
      <c r="I1483" t="s">
        <v>2669</v>
      </c>
      <c r="J1483" t="s">
        <v>39</v>
      </c>
      <c r="L1483" t="s">
        <v>2353</v>
      </c>
      <c r="M1483">
        <v>247227556102</v>
      </c>
      <c r="N1483" t="s">
        <v>2702</v>
      </c>
      <c r="O1483" s="1">
        <v>45006</v>
      </c>
      <c r="T1483" t="s">
        <v>2662</v>
      </c>
      <c r="U1483" t="s">
        <v>6099</v>
      </c>
      <c r="V1483">
        <v>1</v>
      </c>
      <c r="W1483" t="s">
        <v>2664</v>
      </c>
      <c r="X1483">
        <v>1</v>
      </c>
      <c r="Y1483" t="s">
        <v>2757</v>
      </c>
      <c r="AA1483">
        <v>247227556102</v>
      </c>
      <c r="AB1483" t="s">
        <v>270</v>
      </c>
      <c r="AC1483">
        <v>1</v>
      </c>
      <c r="AD1483">
        <v>10</v>
      </c>
      <c r="AE1483">
        <v>24722755610210</v>
      </c>
      <c r="AF1483" t="s">
        <v>6100</v>
      </c>
      <c r="AG1483">
        <v>1</v>
      </c>
      <c r="AH1483">
        <v>1</v>
      </c>
    </row>
    <row r="1484" spans="1:34">
      <c r="A1484">
        <v>2026</v>
      </c>
      <c r="B1484" s="1">
        <v>46023</v>
      </c>
      <c r="C1484" t="s">
        <v>2657</v>
      </c>
      <c r="D1484" t="s">
        <v>6101</v>
      </c>
      <c r="E1484" s="43">
        <v>46028.870729120368</v>
      </c>
      <c r="F1484" s="3">
        <v>46028</v>
      </c>
      <c r="G1484" s="43">
        <v>46034.830292673614</v>
      </c>
      <c r="H1484" t="s">
        <v>2701</v>
      </c>
      <c r="I1484" t="s">
        <v>2669</v>
      </c>
      <c r="J1484" t="s">
        <v>38</v>
      </c>
      <c r="L1484" t="s">
        <v>2342</v>
      </c>
      <c r="M1484">
        <v>660765584502</v>
      </c>
      <c r="N1484" t="s">
        <v>2702</v>
      </c>
      <c r="O1484" s="1">
        <v>45324</v>
      </c>
      <c r="T1484" t="s">
        <v>2662</v>
      </c>
      <c r="U1484" t="s">
        <v>6102</v>
      </c>
      <c r="V1484">
        <v>4</v>
      </c>
      <c r="W1484" t="s">
        <v>2664</v>
      </c>
      <c r="X1484">
        <v>1</v>
      </c>
      <c r="Y1484" t="s">
        <v>2760</v>
      </c>
      <c r="AA1484">
        <v>690138852002</v>
      </c>
      <c r="AB1484" t="s">
        <v>2341</v>
      </c>
      <c r="AC1484">
        <v>0</v>
      </c>
      <c r="AD1484">
        <v>2</v>
      </c>
      <c r="AE1484">
        <v>6901388520022</v>
      </c>
      <c r="AF1484" t="s">
        <v>6103</v>
      </c>
      <c r="AG1484">
        <v>1</v>
      </c>
      <c r="AH1484">
        <v>1</v>
      </c>
    </row>
    <row r="1485" spans="1:34">
      <c r="A1485">
        <v>2026</v>
      </c>
      <c r="B1485" s="1">
        <v>46023</v>
      </c>
      <c r="C1485" t="s">
        <v>2657</v>
      </c>
      <c r="D1485" t="s">
        <v>6104</v>
      </c>
      <c r="E1485" s="43">
        <v>46031.739429490743</v>
      </c>
      <c r="F1485" s="3">
        <v>46031</v>
      </c>
      <c r="G1485" s="43">
        <v>46043.523478356481</v>
      </c>
      <c r="H1485" t="s">
        <v>2701</v>
      </c>
      <c r="I1485" t="s">
        <v>2681</v>
      </c>
      <c r="J1485" t="s">
        <v>38</v>
      </c>
      <c r="L1485" t="s">
        <v>2342</v>
      </c>
      <c r="M1485">
        <v>12218349602</v>
      </c>
      <c r="N1485" t="s">
        <v>2702</v>
      </c>
      <c r="O1485" s="1">
        <v>45324</v>
      </c>
      <c r="T1485" t="s">
        <v>2662</v>
      </c>
      <c r="U1485" t="s">
        <v>6105</v>
      </c>
      <c r="V1485">
        <v>8</v>
      </c>
      <c r="W1485" t="s">
        <v>2664</v>
      </c>
      <c r="X1485">
        <v>1</v>
      </c>
      <c r="Y1485" t="s">
        <v>2665</v>
      </c>
      <c r="AA1485">
        <v>690138852002</v>
      </c>
      <c r="AB1485" t="s">
        <v>2341</v>
      </c>
      <c r="AC1485">
        <v>0</v>
      </c>
      <c r="AD1485">
        <v>2</v>
      </c>
      <c r="AE1485">
        <v>6901388520022</v>
      </c>
      <c r="AF1485" t="s">
        <v>6103</v>
      </c>
      <c r="AG1485">
        <v>0</v>
      </c>
      <c r="AH1485">
        <v>0</v>
      </c>
    </row>
    <row r="1486" spans="1:34">
      <c r="A1486">
        <v>2026</v>
      </c>
      <c r="B1486" s="1">
        <v>46023</v>
      </c>
      <c r="C1486" t="s">
        <v>2657</v>
      </c>
      <c r="D1486" t="s">
        <v>6106</v>
      </c>
      <c r="E1486" s="43">
        <v>46048.790617199076</v>
      </c>
      <c r="F1486" s="3">
        <v>46048</v>
      </c>
      <c r="G1486" s="43">
        <v>46048.790617199076</v>
      </c>
      <c r="H1486" t="s">
        <v>2701</v>
      </c>
      <c r="I1486" t="s">
        <v>2660</v>
      </c>
      <c r="J1486" t="s">
        <v>38</v>
      </c>
      <c r="L1486" t="s">
        <v>2342</v>
      </c>
      <c r="M1486">
        <v>660765584502</v>
      </c>
      <c r="N1486" t="s">
        <v>2702</v>
      </c>
      <c r="O1486" s="1">
        <v>45324</v>
      </c>
      <c r="T1486" t="s">
        <v>2662</v>
      </c>
      <c r="U1486" t="s">
        <v>6107</v>
      </c>
      <c r="V1486">
        <v>0</v>
      </c>
      <c r="W1486" t="s">
        <v>2671</v>
      </c>
      <c r="X1486">
        <v>1</v>
      </c>
      <c r="Y1486" t="s">
        <v>2672</v>
      </c>
      <c r="AA1486">
        <v>690138852002</v>
      </c>
      <c r="AB1486" t="s">
        <v>2341</v>
      </c>
      <c r="AC1486">
        <v>0</v>
      </c>
      <c r="AD1486">
        <v>5</v>
      </c>
      <c r="AE1486">
        <v>6901388520025</v>
      </c>
      <c r="AF1486" t="s">
        <v>6103</v>
      </c>
      <c r="AG1486">
        <v>1</v>
      </c>
      <c r="AH1486">
        <v>0</v>
      </c>
    </row>
    <row r="1487" spans="1:34">
      <c r="A1487">
        <v>2026</v>
      </c>
      <c r="B1487" s="1">
        <v>46054</v>
      </c>
      <c r="C1487" t="s">
        <v>2657</v>
      </c>
      <c r="D1487" t="s">
        <v>6108</v>
      </c>
      <c r="E1487" s="43">
        <v>46055.758871446757</v>
      </c>
      <c r="F1487" s="3">
        <v>46055</v>
      </c>
      <c r="G1487" s="43">
        <v>46058.533063668983</v>
      </c>
      <c r="H1487" t="s">
        <v>2725</v>
      </c>
      <c r="I1487" t="s">
        <v>2669</v>
      </c>
      <c r="J1487" t="s">
        <v>100</v>
      </c>
      <c r="L1487" t="s">
        <v>2361</v>
      </c>
      <c r="M1487">
        <v>13639293002</v>
      </c>
      <c r="N1487" t="s">
        <v>2702</v>
      </c>
      <c r="O1487" s="1">
        <v>46020</v>
      </c>
      <c r="T1487" t="s">
        <v>2662</v>
      </c>
      <c r="U1487" t="s">
        <v>6109</v>
      </c>
      <c r="V1487">
        <v>3</v>
      </c>
      <c r="X1487">
        <v>1</v>
      </c>
      <c r="Y1487" t="s">
        <v>2717</v>
      </c>
      <c r="AA1487">
        <v>13639293002</v>
      </c>
      <c r="AB1487" t="s">
        <v>2553</v>
      </c>
      <c r="AC1487">
        <v>0</v>
      </c>
      <c r="AD1487">
        <v>6</v>
      </c>
      <c r="AE1487">
        <v>136392930026</v>
      </c>
      <c r="AF1487" t="s">
        <v>6110</v>
      </c>
      <c r="AG1487">
        <v>1</v>
      </c>
      <c r="AH1487">
        <v>1</v>
      </c>
    </row>
    <row r="1488" spans="1:34">
      <c r="A1488">
        <v>2026</v>
      </c>
      <c r="B1488" s="1">
        <v>46054</v>
      </c>
      <c r="C1488" t="s">
        <v>2657</v>
      </c>
      <c r="D1488" t="s">
        <v>6111</v>
      </c>
      <c r="E1488" s="43">
        <v>46056.663070347226</v>
      </c>
      <c r="F1488" s="3">
        <v>46056</v>
      </c>
      <c r="G1488" s="43">
        <v>46057.550698923609</v>
      </c>
      <c r="H1488" t="s">
        <v>2725</v>
      </c>
      <c r="I1488" t="s">
        <v>2669</v>
      </c>
      <c r="J1488" t="s">
        <v>100</v>
      </c>
      <c r="L1488" t="s">
        <v>2361</v>
      </c>
      <c r="M1488">
        <v>13639293002</v>
      </c>
      <c r="N1488" t="s">
        <v>2702</v>
      </c>
      <c r="O1488" s="1">
        <v>46020</v>
      </c>
      <c r="T1488" t="s">
        <v>2662</v>
      </c>
      <c r="U1488" t="s">
        <v>6112</v>
      </c>
      <c r="V1488">
        <v>1</v>
      </c>
      <c r="W1488" t="s">
        <v>2671</v>
      </c>
      <c r="X1488">
        <v>1</v>
      </c>
      <c r="Y1488" t="s">
        <v>2757</v>
      </c>
      <c r="AA1488">
        <v>13639293002</v>
      </c>
      <c r="AB1488" t="s">
        <v>2553</v>
      </c>
      <c r="AC1488">
        <v>0</v>
      </c>
      <c r="AD1488">
        <v>6</v>
      </c>
      <c r="AE1488">
        <v>136392930026</v>
      </c>
      <c r="AF1488" t="s">
        <v>6110</v>
      </c>
      <c r="AG1488">
        <v>0</v>
      </c>
      <c r="AH1488">
        <v>0</v>
      </c>
    </row>
    <row r="1489" spans="1:34">
      <c r="A1489">
        <v>2026</v>
      </c>
      <c r="B1489" s="1">
        <v>46054</v>
      </c>
      <c r="C1489" t="s">
        <v>2657</v>
      </c>
      <c r="D1489" s="44" t="s">
        <v>6113</v>
      </c>
      <c r="E1489" s="43">
        <v>46072.670585405096</v>
      </c>
      <c r="F1489" s="3">
        <v>46072</v>
      </c>
      <c r="G1489" s="43">
        <v>46073.558387488425</v>
      </c>
      <c r="H1489" t="s">
        <v>2725</v>
      </c>
      <c r="I1489" t="s">
        <v>2719</v>
      </c>
      <c r="J1489" t="s">
        <v>100</v>
      </c>
      <c r="L1489" t="s">
        <v>2361</v>
      </c>
      <c r="M1489">
        <v>13639293002</v>
      </c>
      <c r="N1489" t="s">
        <v>2702</v>
      </c>
      <c r="O1489" s="1">
        <v>46020</v>
      </c>
      <c r="T1489" t="s">
        <v>2662</v>
      </c>
      <c r="U1489" t="s">
        <v>6114</v>
      </c>
      <c r="V1489">
        <v>1</v>
      </c>
      <c r="W1489" t="s">
        <v>2664</v>
      </c>
      <c r="X1489">
        <v>1</v>
      </c>
      <c r="Y1489" t="s">
        <v>2678</v>
      </c>
      <c r="AA1489">
        <v>13639293002</v>
      </c>
      <c r="AB1489" t="s">
        <v>2553</v>
      </c>
      <c r="AC1489">
        <v>0</v>
      </c>
      <c r="AD1489">
        <v>8</v>
      </c>
      <c r="AE1489">
        <v>136392930028</v>
      </c>
      <c r="AF1489" t="s">
        <v>6110</v>
      </c>
      <c r="AG1489">
        <v>1</v>
      </c>
      <c r="AH1489">
        <v>0</v>
      </c>
    </row>
    <row r="1490" spans="1:34">
      <c r="A1490">
        <v>2025</v>
      </c>
      <c r="B1490" s="1">
        <v>45962</v>
      </c>
      <c r="C1490" t="s">
        <v>2657</v>
      </c>
      <c r="D1490" t="s">
        <v>6115</v>
      </c>
      <c r="E1490" s="43">
        <v>45967.813855081018</v>
      </c>
      <c r="F1490" s="3">
        <v>45967</v>
      </c>
      <c r="G1490" s="43">
        <v>45989.800898090281</v>
      </c>
      <c r="H1490" t="s">
        <v>2802</v>
      </c>
      <c r="I1490" t="s">
        <v>2669</v>
      </c>
      <c r="J1490" t="s">
        <v>38</v>
      </c>
      <c r="L1490" t="s">
        <v>2363</v>
      </c>
      <c r="M1490">
        <v>21753463202</v>
      </c>
      <c r="N1490" t="s">
        <v>2702</v>
      </c>
      <c r="O1490" s="1">
        <v>44685</v>
      </c>
      <c r="T1490" t="s">
        <v>2662</v>
      </c>
      <c r="U1490" t="s">
        <v>6116</v>
      </c>
      <c r="V1490">
        <v>16</v>
      </c>
      <c r="W1490" t="s">
        <v>2664</v>
      </c>
      <c r="X1490">
        <v>1</v>
      </c>
      <c r="Y1490" t="s">
        <v>2757</v>
      </c>
      <c r="AA1490">
        <v>21753463202</v>
      </c>
      <c r="AB1490" t="s">
        <v>2172</v>
      </c>
      <c r="AC1490">
        <v>0</v>
      </c>
      <c r="AD1490">
        <v>45</v>
      </c>
      <c r="AE1490">
        <v>2175346320245</v>
      </c>
      <c r="AF1490" t="s">
        <v>6117</v>
      </c>
      <c r="AG1490">
        <v>0</v>
      </c>
      <c r="AH1490">
        <v>0</v>
      </c>
    </row>
    <row r="1491" spans="1:34">
      <c r="A1491">
        <v>2025</v>
      </c>
      <c r="B1491" s="1">
        <v>45962</v>
      </c>
      <c r="C1491" t="s">
        <v>2657</v>
      </c>
      <c r="D1491" t="s">
        <v>6118</v>
      </c>
      <c r="E1491" s="43">
        <v>45966.717160335647</v>
      </c>
      <c r="F1491" s="3">
        <v>45966</v>
      </c>
      <c r="G1491" s="43">
        <v>45989.798020891205</v>
      </c>
      <c r="H1491" t="s">
        <v>2802</v>
      </c>
      <c r="I1491" t="s">
        <v>2669</v>
      </c>
      <c r="J1491" t="s">
        <v>38</v>
      </c>
      <c r="L1491" t="s">
        <v>2363</v>
      </c>
      <c r="M1491">
        <v>1102237904002</v>
      </c>
      <c r="N1491" t="s">
        <v>2702</v>
      </c>
      <c r="O1491" s="1">
        <v>45842</v>
      </c>
      <c r="T1491" t="s">
        <v>2662</v>
      </c>
      <c r="U1491" t="s">
        <v>6119</v>
      </c>
      <c r="V1491">
        <v>17</v>
      </c>
      <c r="W1491" t="s">
        <v>2704</v>
      </c>
      <c r="X1491">
        <v>1</v>
      </c>
      <c r="Y1491" t="s">
        <v>2717</v>
      </c>
      <c r="AA1491">
        <v>21753463202</v>
      </c>
      <c r="AB1491" t="s">
        <v>2172</v>
      </c>
      <c r="AC1491">
        <v>0</v>
      </c>
      <c r="AD1491">
        <v>45</v>
      </c>
      <c r="AE1491">
        <v>2175346320245</v>
      </c>
      <c r="AF1491" t="s">
        <v>6117</v>
      </c>
      <c r="AG1491">
        <v>0</v>
      </c>
      <c r="AH1491">
        <v>0</v>
      </c>
    </row>
    <row r="1492" spans="1:34">
      <c r="A1492">
        <v>2025</v>
      </c>
      <c r="B1492" s="1">
        <v>45962</v>
      </c>
      <c r="C1492" t="s">
        <v>2657</v>
      </c>
      <c r="D1492" t="s">
        <v>6120</v>
      </c>
      <c r="E1492" s="43">
        <v>45966.715087199074</v>
      </c>
      <c r="F1492" s="3">
        <v>45966</v>
      </c>
      <c r="G1492" s="43">
        <v>45989.798050069447</v>
      </c>
      <c r="H1492" t="s">
        <v>2802</v>
      </c>
      <c r="I1492" t="s">
        <v>2669</v>
      </c>
      <c r="J1492" t="s">
        <v>38</v>
      </c>
      <c r="L1492" t="s">
        <v>2363</v>
      </c>
      <c r="M1492">
        <v>1102146047902</v>
      </c>
      <c r="N1492" t="s">
        <v>2702</v>
      </c>
      <c r="O1492" s="1">
        <v>45842</v>
      </c>
      <c r="T1492" t="s">
        <v>2662</v>
      </c>
      <c r="U1492" t="s">
        <v>6121</v>
      </c>
      <c r="V1492">
        <v>17</v>
      </c>
      <c r="W1492" t="s">
        <v>2704</v>
      </c>
      <c r="X1492">
        <v>1</v>
      </c>
      <c r="Y1492" t="s">
        <v>2717</v>
      </c>
      <c r="AA1492">
        <v>21753463202</v>
      </c>
      <c r="AB1492" t="s">
        <v>2172</v>
      </c>
      <c r="AC1492">
        <v>0</v>
      </c>
      <c r="AD1492">
        <v>45</v>
      </c>
      <c r="AE1492">
        <v>2175346320245</v>
      </c>
      <c r="AF1492" t="s">
        <v>6117</v>
      </c>
      <c r="AG1492">
        <v>1</v>
      </c>
      <c r="AH1492">
        <v>1</v>
      </c>
    </row>
    <row r="1493" spans="1:34">
      <c r="A1493">
        <v>2025</v>
      </c>
      <c r="B1493" s="1">
        <v>45962</v>
      </c>
      <c r="C1493" t="s">
        <v>2657</v>
      </c>
      <c r="D1493" t="s">
        <v>6122</v>
      </c>
      <c r="E1493" s="43">
        <v>45971.787339374998</v>
      </c>
      <c r="F1493" s="3">
        <v>45971</v>
      </c>
      <c r="G1493" s="43">
        <v>45972.600629918983</v>
      </c>
      <c r="H1493" t="s">
        <v>2802</v>
      </c>
      <c r="I1493" t="s">
        <v>2681</v>
      </c>
      <c r="J1493" t="s">
        <v>38</v>
      </c>
      <c r="L1493" t="s">
        <v>2363</v>
      </c>
      <c r="M1493">
        <v>1102237904002</v>
      </c>
      <c r="N1493" t="s">
        <v>2702</v>
      </c>
      <c r="O1493" s="1">
        <v>45842</v>
      </c>
      <c r="T1493" t="s">
        <v>2662</v>
      </c>
      <c r="U1493" t="s">
        <v>6123</v>
      </c>
      <c r="V1493">
        <v>1</v>
      </c>
      <c r="W1493" t="s">
        <v>2664</v>
      </c>
      <c r="X1493">
        <v>1</v>
      </c>
      <c r="Y1493" t="s">
        <v>2757</v>
      </c>
      <c r="AA1493">
        <v>21753463202</v>
      </c>
      <c r="AB1493" t="s">
        <v>2172</v>
      </c>
      <c r="AC1493">
        <v>0</v>
      </c>
      <c r="AD1493">
        <v>46</v>
      </c>
      <c r="AE1493">
        <v>2175346320246</v>
      </c>
      <c r="AF1493" t="s">
        <v>6117</v>
      </c>
      <c r="AG1493">
        <v>1</v>
      </c>
      <c r="AH1493">
        <v>0</v>
      </c>
    </row>
    <row r="1494" spans="1:34">
      <c r="A1494">
        <v>2025</v>
      </c>
      <c r="B1494" s="1">
        <v>45962</v>
      </c>
      <c r="C1494" t="s">
        <v>2657</v>
      </c>
      <c r="D1494" t="s">
        <v>6124</v>
      </c>
      <c r="E1494" s="43">
        <v>45978.770062164353</v>
      </c>
      <c r="F1494" s="3">
        <v>45978</v>
      </c>
      <c r="G1494" s="43">
        <v>45979.690233877314</v>
      </c>
      <c r="H1494" t="s">
        <v>2802</v>
      </c>
      <c r="I1494" t="s">
        <v>2719</v>
      </c>
      <c r="J1494" t="s">
        <v>38</v>
      </c>
      <c r="L1494" t="s">
        <v>2363</v>
      </c>
      <c r="M1494">
        <v>1102146047902</v>
      </c>
      <c r="N1494" t="s">
        <v>2702</v>
      </c>
      <c r="O1494" s="1">
        <v>45842</v>
      </c>
      <c r="T1494" t="s">
        <v>2662</v>
      </c>
      <c r="U1494" t="s">
        <v>6125</v>
      </c>
      <c r="V1494">
        <v>1</v>
      </c>
      <c r="W1494" t="s">
        <v>2677</v>
      </c>
      <c r="X1494">
        <v>1</v>
      </c>
      <c r="Y1494" t="s">
        <v>2807</v>
      </c>
      <c r="AA1494">
        <v>21753463202</v>
      </c>
      <c r="AB1494" t="s">
        <v>2172</v>
      </c>
      <c r="AC1494">
        <v>0</v>
      </c>
      <c r="AD1494">
        <v>47</v>
      </c>
      <c r="AE1494">
        <v>2175346320247</v>
      </c>
      <c r="AF1494" t="s">
        <v>6117</v>
      </c>
      <c r="AG1494">
        <v>1</v>
      </c>
      <c r="AH1494">
        <v>0</v>
      </c>
    </row>
    <row r="1495" spans="1:34">
      <c r="A1495">
        <v>2025</v>
      </c>
      <c r="B1495" s="1">
        <v>45962</v>
      </c>
      <c r="C1495" t="s">
        <v>2657</v>
      </c>
      <c r="D1495" t="s">
        <v>6126</v>
      </c>
      <c r="E1495" s="43">
        <v>45986.896121944446</v>
      </c>
      <c r="F1495" s="3">
        <v>45986</v>
      </c>
      <c r="G1495" s="43">
        <v>45995.749132037039</v>
      </c>
      <c r="H1495" t="s">
        <v>2802</v>
      </c>
      <c r="I1495" t="s">
        <v>2660</v>
      </c>
      <c r="J1495" t="s">
        <v>38</v>
      </c>
      <c r="L1495" t="s">
        <v>2363</v>
      </c>
      <c r="M1495">
        <v>1102146047902</v>
      </c>
      <c r="N1495" t="s">
        <v>2702</v>
      </c>
      <c r="O1495" s="1">
        <v>45842</v>
      </c>
      <c r="T1495" t="s">
        <v>2662</v>
      </c>
      <c r="U1495" t="s">
        <v>6127</v>
      </c>
      <c r="V1495">
        <v>7</v>
      </c>
      <c r="W1495" t="s">
        <v>2677</v>
      </c>
      <c r="X1495">
        <v>1</v>
      </c>
      <c r="Y1495" t="s">
        <v>2807</v>
      </c>
      <c r="AA1495">
        <v>21753463202</v>
      </c>
      <c r="AB1495" t="s">
        <v>2172</v>
      </c>
      <c r="AC1495">
        <v>0</v>
      </c>
      <c r="AD1495">
        <v>48</v>
      </c>
      <c r="AE1495">
        <v>2175346320248</v>
      </c>
      <c r="AF1495" t="s">
        <v>6117</v>
      </c>
      <c r="AG1495">
        <v>1</v>
      </c>
      <c r="AH1495">
        <v>0</v>
      </c>
    </row>
    <row r="1496" spans="1:34">
      <c r="A1496">
        <v>2026</v>
      </c>
      <c r="B1496" s="1">
        <v>46054</v>
      </c>
      <c r="C1496" t="s">
        <v>2657</v>
      </c>
      <c r="D1496" s="44" t="s">
        <v>6128</v>
      </c>
      <c r="E1496" s="43">
        <v>46063.874548564818</v>
      </c>
      <c r="F1496" s="3">
        <v>46063</v>
      </c>
      <c r="G1496" s="43">
        <v>46072.542526342593</v>
      </c>
      <c r="H1496" t="s">
        <v>2725</v>
      </c>
      <c r="I1496" t="s">
        <v>2681</v>
      </c>
      <c r="J1496" t="s">
        <v>36</v>
      </c>
      <c r="L1496" t="s">
        <v>2378</v>
      </c>
      <c r="M1496">
        <v>851188356602</v>
      </c>
      <c r="N1496" t="s">
        <v>2746</v>
      </c>
      <c r="O1496" s="1">
        <v>46050</v>
      </c>
      <c r="T1496" t="s">
        <v>2662</v>
      </c>
      <c r="U1496" t="s">
        <v>6129</v>
      </c>
      <c r="V1496">
        <v>7</v>
      </c>
      <c r="W1496" t="s">
        <v>2677</v>
      </c>
      <c r="X1496">
        <v>1</v>
      </c>
      <c r="Y1496" t="s">
        <v>2772</v>
      </c>
      <c r="AA1496">
        <v>851188356602</v>
      </c>
      <c r="AB1496" t="s">
        <v>2434</v>
      </c>
      <c r="AC1496">
        <v>1</v>
      </c>
      <c r="AD1496">
        <v>7</v>
      </c>
      <c r="AE1496">
        <v>8511883566027</v>
      </c>
      <c r="AF1496" t="s">
        <v>6130</v>
      </c>
      <c r="AG1496">
        <v>1</v>
      </c>
      <c r="AH1496">
        <v>1</v>
      </c>
    </row>
    <row r="1497" spans="1:34">
      <c r="A1497">
        <v>2025</v>
      </c>
      <c r="B1497" s="1">
        <v>45870</v>
      </c>
      <c r="C1497" t="s">
        <v>2657</v>
      </c>
      <c r="D1497" t="s">
        <v>6131</v>
      </c>
      <c r="E1497" s="43">
        <v>45884.768731863427</v>
      </c>
      <c r="F1497" s="3">
        <v>45884</v>
      </c>
      <c r="G1497" s="43">
        <v>45891.559911689816</v>
      </c>
      <c r="H1497" t="s">
        <v>3088</v>
      </c>
      <c r="I1497" t="s">
        <v>2719</v>
      </c>
      <c r="J1497" t="s">
        <v>38</v>
      </c>
      <c r="L1497" t="s">
        <v>2342</v>
      </c>
      <c r="M1497">
        <v>22445894402</v>
      </c>
      <c r="N1497" t="s">
        <v>2702</v>
      </c>
      <c r="O1497" s="1">
        <v>45294</v>
      </c>
      <c r="T1497" t="s">
        <v>2662</v>
      </c>
      <c r="U1497" t="s">
        <v>6132</v>
      </c>
      <c r="V1497">
        <v>5</v>
      </c>
      <c r="W1497" t="s">
        <v>2677</v>
      </c>
      <c r="X1497">
        <v>1</v>
      </c>
      <c r="Y1497" t="s">
        <v>2764</v>
      </c>
      <c r="Z1497" t="s">
        <v>2684</v>
      </c>
      <c r="AA1497">
        <v>22445894402</v>
      </c>
      <c r="AB1497" t="s">
        <v>573</v>
      </c>
      <c r="AC1497">
        <v>0</v>
      </c>
      <c r="AD1497">
        <v>33</v>
      </c>
      <c r="AE1497">
        <v>2244589440233</v>
      </c>
      <c r="AF1497" t="s">
        <v>6133</v>
      </c>
      <c r="AG1497">
        <v>1</v>
      </c>
      <c r="AH1497">
        <v>1</v>
      </c>
    </row>
    <row r="1498" spans="1:34">
      <c r="A1498">
        <v>2025</v>
      </c>
      <c r="B1498" s="1">
        <v>45870</v>
      </c>
      <c r="C1498" t="s">
        <v>2657</v>
      </c>
      <c r="D1498" t="s">
        <v>6134</v>
      </c>
      <c r="E1498" s="43">
        <v>45890.777699282407</v>
      </c>
      <c r="F1498" s="3">
        <v>45890</v>
      </c>
      <c r="G1498" s="43">
        <v>45936.557849965277</v>
      </c>
      <c r="H1498" t="s">
        <v>3088</v>
      </c>
      <c r="I1498" t="s">
        <v>2719</v>
      </c>
      <c r="J1498" t="s">
        <v>38</v>
      </c>
      <c r="L1498" t="s">
        <v>2342</v>
      </c>
      <c r="M1498">
        <v>22445894402</v>
      </c>
      <c r="N1498" t="s">
        <v>2702</v>
      </c>
      <c r="O1498" s="1">
        <v>45294</v>
      </c>
      <c r="T1498" t="s">
        <v>2662</v>
      </c>
      <c r="U1498" t="s">
        <v>6135</v>
      </c>
      <c r="V1498">
        <v>32</v>
      </c>
      <c r="W1498" t="s">
        <v>2664</v>
      </c>
      <c r="X1498">
        <v>1</v>
      </c>
      <c r="Y1498" t="s">
        <v>2665</v>
      </c>
      <c r="Z1498" t="s">
        <v>2684</v>
      </c>
      <c r="AA1498">
        <v>22445894402</v>
      </c>
      <c r="AB1498" t="s">
        <v>573</v>
      </c>
      <c r="AC1498">
        <v>0</v>
      </c>
      <c r="AD1498">
        <v>34</v>
      </c>
      <c r="AE1498">
        <v>2244589440234</v>
      </c>
      <c r="AF1498" t="s">
        <v>6133</v>
      </c>
      <c r="AG1498">
        <v>1</v>
      </c>
      <c r="AH1498">
        <v>0</v>
      </c>
    </row>
    <row r="1499" spans="1:34">
      <c r="A1499">
        <v>2025</v>
      </c>
      <c r="B1499" s="1">
        <v>45870</v>
      </c>
      <c r="C1499" t="s">
        <v>2657</v>
      </c>
      <c r="D1499" s="44" t="s">
        <v>6136</v>
      </c>
      <c r="E1499" s="43">
        <v>45890.779082627312</v>
      </c>
      <c r="F1499" s="3">
        <v>45890</v>
      </c>
      <c r="G1499" s="43">
        <v>45894.58125145833</v>
      </c>
      <c r="H1499" t="s">
        <v>3088</v>
      </c>
      <c r="I1499" t="s">
        <v>2719</v>
      </c>
      <c r="J1499" t="s">
        <v>38</v>
      </c>
      <c r="L1499" t="s">
        <v>2342</v>
      </c>
      <c r="M1499">
        <v>22445894402</v>
      </c>
      <c r="N1499" t="s">
        <v>2702</v>
      </c>
      <c r="O1499" s="1">
        <v>45294</v>
      </c>
      <c r="T1499" t="s">
        <v>2662</v>
      </c>
      <c r="U1499" t="s">
        <v>6137</v>
      </c>
      <c r="V1499">
        <v>2</v>
      </c>
      <c r="W1499" t="s">
        <v>2704</v>
      </c>
      <c r="X1499">
        <v>1</v>
      </c>
      <c r="Y1499" t="s">
        <v>2717</v>
      </c>
      <c r="Z1499" t="s">
        <v>2684</v>
      </c>
      <c r="AA1499">
        <v>22445894402</v>
      </c>
      <c r="AB1499" t="s">
        <v>573</v>
      </c>
      <c r="AC1499">
        <v>0</v>
      </c>
      <c r="AD1499">
        <v>34</v>
      </c>
      <c r="AE1499">
        <v>2244589440234</v>
      </c>
      <c r="AF1499" t="s">
        <v>6133</v>
      </c>
      <c r="AG1499">
        <v>0</v>
      </c>
      <c r="AH1499">
        <v>0</v>
      </c>
    </row>
    <row r="1500" spans="1:34">
      <c r="A1500">
        <v>2025</v>
      </c>
      <c r="B1500" s="1">
        <v>45962</v>
      </c>
      <c r="C1500" t="s">
        <v>2657</v>
      </c>
      <c r="D1500" t="s">
        <v>6138</v>
      </c>
      <c r="E1500" s="43">
        <v>45978.881706203705</v>
      </c>
      <c r="F1500" s="3">
        <v>45978</v>
      </c>
      <c r="G1500" s="43">
        <v>45988.873746064812</v>
      </c>
      <c r="H1500" t="s">
        <v>2802</v>
      </c>
      <c r="I1500" t="s">
        <v>2719</v>
      </c>
      <c r="J1500" t="s">
        <v>37</v>
      </c>
      <c r="L1500" t="s">
        <v>2364</v>
      </c>
      <c r="M1500">
        <v>287289131302</v>
      </c>
      <c r="N1500" t="s">
        <v>2661</v>
      </c>
      <c r="O1500" s="1">
        <v>45587</v>
      </c>
      <c r="T1500" t="s">
        <v>2662</v>
      </c>
      <c r="U1500" t="s">
        <v>6139</v>
      </c>
      <c r="V1500">
        <v>8</v>
      </c>
      <c r="W1500" t="s">
        <v>2704</v>
      </c>
      <c r="X1500">
        <v>1</v>
      </c>
      <c r="Y1500" t="s">
        <v>2721</v>
      </c>
      <c r="AA1500">
        <v>1078200608102</v>
      </c>
      <c r="AB1500" t="s">
        <v>1272</v>
      </c>
      <c r="AC1500">
        <v>0</v>
      </c>
      <c r="AD1500">
        <v>47</v>
      </c>
      <c r="AE1500">
        <v>107820060810247</v>
      </c>
      <c r="AF1500" t="s">
        <v>6140</v>
      </c>
      <c r="AG1500">
        <v>1</v>
      </c>
      <c r="AH1500">
        <v>1</v>
      </c>
    </row>
    <row r="1501" spans="1:34">
      <c r="A1501">
        <v>2025</v>
      </c>
      <c r="B1501" s="1">
        <v>45962</v>
      </c>
      <c r="C1501" t="s">
        <v>2657</v>
      </c>
      <c r="D1501" t="s">
        <v>6141</v>
      </c>
      <c r="E1501" s="43">
        <v>45978.882786886577</v>
      </c>
      <c r="F1501" s="3">
        <v>45978</v>
      </c>
      <c r="G1501" s="43">
        <v>45994.86743583333</v>
      </c>
      <c r="H1501" t="s">
        <v>2802</v>
      </c>
      <c r="I1501" t="s">
        <v>2719</v>
      </c>
      <c r="J1501" t="s">
        <v>37</v>
      </c>
      <c r="L1501" t="s">
        <v>2364</v>
      </c>
      <c r="M1501">
        <v>287289131302</v>
      </c>
      <c r="N1501" t="s">
        <v>2661</v>
      </c>
      <c r="O1501" s="1">
        <v>45587</v>
      </c>
      <c r="T1501" t="s">
        <v>2662</v>
      </c>
      <c r="U1501" t="s">
        <v>6142</v>
      </c>
      <c r="V1501">
        <v>12</v>
      </c>
      <c r="W1501" t="s">
        <v>2671</v>
      </c>
      <c r="X1501">
        <v>1</v>
      </c>
      <c r="Y1501" t="s">
        <v>2767</v>
      </c>
      <c r="Z1501" t="s">
        <v>2684</v>
      </c>
      <c r="AA1501">
        <v>1078200608102</v>
      </c>
      <c r="AB1501" t="s">
        <v>1272</v>
      </c>
      <c r="AC1501">
        <v>0</v>
      </c>
      <c r="AD1501">
        <v>47</v>
      </c>
      <c r="AE1501">
        <v>107820060810247</v>
      </c>
      <c r="AF1501" t="s">
        <v>6140</v>
      </c>
      <c r="AG1501">
        <v>0</v>
      </c>
      <c r="AH1501">
        <v>0</v>
      </c>
    </row>
    <row r="1502" spans="1:34">
      <c r="A1502">
        <v>2025</v>
      </c>
      <c r="B1502" s="1">
        <v>45962</v>
      </c>
      <c r="C1502" t="s">
        <v>2657</v>
      </c>
      <c r="D1502" s="44" t="s">
        <v>6143</v>
      </c>
      <c r="E1502" s="43">
        <v>45985.610249097219</v>
      </c>
      <c r="F1502" s="3">
        <v>45985</v>
      </c>
      <c r="G1502" s="43">
        <v>46002.542707442131</v>
      </c>
      <c r="H1502" t="s">
        <v>2802</v>
      </c>
      <c r="I1502" t="s">
        <v>2660</v>
      </c>
      <c r="J1502" t="s">
        <v>37</v>
      </c>
      <c r="L1502" t="s">
        <v>2364</v>
      </c>
      <c r="M1502">
        <v>949931980602</v>
      </c>
      <c r="N1502" t="s">
        <v>2661</v>
      </c>
      <c r="O1502" s="1">
        <v>45863</v>
      </c>
      <c r="T1502" t="s">
        <v>2662</v>
      </c>
      <c r="U1502" t="s">
        <v>6144</v>
      </c>
      <c r="V1502">
        <v>13</v>
      </c>
      <c r="W1502" t="s">
        <v>2671</v>
      </c>
      <c r="X1502">
        <v>1</v>
      </c>
      <c r="Y1502" t="s">
        <v>2767</v>
      </c>
      <c r="AA1502">
        <v>1078200608102</v>
      </c>
      <c r="AB1502" t="s">
        <v>1272</v>
      </c>
      <c r="AC1502">
        <v>0</v>
      </c>
      <c r="AD1502">
        <v>48</v>
      </c>
      <c r="AE1502">
        <v>107820060810248</v>
      </c>
      <c r="AF1502" t="s">
        <v>6140</v>
      </c>
      <c r="AG1502">
        <v>1</v>
      </c>
      <c r="AH1502">
        <v>0</v>
      </c>
    </row>
    <row r="1503" spans="1:34">
      <c r="A1503">
        <v>2026</v>
      </c>
      <c r="B1503" s="1">
        <v>46082</v>
      </c>
      <c r="C1503" t="s">
        <v>2657</v>
      </c>
      <c r="D1503" t="s">
        <v>6145</v>
      </c>
      <c r="E1503" s="43">
        <v>46087.828150335648</v>
      </c>
      <c r="F1503" s="3">
        <v>46087</v>
      </c>
      <c r="G1503" s="43">
        <v>46087.828150335648</v>
      </c>
      <c r="H1503" t="s">
        <v>2668</v>
      </c>
      <c r="I1503" t="s">
        <v>2669</v>
      </c>
      <c r="J1503" t="s">
        <v>38</v>
      </c>
      <c r="L1503" t="s">
        <v>2379</v>
      </c>
      <c r="M1503">
        <v>827345792502</v>
      </c>
      <c r="N1503" t="s">
        <v>2675</v>
      </c>
      <c r="O1503" s="1">
        <v>45474</v>
      </c>
      <c r="T1503" t="s">
        <v>2662</v>
      </c>
      <c r="U1503" t="s">
        <v>6146</v>
      </c>
      <c r="V1503">
        <v>0</v>
      </c>
      <c r="W1503" t="s">
        <v>2671</v>
      </c>
      <c r="X1503">
        <v>1</v>
      </c>
      <c r="Y1503" t="s">
        <v>2692</v>
      </c>
      <c r="AA1503">
        <v>827345792502</v>
      </c>
      <c r="AB1503" t="s">
        <v>2415</v>
      </c>
      <c r="AC1503">
        <v>0</v>
      </c>
      <c r="AD1503">
        <v>10</v>
      </c>
      <c r="AE1503">
        <v>82734579250210</v>
      </c>
      <c r="AF1503" t="s">
        <v>6147</v>
      </c>
      <c r="AG1503">
        <v>0</v>
      </c>
      <c r="AH1503">
        <v>0</v>
      </c>
    </row>
    <row r="1504" spans="1:34">
      <c r="A1504">
        <v>2026</v>
      </c>
      <c r="B1504" s="1">
        <v>46082</v>
      </c>
      <c r="C1504" t="s">
        <v>2657</v>
      </c>
      <c r="D1504" t="s">
        <v>6148</v>
      </c>
      <c r="E1504" s="43">
        <v>46083.841215775465</v>
      </c>
      <c r="F1504" s="3">
        <v>46083</v>
      </c>
      <c r="G1504" s="43">
        <v>46087.81521896991</v>
      </c>
      <c r="H1504" t="s">
        <v>2668</v>
      </c>
      <c r="I1504" t="s">
        <v>2669</v>
      </c>
      <c r="J1504" t="s">
        <v>38</v>
      </c>
      <c r="L1504" t="s">
        <v>2379</v>
      </c>
      <c r="M1504">
        <v>827345792502</v>
      </c>
      <c r="N1504" t="s">
        <v>2675</v>
      </c>
      <c r="O1504" s="1">
        <v>45474</v>
      </c>
      <c r="T1504" t="s">
        <v>2662</v>
      </c>
      <c r="U1504" t="s">
        <v>6149</v>
      </c>
      <c r="V1504">
        <v>4</v>
      </c>
      <c r="W1504" t="s">
        <v>2664</v>
      </c>
      <c r="X1504">
        <v>1</v>
      </c>
      <c r="Y1504" t="s">
        <v>2779</v>
      </c>
      <c r="AA1504">
        <v>827345792502</v>
      </c>
      <c r="AB1504" t="s">
        <v>2415</v>
      </c>
      <c r="AC1504">
        <v>0</v>
      </c>
      <c r="AD1504">
        <v>10</v>
      </c>
      <c r="AE1504">
        <v>82734579250210</v>
      </c>
      <c r="AF1504" t="s">
        <v>6147</v>
      </c>
      <c r="AG1504">
        <v>1</v>
      </c>
      <c r="AH1504">
        <v>1</v>
      </c>
    </row>
    <row r="1505" spans="1:34">
      <c r="A1505">
        <v>2026</v>
      </c>
      <c r="B1505" s="1">
        <v>46082</v>
      </c>
      <c r="C1505" t="s">
        <v>2657</v>
      </c>
      <c r="D1505" t="s">
        <v>6150</v>
      </c>
      <c r="E1505" s="43">
        <v>46093.629787824073</v>
      </c>
      <c r="F1505" s="3">
        <v>46093</v>
      </c>
      <c r="G1505" s="43">
        <v>46093.629787824073</v>
      </c>
      <c r="H1505" t="s">
        <v>2668</v>
      </c>
      <c r="I1505" t="s">
        <v>2681</v>
      </c>
      <c r="J1505" t="s">
        <v>38</v>
      </c>
      <c r="L1505" t="s">
        <v>2379</v>
      </c>
      <c r="M1505">
        <v>366470259302</v>
      </c>
      <c r="N1505" t="s">
        <v>2675</v>
      </c>
      <c r="O1505" s="1">
        <v>45294</v>
      </c>
      <c r="T1505" t="s">
        <v>2798</v>
      </c>
      <c r="U1505" t="s">
        <v>6151</v>
      </c>
      <c r="V1505">
        <v>1</v>
      </c>
      <c r="W1505" t="s">
        <v>2664</v>
      </c>
      <c r="X1505">
        <v>0</v>
      </c>
      <c r="Y1505" t="s">
        <v>2665</v>
      </c>
      <c r="AA1505">
        <v>827345792502</v>
      </c>
      <c r="AB1505" t="s">
        <v>2415</v>
      </c>
      <c r="AC1505">
        <v>1</v>
      </c>
      <c r="AD1505">
        <v>11</v>
      </c>
      <c r="AE1505">
        <v>82734579250211</v>
      </c>
      <c r="AF1505" t="s">
        <v>6147</v>
      </c>
      <c r="AG1505">
        <v>1</v>
      </c>
      <c r="AH1505">
        <v>0</v>
      </c>
    </row>
    <row r="1506" spans="1:34">
      <c r="A1506">
        <v>2025</v>
      </c>
      <c r="B1506" s="1">
        <v>45931</v>
      </c>
      <c r="C1506" t="s">
        <v>2657</v>
      </c>
      <c r="D1506" t="s">
        <v>6152</v>
      </c>
      <c r="E1506" s="43">
        <v>45945.736388275465</v>
      </c>
      <c r="F1506" s="3">
        <v>45945</v>
      </c>
      <c r="G1506" s="43">
        <v>45947.67097634259</v>
      </c>
      <c r="H1506" t="s">
        <v>2659</v>
      </c>
      <c r="I1506" t="s">
        <v>2719</v>
      </c>
      <c r="J1506" t="s">
        <v>2735</v>
      </c>
      <c r="L1506" t="s">
        <v>2362</v>
      </c>
      <c r="M1506">
        <v>803520752602</v>
      </c>
      <c r="N1506" t="s">
        <v>2746</v>
      </c>
      <c r="O1506" s="1">
        <v>45366</v>
      </c>
      <c r="T1506" t="s">
        <v>2662</v>
      </c>
      <c r="U1506" t="s">
        <v>6153</v>
      </c>
      <c r="V1506">
        <v>2</v>
      </c>
      <c r="W1506" t="s">
        <v>2677</v>
      </c>
      <c r="X1506">
        <v>1</v>
      </c>
      <c r="Y1506" t="s">
        <v>2760</v>
      </c>
      <c r="AA1506">
        <v>589580604602</v>
      </c>
      <c r="AB1506" t="s">
        <v>2070</v>
      </c>
      <c r="AC1506">
        <v>0</v>
      </c>
      <c r="AD1506">
        <v>42</v>
      </c>
      <c r="AE1506">
        <v>58958060460242</v>
      </c>
      <c r="AF1506" t="s">
        <v>6154</v>
      </c>
      <c r="AG1506">
        <v>1</v>
      </c>
      <c r="AH1506">
        <v>1</v>
      </c>
    </row>
    <row r="1507" spans="1:34">
      <c r="A1507">
        <v>2025</v>
      </c>
      <c r="B1507" s="1">
        <v>45931</v>
      </c>
      <c r="C1507" t="s">
        <v>2657</v>
      </c>
      <c r="D1507" t="s">
        <v>6155</v>
      </c>
      <c r="E1507" s="43">
        <v>45947.73849275463</v>
      </c>
      <c r="F1507" s="3">
        <v>45947</v>
      </c>
      <c r="G1507" s="43">
        <v>45947.73849275463</v>
      </c>
      <c r="H1507" t="s">
        <v>2659</v>
      </c>
      <c r="I1507" t="s">
        <v>2719</v>
      </c>
      <c r="J1507" t="s">
        <v>2735</v>
      </c>
      <c r="L1507" t="s">
        <v>2362</v>
      </c>
      <c r="M1507">
        <v>547494309302</v>
      </c>
      <c r="N1507" t="s">
        <v>2746</v>
      </c>
      <c r="O1507" s="1">
        <v>44837</v>
      </c>
      <c r="T1507" t="s">
        <v>2662</v>
      </c>
      <c r="U1507" t="s">
        <v>6156</v>
      </c>
      <c r="V1507">
        <v>0</v>
      </c>
      <c r="W1507" t="s">
        <v>2677</v>
      </c>
      <c r="X1507">
        <v>1</v>
      </c>
      <c r="Y1507" t="s">
        <v>2695</v>
      </c>
      <c r="AA1507">
        <v>589580604602</v>
      </c>
      <c r="AB1507" t="s">
        <v>2070</v>
      </c>
      <c r="AC1507">
        <v>0</v>
      </c>
      <c r="AD1507">
        <v>42</v>
      </c>
      <c r="AE1507">
        <v>58958060460242</v>
      </c>
      <c r="AF1507" t="s">
        <v>6154</v>
      </c>
      <c r="AG1507">
        <v>0</v>
      </c>
      <c r="AH1507">
        <v>0</v>
      </c>
    </row>
    <row r="1508" spans="1:34">
      <c r="A1508">
        <v>2025</v>
      </c>
      <c r="B1508" s="1">
        <v>45931</v>
      </c>
      <c r="C1508" t="s">
        <v>2657</v>
      </c>
      <c r="D1508" t="s">
        <v>6157</v>
      </c>
      <c r="E1508" s="43">
        <v>45947.738127534722</v>
      </c>
      <c r="F1508" s="3">
        <v>45947</v>
      </c>
      <c r="G1508" s="43">
        <v>45950.876302002318</v>
      </c>
      <c r="H1508" t="s">
        <v>2659</v>
      </c>
      <c r="I1508" t="s">
        <v>2719</v>
      </c>
      <c r="J1508" t="s">
        <v>2735</v>
      </c>
      <c r="L1508" t="s">
        <v>2362</v>
      </c>
      <c r="M1508">
        <v>547494309302</v>
      </c>
      <c r="N1508" t="s">
        <v>2746</v>
      </c>
      <c r="O1508" s="1">
        <v>44837</v>
      </c>
      <c r="T1508" t="s">
        <v>2662</v>
      </c>
      <c r="U1508" t="s">
        <v>6158</v>
      </c>
      <c r="V1508">
        <v>1</v>
      </c>
      <c r="W1508" t="s">
        <v>2677</v>
      </c>
      <c r="X1508">
        <v>1</v>
      </c>
      <c r="Y1508" t="s">
        <v>2772</v>
      </c>
      <c r="Z1508" t="s">
        <v>2684</v>
      </c>
      <c r="AA1508">
        <v>589580604602</v>
      </c>
      <c r="AB1508" t="s">
        <v>2070</v>
      </c>
      <c r="AC1508">
        <v>0</v>
      </c>
      <c r="AD1508">
        <v>42</v>
      </c>
      <c r="AE1508">
        <v>58958060460242</v>
      </c>
      <c r="AF1508" t="s">
        <v>6154</v>
      </c>
      <c r="AG1508">
        <v>0</v>
      </c>
      <c r="AH1508">
        <v>0</v>
      </c>
    </row>
    <row r="1509" spans="1:34">
      <c r="A1509">
        <v>2025</v>
      </c>
      <c r="B1509" s="1">
        <v>45931</v>
      </c>
      <c r="C1509" t="s">
        <v>2657</v>
      </c>
      <c r="D1509" t="s">
        <v>6159</v>
      </c>
      <c r="E1509" s="43">
        <v>45953.610420902776</v>
      </c>
      <c r="F1509" s="3">
        <v>45953</v>
      </c>
      <c r="G1509" s="43">
        <v>45966.58567429398</v>
      </c>
      <c r="H1509" t="s">
        <v>2659</v>
      </c>
      <c r="I1509" t="s">
        <v>2660</v>
      </c>
      <c r="J1509" t="s">
        <v>2735</v>
      </c>
      <c r="L1509" t="s">
        <v>2362</v>
      </c>
      <c r="M1509">
        <v>803520752602</v>
      </c>
      <c r="N1509" t="s">
        <v>2746</v>
      </c>
      <c r="O1509" s="1">
        <v>45366</v>
      </c>
      <c r="T1509" t="s">
        <v>2662</v>
      </c>
      <c r="U1509" t="s">
        <v>6160</v>
      </c>
      <c r="V1509">
        <v>9</v>
      </c>
      <c r="W1509" t="s">
        <v>2664</v>
      </c>
      <c r="X1509">
        <v>1</v>
      </c>
      <c r="Y1509" t="s">
        <v>2744</v>
      </c>
      <c r="AA1509">
        <v>589580604602</v>
      </c>
      <c r="AB1509" t="s">
        <v>2070</v>
      </c>
      <c r="AC1509">
        <v>0</v>
      </c>
      <c r="AD1509">
        <v>43</v>
      </c>
      <c r="AE1509">
        <v>58958060460243</v>
      </c>
      <c r="AF1509" t="s">
        <v>6154</v>
      </c>
      <c r="AG1509">
        <v>1</v>
      </c>
      <c r="AH1509">
        <v>0</v>
      </c>
    </row>
    <row r="1510" spans="1:34">
      <c r="A1510">
        <v>2025</v>
      </c>
      <c r="B1510" s="1">
        <v>45901</v>
      </c>
      <c r="C1510" t="s">
        <v>2657</v>
      </c>
      <c r="D1510" t="s">
        <v>6161</v>
      </c>
      <c r="E1510" s="43">
        <v>45902.565280439812</v>
      </c>
      <c r="F1510" s="3">
        <v>45902</v>
      </c>
      <c r="G1510" s="43">
        <v>45902.565280439812</v>
      </c>
      <c r="H1510" t="s">
        <v>2734</v>
      </c>
      <c r="I1510" t="s">
        <v>2669</v>
      </c>
      <c r="J1510" t="s">
        <v>2735</v>
      </c>
      <c r="L1510" t="s">
        <v>2362</v>
      </c>
      <c r="M1510">
        <v>361885515402</v>
      </c>
      <c r="N1510" t="s">
        <v>2746</v>
      </c>
      <c r="O1510" s="1">
        <v>45669</v>
      </c>
      <c r="T1510" t="s">
        <v>2662</v>
      </c>
      <c r="U1510" t="s">
        <v>6162</v>
      </c>
      <c r="V1510">
        <v>0</v>
      </c>
      <c r="W1510" t="s">
        <v>2743</v>
      </c>
      <c r="X1510">
        <v>1</v>
      </c>
      <c r="Y1510" t="s">
        <v>2717</v>
      </c>
      <c r="AA1510">
        <v>361885515402</v>
      </c>
      <c r="AB1510" t="s">
        <v>1603</v>
      </c>
      <c r="AC1510">
        <v>0</v>
      </c>
      <c r="AD1510">
        <v>36</v>
      </c>
      <c r="AE1510">
        <v>36188551540236</v>
      </c>
      <c r="AF1510" t="s">
        <v>6163</v>
      </c>
      <c r="AG1510">
        <v>1</v>
      </c>
      <c r="AH1510">
        <v>1</v>
      </c>
    </row>
    <row r="1511" spans="1:34">
      <c r="A1511">
        <v>2025</v>
      </c>
      <c r="B1511" s="1">
        <v>45901</v>
      </c>
      <c r="C1511" t="s">
        <v>2657</v>
      </c>
      <c r="D1511" t="s">
        <v>6164</v>
      </c>
      <c r="E1511" s="43">
        <v>45904.688850613427</v>
      </c>
      <c r="F1511" s="3">
        <v>45904</v>
      </c>
      <c r="G1511" s="43">
        <v>45908.628085567128</v>
      </c>
      <c r="H1511" t="s">
        <v>2734</v>
      </c>
      <c r="I1511" t="s">
        <v>2669</v>
      </c>
      <c r="J1511" t="s">
        <v>2735</v>
      </c>
      <c r="L1511" t="s">
        <v>2362</v>
      </c>
      <c r="M1511">
        <v>361885515402</v>
      </c>
      <c r="N1511" t="s">
        <v>2746</v>
      </c>
      <c r="O1511" s="1">
        <v>45669</v>
      </c>
      <c r="T1511" t="s">
        <v>2662</v>
      </c>
      <c r="U1511" t="s">
        <v>6165</v>
      </c>
      <c r="V1511">
        <v>2</v>
      </c>
      <c r="W1511" t="s">
        <v>2677</v>
      </c>
      <c r="X1511">
        <v>1</v>
      </c>
      <c r="Y1511" t="s">
        <v>2695</v>
      </c>
      <c r="AA1511">
        <v>361885515402</v>
      </c>
      <c r="AB1511" t="s">
        <v>1603</v>
      </c>
      <c r="AC1511">
        <v>0</v>
      </c>
      <c r="AD1511">
        <v>36</v>
      </c>
      <c r="AE1511">
        <v>36188551540236</v>
      </c>
      <c r="AF1511" t="s">
        <v>6163</v>
      </c>
      <c r="AG1511">
        <v>0</v>
      </c>
      <c r="AH1511">
        <v>0</v>
      </c>
    </row>
    <row r="1512" spans="1:34">
      <c r="A1512">
        <v>2025</v>
      </c>
      <c r="B1512" s="1">
        <v>45901</v>
      </c>
      <c r="C1512" t="s">
        <v>2657</v>
      </c>
      <c r="D1512" t="s">
        <v>6166</v>
      </c>
      <c r="E1512" s="43">
        <v>45908.81428353009</v>
      </c>
      <c r="F1512" s="3">
        <v>45908</v>
      </c>
      <c r="G1512" s="43">
        <v>45910.623204814816</v>
      </c>
      <c r="H1512" t="s">
        <v>2734</v>
      </c>
      <c r="I1512" t="s">
        <v>2681</v>
      </c>
      <c r="J1512" t="s">
        <v>2735</v>
      </c>
      <c r="L1512" t="s">
        <v>2362</v>
      </c>
      <c r="M1512">
        <v>361885515402</v>
      </c>
      <c r="N1512" t="s">
        <v>2746</v>
      </c>
      <c r="O1512" s="1">
        <v>45669</v>
      </c>
      <c r="T1512" t="s">
        <v>2662</v>
      </c>
      <c r="U1512" t="s">
        <v>6167</v>
      </c>
      <c r="V1512">
        <v>2</v>
      </c>
      <c r="W1512" t="s">
        <v>2743</v>
      </c>
      <c r="X1512">
        <v>1</v>
      </c>
      <c r="Y1512" t="s">
        <v>2717</v>
      </c>
      <c r="Z1512" t="s">
        <v>2834</v>
      </c>
      <c r="AA1512">
        <v>361885515402</v>
      </c>
      <c r="AB1512" t="s">
        <v>1603</v>
      </c>
      <c r="AC1512">
        <v>0</v>
      </c>
      <c r="AD1512">
        <v>37</v>
      </c>
      <c r="AE1512">
        <v>36188551540237</v>
      </c>
      <c r="AF1512" t="s">
        <v>6163</v>
      </c>
      <c r="AG1512">
        <v>1</v>
      </c>
      <c r="AH1512">
        <v>0</v>
      </c>
    </row>
    <row r="1513" spans="1:34">
      <c r="A1513">
        <v>2025</v>
      </c>
      <c r="B1513" s="1">
        <v>45901</v>
      </c>
      <c r="C1513" t="s">
        <v>2657</v>
      </c>
      <c r="D1513" t="s">
        <v>6168</v>
      </c>
      <c r="E1513" s="43">
        <v>45919.596972708336</v>
      </c>
      <c r="F1513" s="3">
        <v>45919</v>
      </c>
      <c r="G1513" s="43">
        <v>45919.66902361111</v>
      </c>
      <c r="H1513" t="s">
        <v>2734</v>
      </c>
      <c r="I1513" t="s">
        <v>2719</v>
      </c>
      <c r="J1513" t="s">
        <v>2735</v>
      </c>
      <c r="L1513" t="s">
        <v>2362</v>
      </c>
      <c r="M1513">
        <v>361885515402</v>
      </c>
      <c r="N1513" t="s">
        <v>2746</v>
      </c>
      <c r="O1513" s="1">
        <v>45669</v>
      </c>
      <c r="T1513" t="s">
        <v>2662</v>
      </c>
      <c r="U1513" t="s">
        <v>6169</v>
      </c>
      <c r="V1513">
        <v>0</v>
      </c>
      <c r="W1513" t="s">
        <v>2743</v>
      </c>
      <c r="X1513">
        <v>1</v>
      </c>
      <c r="Y1513" t="s">
        <v>2721</v>
      </c>
      <c r="AA1513">
        <v>361885515402</v>
      </c>
      <c r="AB1513" t="s">
        <v>1603</v>
      </c>
      <c r="AC1513">
        <v>0</v>
      </c>
      <c r="AD1513">
        <v>38</v>
      </c>
      <c r="AE1513">
        <v>36188551540238</v>
      </c>
      <c r="AF1513" t="s">
        <v>6163</v>
      </c>
      <c r="AG1513">
        <v>0</v>
      </c>
      <c r="AH1513">
        <v>0</v>
      </c>
    </row>
    <row r="1514" spans="1:34">
      <c r="A1514">
        <v>2025</v>
      </c>
      <c r="B1514" s="1">
        <v>45901</v>
      </c>
      <c r="C1514" t="s">
        <v>2657</v>
      </c>
      <c r="D1514" t="s">
        <v>6170</v>
      </c>
      <c r="E1514" s="43">
        <v>45917.553301643522</v>
      </c>
      <c r="F1514" s="3">
        <v>45917</v>
      </c>
      <c r="G1514" s="43">
        <v>45918.529734629628</v>
      </c>
      <c r="H1514" t="s">
        <v>2734</v>
      </c>
      <c r="I1514" t="s">
        <v>2719</v>
      </c>
      <c r="J1514" t="s">
        <v>2735</v>
      </c>
      <c r="L1514" t="s">
        <v>2362</v>
      </c>
      <c r="M1514">
        <v>361885515402</v>
      </c>
      <c r="N1514" t="s">
        <v>2746</v>
      </c>
      <c r="O1514" s="1">
        <v>45669</v>
      </c>
      <c r="T1514" t="s">
        <v>2662</v>
      </c>
      <c r="U1514" t="s">
        <v>6171</v>
      </c>
      <c r="V1514">
        <v>1</v>
      </c>
      <c r="W1514" t="s">
        <v>2677</v>
      </c>
      <c r="X1514">
        <v>1</v>
      </c>
      <c r="Y1514" t="s">
        <v>2807</v>
      </c>
      <c r="AA1514">
        <v>361885515402</v>
      </c>
      <c r="AB1514" t="s">
        <v>1603</v>
      </c>
      <c r="AC1514">
        <v>0</v>
      </c>
      <c r="AD1514">
        <v>38</v>
      </c>
      <c r="AE1514">
        <v>36188551540238</v>
      </c>
      <c r="AF1514" t="s">
        <v>6163</v>
      </c>
      <c r="AG1514">
        <v>1</v>
      </c>
      <c r="AH1514">
        <v>0</v>
      </c>
    </row>
    <row r="1515" spans="1:34">
      <c r="A1515">
        <v>2025</v>
      </c>
      <c r="B1515" s="1">
        <v>45901</v>
      </c>
      <c r="C1515" t="s">
        <v>2657</v>
      </c>
      <c r="D1515" t="s">
        <v>6172</v>
      </c>
      <c r="E1515" s="43">
        <v>45922.507381006944</v>
      </c>
      <c r="F1515" s="3">
        <v>45922</v>
      </c>
      <c r="G1515" s="43">
        <v>45923.483987511572</v>
      </c>
      <c r="H1515" t="s">
        <v>2734</v>
      </c>
      <c r="I1515" t="s">
        <v>2660</v>
      </c>
      <c r="J1515" t="s">
        <v>2735</v>
      </c>
      <c r="L1515" t="s">
        <v>2362</v>
      </c>
      <c r="M1515">
        <v>361885515402</v>
      </c>
      <c r="N1515" t="s">
        <v>2746</v>
      </c>
      <c r="O1515" s="1">
        <v>45669</v>
      </c>
      <c r="T1515" t="s">
        <v>2662</v>
      </c>
      <c r="U1515" t="s">
        <v>6173</v>
      </c>
      <c r="V1515">
        <v>1</v>
      </c>
      <c r="W1515" t="s">
        <v>2743</v>
      </c>
      <c r="X1515">
        <v>1</v>
      </c>
      <c r="Y1515" t="s">
        <v>2688</v>
      </c>
      <c r="AA1515">
        <v>361885515402</v>
      </c>
      <c r="AB1515" t="s">
        <v>1603</v>
      </c>
      <c r="AC1515">
        <v>0</v>
      </c>
      <c r="AD1515">
        <v>39</v>
      </c>
      <c r="AE1515">
        <v>36188551540239</v>
      </c>
      <c r="AF1515" t="s">
        <v>6163</v>
      </c>
      <c r="AG1515">
        <v>1</v>
      </c>
      <c r="AH1515">
        <v>0</v>
      </c>
    </row>
    <row r="1516" spans="1:34">
      <c r="A1516">
        <v>2025</v>
      </c>
      <c r="B1516" s="1">
        <v>45901</v>
      </c>
      <c r="C1516" t="s">
        <v>2657</v>
      </c>
      <c r="D1516" t="s">
        <v>6174</v>
      </c>
      <c r="E1516" s="43">
        <v>45926.508932592595</v>
      </c>
      <c r="F1516" s="3">
        <v>45926</v>
      </c>
      <c r="G1516" s="43">
        <v>45926.653142777781</v>
      </c>
      <c r="H1516" t="s">
        <v>2734</v>
      </c>
      <c r="I1516" t="s">
        <v>2660</v>
      </c>
      <c r="J1516" t="s">
        <v>2735</v>
      </c>
      <c r="L1516" t="s">
        <v>2362</v>
      </c>
      <c r="M1516">
        <v>361885515402</v>
      </c>
      <c r="N1516" t="s">
        <v>2746</v>
      </c>
      <c r="O1516" s="1">
        <v>45669</v>
      </c>
      <c r="T1516" t="s">
        <v>2662</v>
      </c>
      <c r="U1516" t="s">
        <v>6175</v>
      </c>
      <c r="V1516">
        <v>0</v>
      </c>
      <c r="W1516" t="s">
        <v>2743</v>
      </c>
      <c r="X1516">
        <v>1</v>
      </c>
      <c r="Y1516" t="s">
        <v>2764</v>
      </c>
      <c r="AA1516">
        <v>361885515402</v>
      </c>
      <c r="AB1516" t="s">
        <v>1603</v>
      </c>
      <c r="AC1516">
        <v>0</v>
      </c>
      <c r="AD1516">
        <v>39</v>
      </c>
      <c r="AE1516">
        <v>36188551540239</v>
      </c>
      <c r="AF1516" t="s">
        <v>6163</v>
      </c>
      <c r="AG1516">
        <v>0</v>
      </c>
      <c r="AH1516">
        <v>0</v>
      </c>
    </row>
    <row r="1517" spans="1:34">
      <c r="A1517">
        <v>2025</v>
      </c>
      <c r="B1517" s="1">
        <v>45901</v>
      </c>
      <c r="C1517" t="s">
        <v>2657</v>
      </c>
      <c r="D1517" t="s">
        <v>6176</v>
      </c>
      <c r="E1517" s="43">
        <v>45925.764159641207</v>
      </c>
      <c r="F1517" s="3">
        <v>45925</v>
      </c>
      <c r="G1517" s="43">
        <v>45926.527524224533</v>
      </c>
      <c r="H1517" t="s">
        <v>2734</v>
      </c>
      <c r="I1517" t="s">
        <v>2660</v>
      </c>
      <c r="J1517" t="s">
        <v>2735</v>
      </c>
      <c r="L1517" t="s">
        <v>2362</v>
      </c>
      <c r="M1517">
        <v>361885515402</v>
      </c>
      <c r="N1517" t="s">
        <v>2746</v>
      </c>
      <c r="O1517" s="1">
        <v>45669</v>
      </c>
      <c r="T1517" t="s">
        <v>2662</v>
      </c>
      <c r="U1517" t="s">
        <v>6177</v>
      </c>
      <c r="V1517">
        <v>1</v>
      </c>
      <c r="W1517" t="s">
        <v>2677</v>
      </c>
      <c r="X1517">
        <v>1</v>
      </c>
      <c r="Y1517" t="s">
        <v>2678</v>
      </c>
      <c r="AA1517">
        <v>361885515402</v>
      </c>
      <c r="AB1517" t="s">
        <v>1603</v>
      </c>
      <c r="AC1517">
        <v>0</v>
      </c>
      <c r="AD1517">
        <v>39</v>
      </c>
      <c r="AE1517">
        <v>36188551540239</v>
      </c>
      <c r="AF1517" t="s">
        <v>6163</v>
      </c>
      <c r="AG1517">
        <v>0</v>
      </c>
      <c r="AH1517">
        <v>0</v>
      </c>
    </row>
    <row r="1518" spans="1:34">
      <c r="A1518">
        <v>2026</v>
      </c>
      <c r="B1518" s="1">
        <v>46054</v>
      </c>
      <c r="C1518" t="s">
        <v>2657</v>
      </c>
      <c r="D1518" t="s">
        <v>6178</v>
      </c>
      <c r="E1518" s="43">
        <v>46059.757250266201</v>
      </c>
      <c r="F1518" s="3">
        <v>46059</v>
      </c>
      <c r="G1518" s="43">
        <v>46063.821327256941</v>
      </c>
      <c r="H1518" t="s">
        <v>2725</v>
      </c>
      <c r="I1518" t="s">
        <v>2669</v>
      </c>
      <c r="J1518" t="s">
        <v>36</v>
      </c>
      <c r="L1518" t="s">
        <v>2393</v>
      </c>
      <c r="M1518">
        <v>241002216802</v>
      </c>
      <c r="N1518" t="s">
        <v>2702</v>
      </c>
      <c r="O1518" s="1">
        <v>45411</v>
      </c>
      <c r="T1518" t="s">
        <v>2662</v>
      </c>
      <c r="U1518" t="s">
        <v>6179</v>
      </c>
      <c r="V1518">
        <v>2</v>
      </c>
      <c r="W1518" t="s">
        <v>2677</v>
      </c>
      <c r="X1518">
        <v>1</v>
      </c>
      <c r="Y1518" t="s">
        <v>2807</v>
      </c>
      <c r="AA1518">
        <v>241002216802</v>
      </c>
      <c r="AB1518" t="s">
        <v>1704</v>
      </c>
      <c r="AC1518">
        <v>0</v>
      </c>
      <c r="AD1518">
        <v>6</v>
      </c>
      <c r="AE1518">
        <v>2410022168026</v>
      </c>
      <c r="AF1518" t="s">
        <v>6180</v>
      </c>
      <c r="AG1518">
        <v>0</v>
      </c>
      <c r="AH1518">
        <v>0</v>
      </c>
    </row>
    <row r="1519" spans="1:34">
      <c r="A1519">
        <v>2026</v>
      </c>
      <c r="B1519" s="1">
        <v>46054</v>
      </c>
      <c r="C1519" t="s">
        <v>2657</v>
      </c>
      <c r="D1519" t="s">
        <v>6181</v>
      </c>
      <c r="E1519" s="43">
        <v>46056.554234050927</v>
      </c>
      <c r="F1519" s="3">
        <v>46056</v>
      </c>
      <c r="G1519" s="43">
        <v>46083.738314421294</v>
      </c>
      <c r="H1519" t="s">
        <v>2725</v>
      </c>
      <c r="I1519" t="s">
        <v>2669</v>
      </c>
      <c r="J1519" t="s">
        <v>36</v>
      </c>
      <c r="L1519" t="s">
        <v>2393</v>
      </c>
      <c r="M1519">
        <v>241002216802</v>
      </c>
      <c r="N1519" t="s">
        <v>2702</v>
      </c>
      <c r="O1519" s="1">
        <v>45411</v>
      </c>
      <c r="T1519" t="s">
        <v>2662</v>
      </c>
      <c r="U1519" t="s">
        <v>6182</v>
      </c>
      <c r="V1519">
        <v>19</v>
      </c>
      <c r="W1519" t="s">
        <v>2743</v>
      </c>
      <c r="X1519">
        <v>1</v>
      </c>
      <c r="Y1519" t="s">
        <v>2721</v>
      </c>
      <c r="AA1519">
        <v>241002216802</v>
      </c>
      <c r="AB1519" t="s">
        <v>1704</v>
      </c>
      <c r="AC1519">
        <v>0</v>
      </c>
      <c r="AD1519">
        <v>6</v>
      </c>
      <c r="AE1519">
        <v>2410022168026</v>
      </c>
      <c r="AF1519" t="s">
        <v>6180</v>
      </c>
      <c r="AG1519">
        <v>1</v>
      </c>
      <c r="AH1519">
        <v>1</v>
      </c>
    </row>
    <row r="1520" spans="1:34">
      <c r="A1520">
        <v>2026</v>
      </c>
      <c r="B1520" s="1">
        <v>46054</v>
      </c>
      <c r="C1520" t="s">
        <v>2657</v>
      </c>
      <c r="D1520" t="s">
        <v>6183</v>
      </c>
      <c r="E1520" s="43">
        <v>46056.559294629631</v>
      </c>
      <c r="F1520" s="3">
        <v>46056</v>
      </c>
      <c r="G1520" s="43">
        <v>46062.542618796295</v>
      </c>
      <c r="H1520" t="s">
        <v>2725</v>
      </c>
      <c r="I1520" t="s">
        <v>2669</v>
      </c>
      <c r="J1520" t="s">
        <v>36</v>
      </c>
      <c r="L1520" t="s">
        <v>2393</v>
      </c>
      <c r="M1520">
        <v>241002216802</v>
      </c>
      <c r="N1520" t="s">
        <v>2702</v>
      </c>
      <c r="O1520" s="1">
        <v>45411</v>
      </c>
      <c r="T1520" t="s">
        <v>2662</v>
      </c>
      <c r="U1520" t="s">
        <v>6184</v>
      </c>
      <c r="V1520">
        <v>4</v>
      </c>
      <c r="X1520">
        <v>1</v>
      </c>
      <c r="Y1520" t="s">
        <v>2717</v>
      </c>
      <c r="AA1520">
        <v>241002216802</v>
      </c>
      <c r="AB1520" t="s">
        <v>1704</v>
      </c>
      <c r="AC1520">
        <v>0</v>
      </c>
      <c r="AD1520">
        <v>6</v>
      </c>
      <c r="AE1520">
        <v>2410022168026</v>
      </c>
      <c r="AF1520" t="s">
        <v>6180</v>
      </c>
      <c r="AG1520">
        <v>0</v>
      </c>
      <c r="AH1520">
        <v>0</v>
      </c>
    </row>
    <row r="1521" spans="1:34">
      <c r="A1521">
        <v>2026</v>
      </c>
      <c r="B1521" s="1">
        <v>46054</v>
      </c>
      <c r="C1521" t="s">
        <v>2657</v>
      </c>
      <c r="D1521" t="s">
        <v>6185</v>
      </c>
      <c r="E1521" s="43">
        <v>46065.575744004629</v>
      </c>
      <c r="F1521" s="3">
        <v>46065</v>
      </c>
      <c r="G1521" s="43">
        <v>46083.810649861109</v>
      </c>
      <c r="H1521" t="s">
        <v>2725</v>
      </c>
      <c r="I1521" t="s">
        <v>2681</v>
      </c>
      <c r="J1521" t="s">
        <v>36</v>
      </c>
      <c r="L1521" t="s">
        <v>2393</v>
      </c>
      <c r="M1521">
        <v>241002216802</v>
      </c>
      <c r="N1521" t="s">
        <v>2702</v>
      </c>
      <c r="O1521" s="1">
        <v>45411</v>
      </c>
      <c r="T1521" t="s">
        <v>2798</v>
      </c>
      <c r="U1521" t="s">
        <v>6186</v>
      </c>
      <c r="V1521">
        <v>21</v>
      </c>
      <c r="W1521" t="s">
        <v>2677</v>
      </c>
      <c r="X1521">
        <v>0</v>
      </c>
      <c r="Y1521" t="s">
        <v>2807</v>
      </c>
      <c r="AA1521">
        <v>241002216802</v>
      </c>
      <c r="AB1521" t="s">
        <v>1704</v>
      </c>
      <c r="AC1521">
        <v>0</v>
      </c>
      <c r="AD1521">
        <v>7</v>
      </c>
      <c r="AE1521">
        <v>2410022168027</v>
      </c>
      <c r="AF1521" t="s">
        <v>6180</v>
      </c>
      <c r="AG1521">
        <v>0</v>
      </c>
      <c r="AH1521">
        <v>0</v>
      </c>
    </row>
    <row r="1522" spans="1:34">
      <c r="A1522">
        <v>2026</v>
      </c>
      <c r="B1522" s="1">
        <v>46054</v>
      </c>
      <c r="C1522" t="s">
        <v>2657</v>
      </c>
      <c r="D1522" t="s">
        <v>6187</v>
      </c>
      <c r="E1522" s="43">
        <v>46062.558871516201</v>
      </c>
      <c r="F1522" s="3">
        <v>46062</v>
      </c>
      <c r="G1522" s="43">
        <v>46072.711962187503</v>
      </c>
      <c r="H1522" t="s">
        <v>2725</v>
      </c>
      <c r="I1522" t="s">
        <v>2681</v>
      </c>
      <c r="J1522" t="s">
        <v>36</v>
      </c>
      <c r="L1522" t="s">
        <v>2393</v>
      </c>
      <c r="M1522">
        <v>241002216802</v>
      </c>
      <c r="N1522" t="s">
        <v>2702</v>
      </c>
      <c r="O1522" s="1">
        <v>45411</v>
      </c>
      <c r="T1522" t="s">
        <v>2662</v>
      </c>
      <c r="U1522" t="s">
        <v>6188</v>
      </c>
      <c r="V1522">
        <v>8</v>
      </c>
      <c r="X1522">
        <v>1</v>
      </c>
      <c r="Y1522" t="s">
        <v>2717</v>
      </c>
      <c r="AA1522">
        <v>241002216802</v>
      </c>
      <c r="AB1522" t="s">
        <v>1704</v>
      </c>
      <c r="AC1522">
        <v>0</v>
      </c>
      <c r="AD1522">
        <v>7</v>
      </c>
      <c r="AE1522">
        <v>2410022168027</v>
      </c>
      <c r="AF1522" t="s">
        <v>6180</v>
      </c>
      <c r="AG1522">
        <v>1</v>
      </c>
      <c r="AH1522">
        <v>0</v>
      </c>
    </row>
    <row r="1523" spans="1:34">
      <c r="A1523">
        <v>2026</v>
      </c>
      <c r="B1523" s="1">
        <v>46054</v>
      </c>
      <c r="C1523" t="s">
        <v>2657</v>
      </c>
      <c r="D1523" t="s">
        <v>6189</v>
      </c>
      <c r="E1523" s="43">
        <v>46065.764003553239</v>
      </c>
      <c r="F1523" s="3">
        <v>46065</v>
      </c>
      <c r="G1523" s="43">
        <v>46073.562575775461</v>
      </c>
      <c r="H1523" t="s">
        <v>2725</v>
      </c>
      <c r="I1523" t="s">
        <v>2681</v>
      </c>
      <c r="J1523" t="s">
        <v>36</v>
      </c>
      <c r="L1523" t="s">
        <v>2393</v>
      </c>
      <c r="M1523">
        <v>241002216802</v>
      </c>
      <c r="N1523" t="s">
        <v>2702</v>
      </c>
      <c r="O1523" s="1">
        <v>45411</v>
      </c>
      <c r="T1523" t="s">
        <v>2662</v>
      </c>
      <c r="U1523" t="s">
        <v>6190</v>
      </c>
      <c r="V1523">
        <v>6</v>
      </c>
      <c r="W1523" t="s">
        <v>2743</v>
      </c>
      <c r="X1523">
        <v>1</v>
      </c>
      <c r="Y1523" t="s">
        <v>2721</v>
      </c>
      <c r="AA1523">
        <v>241002216802</v>
      </c>
      <c r="AB1523" t="s">
        <v>1704</v>
      </c>
      <c r="AC1523">
        <v>0</v>
      </c>
      <c r="AD1523">
        <v>7</v>
      </c>
      <c r="AE1523">
        <v>2410022168027</v>
      </c>
      <c r="AF1523" t="s">
        <v>6180</v>
      </c>
      <c r="AG1523">
        <v>0</v>
      </c>
      <c r="AH1523">
        <v>0</v>
      </c>
    </row>
    <row r="1524" spans="1:34">
      <c r="A1524">
        <v>2026</v>
      </c>
      <c r="B1524" s="1">
        <v>46054</v>
      </c>
      <c r="C1524" t="s">
        <v>2657</v>
      </c>
      <c r="D1524" t="s">
        <v>6191</v>
      </c>
      <c r="E1524" s="43">
        <v>46072.726568495367</v>
      </c>
      <c r="F1524" s="3">
        <v>46072</v>
      </c>
      <c r="G1524" s="43">
        <v>46073.566931354166</v>
      </c>
      <c r="H1524" t="s">
        <v>2725</v>
      </c>
      <c r="I1524" t="s">
        <v>2719</v>
      </c>
      <c r="J1524" t="s">
        <v>36</v>
      </c>
      <c r="L1524" t="s">
        <v>2393</v>
      </c>
      <c r="M1524">
        <v>241002216802</v>
      </c>
      <c r="N1524" t="s">
        <v>2702</v>
      </c>
      <c r="O1524" s="1">
        <v>45411</v>
      </c>
      <c r="T1524" t="s">
        <v>2662</v>
      </c>
      <c r="U1524" t="s">
        <v>6192</v>
      </c>
      <c r="V1524">
        <v>1</v>
      </c>
      <c r="W1524" t="s">
        <v>2677</v>
      </c>
      <c r="X1524">
        <v>1</v>
      </c>
      <c r="Y1524" t="s">
        <v>2779</v>
      </c>
      <c r="AA1524">
        <v>241002216802</v>
      </c>
      <c r="AB1524" t="s">
        <v>1704</v>
      </c>
      <c r="AC1524">
        <v>0</v>
      </c>
      <c r="AD1524">
        <v>8</v>
      </c>
      <c r="AE1524">
        <v>2410022168028</v>
      </c>
      <c r="AF1524" t="s">
        <v>6180</v>
      </c>
      <c r="AG1524">
        <v>0</v>
      </c>
      <c r="AH1524">
        <v>0</v>
      </c>
    </row>
    <row r="1525" spans="1:34">
      <c r="A1525">
        <v>2026</v>
      </c>
      <c r="B1525" s="1">
        <v>46054</v>
      </c>
      <c r="C1525" t="s">
        <v>2657</v>
      </c>
      <c r="D1525" t="s">
        <v>6193</v>
      </c>
      <c r="E1525" s="43">
        <v>46072.725964594909</v>
      </c>
      <c r="F1525" s="3">
        <v>46072</v>
      </c>
      <c r="G1525" s="43">
        <v>46076.660691874997</v>
      </c>
      <c r="H1525" t="s">
        <v>2725</v>
      </c>
      <c r="I1525" t="s">
        <v>2719</v>
      </c>
      <c r="J1525" t="s">
        <v>36</v>
      </c>
      <c r="L1525" t="s">
        <v>2393</v>
      </c>
      <c r="M1525">
        <v>241002216802</v>
      </c>
      <c r="N1525" t="s">
        <v>2702</v>
      </c>
      <c r="O1525" s="1">
        <v>45411</v>
      </c>
      <c r="T1525" t="s">
        <v>2662</v>
      </c>
      <c r="U1525" t="s">
        <v>6194</v>
      </c>
      <c r="V1525">
        <v>2</v>
      </c>
      <c r="W1525" t="s">
        <v>2677</v>
      </c>
      <c r="X1525">
        <v>1</v>
      </c>
      <c r="Y1525" t="s">
        <v>2807</v>
      </c>
      <c r="AA1525">
        <v>241002216802</v>
      </c>
      <c r="AB1525" t="s">
        <v>1704</v>
      </c>
      <c r="AC1525">
        <v>0</v>
      </c>
      <c r="AD1525">
        <v>8</v>
      </c>
      <c r="AE1525">
        <v>2410022168028</v>
      </c>
      <c r="AF1525" t="s">
        <v>6180</v>
      </c>
      <c r="AG1525">
        <v>0</v>
      </c>
      <c r="AH1525">
        <v>0</v>
      </c>
    </row>
    <row r="1526" spans="1:34">
      <c r="A1526">
        <v>2026</v>
      </c>
      <c r="B1526" s="1">
        <v>46054</v>
      </c>
      <c r="C1526" t="s">
        <v>2657</v>
      </c>
      <c r="D1526" t="s">
        <v>6195</v>
      </c>
      <c r="E1526" s="43">
        <v>46072.719904212965</v>
      </c>
      <c r="F1526" s="3">
        <v>46072</v>
      </c>
      <c r="G1526" s="43">
        <v>46076.680415185183</v>
      </c>
      <c r="H1526" t="s">
        <v>2725</v>
      </c>
      <c r="I1526" t="s">
        <v>2719</v>
      </c>
      <c r="J1526" t="s">
        <v>36</v>
      </c>
      <c r="L1526" t="s">
        <v>2393</v>
      </c>
      <c r="M1526">
        <v>241002216802</v>
      </c>
      <c r="N1526" t="s">
        <v>2702</v>
      </c>
      <c r="O1526" s="1">
        <v>45411</v>
      </c>
      <c r="T1526" t="s">
        <v>2662</v>
      </c>
      <c r="U1526" t="s">
        <v>6196</v>
      </c>
      <c r="V1526">
        <v>2</v>
      </c>
      <c r="W1526" t="s">
        <v>2664</v>
      </c>
      <c r="X1526">
        <v>1</v>
      </c>
      <c r="Y1526" t="s">
        <v>2717</v>
      </c>
      <c r="AA1526">
        <v>241002216802</v>
      </c>
      <c r="AB1526" t="s">
        <v>1704</v>
      </c>
      <c r="AC1526">
        <v>0</v>
      </c>
      <c r="AD1526">
        <v>8</v>
      </c>
      <c r="AE1526">
        <v>2410022168028</v>
      </c>
      <c r="AF1526" t="s">
        <v>6180</v>
      </c>
      <c r="AG1526">
        <v>1</v>
      </c>
      <c r="AH1526">
        <v>0</v>
      </c>
    </row>
    <row r="1527" spans="1:34">
      <c r="A1527">
        <v>2026</v>
      </c>
      <c r="B1527" s="1">
        <v>46054</v>
      </c>
      <c r="C1527" t="s">
        <v>2657</v>
      </c>
      <c r="D1527" t="s">
        <v>6197</v>
      </c>
      <c r="E1527" s="43">
        <v>46078.582013923609</v>
      </c>
      <c r="F1527" s="3">
        <v>46078</v>
      </c>
      <c r="G1527" s="43">
        <v>46083.823251863425</v>
      </c>
      <c r="H1527" t="s">
        <v>2725</v>
      </c>
      <c r="I1527" t="s">
        <v>2660</v>
      </c>
      <c r="J1527" t="s">
        <v>36</v>
      </c>
      <c r="L1527" t="s">
        <v>2393</v>
      </c>
      <c r="M1527">
        <v>241002216802</v>
      </c>
      <c r="N1527" t="s">
        <v>2702</v>
      </c>
      <c r="O1527" s="1">
        <v>45411</v>
      </c>
      <c r="T1527" t="s">
        <v>2662</v>
      </c>
      <c r="U1527" t="s">
        <v>6198</v>
      </c>
      <c r="V1527">
        <v>3</v>
      </c>
      <c r="W1527" t="s">
        <v>2743</v>
      </c>
      <c r="X1527">
        <v>1</v>
      </c>
      <c r="Y1527" t="s">
        <v>2721</v>
      </c>
      <c r="AA1527">
        <v>241002216802</v>
      </c>
      <c r="AB1527" t="s">
        <v>1704</v>
      </c>
      <c r="AC1527">
        <v>0</v>
      </c>
      <c r="AD1527">
        <v>9</v>
      </c>
      <c r="AE1527">
        <v>2410022168029</v>
      </c>
      <c r="AF1527" t="s">
        <v>6180</v>
      </c>
      <c r="AG1527">
        <v>0</v>
      </c>
      <c r="AH1527">
        <v>0</v>
      </c>
    </row>
    <row r="1528" spans="1:34">
      <c r="A1528">
        <v>2026</v>
      </c>
      <c r="B1528" s="1">
        <v>46054</v>
      </c>
      <c r="C1528" t="s">
        <v>2657</v>
      </c>
      <c r="D1528" t="s">
        <v>6199</v>
      </c>
      <c r="E1528" s="43">
        <v>46077.785502766201</v>
      </c>
      <c r="F1528" s="3">
        <v>46077</v>
      </c>
      <c r="G1528" s="43">
        <v>46092.790675335651</v>
      </c>
      <c r="H1528" t="s">
        <v>2725</v>
      </c>
      <c r="I1528" t="s">
        <v>2660</v>
      </c>
      <c r="J1528" t="s">
        <v>36</v>
      </c>
      <c r="L1528" t="s">
        <v>2393</v>
      </c>
      <c r="M1528">
        <v>241002216802</v>
      </c>
      <c r="N1528" t="s">
        <v>2702</v>
      </c>
      <c r="O1528" s="1">
        <v>45411</v>
      </c>
      <c r="T1528" t="s">
        <v>2662</v>
      </c>
      <c r="U1528" t="s">
        <v>6200</v>
      </c>
      <c r="V1528">
        <v>11</v>
      </c>
      <c r="W1528" t="s">
        <v>2677</v>
      </c>
      <c r="X1528">
        <v>1</v>
      </c>
      <c r="Y1528" t="s">
        <v>2807</v>
      </c>
      <c r="AA1528">
        <v>241002216802</v>
      </c>
      <c r="AB1528" t="s">
        <v>1704</v>
      </c>
      <c r="AC1528">
        <v>0</v>
      </c>
      <c r="AD1528">
        <v>9</v>
      </c>
      <c r="AE1528">
        <v>2410022168029</v>
      </c>
      <c r="AF1528" t="s">
        <v>6180</v>
      </c>
      <c r="AG1528">
        <v>1</v>
      </c>
      <c r="AH1528">
        <v>0</v>
      </c>
    </row>
    <row r="1529" spans="1:34">
      <c r="A1529">
        <v>2026</v>
      </c>
      <c r="B1529" s="1">
        <v>46054</v>
      </c>
      <c r="C1529" t="s">
        <v>2657</v>
      </c>
      <c r="D1529" t="s">
        <v>6201</v>
      </c>
      <c r="E1529" s="43">
        <v>46079.528340925928</v>
      </c>
      <c r="F1529" s="3">
        <v>46079</v>
      </c>
      <c r="G1529" s="43">
        <v>46079.895790127317</v>
      </c>
      <c r="H1529" t="s">
        <v>2725</v>
      </c>
      <c r="I1529" t="s">
        <v>2660</v>
      </c>
      <c r="J1529" t="s">
        <v>36</v>
      </c>
      <c r="L1529" t="s">
        <v>2393</v>
      </c>
      <c r="M1529">
        <v>241002216802</v>
      </c>
      <c r="N1529" t="s">
        <v>2702</v>
      </c>
      <c r="O1529" s="1">
        <v>45411</v>
      </c>
      <c r="T1529" t="s">
        <v>2662</v>
      </c>
      <c r="U1529" t="s">
        <v>6202</v>
      </c>
      <c r="V1529">
        <v>0</v>
      </c>
      <c r="W1529" t="s">
        <v>2677</v>
      </c>
      <c r="X1529">
        <v>1</v>
      </c>
      <c r="Y1529" t="s">
        <v>3237</v>
      </c>
      <c r="AA1529">
        <v>241002216802</v>
      </c>
      <c r="AB1529" t="s">
        <v>1704</v>
      </c>
      <c r="AC1529">
        <v>0</v>
      </c>
      <c r="AD1529">
        <v>9</v>
      </c>
      <c r="AE1529">
        <v>2410022168029</v>
      </c>
      <c r="AF1529" t="s">
        <v>6180</v>
      </c>
      <c r="AG1529">
        <v>0</v>
      </c>
      <c r="AH1529">
        <v>0</v>
      </c>
    </row>
    <row r="1530" spans="1:34">
      <c r="A1530">
        <v>2025</v>
      </c>
      <c r="B1530" s="1">
        <v>45870</v>
      </c>
      <c r="C1530" t="s">
        <v>2657</v>
      </c>
      <c r="D1530" s="44" t="s">
        <v>6203</v>
      </c>
      <c r="E1530" s="43">
        <v>45877.866597928238</v>
      </c>
      <c r="F1530" s="3">
        <v>45877</v>
      </c>
      <c r="G1530" s="43">
        <v>45891.559305752315</v>
      </c>
      <c r="H1530" t="s">
        <v>3088</v>
      </c>
      <c r="I1530" t="s">
        <v>2681</v>
      </c>
      <c r="J1530" t="s">
        <v>38</v>
      </c>
      <c r="L1530" t="s">
        <v>2364</v>
      </c>
      <c r="M1530">
        <v>137029362402</v>
      </c>
      <c r="N1530" t="s">
        <v>2661</v>
      </c>
      <c r="O1530" s="1">
        <v>45669</v>
      </c>
      <c r="T1530" t="s">
        <v>2662</v>
      </c>
      <c r="U1530" t="s">
        <v>6204</v>
      </c>
      <c r="V1530">
        <v>10</v>
      </c>
      <c r="W1530" t="s">
        <v>2671</v>
      </c>
      <c r="X1530">
        <v>1</v>
      </c>
      <c r="Y1530" t="s">
        <v>2672</v>
      </c>
      <c r="Z1530" t="s">
        <v>2684</v>
      </c>
      <c r="AA1530">
        <v>137029362402</v>
      </c>
      <c r="AB1530" t="s">
        <v>1441</v>
      </c>
      <c r="AC1530">
        <v>0</v>
      </c>
      <c r="AD1530">
        <v>32</v>
      </c>
      <c r="AE1530">
        <v>13702936240232</v>
      </c>
      <c r="AF1530" t="s">
        <v>6205</v>
      </c>
      <c r="AG1530">
        <v>1</v>
      </c>
      <c r="AH1530">
        <v>1</v>
      </c>
    </row>
    <row r="1531" spans="1:34">
      <c r="A1531">
        <v>2025</v>
      </c>
      <c r="B1531" s="1">
        <v>45870</v>
      </c>
      <c r="C1531" t="s">
        <v>2657</v>
      </c>
      <c r="D1531" t="s">
        <v>6206</v>
      </c>
      <c r="E1531" s="43">
        <v>45877.868245914353</v>
      </c>
      <c r="F1531" s="3">
        <v>45877</v>
      </c>
      <c r="G1531" s="43">
        <v>45882.821233541668</v>
      </c>
      <c r="H1531" t="s">
        <v>3088</v>
      </c>
      <c r="I1531" t="s">
        <v>2681</v>
      </c>
      <c r="J1531" t="s">
        <v>38</v>
      </c>
      <c r="L1531" t="s">
        <v>2364</v>
      </c>
      <c r="M1531">
        <v>137029362402</v>
      </c>
      <c r="N1531" t="s">
        <v>2661</v>
      </c>
      <c r="O1531" s="1">
        <v>45669</v>
      </c>
      <c r="T1531" t="s">
        <v>2662</v>
      </c>
      <c r="U1531" t="s">
        <v>6207</v>
      </c>
      <c r="V1531">
        <v>3</v>
      </c>
      <c r="W1531" t="s">
        <v>2671</v>
      </c>
      <c r="X1531">
        <v>1</v>
      </c>
      <c r="Y1531" t="s">
        <v>2764</v>
      </c>
      <c r="AA1531">
        <v>137029362402</v>
      </c>
      <c r="AB1531" t="s">
        <v>1441</v>
      </c>
      <c r="AC1531">
        <v>0</v>
      </c>
      <c r="AD1531">
        <v>32</v>
      </c>
      <c r="AE1531">
        <v>13702936240232</v>
      </c>
      <c r="AF1531" t="s">
        <v>6205</v>
      </c>
      <c r="AG1531">
        <v>0</v>
      </c>
      <c r="AH1531">
        <v>0</v>
      </c>
    </row>
    <row r="1532" spans="1:34">
      <c r="A1532">
        <v>2025</v>
      </c>
      <c r="B1532" s="1">
        <v>45870</v>
      </c>
      <c r="C1532" t="s">
        <v>2657</v>
      </c>
      <c r="D1532" s="44" t="s">
        <v>6208</v>
      </c>
      <c r="E1532" s="43">
        <v>45890.754283020833</v>
      </c>
      <c r="F1532" s="3">
        <v>45890</v>
      </c>
      <c r="G1532" s="43">
        <v>45898.838641145834</v>
      </c>
      <c r="H1532" t="s">
        <v>3088</v>
      </c>
      <c r="I1532" t="s">
        <v>2719</v>
      </c>
      <c r="J1532" t="s">
        <v>38</v>
      </c>
      <c r="L1532" t="s">
        <v>2364</v>
      </c>
      <c r="M1532">
        <v>137029362402</v>
      </c>
      <c r="N1532" t="s">
        <v>2661</v>
      </c>
      <c r="O1532" s="1">
        <v>45669</v>
      </c>
      <c r="T1532" t="s">
        <v>2662</v>
      </c>
      <c r="U1532" t="s">
        <v>6209</v>
      </c>
      <c r="V1532">
        <v>6</v>
      </c>
      <c r="W1532" t="s">
        <v>2671</v>
      </c>
      <c r="X1532">
        <v>1</v>
      </c>
      <c r="Y1532" t="s">
        <v>2764</v>
      </c>
      <c r="Z1532" t="s">
        <v>2684</v>
      </c>
      <c r="AA1532">
        <v>137029362402</v>
      </c>
      <c r="AB1532" t="s">
        <v>1441</v>
      </c>
      <c r="AC1532">
        <v>0</v>
      </c>
      <c r="AD1532">
        <v>34</v>
      </c>
      <c r="AE1532">
        <v>13702936240234</v>
      </c>
      <c r="AF1532" t="s">
        <v>6205</v>
      </c>
      <c r="AG1532">
        <v>1</v>
      </c>
      <c r="AH1532">
        <v>0</v>
      </c>
    </row>
    <row r="1533" spans="1:34">
      <c r="A1533">
        <v>2025</v>
      </c>
      <c r="B1533" s="1">
        <v>45870</v>
      </c>
      <c r="C1533" t="s">
        <v>2657</v>
      </c>
      <c r="D1533" t="s">
        <v>6210</v>
      </c>
      <c r="E1533" s="43">
        <v>45890.75511017361</v>
      </c>
      <c r="F1533" s="3">
        <v>45890</v>
      </c>
      <c r="G1533" s="43">
        <v>45905.747744745371</v>
      </c>
      <c r="H1533" t="s">
        <v>3088</v>
      </c>
      <c r="I1533" t="s">
        <v>2719</v>
      </c>
      <c r="J1533" t="s">
        <v>38</v>
      </c>
      <c r="L1533" t="s">
        <v>2364</v>
      </c>
      <c r="M1533">
        <v>137029362402</v>
      </c>
      <c r="N1533" t="s">
        <v>2661</v>
      </c>
      <c r="O1533" s="1">
        <v>45669</v>
      </c>
      <c r="T1533" t="s">
        <v>2662</v>
      </c>
      <c r="U1533" t="s">
        <v>6211</v>
      </c>
      <c r="V1533">
        <v>11</v>
      </c>
      <c r="W1533" t="s">
        <v>2671</v>
      </c>
      <c r="X1533">
        <v>1</v>
      </c>
      <c r="Y1533" t="s">
        <v>2764</v>
      </c>
      <c r="AA1533">
        <v>137029362402</v>
      </c>
      <c r="AB1533" t="s">
        <v>1441</v>
      </c>
      <c r="AC1533">
        <v>0</v>
      </c>
      <c r="AD1533">
        <v>34</v>
      </c>
      <c r="AE1533">
        <v>13702936240234</v>
      </c>
      <c r="AF1533" t="s">
        <v>6205</v>
      </c>
      <c r="AG1533">
        <v>0</v>
      </c>
      <c r="AH1533">
        <v>0</v>
      </c>
    </row>
    <row r="1534" spans="1:34">
      <c r="A1534">
        <v>2025</v>
      </c>
      <c r="B1534" s="1">
        <v>45870</v>
      </c>
      <c r="C1534" t="s">
        <v>2657</v>
      </c>
      <c r="D1534" t="s">
        <v>6212</v>
      </c>
      <c r="E1534" s="43">
        <v>45890.768063506941</v>
      </c>
      <c r="F1534" s="3">
        <v>45890</v>
      </c>
      <c r="G1534" s="43">
        <v>45890.816452071762</v>
      </c>
      <c r="H1534" t="s">
        <v>3088</v>
      </c>
      <c r="I1534" t="s">
        <v>2719</v>
      </c>
      <c r="J1534" t="s">
        <v>38</v>
      </c>
      <c r="L1534" t="s">
        <v>2364</v>
      </c>
      <c r="M1534">
        <v>137029362402</v>
      </c>
      <c r="N1534" t="s">
        <v>2661</v>
      </c>
      <c r="O1534" s="1">
        <v>45669</v>
      </c>
      <c r="T1534" t="s">
        <v>2662</v>
      </c>
      <c r="U1534" t="s">
        <v>6213</v>
      </c>
      <c r="V1534">
        <v>0</v>
      </c>
      <c r="W1534" t="s">
        <v>2671</v>
      </c>
      <c r="X1534">
        <v>1</v>
      </c>
      <c r="Y1534" t="s">
        <v>2764</v>
      </c>
      <c r="AA1534">
        <v>137029362402</v>
      </c>
      <c r="AB1534" t="s">
        <v>1441</v>
      </c>
      <c r="AC1534">
        <v>0</v>
      </c>
      <c r="AD1534">
        <v>34</v>
      </c>
      <c r="AE1534">
        <v>13702936240234</v>
      </c>
      <c r="AF1534" t="s">
        <v>6205</v>
      </c>
      <c r="AG1534">
        <v>0</v>
      </c>
      <c r="AH1534">
        <v>0</v>
      </c>
    </row>
    <row r="1535" spans="1:34">
      <c r="A1535">
        <v>2025</v>
      </c>
      <c r="B1535" s="1">
        <v>45901</v>
      </c>
      <c r="C1535" t="s">
        <v>2657</v>
      </c>
      <c r="D1535" t="s">
        <v>6214</v>
      </c>
      <c r="E1535" s="43">
        <v>45901.82725775463</v>
      </c>
      <c r="F1535" s="3">
        <v>45901</v>
      </c>
      <c r="G1535" s="43">
        <v>45904.555193761575</v>
      </c>
      <c r="H1535" t="s">
        <v>2734</v>
      </c>
      <c r="I1535" t="s">
        <v>2669</v>
      </c>
      <c r="J1535" t="s">
        <v>2735</v>
      </c>
      <c r="L1535" t="s">
        <v>2336</v>
      </c>
      <c r="M1535">
        <v>506559759302</v>
      </c>
      <c r="N1535" t="s">
        <v>2746</v>
      </c>
      <c r="O1535" s="1">
        <v>45324</v>
      </c>
      <c r="T1535" t="s">
        <v>2662</v>
      </c>
      <c r="U1535" t="s">
        <v>6215</v>
      </c>
      <c r="V1535">
        <v>3</v>
      </c>
      <c r="W1535" t="s">
        <v>2671</v>
      </c>
      <c r="X1535">
        <v>1</v>
      </c>
      <c r="Y1535" t="s">
        <v>2692</v>
      </c>
      <c r="Z1535" t="s">
        <v>2684</v>
      </c>
      <c r="AA1535">
        <v>1041281178802</v>
      </c>
      <c r="AB1535" t="s">
        <v>726</v>
      </c>
      <c r="AC1535">
        <v>0</v>
      </c>
      <c r="AD1535">
        <v>36</v>
      </c>
      <c r="AE1535">
        <v>104128117880236</v>
      </c>
      <c r="AF1535" t="s">
        <v>6216</v>
      </c>
      <c r="AG1535">
        <v>1</v>
      </c>
      <c r="AH1535">
        <v>1</v>
      </c>
    </row>
    <row r="1536" spans="1:34">
      <c r="A1536">
        <v>2025</v>
      </c>
      <c r="B1536" s="1">
        <v>45901</v>
      </c>
      <c r="C1536" t="s">
        <v>2657</v>
      </c>
      <c r="D1536" t="s">
        <v>6217</v>
      </c>
      <c r="E1536" s="43">
        <v>45908.607222002312</v>
      </c>
      <c r="F1536" s="3">
        <v>45908</v>
      </c>
      <c r="G1536" s="43">
        <v>45910.623065717591</v>
      </c>
      <c r="H1536" t="s">
        <v>2734</v>
      </c>
      <c r="I1536" t="s">
        <v>2681</v>
      </c>
      <c r="J1536" t="s">
        <v>2735</v>
      </c>
      <c r="L1536" t="s">
        <v>2336</v>
      </c>
      <c r="M1536">
        <v>506559759302</v>
      </c>
      <c r="N1536" t="s">
        <v>2746</v>
      </c>
      <c r="O1536" s="1">
        <v>45324</v>
      </c>
      <c r="T1536" t="s">
        <v>2662</v>
      </c>
      <c r="U1536" t="s">
        <v>6218</v>
      </c>
      <c r="V1536">
        <v>2</v>
      </c>
      <c r="W1536" t="s">
        <v>2671</v>
      </c>
      <c r="X1536">
        <v>1</v>
      </c>
      <c r="Y1536" t="s">
        <v>2672</v>
      </c>
      <c r="AA1536">
        <v>1041281178802</v>
      </c>
      <c r="AB1536" t="s">
        <v>726</v>
      </c>
      <c r="AC1536">
        <v>0</v>
      </c>
      <c r="AD1536">
        <v>37</v>
      </c>
      <c r="AE1536">
        <v>104128117880237</v>
      </c>
      <c r="AF1536" t="s">
        <v>6216</v>
      </c>
      <c r="AG1536">
        <v>1</v>
      </c>
      <c r="AH1536">
        <v>0</v>
      </c>
    </row>
    <row r="1537" spans="1:34">
      <c r="A1537">
        <v>2025</v>
      </c>
      <c r="B1537" s="1">
        <v>45901</v>
      </c>
      <c r="C1537" t="s">
        <v>2657</v>
      </c>
      <c r="D1537" t="s">
        <v>6219</v>
      </c>
      <c r="E1537" s="43">
        <v>45916.597751712965</v>
      </c>
      <c r="F1537" s="3">
        <v>45916</v>
      </c>
      <c r="G1537" s="43">
        <v>45916.597751712965</v>
      </c>
      <c r="H1537" t="s">
        <v>2734</v>
      </c>
      <c r="I1537" t="s">
        <v>2719</v>
      </c>
      <c r="J1537" t="s">
        <v>2735</v>
      </c>
      <c r="L1537" t="s">
        <v>2336</v>
      </c>
      <c r="M1537">
        <v>506559759302</v>
      </c>
      <c r="N1537" t="s">
        <v>2746</v>
      </c>
      <c r="O1537" s="1">
        <v>45324</v>
      </c>
      <c r="T1537" t="s">
        <v>2662</v>
      </c>
      <c r="U1537" t="s">
        <v>6220</v>
      </c>
      <c r="V1537">
        <v>0</v>
      </c>
      <c r="W1537" t="s">
        <v>2671</v>
      </c>
      <c r="X1537">
        <v>1</v>
      </c>
      <c r="Y1537" t="s">
        <v>2692</v>
      </c>
      <c r="AA1537">
        <v>1041281178802</v>
      </c>
      <c r="AB1537" t="s">
        <v>726</v>
      </c>
      <c r="AC1537">
        <v>0</v>
      </c>
      <c r="AD1537">
        <v>38</v>
      </c>
      <c r="AE1537">
        <v>104128117880238</v>
      </c>
      <c r="AF1537" t="s">
        <v>6216</v>
      </c>
      <c r="AG1537">
        <v>1</v>
      </c>
      <c r="AH1537">
        <v>0</v>
      </c>
    </row>
    <row r="1538" spans="1:34">
      <c r="A1538">
        <v>2025</v>
      </c>
      <c r="B1538" s="1">
        <v>45901</v>
      </c>
      <c r="C1538" t="s">
        <v>2657</v>
      </c>
      <c r="D1538" t="s">
        <v>6221</v>
      </c>
      <c r="E1538" s="43">
        <v>45924.822887129631</v>
      </c>
      <c r="F1538" s="3">
        <v>45924</v>
      </c>
      <c r="G1538" s="43">
        <v>45924.822887129631</v>
      </c>
      <c r="H1538" t="s">
        <v>2734</v>
      </c>
      <c r="I1538" t="s">
        <v>2660</v>
      </c>
      <c r="J1538" t="s">
        <v>2735</v>
      </c>
      <c r="L1538" t="s">
        <v>2336</v>
      </c>
      <c r="M1538">
        <v>506559759302</v>
      </c>
      <c r="N1538" t="s">
        <v>2746</v>
      </c>
      <c r="O1538" s="1">
        <v>45324</v>
      </c>
      <c r="T1538" t="s">
        <v>2662</v>
      </c>
      <c r="U1538" t="s">
        <v>6222</v>
      </c>
      <c r="V1538">
        <v>0</v>
      </c>
      <c r="W1538" t="s">
        <v>2671</v>
      </c>
      <c r="X1538">
        <v>1</v>
      </c>
      <c r="Y1538" t="s">
        <v>2699</v>
      </c>
      <c r="AA1538">
        <v>1041281178802</v>
      </c>
      <c r="AB1538" t="s">
        <v>726</v>
      </c>
      <c r="AC1538">
        <v>0</v>
      </c>
      <c r="AD1538">
        <v>39</v>
      </c>
      <c r="AE1538">
        <v>104128117880239</v>
      </c>
      <c r="AF1538" t="s">
        <v>6216</v>
      </c>
      <c r="AG1538">
        <v>1</v>
      </c>
      <c r="AH1538">
        <v>0</v>
      </c>
    </row>
    <row r="1539" spans="1:34">
      <c r="A1539">
        <v>2025</v>
      </c>
      <c r="B1539" s="1">
        <v>45962</v>
      </c>
      <c r="C1539" t="s">
        <v>2657</v>
      </c>
      <c r="D1539" s="44" t="s">
        <v>6223</v>
      </c>
      <c r="E1539" s="43">
        <v>45964.784557847219</v>
      </c>
      <c r="F1539" s="3">
        <v>45964</v>
      </c>
      <c r="G1539" s="43">
        <v>45988.819248819447</v>
      </c>
      <c r="H1539" t="s">
        <v>2802</v>
      </c>
      <c r="I1539" t="s">
        <v>2669</v>
      </c>
      <c r="J1539" t="s">
        <v>100</v>
      </c>
      <c r="L1539" t="s">
        <v>2347</v>
      </c>
      <c r="M1539">
        <v>193343155102</v>
      </c>
      <c r="N1539" t="s">
        <v>2675</v>
      </c>
      <c r="O1539" s="1">
        <v>45673</v>
      </c>
      <c r="T1539" t="s">
        <v>2662</v>
      </c>
      <c r="U1539" t="s">
        <v>6224</v>
      </c>
      <c r="V1539">
        <v>18</v>
      </c>
      <c r="W1539" t="s">
        <v>2671</v>
      </c>
      <c r="X1539">
        <v>1</v>
      </c>
      <c r="Y1539" t="s">
        <v>2683</v>
      </c>
      <c r="AA1539">
        <v>193343155102</v>
      </c>
      <c r="AB1539" t="s">
        <v>781</v>
      </c>
      <c r="AC1539">
        <v>0</v>
      </c>
      <c r="AD1539">
        <v>45</v>
      </c>
      <c r="AE1539">
        <v>19334315510245</v>
      </c>
      <c r="AF1539" t="s">
        <v>6225</v>
      </c>
      <c r="AG1539">
        <v>1</v>
      </c>
      <c r="AH1539">
        <v>1</v>
      </c>
    </row>
    <row r="1540" spans="1:34">
      <c r="A1540">
        <v>2025</v>
      </c>
      <c r="B1540" s="1">
        <v>45962</v>
      </c>
      <c r="C1540" t="s">
        <v>2657</v>
      </c>
      <c r="D1540" t="s">
        <v>6226</v>
      </c>
      <c r="E1540" s="43">
        <v>45978.838018414353</v>
      </c>
      <c r="F1540" s="3">
        <v>45978</v>
      </c>
      <c r="G1540" s="43">
        <v>46056.537692777776</v>
      </c>
      <c r="H1540" t="s">
        <v>2802</v>
      </c>
      <c r="I1540" t="s">
        <v>2719</v>
      </c>
      <c r="J1540" t="s">
        <v>100</v>
      </c>
      <c r="L1540" t="s">
        <v>2347</v>
      </c>
      <c r="M1540">
        <v>193343155102</v>
      </c>
      <c r="N1540" t="s">
        <v>2675</v>
      </c>
      <c r="O1540" s="1">
        <v>45673</v>
      </c>
      <c r="T1540" t="s">
        <v>2662</v>
      </c>
      <c r="U1540" t="s">
        <v>6227</v>
      </c>
      <c r="V1540">
        <v>56</v>
      </c>
      <c r="W1540" t="s">
        <v>2743</v>
      </c>
      <c r="X1540">
        <v>1</v>
      </c>
      <c r="Y1540" t="s">
        <v>2744</v>
      </c>
      <c r="AA1540">
        <v>193343155102</v>
      </c>
      <c r="AB1540" t="s">
        <v>781</v>
      </c>
      <c r="AC1540">
        <v>0</v>
      </c>
      <c r="AD1540">
        <v>47</v>
      </c>
      <c r="AE1540">
        <v>19334315510247</v>
      </c>
      <c r="AF1540" t="s">
        <v>6225</v>
      </c>
      <c r="AG1540">
        <v>1</v>
      </c>
      <c r="AH1540">
        <v>0</v>
      </c>
    </row>
    <row r="1541" spans="1:34">
      <c r="A1541">
        <v>2025</v>
      </c>
      <c r="B1541" s="1">
        <v>45962</v>
      </c>
      <c r="C1541" t="s">
        <v>2657</v>
      </c>
      <c r="D1541" t="s">
        <v>6228</v>
      </c>
      <c r="E1541" s="43">
        <v>45986.575966689816</v>
      </c>
      <c r="F1541" s="3">
        <v>45986</v>
      </c>
      <c r="G1541" s="43">
        <v>45989.645881481483</v>
      </c>
      <c r="H1541" t="s">
        <v>2802</v>
      </c>
      <c r="I1541" t="s">
        <v>2660</v>
      </c>
      <c r="J1541" t="s">
        <v>100</v>
      </c>
      <c r="L1541" t="s">
        <v>2347</v>
      </c>
      <c r="M1541">
        <v>193343155102</v>
      </c>
      <c r="N1541" t="s">
        <v>2675</v>
      </c>
      <c r="O1541" s="1">
        <v>45673</v>
      </c>
      <c r="T1541" t="s">
        <v>2662</v>
      </c>
      <c r="U1541" t="s">
        <v>6229</v>
      </c>
      <c r="V1541">
        <v>3</v>
      </c>
      <c r="X1541">
        <v>1</v>
      </c>
      <c r="Y1541" t="s">
        <v>2688</v>
      </c>
      <c r="AA1541">
        <v>193343155102</v>
      </c>
      <c r="AB1541" t="s">
        <v>781</v>
      </c>
      <c r="AC1541">
        <v>0</v>
      </c>
      <c r="AD1541">
        <v>48</v>
      </c>
      <c r="AE1541">
        <v>19334315510248</v>
      </c>
      <c r="AF1541" t="s">
        <v>6225</v>
      </c>
      <c r="AG1541">
        <v>1</v>
      </c>
      <c r="AH1541">
        <v>0</v>
      </c>
    </row>
    <row r="1542" spans="1:34">
      <c r="A1542">
        <v>2025</v>
      </c>
      <c r="B1542" s="1">
        <v>45992</v>
      </c>
      <c r="C1542" t="s">
        <v>2657</v>
      </c>
      <c r="D1542" t="s">
        <v>6230</v>
      </c>
      <c r="E1542" s="43">
        <v>45999.722777511575</v>
      </c>
      <c r="F1542" s="3">
        <v>45999</v>
      </c>
      <c r="G1542" s="43">
        <v>46041.842375694447</v>
      </c>
      <c r="H1542" t="s">
        <v>2686</v>
      </c>
      <c r="I1542" t="s">
        <v>2681</v>
      </c>
      <c r="J1542" t="s">
        <v>36</v>
      </c>
      <c r="L1542" t="s">
        <v>2355</v>
      </c>
      <c r="M1542">
        <v>20068852602</v>
      </c>
      <c r="N1542" t="s">
        <v>2702</v>
      </c>
      <c r="O1542" s="1">
        <v>45669</v>
      </c>
      <c r="T1542" t="s">
        <v>2662</v>
      </c>
      <c r="U1542" t="s">
        <v>6231</v>
      </c>
      <c r="V1542">
        <v>30</v>
      </c>
      <c r="W1542" t="s">
        <v>2664</v>
      </c>
      <c r="X1542">
        <v>1</v>
      </c>
      <c r="Y1542" t="s">
        <v>2665</v>
      </c>
      <c r="Z1542" t="s">
        <v>2834</v>
      </c>
      <c r="AA1542">
        <v>20068852602</v>
      </c>
      <c r="AB1542" t="s">
        <v>427</v>
      </c>
      <c r="AC1542">
        <v>0</v>
      </c>
      <c r="AD1542">
        <v>50</v>
      </c>
      <c r="AE1542">
        <v>2006885260250</v>
      </c>
      <c r="AF1542" t="s">
        <v>6232</v>
      </c>
      <c r="AG1542">
        <v>1</v>
      </c>
      <c r="AH1542">
        <v>1</v>
      </c>
    </row>
    <row r="1543" spans="1:34">
      <c r="A1543">
        <v>2025</v>
      </c>
      <c r="B1543" s="1">
        <v>45901</v>
      </c>
      <c r="C1543" t="s">
        <v>2657</v>
      </c>
      <c r="D1543" t="s">
        <v>6233</v>
      </c>
      <c r="E1543" s="43">
        <v>45916.899393599539</v>
      </c>
      <c r="F1543" s="3">
        <v>45916</v>
      </c>
      <c r="G1543" s="43">
        <v>45945.687016898148</v>
      </c>
      <c r="H1543" t="s">
        <v>2734</v>
      </c>
      <c r="I1543" t="s">
        <v>2719</v>
      </c>
      <c r="J1543" t="s">
        <v>38</v>
      </c>
      <c r="L1543" t="s">
        <v>2352</v>
      </c>
      <c r="M1543">
        <v>1084260090102</v>
      </c>
      <c r="N1543" t="s">
        <v>2702</v>
      </c>
      <c r="O1543" s="1">
        <v>45817</v>
      </c>
      <c r="T1543" t="s">
        <v>2662</v>
      </c>
      <c r="U1543" t="s">
        <v>6234</v>
      </c>
      <c r="V1543">
        <v>21</v>
      </c>
      <c r="W1543" t="s">
        <v>2664</v>
      </c>
      <c r="X1543">
        <v>1</v>
      </c>
      <c r="Y1543" t="s">
        <v>2665</v>
      </c>
      <c r="Z1543" t="s">
        <v>2684</v>
      </c>
      <c r="AA1543">
        <v>170004727002</v>
      </c>
      <c r="AB1543" t="s">
        <v>2180</v>
      </c>
      <c r="AC1543">
        <v>0</v>
      </c>
      <c r="AD1543">
        <v>38</v>
      </c>
      <c r="AE1543">
        <v>17000472700238</v>
      </c>
      <c r="AF1543" t="s">
        <v>6235</v>
      </c>
      <c r="AG1543">
        <v>1</v>
      </c>
      <c r="AH1543">
        <v>1</v>
      </c>
    </row>
    <row r="1544" spans="1:34">
      <c r="A1544">
        <v>2026</v>
      </c>
      <c r="B1544" s="1">
        <v>46054</v>
      </c>
      <c r="C1544" t="s">
        <v>2657</v>
      </c>
      <c r="D1544" t="s">
        <v>6236</v>
      </c>
      <c r="E1544" s="43">
        <v>46057.600753888888</v>
      </c>
      <c r="F1544" s="3">
        <v>46057</v>
      </c>
      <c r="G1544" s="43">
        <v>46063.73836127315</v>
      </c>
      <c r="H1544" t="s">
        <v>2725</v>
      </c>
      <c r="I1544" t="s">
        <v>2669</v>
      </c>
      <c r="J1544" t="s">
        <v>38</v>
      </c>
      <c r="L1544" t="s">
        <v>2363</v>
      </c>
      <c r="M1544">
        <v>1102146047902</v>
      </c>
      <c r="N1544" t="s">
        <v>2702</v>
      </c>
      <c r="O1544" s="1">
        <v>45842</v>
      </c>
      <c r="T1544" t="s">
        <v>2662</v>
      </c>
      <c r="U1544" t="s">
        <v>6237</v>
      </c>
      <c r="V1544">
        <v>4</v>
      </c>
      <c r="X1544">
        <v>1</v>
      </c>
      <c r="Y1544" t="s">
        <v>2721</v>
      </c>
      <c r="AA1544">
        <v>21753463202</v>
      </c>
      <c r="AB1544" t="s">
        <v>2172</v>
      </c>
      <c r="AC1544">
        <v>0</v>
      </c>
      <c r="AD1544">
        <v>6</v>
      </c>
      <c r="AE1544">
        <v>217534632026</v>
      </c>
      <c r="AF1544" t="s">
        <v>6238</v>
      </c>
      <c r="AG1544">
        <v>1</v>
      </c>
      <c r="AH1544">
        <v>1</v>
      </c>
    </row>
    <row r="1545" spans="1:34">
      <c r="A1545">
        <v>2026</v>
      </c>
      <c r="B1545" s="1">
        <v>46054</v>
      </c>
      <c r="C1545" t="s">
        <v>2657</v>
      </c>
      <c r="D1545" t="s">
        <v>6239</v>
      </c>
      <c r="E1545" s="43">
        <v>46062.559181574077</v>
      </c>
      <c r="F1545" s="3">
        <v>46062</v>
      </c>
      <c r="G1545" s="43">
        <v>46065.756351863427</v>
      </c>
      <c r="H1545" t="s">
        <v>2725</v>
      </c>
      <c r="I1545" t="s">
        <v>2681</v>
      </c>
      <c r="J1545" t="s">
        <v>38</v>
      </c>
      <c r="L1545" t="s">
        <v>2363</v>
      </c>
      <c r="M1545">
        <v>22945409202</v>
      </c>
      <c r="N1545" t="s">
        <v>2702</v>
      </c>
      <c r="O1545" s="1">
        <v>44685</v>
      </c>
      <c r="T1545" t="s">
        <v>2662</v>
      </c>
      <c r="U1545" t="s">
        <v>6240</v>
      </c>
      <c r="V1545">
        <v>3</v>
      </c>
      <c r="W1545" t="s">
        <v>2664</v>
      </c>
      <c r="X1545">
        <v>1</v>
      </c>
      <c r="Y1545" t="s">
        <v>2757</v>
      </c>
      <c r="AA1545">
        <v>21753463202</v>
      </c>
      <c r="AB1545" t="s">
        <v>2172</v>
      </c>
      <c r="AC1545">
        <v>0</v>
      </c>
      <c r="AD1545">
        <v>7</v>
      </c>
      <c r="AE1545">
        <v>217534632027</v>
      </c>
      <c r="AF1545" t="s">
        <v>6238</v>
      </c>
      <c r="AG1545">
        <v>1</v>
      </c>
      <c r="AH1545">
        <v>0</v>
      </c>
    </row>
    <row r="1546" spans="1:34">
      <c r="A1546">
        <v>2026</v>
      </c>
      <c r="B1546" s="1">
        <v>46054</v>
      </c>
      <c r="C1546" t="s">
        <v>2657</v>
      </c>
      <c r="D1546" s="44" t="s">
        <v>6241</v>
      </c>
      <c r="E1546" s="43">
        <v>46065.612279837966</v>
      </c>
      <c r="F1546" s="3">
        <v>46065</v>
      </c>
      <c r="G1546" s="43">
        <v>46065.612279837966</v>
      </c>
      <c r="H1546" t="s">
        <v>2725</v>
      </c>
      <c r="I1546" t="s">
        <v>2681</v>
      </c>
      <c r="J1546" t="s">
        <v>38</v>
      </c>
      <c r="L1546" t="s">
        <v>2363</v>
      </c>
      <c r="M1546">
        <v>1102237904002</v>
      </c>
      <c r="N1546" t="s">
        <v>2702</v>
      </c>
      <c r="O1546" s="1">
        <v>45842</v>
      </c>
      <c r="T1546" t="s">
        <v>2662</v>
      </c>
      <c r="U1546" t="s">
        <v>6242</v>
      </c>
      <c r="V1546">
        <v>0</v>
      </c>
      <c r="W1546" t="s">
        <v>2704</v>
      </c>
      <c r="X1546">
        <v>1</v>
      </c>
      <c r="Y1546" t="s">
        <v>2931</v>
      </c>
      <c r="AA1546">
        <v>21753463202</v>
      </c>
      <c r="AB1546" t="s">
        <v>2172</v>
      </c>
      <c r="AC1546">
        <v>0</v>
      </c>
      <c r="AD1546">
        <v>7</v>
      </c>
      <c r="AE1546">
        <v>217534632027</v>
      </c>
      <c r="AF1546" t="s">
        <v>6238</v>
      </c>
      <c r="AG1546">
        <v>0</v>
      </c>
      <c r="AH1546">
        <v>0</v>
      </c>
    </row>
    <row r="1547" spans="1:34">
      <c r="A1547">
        <v>2026</v>
      </c>
      <c r="B1547" s="1">
        <v>46054</v>
      </c>
      <c r="C1547" t="s">
        <v>2657</v>
      </c>
      <c r="D1547" s="44" t="s">
        <v>6243</v>
      </c>
      <c r="E1547" s="43">
        <v>46065.61317459491</v>
      </c>
      <c r="F1547" s="3">
        <v>46065</v>
      </c>
      <c r="G1547" s="43">
        <v>46065.61317459491</v>
      </c>
      <c r="H1547" t="s">
        <v>2725</v>
      </c>
      <c r="I1547" t="s">
        <v>2681</v>
      </c>
      <c r="J1547" t="s">
        <v>38</v>
      </c>
      <c r="L1547" t="s">
        <v>2363</v>
      </c>
      <c r="M1547">
        <v>1102146047902</v>
      </c>
      <c r="N1547" t="s">
        <v>2702</v>
      </c>
      <c r="O1547" s="1">
        <v>45842</v>
      </c>
      <c r="T1547" t="s">
        <v>2662</v>
      </c>
      <c r="U1547" t="s">
        <v>6244</v>
      </c>
      <c r="V1547">
        <v>0</v>
      </c>
      <c r="W1547" t="s">
        <v>2704</v>
      </c>
      <c r="X1547">
        <v>1</v>
      </c>
      <c r="Y1547" t="s">
        <v>2931</v>
      </c>
      <c r="AA1547">
        <v>21753463202</v>
      </c>
      <c r="AB1547" t="s">
        <v>2172</v>
      </c>
      <c r="AC1547">
        <v>0</v>
      </c>
      <c r="AD1547">
        <v>7</v>
      </c>
      <c r="AE1547">
        <v>217534632027</v>
      </c>
      <c r="AF1547" t="s">
        <v>6238</v>
      </c>
      <c r="AG1547">
        <v>0</v>
      </c>
      <c r="AH1547">
        <v>0</v>
      </c>
    </row>
    <row r="1548" spans="1:34">
      <c r="A1548">
        <v>2026</v>
      </c>
      <c r="B1548" s="1">
        <v>46054</v>
      </c>
      <c r="C1548" t="s">
        <v>2657</v>
      </c>
      <c r="D1548" t="s">
        <v>6245</v>
      </c>
      <c r="E1548" s="43">
        <v>46076.867818900464</v>
      </c>
      <c r="F1548" s="3">
        <v>46076</v>
      </c>
      <c r="G1548" s="43">
        <v>46079.63193221065</v>
      </c>
      <c r="H1548" t="s">
        <v>2725</v>
      </c>
      <c r="I1548" t="s">
        <v>2660</v>
      </c>
      <c r="J1548" t="s">
        <v>38</v>
      </c>
      <c r="L1548" t="s">
        <v>2363</v>
      </c>
      <c r="M1548">
        <v>193208728502</v>
      </c>
      <c r="N1548" t="s">
        <v>2702</v>
      </c>
      <c r="O1548" s="1">
        <v>45320</v>
      </c>
      <c r="T1548" t="s">
        <v>2662</v>
      </c>
      <c r="U1548" t="s">
        <v>6246</v>
      </c>
      <c r="V1548">
        <v>3</v>
      </c>
      <c r="W1548" t="s">
        <v>2677</v>
      </c>
      <c r="X1548">
        <v>1</v>
      </c>
      <c r="Y1548" t="s">
        <v>2678</v>
      </c>
      <c r="AA1548">
        <v>21753463202</v>
      </c>
      <c r="AB1548" t="s">
        <v>2172</v>
      </c>
      <c r="AC1548">
        <v>0</v>
      </c>
      <c r="AD1548">
        <v>9</v>
      </c>
      <c r="AE1548">
        <v>217534632029</v>
      </c>
      <c r="AF1548" t="s">
        <v>6238</v>
      </c>
      <c r="AG1548">
        <v>1</v>
      </c>
      <c r="AH1548">
        <v>0</v>
      </c>
    </row>
    <row r="1549" spans="1:34">
      <c r="A1549">
        <v>2026</v>
      </c>
      <c r="B1549" s="1">
        <v>46054</v>
      </c>
      <c r="C1549" t="s">
        <v>2657</v>
      </c>
      <c r="D1549" t="s">
        <v>6247</v>
      </c>
      <c r="E1549" s="43">
        <v>46078.76226826389</v>
      </c>
      <c r="F1549" s="3">
        <v>46078</v>
      </c>
      <c r="G1549" s="43">
        <v>46078.76226826389</v>
      </c>
      <c r="H1549" t="s">
        <v>2725</v>
      </c>
      <c r="I1549" t="s">
        <v>2660</v>
      </c>
      <c r="J1549" t="s">
        <v>38</v>
      </c>
      <c r="L1549" t="s">
        <v>2363</v>
      </c>
      <c r="M1549">
        <v>1102237904002</v>
      </c>
      <c r="N1549" t="s">
        <v>2702</v>
      </c>
      <c r="O1549" s="1">
        <v>45842</v>
      </c>
      <c r="T1549" t="s">
        <v>2798</v>
      </c>
      <c r="U1549" t="s">
        <v>6248</v>
      </c>
      <c r="V1549">
        <v>12</v>
      </c>
      <c r="W1549" t="s">
        <v>2704</v>
      </c>
      <c r="X1549">
        <v>0</v>
      </c>
      <c r="Y1549" t="s">
        <v>2717</v>
      </c>
      <c r="AA1549">
        <v>21753463202</v>
      </c>
      <c r="AB1549" t="s">
        <v>2172</v>
      </c>
      <c r="AC1549">
        <v>0</v>
      </c>
      <c r="AD1549">
        <v>9</v>
      </c>
      <c r="AE1549">
        <v>217534632029</v>
      </c>
      <c r="AF1549" t="s">
        <v>6238</v>
      </c>
      <c r="AG1549">
        <v>0</v>
      </c>
      <c r="AH1549">
        <v>0</v>
      </c>
    </row>
    <row r="1550" spans="1:34">
      <c r="A1550">
        <v>2026</v>
      </c>
      <c r="B1550" s="1">
        <v>46054</v>
      </c>
      <c r="C1550" t="s">
        <v>2657</v>
      </c>
      <c r="D1550" t="s">
        <v>6249</v>
      </c>
      <c r="E1550" s="43">
        <v>46078.899477650462</v>
      </c>
      <c r="F1550" s="3">
        <v>46078</v>
      </c>
      <c r="G1550" s="43">
        <v>46080.607630150465</v>
      </c>
      <c r="H1550" t="s">
        <v>2725</v>
      </c>
      <c r="I1550" t="s">
        <v>2660</v>
      </c>
      <c r="J1550" t="s">
        <v>38</v>
      </c>
      <c r="L1550" t="s">
        <v>2363</v>
      </c>
      <c r="M1550">
        <v>1102146047902</v>
      </c>
      <c r="N1550" t="s">
        <v>2702</v>
      </c>
      <c r="O1550" s="1">
        <v>45842</v>
      </c>
      <c r="T1550" t="s">
        <v>2662</v>
      </c>
      <c r="U1550" t="s">
        <v>6250</v>
      </c>
      <c r="V1550">
        <v>2</v>
      </c>
      <c r="W1550" t="s">
        <v>2985</v>
      </c>
      <c r="X1550">
        <v>1</v>
      </c>
      <c r="Y1550" t="s">
        <v>2985</v>
      </c>
      <c r="AA1550">
        <v>21753463202</v>
      </c>
      <c r="AB1550" t="s">
        <v>2172</v>
      </c>
      <c r="AC1550">
        <v>0</v>
      </c>
      <c r="AD1550">
        <v>9</v>
      </c>
      <c r="AE1550">
        <v>217534632029</v>
      </c>
      <c r="AF1550" t="s">
        <v>6238</v>
      </c>
      <c r="AG1550">
        <v>0</v>
      </c>
      <c r="AH1550">
        <v>0</v>
      </c>
    </row>
    <row r="1551" spans="1:34">
      <c r="A1551">
        <v>2026</v>
      </c>
      <c r="B1551" s="1">
        <v>46054</v>
      </c>
      <c r="C1551" t="s">
        <v>2657</v>
      </c>
      <c r="D1551" t="s">
        <v>6251</v>
      </c>
      <c r="E1551" s="43">
        <v>46078.761467812503</v>
      </c>
      <c r="F1551" s="3">
        <v>46078</v>
      </c>
      <c r="G1551" s="43">
        <v>46078.761467812503</v>
      </c>
      <c r="H1551" t="s">
        <v>2725</v>
      </c>
      <c r="I1551" t="s">
        <v>2660</v>
      </c>
      <c r="J1551" t="s">
        <v>38</v>
      </c>
      <c r="L1551" t="s">
        <v>2363</v>
      </c>
      <c r="M1551">
        <v>1102146047902</v>
      </c>
      <c r="N1551" t="s">
        <v>2702</v>
      </c>
      <c r="O1551" s="1">
        <v>45842</v>
      </c>
      <c r="T1551" t="s">
        <v>2798</v>
      </c>
      <c r="U1551" t="s">
        <v>6252</v>
      </c>
      <c r="V1551">
        <v>12</v>
      </c>
      <c r="W1551" t="s">
        <v>2704</v>
      </c>
      <c r="X1551">
        <v>0</v>
      </c>
      <c r="Y1551" t="s">
        <v>2717</v>
      </c>
      <c r="AA1551">
        <v>21753463202</v>
      </c>
      <c r="AB1551" t="s">
        <v>2172</v>
      </c>
      <c r="AC1551">
        <v>0</v>
      </c>
      <c r="AD1551">
        <v>9</v>
      </c>
      <c r="AE1551">
        <v>217534632029</v>
      </c>
      <c r="AF1551" t="s">
        <v>6238</v>
      </c>
      <c r="AG1551">
        <v>0</v>
      </c>
      <c r="AH1551">
        <v>0</v>
      </c>
    </row>
    <row r="1552" spans="1:34">
      <c r="A1552">
        <v>2025</v>
      </c>
      <c r="B1552" s="1">
        <v>45870</v>
      </c>
      <c r="C1552" t="s">
        <v>2657</v>
      </c>
      <c r="D1552" t="s">
        <v>6253</v>
      </c>
      <c r="E1552" s="43">
        <v>45873.501887094906</v>
      </c>
      <c r="F1552" s="3">
        <v>45873</v>
      </c>
      <c r="G1552" s="43">
        <v>45936.84665832176</v>
      </c>
      <c r="H1552" t="s">
        <v>3088</v>
      </c>
      <c r="I1552" t="s">
        <v>2669</v>
      </c>
      <c r="J1552" t="s">
        <v>2735</v>
      </c>
      <c r="L1552" t="s">
        <v>2336</v>
      </c>
      <c r="M1552">
        <v>902277407302</v>
      </c>
      <c r="N1552" t="s">
        <v>2746</v>
      </c>
      <c r="O1552" s="1">
        <v>45661</v>
      </c>
      <c r="T1552" t="s">
        <v>2662</v>
      </c>
      <c r="U1552" t="s">
        <v>6254</v>
      </c>
      <c r="V1552">
        <v>45</v>
      </c>
      <c r="W1552" t="s">
        <v>2671</v>
      </c>
      <c r="X1552">
        <v>1</v>
      </c>
      <c r="Y1552" t="s">
        <v>2683</v>
      </c>
      <c r="Z1552" t="s">
        <v>2834</v>
      </c>
      <c r="AA1552">
        <v>92771955402</v>
      </c>
      <c r="AB1552" t="s">
        <v>645</v>
      </c>
      <c r="AC1552">
        <v>0</v>
      </c>
      <c r="AD1552">
        <v>32</v>
      </c>
      <c r="AE1552">
        <v>9277195540232</v>
      </c>
      <c r="AF1552" t="s">
        <v>6255</v>
      </c>
      <c r="AG1552">
        <v>1</v>
      </c>
      <c r="AH1552">
        <v>1</v>
      </c>
    </row>
    <row r="1553" spans="1:35">
      <c r="A1553">
        <v>2025</v>
      </c>
      <c r="B1553" s="1">
        <v>45870</v>
      </c>
      <c r="C1553" t="s">
        <v>2657</v>
      </c>
      <c r="D1553" t="s">
        <v>6256</v>
      </c>
      <c r="E1553" s="43">
        <v>45877.487470092594</v>
      </c>
      <c r="F1553" s="3">
        <v>45877</v>
      </c>
      <c r="G1553" s="43">
        <v>45936.846502372682</v>
      </c>
      <c r="H1553" t="s">
        <v>3088</v>
      </c>
      <c r="I1553" t="s">
        <v>2681</v>
      </c>
      <c r="J1553" t="s">
        <v>2735</v>
      </c>
      <c r="L1553" t="s">
        <v>2336</v>
      </c>
      <c r="M1553">
        <v>902277407302</v>
      </c>
      <c r="N1553" t="s">
        <v>2746</v>
      </c>
      <c r="O1553" s="1">
        <v>45661</v>
      </c>
      <c r="T1553" t="s">
        <v>2662</v>
      </c>
      <c r="U1553" t="s">
        <v>6257</v>
      </c>
      <c r="V1553">
        <v>41</v>
      </c>
      <c r="W1553" t="s">
        <v>2671</v>
      </c>
      <c r="X1553">
        <v>1</v>
      </c>
      <c r="Y1553" t="s">
        <v>2683</v>
      </c>
      <c r="Z1553" t="s">
        <v>2834</v>
      </c>
      <c r="AA1553">
        <v>92771955402</v>
      </c>
      <c r="AB1553" t="s">
        <v>645</v>
      </c>
      <c r="AC1553">
        <v>0</v>
      </c>
      <c r="AD1553">
        <v>32</v>
      </c>
      <c r="AE1553">
        <v>9277195540232</v>
      </c>
      <c r="AF1553" t="s">
        <v>6255</v>
      </c>
      <c r="AG1553">
        <v>0</v>
      </c>
      <c r="AH1553">
        <v>0</v>
      </c>
    </row>
    <row r="1554" spans="1:35">
      <c r="A1554">
        <v>2025</v>
      </c>
      <c r="B1554" s="1">
        <v>45870</v>
      </c>
      <c r="C1554" t="s">
        <v>2657</v>
      </c>
      <c r="D1554" t="s">
        <v>6258</v>
      </c>
      <c r="E1554" s="43">
        <v>45877.496815185186</v>
      </c>
      <c r="F1554" s="3">
        <v>45877</v>
      </c>
      <c r="G1554" s="43">
        <v>45936.84605954861</v>
      </c>
      <c r="H1554" t="s">
        <v>3088</v>
      </c>
      <c r="I1554" t="s">
        <v>2681</v>
      </c>
      <c r="J1554" t="s">
        <v>2735</v>
      </c>
      <c r="L1554" t="s">
        <v>2336</v>
      </c>
      <c r="M1554">
        <v>902277407302</v>
      </c>
      <c r="N1554" t="s">
        <v>2746</v>
      </c>
      <c r="O1554" s="1">
        <v>45661</v>
      </c>
      <c r="T1554" t="s">
        <v>2662</v>
      </c>
      <c r="U1554" t="s">
        <v>6259</v>
      </c>
      <c r="V1554">
        <v>41</v>
      </c>
      <c r="W1554" t="s">
        <v>2671</v>
      </c>
      <c r="X1554">
        <v>1</v>
      </c>
      <c r="Y1554" t="s">
        <v>2683</v>
      </c>
      <c r="Z1554" t="s">
        <v>2834</v>
      </c>
      <c r="AA1554">
        <v>92771955402</v>
      </c>
      <c r="AB1554" t="s">
        <v>645</v>
      </c>
      <c r="AC1554">
        <v>0</v>
      </c>
      <c r="AD1554">
        <v>32</v>
      </c>
      <c r="AE1554">
        <v>9277195540232</v>
      </c>
      <c r="AF1554" t="s">
        <v>6255</v>
      </c>
      <c r="AG1554">
        <v>0</v>
      </c>
      <c r="AH1554">
        <v>0</v>
      </c>
    </row>
    <row r="1555" spans="1:35">
      <c r="A1555">
        <v>2025</v>
      </c>
      <c r="B1555" s="1">
        <v>45870</v>
      </c>
      <c r="C1555" t="s">
        <v>2657</v>
      </c>
      <c r="D1555" t="s">
        <v>6260</v>
      </c>
      <c r="E1555" s="43">
        <v>45877.488179976855</v>
      </c>
      <c r="F1555" s="3">
        <v>45877</v>
      </c>
      <c r="G1555" s="43">
        <v>45895.781566562502</v>
      </c>
      <c r="H1555" t="s">
        <v>3088</v>
      </c>
      <c r="I1555" t="s">
        <v>2681</v>
      </c>
      <c r="J1555" t="s">
        <v>2735</v>
      </c>
      <c r="L1555" t="s">
        <v>2336</v>
      </c>
      <c r="M1555">
        <v>902277407302</v>
      </c>
      <c r="N1555" t="s">
        <v>2746</v>
      </c>
      <c r="O1555" s="1">
        <v>45661</v>
      </c>
      <c r="T1555" t="s">
        <v>2662</v>
      </c>
      <c r="U1555" t="s">
        <v>6261</v>
      </c>
      <c r="V1555">
        <v>12</v>
      </c>
      <c r="W1555" t="s">
        <v>2671</v>
      </c>
      <c r="X1555">
        <v>1</v>
      </c>
      <c r="Y1555" t="s">
        <v>2683</v>
      </c>
      <c r="AA1555">
        <v>92771955402</v>
      </c>
      <c r="AB1555" t="s">
        <v>645</v>
      </c>
      <c r="AC1555">
        <v>0</v>
      </c>
      <c r="AD1555">
        <v>32</v>
      </c>
      <c r="AE1555">
        <v>9277195540232</v>
      </c>
      <c r="AF1555" t="s">
        <v>6255</v>
      </c>
      <c r="AG1555">
        <v>0</v>
      </c>
      <c r="AH1555">
        <v>0</v>
      </c>
    </row>
    <row r="1556" spans="1:35">
      <c r="A1556">
        <v>2025</v>
      </c>
      <c r="B1556" s="1">
        <v>45870</v>
      </c>
      <c r="C1556" t="s">
        <v>2657</v>
      </c>
      <c r="D1556" t="s">
        <v>6262</v>
      </c>
      <c r="E1556" s="43">
        <v>45877.497560428237</v>
      </c>
      <c r="F1556" s="3">
        <v>45877</v>
      </c>
      <c r="G1556" s="43">
        <v>45936.846141747686</v>
      </c>
      <c r="H1556" t="s">
        <v>3088</v>
      </c>
      <c r="I1556" t="s">
        <v>2681</v>
      </c>
      <c r="J1556" t="s">
        <v>2735</v>
      </c>
      <c r="L1556" t="s">
        <v>2336</v>
      </c>
      <c r="M1556">
        <v>902277407302</v>
      </c>
      <c r="N1556" t="s">
        <v>2746</v>
      </c>
      <c r="O1556" s="1">
        <v>45661</v>
      </c>
      <c r="T1556" t="s">
        <v>2662</v>
      </c>
      <c r="U1556" t="s">
        <v>6263</v>
      </c>
      <c r="V1556">
        <v>41</v>
      </c>
      <c r="W1556" t="s">
        <v>2671</v>
      </c>
      <c r="X1556">
        <v>1</v>
      </c>
      <c r="Y1556" t="s">
        <v>2683</v>
      </c>
      <c r="Z1556" t="s">
        <v>2834</v>
      </c>
      <c r="AA1556">
        <v>92771955402</v>
      </c>
      <c r="AB1556" t="s">
        <v>645</v>
      </c>
      <c r="AC1556">
        <v>0</v>
      </c>
      <c r="AD1556">
        <v>32</v>
      </c>
      <c r="AE1556">
        <v>9277195540232</v>
      </c>
      <c r="AF1556" t="s">
        <v>6255</v>
      </c>
      <c r="AG1556">
        <v>0</v>
      </c>
      <c r="AH1556">
        <v>0</v>
      </c>
    </row>
    <row r="1557" spans="1:35">
      <c r="A1557">
        <v>2025</v>
      </c>
      <c r="B1557" s="1">
        <v>45870</v>
      </c>
      <c r="C1557" t="s">
        <v>2657</v>
      </c>
      <c r="D1557" t="s">
        <v>6264</v>
      </c>
      <c r="E1557" s="43">
        <v>45877.486663842596</v>
      </c>
      <c r="F1557" s="3">
        <v>45877</v>
      </c>
      <c r="G1557" s="43">
        <v>45888.860962986109</v>
      </c>
      <c r="H1557" t="s">
        <v>3088</v>
      </c>
      <c r="I1557" t="s">
        <v>2681</v>
      </c>
      <c r="J1557" t="s">
        <v>2735</v>
      </c>
      <c r="L1557" t="s">
        <v>2336</v>
      </c>
      <c r="M1557">
        <v>902277407302</v>
      </c>
      <c r="N1557" t="s">
        <v>2746</v>
      </c>
      <c r="O1557" s="1">
        <v>45661</v>
      </c>
      <c r="T1557" t="s">
        <v>2662</v>
      </c>
      <c r="U1557" t="s">
        <v>6265</v>
      </c>
      <c r="V1557">
        <v>7</v>
      </c>
      <c r="W1557" t="s">
        <v>2671</v>
      </c>
      <c r="X1557">
        <v>1</v>
      </c>
      <c r="Y1557" t="s">
        <v>2683</v>
      </c>
      <c r="AA1557">
        <v>92771955402</v>
      </c>
      <c r="AB1557" t="s">
        <v>645</v>
      </c>
      <c r="AC1557">
        <v>0</v>
      </c>
      <c r="AD1557">
        <v>32</v>
      </c>
      <c r="AE1557">
        <v>9277195540232</v>
      </c>
      <c r="AF1557" t="s">
        <v>6255</v>
      </c>
      <c r="AG1557">
        <v>0</v>
      </c>
      <c r="AH1557">
        <v>0</v>
      </c>
    </row>
    <row r="1558" spans="1:35">
      <c r="A1558">
        <v>2025</v>
      </c>
      <c r="B1558" s="1">
        <v>45992</v>
      </c>
      <c r="C1558" t="s">
        <v>2657</v>
      </c>
      <c r="D1558" t="s">
        <v>6266</v>
      </c>
      <c r="E1558" s="43">
        <v>46007.618068217591</v>
      </c>
      <c r="F1558" s="3">
        <v>46007</v>
      </c>
      <c r="G1558" s="43">
        <v>46010.563547453705</v>
      </c>
      <c r="H1558" t="s">
        <v>2686</v>
      </c>
      <c r="I1558" t="s">
        <v>2719</v>
      </c>
      <c r="J1558" t="s">
        <v>2735</v>
      </c>
      <c r="L1558" t="s">
        <v>2362</v>
      </c>
      <c r="M1558">
        <v>803520752602</v>
      </c>
      <c r="N1558" t="s">
        <v>2746</v>
      </c>
      <c r="O1558" s="1">
        <v>45366</v>
      </c>
      <c r="T1558" t="s">
        <v>2662</v>
      </c>
      <c r="U1558" t="s">
        <v>6267</v>
      </c>
      <c r="V1558">
        <v>3</v>
      </c>
      <c r="W1558" t="s">
        <v>2671</v>
      </c>
      <c r="X1558">
        <v>1</v>
      </c>
      <c r="Y1558" t="s">
        <v>2727</v>
      </c>
      <c r="AA1558">
        <v>589580604602</v>
      </c>
      <c r="AB1558" t="s">
        <v>2070</v>
      </c>
      <c r="AC1558">
        <v>0</v>
      </c>
      <c r="AD1558">
        <v>51</v>
      </c>
      <c r="AE1558">
        <v>58958060460251</v>
      </c>
      <c r="AF1558" t="s">
        <v>6268</v>
      </c>
      <c r="AG1558">
        <v>1</v>
      </c>
      <c r="AH1558">
        <v>1</v>
      </c>
    </row>
    <row r="1559" spans="1:35">
      <c r="A1559">
        <v>2026</v>
      </c>
      <c r="B1559" s="1">
        <v>46023</v>
      </c>
      <c r="C1559" t="s">
        <v>2657</v>
      </c>
      <c r="D1559" t="s">
        <v>6269</v>
      </c>
      <c r="E1559" s="43">
        <v>46050.554213888892</v>
      </c>
      <c r="F1559" s="3">
        <v>46050</v>
      </c>
      <c r="G1559" s="43">
        <v>46050.554213888892</v>
      </c>
      <c r="H1559" t="s">
        <v>2701</v>
      </c>
      <c r="I1559" t="s">
        <v>2660</v>
      </c>
      <c r="J1559" t="s">
        <v>36</v>
      </c>
      <c r="L1559" t="s">
        <v>2421</v>
      </c>
      <c r="M1559">
        <v>587254988202</v>
      </c>
      <c r="N1559" t="s">
        <v>2661</v>
      </c>
      <c r="O1559" s="1">
        <v>45349</v>
      </c>
      <c r="T1559" t="s">
        <v>2662</v>
      </c>
      <c r="U1559" t="s">
        <v>6270</v>
      </c>
      <c r="V1559">
        <v>0</v>
      </c>
      <c r="W1559" t="s">
        <v>2671</v>
      </c>
      <c r="X1559">
        <v>1</v>
      </c>
      <c r="Y1559" t="s">
        <v>2721</v>
      </c>
      <c r="AA1559">
        <v>358205651902</v>
      </c>
      <c r="AB1559" t="s">
        <v>1408</v>
      </c>
      <c r="AC1559">
        <v>0</v>
      </c>
      <c r="AD1559">
        <v>5</v>
      </c>
      <c r="AE1559">
        <v>3582056519025</v>
      </c>
      <c r="AF1559" t="s">
        <v>6271</v>
      </c>
      <c r="AG1559">
        <v>0</v>
      </c>
      <c r="AH1559">
        <v>0</v>
      </c>
    </row>
    <row r="1560" spans="1:35">
      <c r="A1560">
        <v>2026</v>
      </c>
      <c r="B1560" s="1">
        <v>46023</v>
      </c>
      <c r="C1560" t="s">
        <v>2657</v>
      </c>
      <c r="D1560" t="s">
        <v>6272</v>
      </c>
      <c r="E1560" s="43">
        <v>46048.640040891201</v>
      </c>
      <c r="F1560" s="3">
        <v>46048</v>
      </c>
      <c r="G1560" s="43">
        <v>46065.488654976849</v>
      </c>
      <c r="H1560" t="s">
        <v>2701</v>
      </c>
      <c r="I1560" t="s">
        <v>2660</v>
      </c>
      <c r="J1560" t="s">
        <v>36</v>
      </c>
      <c r="L1560" t="s">
        <v>2421</v>
      </c>
      <c r="M1560">
        <v>358205651902</v>
      </c>
      <c r="N1560" t="s">
        <v>2661</v>
      </c>
      <c r="O1560" s="1">
        <v>45294</v>
      </c>
      <c r="T1560" t="s">
        <v>2662</v>
      </c>
      <c r="U1560" t="s">
        <v>6273</v>
      </c>
      <c r="V1560">
        <v>13</v>
      </c>
      <c r="W1560" t="s">
        <v>2671</v>
      </c>
      <c r="X1560">
        <v>1</v>
      </c>
      <c r="Y1560" t="s">
        <v>2760</v>
      </c>
      <c r="Z1560" t="s">
        <v>2684</v>
      </c>
      <c r="AA1560">
        <v>358205651902</v>
      </c>
      <c r="AB1560" t="s">
        <v>1408</v>
      </c>
      <c r="AC1560">
        <v>0</v>
      </c>
      <c r="AD1560">
        <v>5</v>
      </c>
      <c r="AE1560">
        <v>3582056519025</v>
      </c>
      <c r="AF1560" t="s">
        <v>6271</v>
      </c>
      <c r="AG1560">
        <v>1</v>
      </c>
      <c r="AH1560">
        <v>0</v>
      </c>
      <c r="AI1560" t="s">
        <v>3001</v>
      </c>
    </row>
    <row r="1561" spans="1:35">
      <c r="A1561">
        <v>2026</v>
      </c>
      <c r="B1561" s="1">
        <v>46023</v>
      </c>
      <c r="C1561" t="s">
        <v>2657</v>
      </c>
      <c r="D1561" t="s">
        <v>6274</v>
      </c>
      <c r="E1561" s="43">
        <v>46048.676345925924</v>
      </c>
      <c r="F1561" s="3">
        <v>46048</v>
      </c>
      <c r="G1561" s="43">
        <v>46065.488861296297</v>
      </c>
      <c r="H1561" t="s">
        <v>2701</v>
      </c>
      <c r="I1561" t="s">
        <v>2660</v>
      </c>
      <c r="J1561" t="s">
        <v>36</v>
      </c>
      <c r="L1561" t="s">
        <v>2421</v>
      </c>
      <c r="M1561">
        <v>358205651902</v>
      </c>
      <c r="N1561" t="s">
        <v>2661</v>
      </c>
      <c r="O1561" s="1">
        <v>45294</v>
      </c>
      <c r="T1561" t="s">
        <v>2662</v>
      </c>
      <c r="U1561" t="s">
        <v>6275</v>
      </c>
      <c r="V1561">
        <v>13</v>
      </c>
      <c r="W1561" t="s">
        <v>2671</v>
      </c>
      <c r="X1561">
        <v>1</v>
      </c>
      <c r="Y1561" t="s">
        <v>2760</v>
      </c>
      <c r="Z1561" t="s">
        <v>2684</v>
      </c>
      <c r="AA1561">
        <v>358205651902</v>
      </c>
      <c r="AB1561" t="s">
        <v>1408</v>
      </c>
      <c r="AC1561">
        <v>0</v>
      </c>
      <c r="AD1561">
        <v>5</v>
      </c>
      <c r="AE1561">
        <v>3582056519025</v>
      </c>
      <c r="AF1561" t="s">
        <v>6271</v>
      </c>
      <c r="AG1561">
        <v>0</v>
      </c>
      <c r="AH1561">
        <v>0</v>
      </c>
      <c r="AI1561" t="s">
        <v>3001</v>
      </c>
    </row>
    <row r="1562" spans="1:35">
      <c r="A1562">
        <v>2026</v>
      </c>
      <c r="B1562" s="1">
        <v>46023</v>
      </c>
      <c r="C1562" t="s">
        <v>2657</v>
      </c>
      <c r="D1562" t="s">
        <v>6276</v>
      </c>
      <c r="E1562" s="43">
        <v>46045.54067652778</v>
      </c>
      <c r="F1562" s="3">
        <v>46045</v>
      </c>
      <c r="G1562" s="43">
        <v>46065.489046365743</v>
      </c>
      <c r="H1562" t="s">
        <v>2701</v>
      </c>
      <c r="I1562" t="s">
        <v>2660</v>
      </c>
      <c r="J1562" t="s">
        <v>36</v>
      </c>
      <c r="L1562" t="s">
        <v>2421</v>
      </c>
      <c r="M1562">
        <v>358205651902</v>
      </c>
      <c r="N1562" t="s">
        <v>2661</v>
      </c>
      <c r="O1562" s="1">
        <v>45294</v>
      </c>
      <c r="T1562" t="s">
        <v>2662</v>
      </c>
      <c r="U1562" t="s">
        <v>6277</v>
      </c>
      <c r="V1562">
        <v>14</v>
      </c>
      <c r="W1562" t="s">
        <v>2671</v>
      </c>
      <c r="X1562">
        <v>1</v>
      </c>
      <c r="Y1562" t="s">
        <v>2760</v>
      </c>
      <c r="Z1562" t="s">
        <v>2684</v>
      </c>
      <c r="AA1562">
        <v>358205651902</v>
      </c>
      <c r="AB1562" t="s">
        <v>1408</v>
      </c>
      <c r="AC1562">
        <v>0</v>
      </c>
      <c r="AD1562">
        <v>4</v>
      </c>
      <c r="AE1562">
        <v>3582056519024</v>
      </c>
      <c r="AF1562" t="s">
        <v>6271</v>
      </c>
      <c r="AG1562">
        <v>1</v>
      </c>
      <c r="AH1562">
        <v>1</v>
      </c>
      <c r="AI1562" t="s">
        <v>3001</v>
      </c>
    </row>
    <row r="1563" spans="1:35">
      <c r="A1563">
        <v>2025</v>
      </c>
      <c r="B1563" s="1">
        <v>45931</v>
      </c>
      <c r="C1563" t="s">
        <v>2657</v>
      </c>
      <c r="D1563" t="s">
        <v>6278</v>
      </c>
      <c r="E1563" s="43">
        <v>45932.621818854168</v>
      </c>
      <c r="F1563" s="3">
        <v>45932</v>
      </c>
      <c r="G1563" s="43">
        <v>45932.784196365741</v>
      </c>
      <c r="H1563" t="s">
        <v>2659</v>
      </c>
      <c r="I1563" t="s">
        <v>2669</v>
      </c>
      <c r="J1563" t="s">
        <v>2735</v>
      </c>
      <c r="L1563" t="s">
        <v>2421</v>
      </c>
      <c r="M1563">
        <v>358205651902</v>
      </c>
      <c r="N1563" t="s">
        <v>2661</v>
      </c>
      <c r="O1563" s="1">
        <v>45294</v>
      </c>
      <c r="T1563" t="s">
        <v>2662</v>
      </c>
      <c r="U1563" t="s">
        <v>6279</v>
      </c>
      <c r="V1563">
        <v>0</v>
      </c>
      <c r="W1563" t="s">
        <v>2677</v>
      </c>
      <c r="X1563">
        <v>1</v>
      </c>
      <c r="Y1563" t="s">
        <v>2727</v>
      </c>
      <c r="AA1563">
        <v>358205651902</v>
      </c>
      <c r="AB1563" t="s">
        <v>1408</v>
      </c>
      <c r="AC1563">
        <v>0</v>
      </c>
      <c r="AD1563">
        <v>40</v>
      </c>
      <c r="AE1563">
        <v>35820565190240</v>
      </c>
      <c r="AF1563" t="s">
        <v>6280</v>
      </c>
      <c r="AG1563">
        <v>1</v>
      </c>
      <c r="AH1563">
        <v>1</v>
      </c>
    </row>
    <row r="1564" spans="1:35">
      <c r="A1564">
        <v>2025</v>
      </c>
      <c r="B1564" s="1">
        <v>45931</v>
      </c>
      <c r="C1564" t="s">
        <v>2657</v>
      </c>
      <c r="D1564" t="s">
        <v>6281</v>
      </c>
      <c r="E1564" s="43">
        <v>45958.66789542824</v>
      </c>
      <c r="F1564" s="3">
        <v>45958</v>
      </c>
      <c r="G1564" s="43">
        <v>45972.817501666665</v>
      </c>
      <c r="H1564" t="s">
        <v>2659</v>
      </c>
      <c r="I1564" t="s">
        <v>2660</v>
      </c>
      <c r="J1564" t="s">
        <v>37</v>
      </c>
      <c r="L1564" t="s">
        <v>2421</v>
      </c>
      <c r="M1564">
        <v>358205651902</v>
      </c>
      <c r="N1564" t="s">
        <v>2661</v>
      </c>
      <c r="O1564" s="1">
        <v>45294</v>
      </c>
      <c r="T1564" t="s">
        <v>2662</v>
      </c>
      <c r="U1564" t="s">
        <v>6282</v>
      </c>
      <c r="V1564">
        <v>10</v>
      </c>
      <c r="W1564" t="s">
        <v>2677</v>
      </c>
      <c r="X1564">
        <v>1</v>
      </c>
      <c r="Y1564" t="s">
        <v>2740</v>
      </c>
      <c r="Z1564" t="s">
        <v>2684</v>
      </c>
      <c r="AA1564">
        <v>358205651902</v>
      </c>
      <c r="AB1564" t="s">
        <v>1408</v>
      </c>
      <c r="AC1564">
        <v>0</v>
      </c>
      <c r="AD1564">
        <v>44</v>
      </c>
      <c r="AE1564">
        <v>35820565190244</v>
      </c>
      <c r="AF1564" t="s">
        <v>6280</v>
      </c>
      <c r="AG1564">
        <v>1</v>
      </c>
      <c r="AH1564">
        <v>0</v>
      </c>
    </row>
    <row r="1565" spans="1:35">
      <c r="A1565">
        <v>2025</v>
      </c>
      <c r="B1565" s="1">
        <v>45992</v>
      </c>
      <c r="C1565" t="s">
        <v>2657</v>
      </c>
      <c r="D1565" t="s">
        <v>6283</v>
      </c>
      <c r="E1565" s="43">
        <v>45993.78475111111</v>
      </c>
      <c r="F1565" s="3">
        <v>45993</v>
      </c>
      <c r="G1565" s="43">
        <v>45994.708042245373</v>
      </c>
      <c r="H1565" t="s">
        <v>2686</v>
      </c>
      <c r="I1565" t="s">
        <v>2669</v>
      </c>
      <c r="J1565" t="s">
        <v>2735</v>
      </c>
      <c r="L1565" t="s">
        <v>2362</v>
      </c>
      <c r="M1565">
        <v>46733383915</v>
      </c>
      <c r="N1565" t="s">
        <v>2746</v>
      </c>
      <c r="O1565" s="1">
        <v>45145</v>
      </c>
      <c r="T1565" t="s">
        <v>2662</v>
      </c>
      <c r="U1565" t="s">
        <v>6284</v>
      </c>
      <c r="V1565">
        <v>1</v>
      </c>
      <c r="W1565" t="s">
        <v>2671</v>
      </c>
      <c r="X1565">
        <v>1</v>
      </c>
      <c r="Y1565" t="s">
        <v>2672</v>
      </c>
      <c r="AA1565">
        <v>46733383915</v>
      </c>
      <c r="AB1565" t="s">
        <v>839</v>
      </c>
      <c r="AC1565">
        <v>0</v>
      </c>
      <c r="AD1565">
        <v>49</v>
      </c>
      <c r="AE1565">
        <v>4673338391549</v>
      </c>
      <c r="AF1565" t="s">
        <v>6285</v>
      </c>
      <c r="AG1565">
        <v>1</v>
      </c>
      <c r="AH1565">
        <v>1</v>
      </c>
    </row>
    <row r="1566" spans="1:35">
      <c r="A1566">
        <v>2025</v>
      </c>
      <c r="B1566" s="1">
        <v>45992</v>
      </c>
      <c r="C1566" t="s">
        <v>2657</v>
      </c>
      <c r="D1566" s="44" t="s">
        <v>6286</v>
      </c>
      <c r="E1566" s="43">
        <v>45994.573755891201</v>
      </c>
      <c r="F1566" s="3">
        <v>45994</v>
      </c>
      <c r="G1566" s="43">
        <v>46000.524698738423</v>
      </c>
      <c r="H1566" t="s">
        <v>2686</v>
      </c>
      <c r="I1566" t="s">
        <v>2669</v>
      </c>
      <c r="J1566" t="s">
        <v>2735</v>
      </c>
      <c r="L1566" t="s">
        <v>2362</v>
      </c>
      <c r="M1566">
        <v>46733383915</v>
      </c>
      <c r="N1566" t="s">
        <v>2746</v>
      </c>
      <c r="O1566" s="1">
        <v>45145</v>
      </c>
      <c r="T1566" t="s">
        <v>2662</v>
      </c>
      <c r="U1566" t="s">
        <v>6287</v>
      </c>
      <c r="V1566">
        <v>4</v>
      </c>
      <c r="W1566" t="s">
        <v>2677</v>
      </c>
      <c r="X1566">
        <v>1</v>
      </c>
      <c r="Y1566" t="s">
        <v>2779</v>
      </c>
      <c r="Z1566" t="s">
        <v>2834</v>
      </c>
      <c r="AA1566">
        <v>46733383915</v>
      </c>
      <c r="AB1566" t="s">
        <v>839</v>
      </c>
      <c r="AC1566">
        <v>0</v>
      </c>
      <c r="AD1566">
        <v>49</v>
      </c>
      <c r="AE1566">
        <v>4673338391549</v>
      </c>
      <c r="AF1566" t="s">
        <v>6285</v>
      </c>
      <c r="AG1566">
        <v>0</v>
      </c>
      <c r="AH1566">
        <v>0</v>
      </c>
    </row>
    <row r="1567" spans="1:35">
      <c r="A1567">
        <v>2025</v>
      </c>
      <c r="B1567" s="1">
        <v>45992</v>
      </c>
      <c r="C1567" t="s">
        <v>2657</v>
      </c>
      <c r="D1567" t="s">
        <v>6288</v>
      </c>
      <c r="E1567" s="43">
        <v>46002.599414270837</v>
      </c>
      <c r="F1567" s="3">
        <v>46002</v>
      </c>
      <c r="G1567" s="43">
        <v>46002.599414270837</v>
      </c>
      <c r="H1567" t="s">
        <v>2686</v>
      </c>
      <c r="I1567" t="s">
        <v>2681</v>
      </c>
      <c r="J1567" t="s">
        <v>2735</v>
      </c>
      <c r="L1567" t="s">
        <v>2362</v>
      </c>
      <c r="M1567">
        <v>46733383915</v>
      </c>
      <c r="N1567" t="s">
        <v>2746</v>
      </c>
      <c r="O1567" s="1">
        <v>45145</v>
      </c>
      <c r="T1567" t="s">
        <v>2662</v>
      </c>
      <c r="U1567" t="s">
        <v>6289</v>
      </c>
      <c r="V1567">
        <v>0</v>
      </c>
      <c r="W1567" t="s">
        <v>2671</v>
      </c>
      <c r="X1567">
        <v>1</v>
      </c>
      <c r="Y1567" t="s">
        <v>2695</v>
      </c>
      <c r="AA1567">
        <v>46733383915</v>
      </c>
      <c r="AB1567" t="s">
        <v>839</v>
      </c>
      <c r="AC1567">
        <v>0</v>
      </c>
      <c r="AD1567">
        <v>50</v>
      </c>
      <c r="AE1567">
        <v>4673338391550</v>
      </c>
      <c r="AF1567" t="s">
        <v>6285</v>
      </c>
      <c r="AG1567">
        <v>0</v>
      </c>
      <c r="AH1567">
        <v>0</v>
      </c>
    </row>
    <row r="1568" spans="1:35">
      <c r="A1568">
        <v>2025</v>
      </c>
      <c r="B1568" s="1">
        <v>45992</v>
      </c>
      <c r="C1568" t="s">
        <v>2657</v>
      </c>
      <c r="D1568" s="44" t="s">
        <v>6290</v>
      </c>
      <c r="E1568" s="43">
        <v>46001.56914832176</v>
      </c>
      <c r="F1568" s="3">
        <v>46001</v>
      </c>
      <c r="G1568" s="43">
        <v>46005.578284398151</v>
      </c>
      <c r="H1568" t="s">
        <v>2686</v>
      </c>
      <c r="I1568" t="s">
        <v>2681</v>
      </c>
      <c r="J1568" t="s">
        <v>2735</v>
      </c>
      <c r="L1568" t="s">
        <v>2362</v>
      </c>
      <c r="M1568">
        <v>46733383915</v>
      </c>
      <c r="N1568" t="s">
        <v>2746</v>
      </c>
      <c r="O1568" s="1">
        <v>45145</v>
      </c>
      <c r="T1568" t="s">
        <v>2662</v>
      </c>
      <c r="U1568" t="s">
        <v>6291</v>
      </c>
      <c r="V1568">
        <v>2</v>
      </c>
      <c r="W1568" t="s">
        <v>2677</v>
      </c>
      <c r="X1568">
        <v>1</v>
      </c>
      <c r="Y1568" t="s">
        <v>2767</v>
      </c>
      <c r="AA1568">
        <v>46733383915</v>
      </c>
      <c r="AB1568" t="s">
        <v>839</v>
      </c>
      <c r="AC1568">
        <v>0</v>
      </c>
      <c r="AD1568">
        <v>50</v>
      </c>
      <c r="AE1568">
        <v>4673338391550</v>
      </c>
      <c r="AF1568" t="s">
        <v>6285</v>
      </c>
      <c r="AG1568">
        <v>0</v>
      </c>
      <c r="AH1568">
        <v>0</v>
      </c>
    </row>
    <row r="1569" spans="1:34">
      <c r="A1569">
        <v>2025</v>
      </c>
      <c r="B1569" s="1">
        <v>45992</v>
      </c>
      <c r="C1569" t="s">
        <v>2657</v>
      </c>
      <c r="D1569" t="s">
        <v>6292</v>
      </c>
      <c r="E1569" s="43">
        <v>45999.740312152775</v>
      </c>
      <c r="F1569" s="3">
        <v>45999</v>
      </c>
      <c r="G1569" s="43">
        <v>46000.530688425926</v>
      </c>
      <c r="H1569" t="s">
        <v>2686</v>
      </c>
      <c r="I1569" t="s">
        <v>2681</v>
      </c>
      <c r="J1569" t="s">
        <v>2735</v>
      </c>
      <c r="L1569" t="s">
        <v>2362</v>
      </c>
      <c r="M1569">
        <v>46733383915</v>
      </c>
      <c r="N1569" t="s">
        <v>2746</v>
      </c>
      <c r="O1569" s="1">
        <v>45145</v>
      </c>
      <c r="T1569" t="s">
        <v>2662</v>
      </c>
      <c r="U1569" t="s">
        <v>6293</v>
      </c>
      <c r="V1569">
        <v>1</v>
      </c>
      <c r="W1569" t="s">
        <v>2677</v>
      </c>
      <c r="X1569">
        <v>1</v>
      </c>
      <c r="Y1569" t="s">
        <v>2678</v>
      </c>
      <c r="AA1569">
        <v>46733383915</v>
      </c>
      <c r="AB1569" t="s">
        <v>839</v>
      </c>
      <c r="AC1569">
        <v>0</v>
      </c>
      <c r="AD1569">
        <v>50</v>
      </c>
      <c r="AE1569">
        <v>4673338391550</v>
      </c>
      <c r="AF1569" t="s">
        <v>6285</v>
      </c>
      <c r="AG1569">
        <v>1</v>
      </c>
      <c r="AH1569">
        <v>0</v>
      </c>
    </row>
    <row r="1570" spans="1:34">
      <c r="A1570">
        <v>2025</v>
      </c>
      <c r="B1570" s="1">
        <v>45992</v>
      </c>
      <c r="C1570" t="s">
        <v>2657</v>
      </c>
      <c r="D1570" t="s">
        <v>6294</v>
      </c>
      <c r="E1570" s="43">
        <v>46006.652133402778</v>
      </c>
      <c r="F1570" s="3">
        <v>46006</v>
      </c>
      <c r="G1570" s="43">
        <v>46006.720590243058</v>
      </c>
      <c r="H1570" t="s">
        <v>2686</v>
      </c>
      <c r="I1570" t="s">
        <v>2719</v>
      </c>
      <c r="J1570" t="s">
        <v>2735</v>
      </c>
      <c r="L1570" t="s">
        <v>2362</v>
      </c>
      <c r="M1570">
        <v>46733383915</v>
      </c>
      <c r="N1570" t="s">
        <v>2746</v>
      </c>
      <c r="O1570" s="1">
        <v>45145</v>
      </c>
      <c r="T1570" t="s">
        <v>2662</v>
      </c>
      <c r="U1570" t="s">
        <v>6295</v>
      </c>
      <c r="V1570">
        <v>0</v>
      </c>
      <c r="W1570" t="s">
        <v>2671</v>
      </c>
      <c r="X1570">
        <v>1</v>
      </c>
      <c r="Y1570" t="s">
        <v>2672</v>
      </c>
      <c r="AA1570">
        <v>46733383915</v>
      </c>
      <c r="AB1570" t="s">
        <v>839</v>
      </c>
      <c r="AC1570">
        <v>0</v>
      </c>
      <c r="AD1570">
        <v>51</v>
      </c>
      <c r="AE1570">
        <v>4673338391551</v>
      </c>
      <c r="AF1570" t="s">
        <v>6285</v>
      </c>
      <c r="AG1570">
        <v>1</v>
      </c>
      <c r="AH1570">
        <v>0</v>
      </c>
    </row>
    <row r="1571" spans="1:34">
      <c r="A1571">
        <v>2025</v>
      </c>
      <c r="B1571" s="1">
        <v>45992</v>
      </c>
      <c r="C1571" t="s">
        <v>2657</v>
      </c>
      <c r="D1571" t="s">
        <v>6296</v>
      </c>
      <c r="E1571" s="43">
        <v>46007.789573993054</v>
      </c>
      <c r="F1571" s="3">
        <v>46007</v>
      </c>
      <c r="G1571" s="43">
        <v>46013.695691631947</v>
      </c>
      <c r="H1571" t="s">
        <v>2686</v>
      </c>
      <c r="I1571" t="s">
        <v>2719</v>
      </c>
      <c r="J1571" t="s">
        <v>2735</v>
      </c>
      <c r="L1571" t="s">
        <v>2362</v>
      </c>
      <c r="M1571">
        <v>46733383915</v>
      </c>
      <c r="N1571" t="s">
        <v>2746</v>
      </c>
      <c r="O1571" s="1">
        <v>45145</v>
      </c>
      <c r="T1571" t="s">
        <v>2662</v>
      </c>
      <c r="U1571" t="s">
        <v>6297</v>
      </c>
      <c r="V1571">
        <v>4</v>
      </c>
      <c r="W1571" t="s">
        <v>2677</v>
      </c>
      <c r="X1571">
        <v>1</v>
      </c>
      <c r="Y1571" t="s">
        <v>2767</v>
      </c>
      <c r="AA1571">
        <v>46733383915</v>
      </c>
      <c r="AB1571" t="s">
        <v>839</v>
      </c>
      <c r="AC1571">
        <v>0</v>
      </c>
      <c r="AD1571">
        <v>51</v>
      </c>
      <c r="AE1571">
        <v>4673338391551</v>
      </c>
      <c r="AF1571" t="s">
        <v>6285</v>
      </c>
      <c r="AG1571">
        <v>0</v>
      </c>
      <c r="AH1571">
        <v>0</v>
      </c>
    </row>
    <row r="1572" spans="1:34">
      <c r="A1572">
        <v>2026</v>
      </c>
      <c r="B1572" s="1">
        <v>46023</v>
      </c>
      <c r="C1572" t="s">
        <v>2657</v>
      </c>
      <c r="D1572" s="44" t="s">
        <v>6298</v>
      </c>
      <c r="E1572" s="43">
        <v>46029.861842719911</v>
      </c>
      <c r="F1572" s="3">
        <v>46029</v>
      </c>
      <c r="G1572" s="43">
        <v>46038.791654895831</v>
      </c>
      <c r="H1572" t="s">
        <v>2701</v>
      </c>
      <c r="I1572" t="s">
        <v>2669</v>
      </c>
      <c r="J1572" t="s">
        <v>37</v>
      </c>
      <c r="L1572" t="s">
        <v>2351</v>
      </c>
      <c r="M1572">
        <v>490336347502</v>
      </c>
      <c r="N1572" t="s">
        <v>2746</v>
      </c>
      <c r="O1572" s="1">
        <v>45880</v>
      </c>
      <c r="T1572" t="s">
        <v>2662</v>
      </c>
      <c r="U1572" t="s">
        <v>6299</v>
      </c>
      <c r="V1572">
        <v>7</v>
      </c>
      <c r="W1572" t="s">
        <v>2664</v>
      </c>
      <c r="X1572">
        <v>1</v>
      </c>
      <c r="Y1572" t="s">
        <v>2779</v>
      </c>
      <c r="Z1572" t="s">
        <v>2684</v>
      </c>
      <c r="AA1572">
        <v>716769647502</v>
      </c>
      <c r="AB1572" t="s">
        <v>2435</v>
      </c>
      <c r="AC1572">
        <v>1</v>
      </c>
      <c r="AD1572">
        <v>2</v>
      </c>
      <c r="AE1572">
        <v>7167696475022</v>
      </c>
      <c r="AF1572" t="s">
        <v>6300</v>
      </c>
      <c r="AG1572">
        <v>1</v>
      </c>
      <c r="AH1572">
        <v>1</v>
      </c>
    </row>
    <row r="1573" spans="1:34">
      <c r="A1573">
        <v>2025</v>
      </c>
      <c r="B1573" s="1">
        <v>45931</v>
      </c>
      <c r="C1573" t="s">
        <v>2657</v>
      </c>
      <c r="D1573" t="s">
        <v>6301</v>
      </c>
      <c r="E1573" s="43">
        <v>45937.759563819447</v>
      </c>
      <c r="F1573" s="3">
        <v>45937</v>
      </c>
      <c r="G1573" s="43">
        <v>45937.759563819447</v>
      </c>
      <c r="H1573" t="s">
        <v>2659</v>
      </c>
      <c r="I1573" t="s">
        <v>2669</v>
      </c>
      <c r="J1573" t="s">
        <v>38</v>
      </c>
      <c r="L1573" t="s">
        <v>2342</v>
      </c>
      <c r="M1573">
        <v>22445894402</v>
      </c>
      <c r="N1573" t="s">
        <v>2702</v>
      </c>
      <c r="O1573" s="1">
        <v>45294</v>
      </c>
      <c r="T1573" t="s">
        <v>2662</v>
      </c>
      <c r="U1573" t="s">
        <v>6302</v>
      </c>
      <c r="V1573">
        <v>0</v>
      </c>
      <c r="X1573">
        <v>1</v>
      </c>
      <c r="Y1573" t="s">
        <v>2695</v>
      </c>
      <c r="AA1573">
        <v>22445894402</v>
      </c>
      <c r="AB1573" t="s">
        <v>573</v>
      </c>
      <c r="AC1573">
        <v>0</v>
      </c>
      <c r="AD1573">
        <v>41</v>
      </c>
      <c r="AE1573">
        <v>2244589440241</v>
      </c>
      <c r="AF1573" t="s">
        <v>6303</v>
      </c>
      <c r="AG1573">
        <v>1</v>
      </c>
      <c r="AH1573">
        <v>1</v>
      </c>
    </row>
    <row r="1574" spans="1:34">
      <c r="A1574">
        <v>2025</v>
      </c>
      <c r="B1574" s="1">
        <v>45931</v>
      </c>
      <c r="C1574" t="s">
        <v>2657</v>
      </c>
      <c r="D1574" t="s">
        <v>6304</v>
      </c>
      <c r="E1574" s="43">
        <v>45957.709234918984</v>
      </c>
      <c r="F1574" s="3">
        <v>45957</v>
      </c>
      <c r="G1574" s="43">
        <v>45965.809350740739</v>
      </c>
      <c r="H1574" t="s">
        <v>2659</v>
      </c>
      <c r="I1574" t="s">
        <v>2660</v>
      </c>
      <c r="J1574" t="s">
        <v>36</v>
      </c>
      <c r="L1574" t="s">
        <v>2355</v>
      </c>
      <c r="M1574">
        <v>108557751002</v>
      </c>
      <c r="N1574" t="s">
        <v>2702</v>
      </c>
      <c r="O1574" s="1">
        <v>45669</v>
      </c>
      <c r="T1574" t="s">
        <v>2662</v>
      </c>
      <c r="U1574" t="s">
        <v>6305</v>
      </c>
      <c r="V1574">
        <v>6</v>
      </c>
      <c r="W1574" t="s">
        <v>2664</v>
      </c>
      <c r="X1574">
        <v>1</v>
      </c>
      <c r="Y1574" t="s">
        <v>2665</v>
      </c>
      <c r="AA1574">
        <v>538911850502</v>
      </c>
      <c r="AB1574" t="s">
        <v>2306</v>
      </c>
      <c r="AC1574">
        <v>0</v>
      </c>
      <c r="AD1574">
        <v>44</v>
      </c>
      <c r="AE1574">
        <v>53891185050244</v>
      </c>
      <c r="AF1574" t="s">
        <v>6306</v>
      </c>
      <c r="AG1574">
        <v>1</v>
      </c>
      <c r="AH1574">
        <v>1</v>
      </c>
    </row>
    <row r="1575" spans="1:34">
      <c r="A1575">
        <v>2025</v>
      </c>
      <c r="B1575" s="1">
        <v>45839</v>
      </c>
      <c r="C1575" t="s">
        <v>2657</v>
      </c>
      <c r="D1575" t="s">
        <v>6307</v>
      </c>
      <c r="E1575" s="43">
        <v>45868.76116587963</v>
      </c>
      <c r="F1575" s="3">
        <v>45868</v>
      </c>
      <c r="G1575" s="43">
        <v>45874.784879525461</v>
      </c>
      <c r="H1575" t="s">
        <v>2869</v>
      </c>
      <c r="I1575" t="s">
        <v>2697</v>
      </c>
      <c r="J1575" t="s">
        <v>38</v>
      </c>
      <c r="L1575" t="s">
        <v>2351</v>
      </c>
      <c r="M1575">
        <v>327981185502</v>
      </c>
      <c r="N1575" t="s">
        <v>2661</v>
      </c>
      <c r="O1575" s="1">
        <v>44894</v>
      </c>
      <c r="T1575" t="s">
        <v>2662</v>
      </c>
      <c r="U1575" t="s">
        <v>6308</v>
      </c>
      <c r="V1575">
        <v>4</v>
      </c>
      <c r="W1575" t="s">
        <v>2743</v>
      </c>
      <c r="X1575">
        <v>1</v>
      </c>
      <c r="Y1575" t="s">
        <v>2931</v>
      </c>
      <c r="AA1575">
        <v>108483856702</v>
      </c>
      <c r="AB1575" t="s">
        <v>1316</v>
      </c>
      <c r="AC1575">
        <v>0</v>
      </c>
      <c r="AD1575">
        <v>31</v>
      </c>
      <c r="AE1575">
        <v>10848385670231</v>
      </c>
      <c r="AF1575" t="s">
        <v>6309</v>
      </c>
      <c r="AG1575">
        <v>0</v>
      </c>
      <c r="AH1575">
        <v>0</v>
      </c>
    </row>
    <row r="1576" spans="1:34">
      <c r="A1576">
        <v>2025</v>
      </c>
      <c r="B1576" s="1">
        <v>45839</v>
      </c>
      <c r="C1576" t="s">
        <v>2657</v>
      </c>
      <c r="D1576" t="s">
        <v>6310</v>
      </c>
      <c r="E1576" s="43">
        <v>45867.600965509257</v>
      </c>
      <c r="F1576" s="3">
        <v>45867</v>
      </c>
      <c r="G1576" s="43">
        <v>45874.785780243059</v>
      </c>
      <c r="H1576" t="s">
        <v>2869</v>
      </c>
      <c r="I1576" t="s">
        <v>2697</v>
      </c>
      <c r="J1576" t="s">
        <v>38</v>
      </c>
      <c r="L1576" t="s">
        <v>2351</v>
      </c>
      <c r="M1576">
        <v>592383571202</v>
      </c>
      <c r="N1576" t="s">
        <v>2661</v>
      </c>
      <c r="O1576" s="1">
        <v>45457</v>
      </c>
      <c r="T1576" t="s">
        <v>2662</v>
      </c>
      <c r="U1576" t="s">
        <v>6311</v>
      </c>
      <c r="V1576">
        <v>5</v>
      </c>
      <c r="W1576" t="s">
        <v>2677</v>
      </c>
      <c r="X1576">
        <v>1</v>
      </c>
      <c r="Y1576" t="s">
        <v>6312</v>
      </c>
      <c r="AA1576">
        <v>108483856702</v>
      </c>
      <c r="AB1576" t="s">
        <v>1316</v>
      </c>
      <c r="AC1576">
        <v>0</v>
      </c>
      <c r="AD1576">
        <v>31</v>
      </c>
      <c r="AE1576">
        <v>10848385670231</v>
      </c>
      <c r="AF1576" t="s">
        <v>6309</v>
      </c>
      <c r="AG1576">
        <v>1</v>
      </c>
      <c r="AH1576">
        <v>1</v>
      </c>
    </row>
    <row r="1577" spans="1:34">
      <c r="A1577">
        <v>2025</v>
      </c>
      <c r="B1577" s="1">
        <v>45839</v>
      </c>
      <c r="C1577" t="s">
        <v>2657</v>
      </c>
      <c r="D1577" t="s">
        <v>6313</v>
      </c>
      <c r="E1577" s="43">
        <v>45868.722985914355</v>
      </c>
      <c r="F1577" s="3">
        <v>45868</v>
      </c>
      <c r="G1577" s="43">
        <v>45873.768107013886</v>
      </c>
      <c r="H1577" t="s">
        <v>2869</v>
      </c>
      <c r="I1577" t="s">
        <v>2697</v>
      </c>
      <c r="J1577" t="s">
        <v>38</v>
      </c>
      <c r="L1577" t="s">
        <v>2351</v>
      </c>
      <c r="M1577">
        <v>108483856702</v>
      </c>
      <c r="N1577" t="s">
        <v>2661</v>
      </c>
      <c r="O1577" s="1">
        <v>45457</v>
      </c>
      <c r="T1577" t="s">
        <v>2662</v>
      </c>
      <c r="U1577" t="s">
        <v>6314</v>
      </c>
      <c r="V1577">
        <v>3</v>
      </c>
      <c r="W1577" t="s">
        <v>2671</v>
      </c>
      <c r="X1577">
        <v>1</v>
      </c>
      <c r="Y1577" t="s">
        <v>2692</v>
      </c>
      <c r="AA1577">
        <v>108483856702</v>
      </c>
      <c r="AB1577" t="s">
        <v>1316</v>
      </c>
      <c r="AC1577">
        <v>0</v>
      </c>
      <c r="AD1577">
        <v>31</v>
      </c>
      <c r="AE1577">
        <v>10848385670231</v>
      </c>
      <c r="AF1577" t="s">
        <v>6309</v>
      </c>
      <c r="AG1577">
        <v>0</v>
      </c>
      <c r="AH1577">
        <v>0</v>
      </c>
    </row>
    <row r="1578" spans="1:34">
      <c r="A1578">
        <v>2025</v>
      </c>
      <c r="B1578" s="1">
        <v>45992</v>
      </c>
      <c r="C1578" t="s">
        <v>2657</v>
      </c>
      <c r="D1578" t="s">
        <v>6315</v>
      </c>
      <c r="E1578" s="43">
        <v>45995.66095203704</v>
      </c>
      <c r="F1578" s="3">
        <v>45995</v>
      </c>
      <c r="G1578" s="43">
        <v>45996.573252291666</v>
      </c>
      <c r="H1578" t="s">
        <v>2686</v>
      </c>
      <c r="I1578" t="s">
        <v>2669</v>
      </c>
      <c r="J1578" t="s">
        <v>100</v>
      </c>
      <c r="L1578" t="s">
        <v>2353</v>
      </c>
      <c r="M1578">
        <v>355214089002</v>
      </c>
      <c r="N1578" t="s">
        <v>2675</v>
      </c>
      <c r="O1578" s="1">
        <v>45661</v>
      </c>
      <c r="T1578" t="s">
        <v>2662</v>
      </c>
      <c r="U1578" t="s">
        <v>5492</v>
      </c>
      <c r="V1578">
        <v>1</v>
      </c>
      <c r="X1578">
        <v>1</v>
      </c>
      <c r="Y1578" t="s">
        <v>2721</v>
      </c>
      <c r="AA1578">
        <v>355214089002</v>
      </c>
      <c r="AB1578" t="s">
        <v>101</v>
      </c>
      <c r="AC1578">
        <v>0</v>
      </c>
      <c r="AD1578">
        <v>49</v>
      </c>
      <c r="AE1578">
        <v>35521408900249</v>
      </c>
      <c r="AF1578" t="s">
        <v>6316</v>
      </c>
      <c r="AG1578">
        <v>1</v>
      </c>
      <c r="AH1578">
        <v>1</v>
      </c>
    </row>
    <row r="1579" spans="1:34">
      <c r="A1579">
        <v>2025</v>
      </c>
      <c r="B1579" s="1">
        <v>45931</v>
      </c>
      <c r="C1579" t="s">
        <v>2657</v>
      </c>
      <c r="D1579" t="s">
        <v>6317</v>
      </c>
      <c r="E1579" s="43">
        <v>45936.497216458331</v>
      </c>
      <c r="F1579" s="3">
        <v>45936</v>
      </c>
      <c r="G1579" s="43">
        <v>45951.851632673613</v>
      </c>
      <c r="H1579" t="s">
        <v>2659</v>
      </c>
      <c r="I1579" t="s">
        <v>2669</v>
      </c>
      <c r="J1579" t="s">
        <v>2735</v>
      </c>
      <c r="L1579" t="s">
        <v>2364</v>
      </c>
      <c r="M1579">
        <v>7763660815</v>
      </c>
      <c r="N1579" t="s">
        <v>2661</v>
      </c>
      <c r="O1579" s="1">
        <v>45661</v>
      </c>
      <c r="T1579" t="s">
        <v>2662</v>
      </c>
      <c r="U1579" t="s">
        <v>6318</v>
      </c>
      <c r="V1579">
        <v>11</v>
      </c>
      <c r="W1579" t="s">
        <v>2671</v>
      </c>
      <c r="X1579">
        <v>1</v>
      </c>
      <c r="Y1579" t="s">
        <v>2683</v>
      </c>
      <c r="AA1579">
        <v>7763660815</v>
      </c>
      <c r="AB1579" t="s">
        <v>895</v>
      </c>
      <c r="AC1579">
        <v>0</v>
      </c>
      <c r="AD1579">
        <v>41</v>
      </c>
      <c r="AE1579">
        <v>776366081541</v>
      </c>
      <c r="AF1579" t="s">
        <v>6319</v>
      </c>
      <c r="AG1579">
        <v>1</v>
      </c>
      <c r="AH1579">
        <v>1</v>
      </c>
    </row>
    <row r="1580" spans="1:34">
      <c r="A1580">
        <v>2025</v>
      </c>
      <c r="B1580" s="1">
        <v>45931</v>
      </c>
      <c r="C1580" t="s">
        <v>2657</v>
      </c>
      <c r="D1580" t="s">
        <v>6320</v>
      </c>
      <c r="E1580" s="43">
        <v>45960.825009490742</v>
      </c>
      <c r="F1580" s="3">
        <v>45960</v>
      </c>
      <c r="G1580" s="43">
        <v>45966.520648043981</v>
      </c>
      <c r="H1580" t="s">
        <v>2659</v>
      </c>
      <c r="I1580" t="s">
        <v>2697</v>
      </c>
      <c r="J1580" t="s">
        <v>37</v>
      </c>
      <c r="L1580" t="s">
        <v>2364</v>
      </c>
      <c r="M1580">
        <v>7763660815</v>
      </c>
      <c r="N1580" t="s">
        <v>2661</v>
      </c>
      <c r="O1580" s="1">
        <v>45661</v>
      </c>
      <c r="T1580" t="s">
        <v>2662</v>
      </c>
      <c r="U1580" t="s">
        <v>6321</v>
      </c>
      <c r="V1580">
        <v>4</v>
      </c>
      <c r="W1580" t="s">
        <v>2671</v>
      </c>
      <c r="X1580">
        <v>1</v>
      </c>
      <c r="Y1580" t="s">
        <v>2779</v>
      </c>
      <c r="AA1580">
        <v>7763660815</v>
      </c>
      <c r="AB1580" t="s">
        <v>895</v>
      </c>
      <c r="AC1580">
        <v>0</v>
      </c>
      <c r="AD1580">
        <v>44</v>
      </c>
      <c r="AE1580">
        <v>776366081544</v>
      </c>
      <c r="AF1580" t="s">
        <v>6319</v>
      </c>
      <c r="AG1580">
        <v>1</v>
      </c>
      <c r="AH1580">
        <v>0</v>
      </c>
    </row>
    <row r="1581" spans="1:34">
      <c r="A1581">
        <v>2026</v>
      </c>
      <c r="B1581" s="1">
        <v>46054</v>
      </c>
      <c r="C1581" t="s">
        <v>2657</v>
      </c>
      <c r="D1581" t="s">
        <v>6322</v>
      </c>
      <c r="E1581" s="43">
        <v>46059.734956354165</v>
      </c>
      <c r="F1581" s="3">
        <v>46059</v>
      </c>
      <c r="G1581" s="43">
        <v>46076.545501354165</v>
      </c>
      <c r="H1581" t="s">
        <v>2725</v>
      </c>
      <c r="I1581" t="s">
        <v>2669</v>
      </c>
      <c r="J1581" t="s">
        <v>36</v>
      </c>
      <c r="L1581" t="s">
        <v>2472</v>
      </c>
      <c r="M1581">
        <v>500513845602</v>
      </c>
      <c r="N1581" t="s">
        <v>2702</v>
      </c>
      <c r="O1581" s="1">
        <v>46021</v>
      </c>
      <c r="T1581" t="s">
        <v>2662</v>
      </c>
      <c r="U1581" t="s">
        <v>6323</v>
      </c>
      <c r="V1581">
        <v>11</v>
      </c>
      <c r="W1581" t="s">
        <v>2704</v>
      </c>
      <c r="X1581">
        <v>1</v>
      </c>
      <c r="Y1581" t="s">
        <v>2710</v>
      </c>
      <c r="AA1581">
        <v>500513845602</v>
      </c>
      <c r="AB1581" t="s">
        <v>2559</v>
      </c>
      <c r="AC1581">
        <v>0</v>
      </c>
      <c r="AD1581">
        <v>6</v>
      </c>
      <c r="AE1581">
        <v>5005138456026</v>
      </c>
      <c r="AF1581" t="s">
        <v>6324</v>
      </c>
      <c r="AG1581">
        <v>1</v>
      </c>
      <c r="AH1581">
        <v>1</v>
      </c>
    </row>
    <row r="1582" spans="1:34">
      <c r="A1582">
        <v>2026</v>
      </c>
      <c r="B1582" s="1">
        <v>46054</v>
      </c>
      <c r="C1582" t="s">
        <v>2657</v>
      </c>
      <c r="D1582" t="s">
        <v>6325</v>
      </c>
      <c r="E1582" s="43">
        <v>46066.509697141206</v>
      </c>
      <c r="F1582" s="3">
        <v>46066</v>
      </c>
      <c r="G1582" s="43">
        <v>46073.870304270837</v>
      </c>
      <c r="H1582" t="s">
        <v>2725</v>
      </c>
      <c r="I1582" t="s">
        <v>2681</v>
      </c>
      <c r="J1582" t="s">
        <v>36</v>
      </c>
      <c r="L1582" t="s">
        <v>2472</v>
      </c>
      <c r="M1582">
        <v>500513845602</v>
      </c>
      <c r="N1582" t="s">
        <v>2702</v>
      </c>
      <c r="O1582" s="1">
        <v>46021</v>
      </c>
      <c r="T1582" t="s">
        <v>2662</v>
      </c>
      <c r="U1582" t="s">
        <v>6326</v>
      </c>
      <c r="V1582">
        <v>5</v>
      </c>
      <c r="X1582">
        <v>1</v>
      </c>
      <c r="Y1582" t="s">
        <v>2931</v>
      </c>
      <c r="AA1582">
        <v>500513845602</v>
      </c>
      <c r="AB1582" t="s">
        <v>2559</v>
      </c>
      <c r="AC1582">
        <v>1</v>
      </c>
      <c r="AD1582">
        <v>7</v>
      </c>
      <c r="AE1582">
        <v>5005138456027</v>
      </c>
      <c r="AF1582" t="s">
        <v>6324</v>
      </c>
      <c r="AG1582">
        <v>1</v>
      </c>
      <c r="AH1582">
        <v>0</v>
      </c>
    </row>
    <row r="1583" spans="1:34">
      <c r="A1583">
        <v>2025</v>
      </c>
      <c r="B1583" s="1">
        <v>45931</v>
      </c>
      <c r="C1583" t="s">
        <v>2657</v>
      </c>
      <c r="D1583" t="s">
        <v>6327</v>
      </c>
      <c r="E1583" s="43">
        <v>45939.608864050926</v>
      </c>
      <c r="F1583" s="3">
        <v>45939</v>
      </c>
      <c r="G1583" s="43">
        <v>45939.886248067131</v>
      </c>
      <c r="H1583" t="s">
        <v>2659</v>
      </c>
      <c r="I1583" t="s">
        <v>2681</v>
      </c>
      <c r="J1583" t="s">
        <v>38</v>
      </c>
      <c r="L1583" t="s">
        <v>2351</v>
      </c>
      <c r="M1583">
        <v>219314571102</v>
      </c>
      <c r="N1583" t="s">
        <v>2661</v>
      </c>
      <c r="O1583" s="1">
        <v>45835</v>
      </c>
      <c r="T1583" t="s">
        <v>2662</v>
      </c>
      <c r="U1583" t="s">
        <v>6328</v>
      </c>
      <c r="V1583">
        <v>0</v>
      </c>
      <c r="W1583" t="s">
        <v>2671</v>
      </c>
      <c r="X1583">
        <v>1</v>
      </c>
      <c r="Y1583" t="s">
        <v>2764</v>
      </c>
      <c r="AA1583">
        <v>551856008602</v>
      </c>
      <c r="AB1583" t="s">
        <v>1248</v>
      </c>
      <c r="AC1583">
        <v>0</v>
      </c>
      <c r="AD1583">
        <v>41</v>
      </c>
      <c r="AE1583">
        <v>55185600860241</v>
      </c>
      <c r="AF1583" t="s">
        <v>6329</v>
      </c>
      <c r="AG1583">
        <v>1</v>
      </c>
      <c r="AH1583">
        <v>1</v>
      </c>
    </row>
    <row r="1584" spans="1:34">
      <c r="A1584">
        <v>2025</v>
      </c>
      <c r="B1584" s="1">
        <v>45931</v>
      </c>
      <c r="C1584" t="s">
        <v>2657</v>
      </c>
      <c r="D1584" t="s">
        <v>6330</v>
      </c>
      <c r="E1584" s="43">
        <v>45953.7063656713</v>
      </c>
      <c r="F1584" s="3">
        <v>45953</v>
      </c>
      <c r="G1584" s="43">
        <v>45954.586458645834</v>
      </c>
      <c r="H1584" t="s">
        <v>2659</v>
      </c>
      <c r="I1584" t="s">
        <v>2660</v>
      </c>
      <c r="J1584" t="s">
        <v>37</v>
      </c>
      <c r="L1584" t="s">
        <v>2351</v>
      </c>
      <c r="M1584">
        <v>219314571102</v>
      </c>
      <c r="N1584" t="s">
        <v>2661</v>
      </c>
      <c r="O1584" s="1">
        <v>45835</v>
      </c>
      <c r="T1584" t="s">
        <v>2662</v>
      </c>
      <c r="U1584" t="s">
        <v>6331</v>
      </c>
      <c r="V1584">
        <v>1</v>
      </c>
      <c r="W1584" t="s">
        <v>2677</v>
      </c>
      <c r="X1584">
        <v>1</v>
      </c>
      <c r="Y1584" t="s">
        <v>2807</v>
      </c>
      <c r="AA1584">
        <v>551856008602</v>
      </c>
      <c r="AB1584" t="s">
        <v>1248</v>
      </c>
      <c r="AC1584">
        <v>0</v>
      </c>
      <c r="AD1584">
        <v>43</v>
      </c>
      <c r="AE1584">
        <v>55185600860243</v>
      </c>
      <c r="AF1584" t="s">
        <v>6329</v>
      </c>
      <c r="AG1584">
        <v>1</v>
      </c>
      <c r="AH1584">
        <v>0</v>
      </c>
    </row>
    <row r="1585" spans="1:34">
      <c r="A1585">
        <v>2025</v>
      </c>
      <c r="B1585" s="1">
        <v>45992</v>
      </c>
      <c r="C1585" t="s">
        <v>2657</v>
      </c>
      <c r="D1585" t="s">
        <v>6332</v>
      </c>
      <c r="E1585" s="43">
        <v>45993.575772268516</v>
      </c>
      <c r="F1585" s="3">
        <v>45993</v>
      </c>
      <c r="G1585" s="43">
        <v>45995.805613888886</v>
      </c>
      <c r="H1585" t="s">
        <v>2686</v>
      </c>
      <c r="I1585" t="s">
        <v>2669</v>
      </c>
      <c r="J1585" t="s">
        <v>100</v>
      </c>
      <c r="L1585" t="s">
        <v>2347</v>
      </c>
      <c r="M1585">
        <v>601998582602</v>
      </c>
      <c r="N1585" t="s">
        <v>2675</v>
      </c>
      <c r="O1585" s="1">
        <v>45661</v>
      </c>
      <c r="T1585" t="s">
        <v>2662</v>
      </c>
      <c r="U1585" t="s">
        <v>6333</v>
      </c>
      <c r="V1585">
        <v>2</v>
      </c>
      <c r="W1585" t="s">
        <v>2671</v>
      </c>
      <c r="X1585">
        <v>1</v>
      </c>
      <c r="Y1585" t="s">
        <v>2672</v>
      </c>
      <c r="AA1585">
        <v>601998582602</v>
      </c>
      <c r="AB1585" t="s">
        <v>234</v>
      </c>
      <c r="AC1585">
        <v>0</v>
      </c>
      <c r="AD1585">
        <v>49</v>
      </c>
      <c r="AE1585">
        <v>60199858260249</v>
      </c>
      <c r="AF1585" t="s">
        <v>6334</v>
      </c>
      <c r="AG1585">
        <v>1</v>
      </c>
      <c r="AH1585">
        <v>1</v>
      </c>
    </row>
    <row r="1586" spans="1:34">
      <c r="A1586">
        <v>2025</v>
      </c>
      <c r="B1586" s="1">
        <v>45992</v>
      </c>
      <c r="C1586" t="s">
        <v>2657</v>
      </c>
      <c r="D1586" t="s">
        <v>6335</v>
      </c>
      <c r="E1586" s="43">
        <v>46007.586959537039</v>
      </c>
      <c r="F1586" s="3">
        <v>46007</v>
      </c>
      <c r="G1586" s="43">
        <v>46020.539920937503</v>
      </c>
      <c r="H1586" t="s">
        <v>2686</v>
      </c>
      <c r="I1586" t="s">
        <v>2719</v>
      </c>
      <c r="J1586" t="s">
        <v>100</v>
      </c>
      <c r="L1586" t="s">
        <v>2347</v>
      </c>
      <c r="M1586">
        <v>601998582602</v>
      </c>
      <c r="N1586" t="s">
        <v>2675</v>
      </c>
      <c r="O1586" s="1">
        <v>45661</v>
      </c>
      <c r="T1586" t="s">
        <v>2662</v>
      </c>
      <c r="U1586" t="s">
        <v>6336</v>
      </c>
      <c r="V1586">
        <v>9</v>
      </c>
      <c r="W1586" t="s">
        <v>2671</v>
      </c>
      <c r="X1586">
        <v>1</v>
      </c>
      <c r="Y1586" t="s">
        <v>2672</v>
      </c>
      <c r="AA1586">
        <v>601998582602</v>
      </c>
      <c r="AB1586" t="s">
        <v>234</v>
      </c>
      <c r="AC1586">
        <v>0</v>
      </c>
      <c r="AD1586">
        <v>51</v>
      </c>
      <c r="AE1586">
        <v>60199858260251</v>
      </c>
      <c r="AF1586" t="s">
        <v>6334</v>
      </c>
      <c r="AG1586">
        <v>1</v>
      </c>
      <c r="AH1586">
        <v>0</v>
      </c>
    </row>
    <row r="1587" spans="1:34">
      <c r="A1587">
        <v>2026</v>
      </c>
      <c r="B1587" s="1">
        <v>46082</v>
      </c>
      <c r="C1587" t="s">
        <v>2657</v>
      </c>
      <c r="D1587" t="s">
        <v>6337</v>
      </c>
      <c r="E1587" s="43">
        <v>46083.730765416665</v>
      </c>
      <c r="F1587" s="3">
        <v>46083</v>
      </c>
      <c r="G1587" s="43">
        <v>46087.613680324073</v>
      </c>
      <c r="H1587" t="s">
        <v>2668</v>
      </c>
      <c r="I1587" t="s">
        <v>2669</v>
      </c>
      <c r="J1587" t="s">
        <v>36</v>
      </c>
      <c r="L1587" t="s">
        <v>2361</v>
      </c>
      <c r="M1587">
        <v>794325328902</v>
      </c>
      <c r="N1587" t="s">
        <v>2746</v>
      </c>
      <c r="O1587" s="1">
        <v>45457</v>
      </c>
      <c r="T1587" t="s">
        <v>2662</v>
      </c>
      <c r="U1587" t="s">
        <v>6338</v>
      </c>
      <c r="V1587">
        <v>4</v>
      </c>
      <c r="X1587">
        <v>1</v>
      </c>
      <c r="Y1587" t="s">
        <v>2688</v>
      </c>
      <c r="AA1587">
        <v>97759973202</v>
      </c>
      <c r="AB1587" t="s">
        <v>2118</v>
      </c>
      <c r="AC1587">
        <v>0</v>
      </c>
      <c r="AD1587">
        <v>10</v>
      </c>
      <c r="AE1587">
        <v>9775997320210</v>
      </c>
      <c r="AF1587" t="s">
        <v>6339</v>
      </c>
      <c r="AG1587">
        <v>1</v>
      </c>
      <c r="AH1587">
        <v>1</v>
      </c>
    </row>
    <row r="1588" spans="1:34">
      <c r="A1588">
        <v>2026</v>
      </c>
      <c r="B1588" s="1">
        <v>46082</v>
      </c>
      <c r="C1588" t="s">
        <v>2657</v>
      </c>
      <c r="D1588" t="s">
        <v>6340</v>
      </c>
      <c r="E1588" s="43">
        <v>46091.565813692127</v>
      </c>
      <c r="F1588" s="3">
        <v>46091</v>
      </c>
      <c r="G1588" s="43">
        <v>46094.882788622686</v>
      </c>
      <c r="H1588" t="s">
        <v>2668</v>
      </c>
      <c r="I1588" t="s">
        <v>2681</v>
      </c>
      <c r="J1588" t="s">
        <v>36</v>
      </c>
      <c r="L1588" t="s">
        <v>2361</v>
      </c>
      <c r="M1588">
        <v>794325328902</v>
      </c>
      <c r="N1588" t="s">
        <v>2746</v>
      </c>
      <c r="O1588" s="1">
        <v>45457</v>
      </c>
      <c r="T1588" t="s">
        <v>2662</v>
      </c>
      <c r="U1588" t="s">
        <v>6341</v>
      </c>
      <c r="V1588">
        <v>3</v>
      </c>
      <c r="X1588">
        <v>1</v>
      </c>
      <c r="Y1588" t="s">
        <v>2717</v>
      </c>
      <c r="AA1588">
        <v>97759973202</v>
      </c>
      <c r="AB1588" t="s">
        <v>2118</v>
      </c>
      <c r="AC1588">
        <v>1</v>
      </c>
      <c r="AD1588">
        <v>11</v>
      </c>
      <c r="AE1588">
        <v>9775997320211</v>
      </c>
      <c r="AF1588" t="s">
        <v>6339</v>
      </c>
      <c r="AG1588">
        <v>1</v>
      </c>
      <c r="AH1588">
        <v>0</v>
      </c>
    </row>
    <row r="1589" spans="1:34">
      <c r="A1589">
        <v>2026</v>
      </c>
      <c r="B1589" s="1">
        <v>46082</v>
      </c>
      <c r="C1589" t="s">
        <v>2657</v>
      </c>
      <c r="D1589" t="s">
        <v>6342</v>
      </c>
      <c r="E1589" s="43">
        <v>46084.968740856479</v>
      </c>
      <c r="F1589" s="3">
        <v>46084</v>
      </c>
      <c r="G1589" s="43">
        <v>46094.805920393519</v>
      </c>
      <c r="H1589" t="s">
        <v>2668</v>
      </c>
      <c r="I1589" t="s">
        <v>2669</v>
      </c>
      <c r="J1589" t="s">
        <v>36</v>
      </c>
      <c r="L1589" t="s">
        <v>2361</v>
      </c>
      <c r="M1589">
        <v>13639293002</v>
      </c>
      <c r="N1589" t="s">
        <v>2702</v>
      </c>
      <c r="O1589" s="1">
        <v>46020</v>
      </c>
      <c r="T1589" t="s">
        <v>2662</v>
      </c>
      <c r="U1589" t="s">
        <v>6343</v>
      </c>
      <c r="V1589">
        <v>8</v>
      </c>
      <c r="W1589" t="s">
        <v>2671</v>
      </c>
      <c r="X1589">
        <v>1</v>
      </c>
      <c r="Y1589" t="s">
        <v>2683</v>
      </c>
      <c r="AA1589">
        <v>13639293002</v>
      </c>
      <c r="AB1589" t="s">
        <v>2553</v>
      </c>
      <c r="AC1589">
        <v>0</v>
      </c>
      <c r="AD1589">
        <v>10</v>
      </c>
      <c r="AE1589">
        <v>1363929300210</v>
      </c>
      <c r="AF1589" t="s">
        <v>6344</v>
      </c>
      <c r="AG1589">
        <v>0</v>
      </c>
      <c r="AH1589">
        <v>0</v>
      </c>
    </row>
    <row r="1590" spans="1:34">
      <c r="A1590">
        <v>2026</v>
      </c>
      <c r="B1590" s="1">
        <v>46082</v>
      </c>
      <c r="C1590" t="s">
        <v>2657</v>
      </c>
      <c r="D1590" t="s">
        <v>6345</v>
      </c>
      <c r="E1590" s="43">
        <v>46083.695116944444</v>
      </c>
      <c r="F1590" s="3">
        <v>46083</v>
      </c>
      <c r="G1590" s="43">
        <v>46083.695116944444</v>
      </c>
      <c r="H1590" t="s">
        <v>2668</v>
      </c>
      <c r="I1590" t="s">
        <v>2669</v>
      </c>
      <c r="J1590" t="s">
        <v>36</v>
      </c>
      <c r="L1590" t="s">
        <v>2361</v>
      </c>
      <c r="M1590">
        <v>13639293002</v>
      </c>
      <c r="N1590" t="s">
        <v>2702</v>
      </c>
      <c r="O1590" s="1">
        <v>46020</v>
      </c>
      <c r="T1590" t="s">
        <v>2798</v>
      </c>
      <c r="U1590" t="s">
        <v>6346</v>
      </c>
      <c r="V1590">
        <v>9</v>
      </c>
      <c r="X1590">
        <v>0</v>
      </c>
      <c r="Y1590" t="s">
        <v>2807</v>
      </c>
      <c r="AA1590">
        <v>13639293002</v>
      </c>
      <c r="AB1590" t="s">
        <v>2553</v>
      </c>
      <c r="AC1590">
        <v>0</v>
      </c>
      <c r="AD1590">
        <v>10</v>
      </c>
      <c r="AE1590">
        <v>1363929300210</v>
      </c>
      <c r="AF1590" t="s">
        <v>6344</v>
      </c>
      <c r="AG1590">
        <v>1</v>
      </c>
      <c r="AH1590">
        <v>1</v>
      </c>
    </row>
    <row r="1591" spans="1:34">
      <c r="A1591">
        <v>2026</v>
      </c>
      <c r="B1591" s="1">
        <v>46082</v>
      </c>
      <c r="C1591" t="s">
        <v>2657</v>
      </c>
      <c r="D1591" s="44" t="s">
        <v>6347</v>
      </c>
      <c r="E1591" s="43">
        <v>46091.655160798611</v>
      </c>
      <c r="F1591" s="3">
        <v>46091</v>
      </c>
      <c r="G1591" s="43">
        <v>46092.822022152781</v>
      </c>
      <c r="H1591" t="s">
        <v>2668</v>
      </c>
      <c r="I1591" t="s">
        <v>2681</v>
      </c>
      <c r="J1591" t="s">
        <v>36</v>
      </c>
      <c r="L1591" t="s">
        <v>2361</v>
      </c>
      <c r="M1591">
        <v>13639293002</v>
      </c>
      <c r="N1591" t="s">
        <v>2702</v>
      </c>
      <c r="O1591" s="1">
        <v>46020</v>
      </c>
      <c r="T1591" t="s">
        <v>2662</v>
      </c>
      <c r="U1591" t="s">
        <v>6348</v>
      </c>
      <c r="V1591">
        <v>1</v>
      </c>
      <c r="X1591">
        <v>1</v>
      </c>
      <c r="Y1591" t="s">
        <v>2688</v>
      </c>
      <c r="AA1591">
        <v>13639293002</v>
      </c>
      <c r="AB1591" t="s">
        <v>2553</v>
      </c>
      <c r="AC1591">
        <v>1</v>
      </c>
      <c r="AD1591">
        <v>11</v>
      </c>
      <c r="AE1591">
        <v>1363929300211</v>
      </c>
      <c r="AF1591" t="s">
        <v>6344</v>
      </c>
      <c r="AG1591">
        <v>1</v>
      </c>
      <c r="AH1591">
        <v>0</v>
      </c>
    </row>
    <row r="1592" spans="1:34">
      <c r="A1592">
        <v>2026</v>
      </c>
      <c r="B1592" s="1">
        <v>46082</v>
      </c>
      <c r="C1592" t="s">
        <v>2657</v>
      </c>
      <c r="D1592" t="s">
        <v>6349</v>
      </c>
      <c r="E1592" s="43">
        <v>46083.818471944447</v>
      </c>
      <c r="F1592" s="3">
        <v>46083</v>
      </c>
      <c r="G1592" s="43">
        <v>46083.818471944447</v>
      </c>
      <c r="H1592" t="s">
        <v>2668</v>
      </c>
      <c r="I1592" t="s">
        <v>2669</v>
      </c>
      <c r="J1592" t="s">
        <v>37</v>
      </c>
      <c r="L1592" t="s">
        <v>2351</v>
      </c>
      <c r="M1592">
        <v>327981185502</v>
      </c>
      <c r="N1592" t="s">
        <v>2661</v>
      </c>
      <c r="O1592" s="1">
        <v>44894</v>
      </c>
      <c r="T1592" t="s">
        <v>2662</v>
      </c>
      <c r="U1592" t="s">
        <v>6350</v>
      </c>
      <c r="V1592">
        <v>0</v>
      </c>
      <c r="W1592" t="s">
        <v>2677</v>
      </c>
      <c r="X1592">
        <v>1</v>
      </c>
      <c r="Y1592" t="s">
        <v>2695</v>
      </c>
      <c r="AA1592">
        <v>108483856702</v>
      </c>
      <c r="AB1592" t="s">
        <v>1316</v>
      </c>
      <c r="AC1592">
        <v>0</v>
      </c>
      <c r="AD1592">
        <v>10</v>
      </c>
      <c r="AE1592">
        <v>10848385670210</v>
      </c>
      <c r="AF1592" t="s">
        <v>6351</v>
      </c>
      <c r="AG1592">
        <v>1</v>
      </c>
      <c r="AH1592">
        <v>1</v>
      </c>
    </row>
    <row r="1593" spans="1:34">
      <c r="A1593">
        <v>2026</v>
      </c>
      <c r="B1593" s="1">
        <v>46082</v>
      </c>
      <c r="C1593" t="s">
        <v>2657</v>
      </c>
      <c r="D1593" t="s">
        <v>6352</v>
      </c>
      <c r="E1593" s="43">
        <v>46090.863282858794</v>
      </c>
      <c r="F1593" s="3">
        <v>46090</v>
      </c>
      <c r="G1593" s="43">
        <v>46090.863282858794</v>
      </c>
      <c r="H1593" t="s">
        <v>2668</v>
      </c>
      <c r="I1593" t="s">
        <v>2681</v>
      </c>
      <c r="J1593" t="s">
        <v>37</v>
      </c>
      <c r="L1593" t="s">
        <v>2351</v>
      </c>
      <c r="M1593">
        <v>836748983002</v>
      </c>
      <c r="N1593" t="s">
        <v>2661</v>
      </c>
      <c r="O1593" s="1">
        <v>45457</v>
      </c>
      <c r="T1593" t="s">
        <v>2798</v>
      </c>
      <c r="U1593" t="s">
        <v>6353</v>
      </c>
      <c r="V1593">
        <v>4</v>
      </c>
      <c r="W1593" t="s">
        <v>2677</v>
      </c>
      <c r="X1593">
        <v>0</v>
      </c>
      <c r="Y1593" t="s">
        <v>2760</v>
      </c>
      <c r="AA1593">
        <v>108483856702</v>
      </c>
      <c r="AB1593" t="s">
        <v>1316</v>
      </c>
      <c r="AC1593">
        <v>0</v>
      </c>
      <c r="AD1593">
        <v>11</v>
      </c>
      <c r="AE1593">
        <v>10848385670211</v>
      </c>
      <c r="AF1593" t="s">
        <v>6351</v>
      </c>
      <c r="AG1593">
        <v>1</v>
      </c>
      <c r="AH1593">
        <v>0</v>
      </c>
    </row>
    <row r="1594" spans="1:34">
      <c r="A1594">
        <v>2026</v>
      </c>
      <c r="B1594" s="1">
        <v>46082</v>
      </c>
      <c r="C1594" t="s">
        <v>2657</v>
      </c>
      <c r="D1594" t="s">
        <v>6354</v>
      </c>
      <c r="E1594" s="43">
        <v>46092.801401203702</v>
      </c>
      <c r="F1594" s="3">
        <v>46092</v>
      </c>
      <c r="G1594" s="43">
        <v>46092.801401203702</v>
      </c>
      <c r="H1594" t="s">
        <v>2668</v>
      </c>
      <c r="I1594" t="s">
        <v>2681</v>
      </c>
      <c r="J1594" t="s">
        <v>37</v>
      </c>
      <c r="L1594" t="s">
        <v>2351</v>
      </c>
      <c r="M1594">
        <v>327981185502</v>
      </c>
      <c r="N1594" t="s">
        <v>2661</v>
      </c>
      <c r="O1594" s="1">
        <v>44894</v>
      </c>
      <c r="T1594" t="s">
        <v>2798</v>
      </c>
      <c r="U1594" t="s">
        <v>6355</v>
      </c>
      <c r="V1594">
        <v>2</v>
      </c>
      <c r="W1594" t="s">
        <v>2677</v>
      </c>
      <c r="X1594">
        <v>0</v>
      </c>
      <c r="Y1594" t="s">
        <v>2727</v>
      </c>
      <c r="AA1594">
        <v>108483856702</v>
      </c>
      <c r="AB1594" t="s">
        <v>1316</v>
      </c>
      <c r="AC1594">
        <v>1</v>
      </c>
      <c r="AD1594">
        <v>11</v>
      </c>
      <c r="AE1594">
        <v>10848385670211</v>
      </c>
      <c r="AF1594" t="s">
        <v>6351</v>
      </c>
      <c r="AG1594">
        <v>0</v>
      </c>
      <c r="AH1594">
        <v>0</v>
      </c>
    </row>
    <row r="1595" spans="1:34">
      <c r="A1595">
        <v>2026</v>
      </c>
      <c r="B1595" s="1">
        <v>46054</v>
      </c>
      <c r="C1595" t="s">
        <v>2657</v>
      </c>
      <c r="D1595" t="s">
        <v>6356</v>
      </c>
      <c r="E1595" s="43">
        <v>46057.679535312498</v>
      </c>
      <c r="F1595" s="3">
        <v>46057</v>
      </c>
      <c r="G1595" s="43">
        <v>46058.672305266206</v>
      </c>
      <c r="H1595" t="s">
        <v>2725</v>
      </c>
      <c r="I1595" t="s">
        <v>2669</v>
      </c>
      <c r="J1595" t="s">
        <v>39</v>
      </c>
      <c r="L1595" t="s">
        <v>2355</v>
      </c>
      <c r="M1595">
        <v>6127997902</v>
      </c>
      <c r="N1595" t="s">
        <v>2702</v>
      </c>
      <c r="O1595" s="1">
        <v>44952</v>
      </c>
      <c r="T1595" t="s">
        <v>2662</v>
      </c>
      <c r="U1595" t="s">
        <v>6357</v>
      </c>
      <c r="V1595">
        <v>1</v>
      </c>
      <c r="W1595" t="s">
        <v>2677</v>
      </c>
      <c r="X1595">
        <v>1</v>
      </c>
      <c r="Y1595" t="s">
        <v>2807</v>
      </c>
      <c r="AA1595">
        <v>366327938802</v>
      </c>
      <c r="AB1595" t="s">
        <v>1985</v>
      </c>
      <c r="AC1595">
        <v>0</v>
      </c>
      <c r="AD1595">
        <v>6</v>
      </c>
      <c r="AE1595">
        <v>3663279388026</v>
      </c>
      <c r="AF1595" t="s">
        <v>6358</v>
      </c>
      <c r="AG1595">
        <v>1</v>
      </c>
      <c r="AH1595">
        <v>1</v>
      </c>
    </row>
    <row r="1596" spans="1:34">
      <c r="A1596">
        <v>2025</v>
      </c>
      <c r="B1596" s="1">
        <v>45962</v>
      </c>
      <c r="C1596" t="s">
        <v>2657</v>
      </c>
      <c r="D1596" t="s">
        <v>6359</v>
      </c>
      <c r="E1596" s="43">
        <v>45964.77974859954</v>
      </c>
      <c r="F1596" s="3">
        <v>45964</v>
      </c>
      <c r="G1596" s="43">
        <v>45964.77974859954</v>
      </c>
      <c r="H1596" t="s">
        <v>2802</v>
      </c>
      <c r="I1596" t="s">
        <v>2669</v>
      </c>
      <c r="J1596" t="s">
        <v>100</v>
      </c>
      <c r="L1596" t="s">
        <v>2353</v>
      </c>
      <c r="M1596">
        <v>1095970973902</v>
      </c>
      <c r="N1596" t="s">
        <v>2661</v>
      </c>
      <c r="O1596" s="1">
        <v>45817</v>
      </c>
      <c r="T1596" t="s">
        <v>2662</v>
      </c>
      <c r="U1596" t="s">
        <v>3252</v>
      </c>
      <c r="V1596">
        <v>0</v>
      </c>
      <c r="W1596" t="s">
        <v>2743</v>
      </c>
      <c r="X1596">
        <v>1</v>
      </c>
      <c r="Y1596" t="s">
        <v>2807</v>
      </c>
      <c r="AA1596">
        <v>355214089002</v>
      </c>
      <c r="AB1596" t="s">
        <v>101</v>
      </c>
      <c r="AC1596">
        <v>0</v>
      </c>
      <c r="AD1596">
        <v>45</v>
      </c>
      <c r="AE1596">
        <v>35521408900245</v>
      </c>
      <c r="AF1596" t="s">
        <v>6360</v>
      </c>
      <c r="AG1596">
        <v>1</v>
      </c>
      <c r="AH1596">
        <v>1</v>
      </c>
    </row>
    <row r="1597" spans="1:34">
      <c r="A1597">
        <v>2025</v>
      </c>
      <c r="B1597" s="1">
        <v>45962</v>
      </c>
      <c r="C1597" t="s">
        <v>2657</v>
      </c>
      <c r="D1597" t="s">
        <v>6361</v>
      </c>
      <c r="E1597" s="43">
        <v>45982.717740219909</v>
      </c>
      <c r="F1597" s="3">
        <v>45982</v>
      </c>
      <c r="G1597" s="43">
        <v>45986.805533865743</v>
      </c>
      <c r="H1597" t="s">
        <v>2802</v>
      </c>
      <c r="I1597" t="s">
        <v>2719</v>
      </c>
      <c r="J1597" t="s">
        <v>100</v>
      </c>
      <c r="L1597" t="s">
        <v>2353</v>
      </c>
      <c r="M1597">
        <v>355214089002</v>
      </c>
      <c r="N1597" t="s">
        <v>2675</v>
      </c>
      <c r="O1597" s="1">
        <v>45661</v>
      </c>
      <c r="T1597" t="s">
        <v>2662</v>
      </c>
      <c r="U1597" t="s">
        <v>6362</v>
      </c>
      <c r="V1597">
        <v>2</v>
      </c>
      <c r="X1597">
        <v>1</v>
      </c>
      <c r="Y1597" t="s">
        <v>3237</v>
      </c>
      <c r="Z1597" t="s">
        <v>2684</v>
      </c>
      <c r="AA1597">
        <v>355214089002</v>
      </c>
      <c r="AB1597" t="s">
        <v>101</v>
      </c>
      <c r="AC1597">
        <v>0</v>
      </c>
      <c r="AD1597">
        <v>47</v>
      </c>
      <c r="AE1597">
        <v>35521408900247</v>
      </c>
      <c r="AF1597" t="s">
        <v>6360</v>
      </c>
      <c r="AG1597">
        <v>1</v>
      </c>
      <c r="AH1597">
        <v>0</v>
      </c>
    </row>
    <row r="1598" spans="1:34">
      <c r="A1598">
        <v>2025</v>
      </c>
      <c r="B1598" s="1">
        <v>45962</v>
      </c>
      <c r="C1598" t="s">
        <v>2657</v>
      </c>
      <c r="D1598" t="s">
        <v>6363</v>
      </c>
      <c r="E1598" s="43">
        <v>45988.830522743054</v>
      </c>
      <c r="F1598" s="3">
        <v>45988</v>
      </c>
      <c r="G1598" s="43">
        <v>45988.830522743054</v>
      </c>
      <c r="H1598" t="s">
        <v>2802</v>
      </c>
      <c r="I1598" t="s">
        <v>2660</v>
      </c>
      <c r="J1598" t="s">
        <v>100</v>
      </c>
      <c r="L1598" t="s">
        <v>2353</v>
      </c>
      <c r="M1598">
        <v>1095970973902</v>
      </c>
      <c r="N1598" t="s">
        <v>2661</v>
      </c>
      <c r="O1598" s="1">
        <v>45817</v>
      </c>
      <c r="T1598" t="s">
        <v>2662</v>
      </c>
      <c r="U1598" t="s">
        <v>6364</v>
      </c>
      <c r="V1598">
        <v>0</v>
      </c>
      <c r="W1598" t="s">
        <v>2671</v>
      </c>
      <c r="X1598">
        <v>1</v>
      </c>
      <c r="Y1598" t="s">
        <v>2695</v>
      </c>
      <c r="AA1598">
        <v>355214089002</v>
      </c>
      <c r="AB1598" t="s">
        <v>101</v>
      </c>
      <c r="AC1598">
        <v>0</v>
      </c>
      <c r="AD1598">
        <v>48</v>
      </c>
      <c r="AE1598">
        <v>35521408900248</v>
      </c>
      <c r="AF1598" t="s">
        <v>6360</v>
      </c>
      <c r="AG1598">
        <v>1</v>
      </c>
      <c r="AH1598">
        <v>0</v>
      </c>
    </row>
    <row r="1599" spans="1:34">
      <c r="A1599">
        <v>2025</v>
      </c>
      <c r="B1599" s="1">
        <v>45992</v>
      </c>
      <c r="C1599" t="s">
        <v>2657</v>
      </c>
      <c r="D1599" t="s">
        <v>6365</v>
      </c>
      <c r="E1599" s="43">
        <v>45999.618713090276</v>
      </c>
      <c r="F1599" s="3">
        <v>45999</v>
      </c>
      <c r="G1599" s="43">
        <v>46020.827446226853</v>
      </c>
      <c r="H1599" t="s">
        <v>2686</v>
      </c>
      <c r="I1599" t="s">
        <v>2681</v>
      </c>
      <c r="J1599" t="s">
        <v>100</v>
      </c>
      <c r="L1599" t="s">
        <v>2363</v>
      </c>
      <c r="M1599">
        <v>1143706769002</v>
      </c>
      <c r="N1599" t="s">
        <v>2702</v>
      </c>
      <c r="O1599" s="1">
        <v>45987</v>
      </c>
      <c r="T1599" t="s">
        <v>2662</v>
      </c>
      <c r="U1599" t="s">
        <v>6366</v>
      </c>
      <c r="V1599">
        <v>15</v>
      </c>
      <c r="X1599">
        <v>1</v>
      </c>
      <c r="Y1599" t="s">
        <v>2688</v>
      </c>
      <c r="Z1599" t="s">
        <v>2684</v>
      </c>
      <c r="AA1599">
        <v>24371682602</v>
      </c>
      <c r="AB1599" t="s">
        <v>1509</v>
      </c>
      <c r="AC1599">
        <v>0</v>
      </c>
      <c r="AD1599">
        <v>50</v>
      </c>
      <c r="AE1599">
        <v>2437168260250</v>
      </c>
      <c r="AF1599" t="s">
        <v>6367</v>
      </c>
      <c r="AG1599">
        <v>1</v>
      </c>
      <c r="AH1599">
        <v>1</v>
      </c>
    </row>
    <row r="1600" spans="1:34">
      <c r="A1600">
        <v>2025</v>
      </c>
      <c r="B1600" s="1">
        <v>45992</v>
      </c>
      <c r="C1600" t="s">
        <v>2657</v>
      </c>
      <c r="D1600" t="s">
        <v>6368</v>
      </c>
      <c r="E1600" s="43">
        <v>46003.618094791665</v>
      </c>
      <c r="F1600" s="3">
        <v>46003</v>
      </c>
      <c r="G1600" s="43">
        <v>46028.845705486114</v>
      </c>
      <c r="H1600" t="s">
        <v>2686</v>
      </c>
      <c r="I1600" t="s">
        <v>2681</v>
      </c>
      <c r="J1600" t="s">
        <v>100</v>
      </c>
      <c r="L1600" t="s">
        <v>2363</v>
      </c>
      <c r="M1600">
        <v>1143706769002</v>
      </c>
      <c r="N1600" t="s">
        <v>2702</v>
      </c>
      <c r="O1600" s="1">
        <v>45987</v>
      </c>
      <c r="T1600" t="s">
        <v>2662</v>
      </c>
      <c r="U1600" t="s">
        <v>6369</v>
      </c>
      <c r="V1600">
        <v>17</v>
      </c>
      <c r="X1600">
        <v>1</v>
      </c>
      <c r="Y1600" t="s">
        <v>2717</v>
      </c>
      <c r="Z1600" t="s">
        <v>2684</v>
      </c>
      <c r="AA1600">
        <v>24371682602</v>
      </c>
      <c r="AB1600" t="s">
        <v>1509</v>
      </c>
      <c r="AC1600">
        <v>0</v>
      </c>
      <c r="AD1600">
        <v>50</v>
      </c>
      <c r="AE1600">
        <v>2437168260250</v>
      </c>
      <c r="AF1600" t="s">
        <v>6367</v>
      </c>
      <c r="AG1600">
        <v>0</v>
      </c>
      <c r="AH1600">
        <v>0</v>
      </c>
    </row>
    <row r="1601" spans="1:34">
      <c r="A1601">
        <v>2026</v>
      </c>
      <c r="B1601" s="1">
        <v>46023</v>
      </c>
      <c r="C1601" t="s">
        <v>2657</v>
      </c>
      <c r="D1601" t="s">
        <v>6370</v>
      </c>
      <c r="E1601" s="43">
        <v>46048.585223703703</v>
      </c>
      <c r="F1601" s="3">
        <v>46048</v>
      </c>
      <c r="G1601" s="43">
        <v>46050.558535543983</v>
      </c>
      <c r="H1601" t="s">
        <v>2701</v>
      </c>
      <c r="I1601" t="s">
        <v>2660</v>
      </c>
      <c r="J1601" t="s">
        <v>36</v>
      </c>
      <c r="L1601" t="s">
        <v>2355</v>
      </c>
      <c r="M1601">
        <v>94015899402</v>
      </c>
      <c r="N1601" t="s">
        <v>2702</v>
      </c>
      <c r="O1601" s="1">
        <v>45362</v>
      </c>
      <c r="T1601" t="s">
        <v>2662</v>
      </c>
      <c r="U1601" t="s">
        <v>6371</v>
      </c>
      <c r="V1601">
        <v>2</v>
      </c>
      <c r="X1601">
        <v>1</v>
      </c>
      <c r="Y1601" t="s">
        <v>2699</v>
      </c>
      <c r="AA1601">
        <v>94015899402</v>
      </c>
      <c r="AB1601" t="s">
        <v>2469</v>
      </c>
      <c r="AC1601">
        <v>0</v>
      </c>
      <c r="AD1601">
        <v>5</v>
      </c>
      <c r="AE1601">
        <v>940158994025</v>
      </c>
      <c r="AF1601" t="s">
        <v>6372</v>
      </c>
      <c r="AG1601">
        <v>0</v>
      </c>
      <c r="AH1601">
        <v>0</v>
      </c>
    </row>
    <row r="1602" spans="1:34">
      <c r="A1602">
        <v>2026</v>
      </c>
      <c r="B1602" s="1">
        <v>46023</v>
      </c>
      <c r="C1602" t="s">
        <v>2657</v>
      </c>
      <c r="D1602" t="s">
        <v>6373</v>
      </c>
      <c r="E1602" s="43">
        <v>46048.522093796295</v>
      </c>
      <c r="F1602" s="3">
        <v>46048</v>
      </c>
      <c r="G1602" s="43">
        <v>46094.732872280096</v>
      </c>
      <c r="H1602" t="s">
        <v>2701</v>
      </c>
      <c r="I1602" t="s">
        <v>2660</v>
      </c>
      <c r="J1602" t="s">
        <v>36</v>
      </c>
      <c r="L1602" t="s">
        <v>2355</v>
      </c>
      <c r="M1602">
        <v>94015899402</v>
      </c>
      <c r="N1602" t="s">
        <v>2702</v>
      </c>
      <c r="O1602" s="1">
        <v>45362</v>
      </c>
      <c r="T1602" t="s">
        <v>2798</v>
      </c>
      <c r="U1602" t="s">
        <v>6374</v>
      </c>
      <c r="V1602">
        <v>34</v>
      </c>
      <c r="X1602">
        <v>0</v>
      </c>
      <c r="Y1602" t="s">
        <v>2721</v>
      </c>
      <c r="Z1602" t="s">
        <v>2834</v>
      </c>
      <c r="AA1602">
        <v>94015899402</v>
      </c>
      <c r="AB1602" t="s">
        <v>2469</v>
      </c>
      <c r="AC1602">
        <v>0</v>
      </c>
      <c r="AD1602">
        <v>5</v>
      </c>
      <c r="AE1602">
        <v>940158994025</v>
      </c>
      <c r="AF1602" t="s">
        <v>6372</v>
      </c>
      <c r="AG1602">
        <v>1</v>
      </c>
      <c r="AH1602">
        <v>1</v>
      </c>
    </row>
    <row r="1603" spans="1:34">
      <c r="A1603">
        <v>2025</v>
      </c>
      <c r="B1603" s="1">
        <v>45901</v>
      </c>
      <c r="C1603" t="s">
        <v>2657</v>
      </c>
      <c r="D1603" t="s">
        <v>6375</v>
      </c>
      <c r="E1603" s="43">
        <v>45903.827610115739</v>
      </c>
      <c r="F1603" s="3">
        <v>45903</v>
      </c>
      <c r="G1603" s="43">
        <v>45903.827610115739</v>
      </c>
      <c r="H1603" t="s">
        <v>2734</v>
      </c>
      <c r="I1603" t="s">
        <v>2669</v>
      </c>
      <c r="J1603" t="s">
        <v>2735</v>
      </c>
      <c r="L1603" t="s">
        <v>2421</v>
      </c>
      <c r="M1603">
        <v>55427353102</v>
      </c>
      <c r="N1603" t="s">
        <v>2661</v>
      </c>
      <c r="O1603" s="1">
        <v>45294</v>
      </c>
      <c r="T1603" t="s">
        <v>2662</v>
      </c>
      <c r="U1603" t="s">
        <v>6376</v>
      </c>
      <c r="V1603">
        <v>0</v>
      </c>
      <c r="W1603" t="s">
        <v>2671</v>
      </c>
      <c r="X1603">
        <v>1</v>
      </c>
      <c r="Y1603" t="s">
        <v>2692</v>
      </c>
      <c r="AA1603">
        <v>55427353102</v>
      </c>
      <c r="AB1603" t="s">
        <v>1972</v>
      </c>
      <c r="AC1603">
        <v>0</v>
      </c>
      <c r="AD1603">
        <v>36</v>
      </c>
      <c r="AE1603">
        <v>5542735310236</v>
      </c>
      <c r="AF1603" t="s">
        <v>6377</v>
      </c>
      <c r="AG1603">
        <v>1</v>
      </c>
      <c r="AH1603">
        <v>1</v>
      </c>
    </row>
    <row r="1604" spans="1:34">
      <c r="A1604">
        <v>2025</v>
      </c>
      <c r="B1604" s="1">
        <v>45901</v>
      </c>
      <c r="C1604" t="s">
        <v>2657</v>
      </c>
      <c r="D1604" t="s">
        <v>6378</v>
      </c>
      <c r="E1604" s="43">
        <v>45910.621530092591</v>
      </c>
      <c r="F1604" s="3">
        <v>45910</v>
      </c>
      <c r="G1604" s="43">
        <v>45925.535461435182</v>
      </c>
      <c r="H1604" t="s">
        <v>2734</v>
      </c>
      <c r="I1604" t="s">
        <v>2681</v>
      </c>
      <c r="J1604" t="s">
        <v>2735</v>
      </c>
      <c r="L1604" t="s">
        <v>2421</v>
      </c>
      <c r="M1604">
        <v>55427353102</v>
      </c>
      <c r="N1604" t="s">
        <v>2661</v>
      </c>
      <c r="O1604" s="1">
        <v>45294</v>
      </c>
      <c r="T1604" t="s">
        <v>2662</v>
      </c>
      <c r="U1604" t="s">
        <v>6379</v>
      </c>
      <c r="V1604">
        <v>11</v>
      </c>
      <c r="W1604" t="s">
        <v>2671</v>
      </c>
      <c r="X1604">
        <v>1</v>
      </c>
      <c r="Y1604" t="s">
        <v>2764</v>
      </c>
      <c r="Z1604" t="s">
        <v>2684</v>
      </c>
      <c r="AA1604">
        <v>55427353102</v>
      </c>
      <c r="AB1604" t="s">
        <v>1972</v>
      </c>
      <c r="AC1604">
        <v>0</v>
      </c>
      <c r="AD1604">
        <v>37</v>
      </c>
      <c r="AE1604">
        <v>5542735310237</v>
      </c>
      <c r="AF1604" t="s">
        <v>6377</v>
      </c>
      <c r="AG1604">
        <v>0</v>
      </c>
      <c r="AH1604">
        <v>0</v>
      </c>
    </row>
    <row r="1605" spans="1:34">
      <c r="A1605">
        <v>2025</v>
      </c>
      <c r="B1605" s="1">
        <v>45901</v>
      </c>
      <c r="C1605" t="s">
        <v>2657</v>
      </c>
      <c r="D1605" t="s">
        <v>6380</v>
      </c>
      <c r="E1605" s="43">
        <v>45908.66091875</v>
      </c>
      <c r="F1605" s="3">
        <v>45908</v>
      </c>
      <c r="G1605" s="43">
        <v>45931.59155665509</v>
      </c>
      <c r="H1605" t="s">
        <v>2734</v>
      </c>
      <c r="I1605" t="s">
        <v>2681</v>
      </c>
      <c r="J1605" t="s">
        <v>2735</v>
      </c>
      <c r="L1605" t="s">
        <v>2421</v>
      </c>
      <c r="M1605">
        <v>55427353102</v>
      </c>
      <c r="N1605" t="s">
        <v>2661</v>
      </c>
      <c r="O1605" s="1">
        <v>45294</v>
      </c>
      <c r="T1605" t="s">
        <v>2662</v>
      </c>
      <c r="U1605" t="s">
        <v>6381</v>
      </c>
      <c r="V1605">
        <v>17</v>
      </c>
      <c r="W1605" t="s">
        <v>2671</v>
      </c>
      <c r="X1605">
        <v>1</v>
      </c>
      <c r="Y1605" t="s">
        <v>2764</v>
      </c>
      <c r="Z1605" t="s">
        <v>2684</v>
      </c>
      <c r="AA1605">
        <v>55427353102</v>
      </c>
      <c r="AB1605" t="s">
        <v>1972</v>
      </c>
      <c r="AC1605">
        <v>0</v>
      </c>
      <c r="AD1605">
        <v>37</v>
      </c>
      <c r="AE1605">
        <v>5542735310237</v>
      </c>
      <c r="AF1605" t="s">
        <v>6377</v>
      </c>
      <c r="AG1605">
        <v>1</v>
      </c>
      <c r="AH1605">
        <v>0</v>
      </c>
    </row>
    <row r="1606" spans="1:34">
      <c r="A1606">
        <v>2025</v>
      </c>
      <c r="B1606" s="1">
        <v>45901</v>
      </c>
      <c r="C1606" t="s">
        <v>2657</v>
      </c>
      <c r="D1606" t="s">
        <v>6382</v>
      </c>
      <c r="E1606" s="43">
        <v>45915.814535405094</v>
      </c>
      <c r="F1606" s="3">
        <v>45915</v>
      </c>
      <c r="G1606" s="43">
        <v>45918.760310081016</v>
      </c>
      <c r="H1606" t="s">
        <v>2734</v>
      </c>
      <c r="I1606" t="s">
        <v>2719</v>
      </c>
      <c r="J1606" t="s">
        <v>2735</v>
      </c>
      <c r="L1606" t="s">
        <v>2421</v>
      </c>
      <c r="M1606">
        <v>55427353102</v>
      </c>
      <c r="N1606" t="s">
        <v>2661</v>
      </c>
      <c r="O1606" s="1">
        <v>45294</v>
      </c>
      <c r="T1606" t="s">
        <v>2662</v>
      </c>
      <c r="U1606" t="s">
        <v>6383</v>
      </c>
      <c r="V1606">
        <v>3</v>
      </c>
      <c r="W1606" t="s">
        <v>2671</v>
      </c>
      <c r="X1606">
        <v>1</v>
      </c>
      <c r="Y1606" t="s">
        <v>2764</v>
      </c>
      <c r="AA1606">
        <v>55427353102</v>
      </c>
      <c r="AB1606" t="s">
        <v>1972</v>
      </c>
      <c r="AC1606">
        <v>0</v>
      </c>
      <c r="AD1606">
        <v>38</v>
      </c>
      <c r="AE1606">
        <v>5542735310238</v>
      </c>
      <c r="AF1606" t="s">
        <v>6377</v>
      </c>
      <c r="AG1606">
        <v>1</v>
      </c>
      <c r="AH1606">
        <v>0</v>
      </c>
    </row>
    <row r="1607" spans="1:34">
      <c r="A1607">
        <v>2025</v>
      </c>
      <c r="B1607" s="1">
        <v>45962</v>
      </c>
      <c r="C1607" t="s">
        <v>2657</v>
      </c>
      <c r="D1607" t="s">
        <v>6384</v>
      </c>
      <c r="E1607" s="43">
        <v>45974.633031377314</v>
      </c>
      <c r="F1607" s="3">
        <v>45974</v>
      </c>
      <c r="G1607" s="43">
        <v>45980.611519988423</v>
      </c>
      <c r="H1607" t="s">
        <v>2802</v>
      </c>
      <c r="I1607" t="s">
        <v>2681</v>
      </c>
      <c r="J1607" t="s">
        <v>100</v>
      </c>
      <c r="L1607" t="s">
        <v>2347</v>
      </c>
      <c r="M1607">
        <v>601998582602</v>
      </c>
      <c r="N1607" t="s">
        <v>2675</v>
      </c>
      <c r="O1607" s="1">
        <v>45661</v>
      </c>
      <c r="T1607" t="s">
        <v>2662</v>
      </c>
      <c r="U1607" t="s">
        <v>6333</v>
      </c>
      <c r="V1607">
        <v>4</v>
      </c>
      <c r="W1607" t="s">
        <v>2671</v>
      </c>
      <c r="X1607">
        <v>1</v>
      </c>
      <c r="Y1607" t="s">
        <v>2760</v>
      </c>
      <c r="AA1607">
        <v>601998582602</v>
      </c>
      <c r="AB1607" t="s">
        <v>234</v>
      </c>
      <c r="AC1607">
        <v>0</v>
      </c>
      <c r="AD1607">
        <v>46</v>
      </c>
      <c r="AE1607">
        <v>60199858260246</v>
      </c>
      <c r="AF1607" t="s">
        <v>6385</v>
      </c>
      <c r="AG1607">
        <v>1</v>
      </c>
      <c r="AH1607">
        <v>1</v>
      </c>
    </row>
    <row r="1608" spans="1:34">
      <c r="A1608">
        <v>2025</v>
      </c>
      <c r="B1608" s="1">
        <v>45962</v>
      </c>
      <c r="C1608" t="s">
        <v>2657</v>
      </c>
      <c r="D1608" t="s">
        <v>6386</v>
      </c>
      <c r="E1608" s="43">
        <v>45988.833691180553</v>
      </c>
      <c r="F1608" s="3">
        <v>45988</v>
      </c>
      <c r="G1608" s="43">
        <v>45989.729431932872</v>
      </c>
      <c r="H1608" t="s">
        <v>2802</v>
      </c>
      <c r="I1608" t="s">
        <v>2660</v>
      </c>
      <c r="J1608" t="s">
        <v>100</v>
      </c>
      <c r="L1608" t="s">
        <v>2347</v>
      </c>
      <c r="M1608">
        <v>601998582602</v>
      </c>
      <c r="N1608" t="s">
        <v>2675</v>
      </c>
      <c r="O1608" s="1">
        <v>45661</v>
      </c>
      <c r="T1608" t="s">
        <v>2662</v>
      </c>
      <c r="U1608" t="s">
        <v>6387</v>
      </c>
      <c r="V1608">
        <v>1</v>
      </c>
      <c r="X1608">
        <v>1</v>
      </c>
      <c r="Y1608" t="s">
        <v>2717</v>
      </c>
      <c r="AA1608">
        <v>601998582602</v>
      </c>
      <c r="AB1608" t="s">
        <v>234</v>
      </c>
      <c r="AC1608">
        <v>0</v>
      </c>
      <c r="AD1608">
        <v>48</v>
      </c>
      <c r="AE1608">
        <v>60199858260248</v>
      </c>
      <c r="AF1608" t="s">
        <v>6385</v>
      </c>
      <c r="AG1608">
        <v>0</v>
      </c>
      <c r="AH1608">
        <v>0</v>
      </c>
    </row>
    <row r="1609" spans="1:34">
      <c r="A1609">
        <v>2025</v>
      </c>
      <c r="B1609" s="1">
        <v>45962</v>
      </c>
      <c r="C1609" t="s">
        <v>2657</v>
      </c>
      <c r="D1609" t="s">
        <v>6388</v>
      </c>
      <c r="E1609" s="43">
        <v>45986.557367557871</v>
      </c>
      <c r="F1609" s="3">
        <v>45986</v>
      </c>
      <c r="G1609" s="43">
        <v>45987.748009791663</v>
      </c>
      <c r="H1609" t="s">
        <v>2802</v>
      </c>
      <c r="I1609" t="s">
        <v>2660</v>
      </c>
      <c r="J1609" t="s">
        <v>100</v>
      </c>
      <c r="L1609" t="s">
        <v>2347</v>
      </c>
      <c r="M1609">
        <v>601998582602</v>
      </c>
      <c r="N1609" t="s">
        <v>2675</v>
      </c>
      <c r="O1609" s="1">
        <v>45661</v>
      </c>
      <c r="T1609" t="s">
        <v>2662</v>
      </c>
      <c r="U1609" t="s">
        <v>6389</v>
      </c>
      <c r="V1609">
        <v>1</v>
      </c>
      <c r="W1609" t="s">
        <v>2671</v>
      </c>
      <c r="X1609">
        <v>1</v>
      </c>
      <c r="Y1609" t="s">
        <v>3237</v>
      </c>
      <c r="Z1609" t="s">
        <v>2684</v>
      </c>
      <c r="AA1609">
        <v>601998582602</v>
      </c>
      <c r="AB1609" t="s">
        <v>234</v>
      </c>
      <c r="AC1609">
        <v>0</v>
      </c>
      <c r="AD1609">
        <v>48</v>
      </c>
      <c r="AE1609">
        <v>60199858260248</v>
      </c>
      <c r="AF1609" t="s">
        <v>6385</v>
      </c>
      <c r="AG1609">
        <v>1</v>
      </c>
      <c r="AH1609">
        <v>0</v>
      </c>
    </row>
    <row r="1610" spans="1:34">
      <c r="A1610">
        <v>2025</v>
      </c>
      <c r="B1610" s="1">
        <v>45992</v>
      </c>
      <c r="C1610" t="s">
        <v>2657</v>
      </c>
      <c r="D1610" t="s">
        <v>6390</v>
      </c>
      <c r="E1610" s="43">
        <v>46003.749728437499</v>
      </c>
      <c r="F1610" s="3">
        <v>46003</v>
      </c>
      <c r="G1610" s="43">
        <v>46008.771373946758</v>
      </c>
      <c r="H1610" t="s">
        <v>2686</v>
      </c>
      <c r="I1610" t="s">
        <v>2681</v>
      </c>
      <c r="J1610" t="s">
        <v>37</v>
      </c>
      <c r="L1610" t="s">
        <v>2364</v>
      </c>
      <c r="M1610">
        <v>687037975702</v>
      </c>
      <c r="N1610" t="s">
        <v>2661</v>
      </c>
      <c r="O1610" s="1">
        <v>45947</v>
      </c>
      <c r="T1610" t="s">
        <v>2662</v>
      </c>
      <c r="U1610" t="s">
        <v>6391</v>
      </c>
      <c r="V1610">
        <v>3</v>
      </c>
      <c r="W1610" t="s">
        <v>2677</v>
      </c>
      <c r="X1610">
        <v>1</v>
      </c>
      <c r="Y1610" t="s">
        <v>2807</v>
      </c>
      <c r="AA1610">
        <v>687037975702</v>
      </c>
      <c r="AB1610" t="s">
        <v>171</v>
      </c>
      <c r="AC1610">
        <v>0</v>
      </c>
      <c r="AD1610">
        <v>50</v>
      </c>
      <c r="AE1610">
        <v>68703797570250</v>
      </c>
      <c r="AF1610" t="s">
        <v>6392</v>
      </c>
      <c r="AG1610">
        <v>1</v>
      </c>
      <c r="AH1610">
        <v>1</v>
      </c>
    </row>
    <row r="1611" spans="1:34">
      <c r="A1611">
        <v>2025</v>
      </c>
      <c r="B1611" s="1">
        <v>45992</v>
      </c>
      <c r="C1611" t="s">
        <v>2657</v>
      </c>
      <c r="D1611" t="s">
        <v>6393</v>
      </c>
      <c r="E1611" s="43">
        <v>46008.891104664355</v>
      </c>
      <c r="F1611" s="3">
        <v>46008</v>
      </c>
      <c r="G1611" s="43">
        <v>46029.86373016204</v>
      </c>
      <c r="H1611" t="s">
        <v>2686</v>
      </c>
      <c r="I1611" t="s">
        <v>2719</v>
      </c>
      <c r="J1611" t="s">
        <v>37</v>
      </c>
      <c r="L1611" t="s">
        <v>2364</v>
      </c>
      <c r="M1611">
        <v>687037975702</v>
      </c>
      <c r="N1611" t="s">
        <v>2661</v>
      </c>
      <c r="O1611" s="1">
        <v>45947</v>
      </c>
      <c r="T1611" t="s">
        <v>2662</v>
      </c>
      <c r="U1611" t="s">
        <v>6391</v>
      </c>
      <c r="V1611">
        <v>15</v>
      </c>
      <c r="W1611" t="s">
        <v>2671</v>
      </c>
      <c r="X1611">
        <v>1</v>
      </c>
      <c r="Y1611" t="s">
        <v>2807</v>
      </c>
      <c r="AA1611">
        <v>687037975702</v>
      </c>
      <c r="AB1611" t="s">
        <v>171</v>
      </c>
      <c r="AC1611">
        <v>0</v>
      </c>
      <c r="AD1611">
        <v>51</v>
      </c>
      <c r="AE1611">
        <v>68703797570251</v>
      </c>
      <c r="AF1611" t="s">
        <v>6392</v>
      </c>
      <c r="AG1611">
        <v>1</v>
      </c>
      <c r="AH1611">
        <v>0</v>
      </c>
    </row>
    <row r="1612" spans="1:34">
      <c r="A1612">
        <v>2026</v>
      </c>
      <c r="B1612" s="1">
        <v>46082</v>
      </c>
      <c r="C1612" t="s">
        <v>2657</v>
      </c>
      <c r="D1612" t="s">
        <v>6394</v>
      </c>
      <c r="E1612" s="43">
        <v>46090.516699930558</v>
      </c>
      <c r="F1612" s="3">
        <v>46090</v>
      </c>
      <c r="G1612" s="43">
        <v>46091.676728680555</v>
      </c>
      <c r="H1612" t="s">
        <v>2668</v>
      </c>
      <c r="I1612" t="s">
        <v>2681</v>
      </c>
      <c r="J1612" t="s">
        <v>39</v>
      </c>
      <c r="L1612" t="s">
        <v>2408</v>
      </c>
      <c r="M1612">
        <v>160165983902</v>
      </c>
      <c r="N1612" t="s">
        <v>2746</v>
      </c>
      <c r="O1612" s="1">
        <v>45680</v>
      </c>
      <c r="T1612" t="s">
        <v>2662</v>
      </c>
      <c r="U1612" t="s">
        <v>6395</v>
      </c>
      <c r="V1612">
        <v>1</v>
      </c>
      <c r="W1612" t="s">
        <v>2664</v>
      </c>
      <c r="X1612">
        <v>1</v>
      </c>
      <c r="Y1612" t="s">
        <v>2757</v>
      </c>
      <c r="AA1612">
        <v>160165983902</v>
      </c>
      <c r="AB1612" t="s">
        <v>2221</v>
      </c>
      <c r="AC1612">
        <v>1</v>
      </c>
      <c r="AD1612">
        <v>11</v>
      </c>
      <c r="AE1612">
        <v>16016598390211</v>
      </c>
      <c r="AF1612" t="s">
        <v>6396</v>
      </c>
      <c r="AG1612">
        <v>1</v>
      </c>
      <c r="AH1612">
        <v>1</v>
      </c>
    </row>
    <row r="1613" spans="1:34">
      <c r="A1613">
        <v>2025</v>
      </c>
      <c r="B1613" s="1">
        <v>45962</v>
      </c>
      <c r="C1613" t="s">
        <v>2657</v>
      </c>
      <c r="D1613" t="s">
        <v>6397</v>
      </c>
      <c r="E1613" s="43">
        <v>45964.534902650463</v>
      </c>
      <c r="F1613" s="3">
        <v>45964</v>
      </c>
      <c r="G1613" s="43">
        <v>45985.531820937496</v>
      </c>
      <c r="H1613" t="s">
        <v>2802</v>
      </c>
      <c r="I1613" t="s">
        <v>2669</v>
      </c>
      <c r="J1613" t="s">
        <v>37</v>
      </c>
      <c r="L1613" t="s">
        <v>2351</v>
      </c>
      <c r="M1613">
        <v>844422866302</v>
      </c>
      <c r="N1613" t="s">
        <v>2746</v>
      </c>
      <c r="O1613" s="1">
        <v>45709</v>
      </c>
      <c r="T1613" t="s">
        <v>2662</v>
      </c>
      <c r="U1613" t="s">
        <v>6398</v>
      </c>
      <c r="V1613">
        <v>15</v>
      </c>
      <c r="W1613" t="s">
        <v>2671</v>
      </c>
      <c r="X1613">
        <v>1</v>
      </c>
      <c r="Y1613" t="s">
        <v>2744</v>
      </c>
      <c r="AA1613">
        <v>844422866302</v>
      </c>
      <c r="AB1613" t="s">
        <v>2308</v>
      </c>
      <c r="AC1613">
        <v>1</v>
      </c>
      <c r="AD1613">
        <v>45</v>
      </c>
      <c r="AE1613">
        <v>84442286630245</v>
      </c>
      <c r="AF1613" t="s">
        <v>6399</v>
      </c>
      <c r="AG1613">
        <v>1</v>
      </c>
      <c r="AH1613">
        <v>1</v>
      </c>
    </row>
    <row r="1614" spans="1:34">
      <c r="A1614">
        <v>2025</v>
      </c>
      <c r="B1614" s="1">
        <v>45992</v>
      </c>
      <c r="C1614" t="s">
        <v>2657</v>
      </c>
      <c r="D1614" t="s">
        <v>6400</v>
      </c>
      <c r="E1614" s="43">
        <v>45999.784341597224</v>
      </c>
      <c r="F1614" s="3">
        <v>45999</v>
      </c>
      <c r="G1614" s="43">
        <v>46008.569716377315</v>
      </c>
      <c r="H1614" t="s">
        <v>2686</v>
      </c>
      <c r="I1614" t="s">
        <v>2681</v>
      </c>
      <c r="J1614" t="s">
        <v>100</v>
      </c>
      <c r="L1614" t="s">
        <v>2347</v>
      </c>
      <c r="M1614">
        <v>655945459902</v>
      </c>
      <c r="N1614" t="s">
        <v>2675</v>
      </c>
      <c r="O1614" s="1">
        <v>45947</v>
      </c>
      <c r="T1614" t="s">
        <v>2662</v>
      </c>
      <c r="U1614" t="s">
        <v>6401</v>
      </c>
      <c r="V1614">
        <v>7</v>
      </c>
      <c r="W1614" t="s">
        <v>2671</v>
      </c>
      <c r="X1614">
        <v>1</v>
      </c>
      <c r="Y1614" t="s">
        <v>2760</v>
      </c>
      <c r="AA1614">
        <v>655945459902</v>
      </c>
      <c r="AB1614" t="s">
        <v>312</v>
      </c>
      <c r="AC1614">
        <v>0</v>
      </c>
      <c r="AD1614">
        <v>50</v>
      </c>
      <c r="AE1614">
        <v>65594545990250</v>
      </c>
      <c r="AF1614" t="s">
        <v>6402</v>
      </c>
      <c r="AG1614">
        <v>1</v>
      </c>
      <c r="AH1614">
        <v>1</v>
      </c>
    </row>
    <row r="1615" spans="1:34">
      <c r="A1615">
        <v>2025</v>
      </c>
      <c r="B1615" s="1">
        <v>45992</v>
      </c>
      <c r="C1615" t="s">
        <v>2657</v>
      </c>
      <c r="D1615" t="s">
        <v>6403</v>
      </c>
      <c r="E1615" s="43">
        <v>46001.710767928242</v>
      </c>
      <c r="F1615" s="3">
        <v>46001</v>
      </c>
      <c r="G1615" s="43">
        <v>46001.710767928242</v>
      </c>
      <c r="H1615" t="s">
        <v>2686</v>
      </c>
      <c r="I1615" t="s">
        <v>2681</v>
      </c>
      <c r="J1615" t="s">
        <v>100</v>
      </c>
      <c r="L1615" t="s">
        <v>2347</v>
      </c>
      <c r="M1615">
        <v>655945459902</v>
      </c>
      <c r="N1615" t="s">
        <v>2675</v>
      </c>
      <c r="O1615" s="1">
        <v>45947</v>
      </c>
      <c r="T1615" t="s">
        <v>2662</v>
      </c>
      <c r="U1615" t="s">
        <v>6404</v>
      </c>
      <c r="V1615">
        <v>0</v>
      </c>
      <c r="W1615" t="s">
        <v>2664</v>
      </c>
      <c r="X1615">
        <v>1</v>
      </c>
      <c r="Y1615" t="s">
        <v>2695</v>
      </c>
      <c r="AA1615">
        <v>655945459902</v>
      </c>
      <c r="AB1615" t="s">
        <v>312</v>
      </c>
      <c r="AC1615">
        <v>0</v>
      </c>
      <c r="AD1615">
        <v>50</v>
      </c>
      <c r="AE1615">
        <v>65594545990250</v>
      </c>
      <c r="AF1615" t="s">
        <v>6402</v>
      </c>
      <c r="AG1615">
        <v>0</v>
      </c>
      <c r="AH1615">
        <v>0</v>
      </c>
    </row>
    <row r="1616" spans="1:34">
      <c r="A1616">
        <v>2025</v>
      </c>
      <c r="B1616" s="1">
        <v>45992</v>
      </c>
      <c r="C1616" t="s">
        <v>2657</v>
      </c>
      <c r="D1616" t="s">
        <v>6405</v>
      </c>
      <c r="E1616" s="43">
        <v>46006.579726157404</v>
      </c>
      <c r="F1616" s="3">
        <v>46006</v>
      </c>
      <c r="G1616" s="43">
        <v>46008.570236284722</v>
      </c>
      <c r="H1616" t="s">
        <v>2686</v>
      </c>
      <c r="I1616" t="s">
        <v>2719</v>
      </c>
      <c r="J1616" t="s">
        <v>100</v>
      </c>
      <c r="L1616" t="s">
        <v>2347</v>
      </c>
      <c r="M1616">
        <v>655945459902</v>
      </c>
      <c r="N1616" t="s">
        <v>2675</v>
      </c>
      <c r="O1616" s="1">
        <v>45947</v>
      </c>
      <c r="T1616" t="s">
        <v>2662</v>
      </c>
      <c r="U1616" t="s">
        <v>6406</v>
      </c>
      <c r="V1616">
        <v>2</v>
      </c>
      <c r="W1616" t="s">
        <v>2671</v>
      </c>
      <c r="X1616">
        <v>1</v>
      </c>
      <c r="Y1616" t="s">
        <v>2764</v>
      </c>
      <c r="AA1616">
        <v>655945459902</v>
      </c>
      <c r="AB1616" t="s">
        <v>312</v>
      </c>
      <c r="AC1616">
        <v>0</v>
      </c>
      <c r="AD1616">
        <v>51</v>
      </c>
      <c r="AE1616">
        <v>65594545990251</v>
      </c>
      <c r="AF1616" t="s">
        <v>6402</v>
      </c>
      <c r="AG1616">
        <v>1</v>
      </c>
      <c r="AH1616">
        <v>0</v>
      </c>
    </row>
    <row r="1617" spans="1:34">
      <c r="A1617">
        <v>2026</v>
      </c>
      <c r="B1617" s="1">
        <v>46023</v>
      </c>
      <c r="C1617" t="s">
        <v>2657</v>
      </c>
      <c r="D1617" s="44" t="s">
        <v>6407</v>
      </c>
      <c r="E1617" s="43">
        <v>46034.879024351852</v>
      </c>
      <c r="F1617" s="3">
        <v>46034</v>
      </c>
      <c r="G1617" s="43">
        <v>46035.758185960651</v>
      </c>
      <c r="H1617" t="s">
        <v>2701</v>
      </c>
      <c r="I1617" t="s">
        <v>2681</v>
      </c>
      <c r="J1617" t="s">
        <v>38</v>
      </c>
      <c r="L1617" t="s">
        <v>2342</v>
      </c>
      <c r="M1617">
        <v>22445894402</v>
      </c>
      <c r="N1617" t="s">
        <v>2702</v>
      </c>
      <c r="O1617" s="1">
        <v>45294</v>
      </c>
      <c r="T1617" t="s">
        <v>2662</v>
      </c>
      <c r="U1617" t="s">
        <v>6408</v>
      </c>
      <c r="V1617">
        <v>1</v>
      </c>
      <c r="W1617" t="s">
        <v>2677</v>
      </c>
      <c r="X1617">
        <v>1</v>
      </c>
      <c r="Y1617" t="s">
        <v>2760</v>
      </c>
      <c r="AA1617">
        <v>22445894402</v>
      </c>
      <c r="AB1617" t="s">
        <v>573</v>
      </c>
      <c r="AC1617">
        <v>0</v>
      </c>
      <c r="AD1617">
        <v>3</v>
      </c>
      <c r="AE1617">
        <v>224458944023</v>
      </c>
      <c r="AF1617" t="s">
        <v>6409</v>
      </c>
      <c r="AG1617">
        <v>1</v>
      </c>
      <c r="AH1617">
        <v>1</v>
      </c>
    </row>
    <row r="1618" spans="1:34">
      <c r="A1618">
        <v>2026</v>
      </c>
      <c r="B1618" s="1">
        <v>46023</v>
      </c>
      <c r="C1618" t="s">
        <v>2657</v>
      </c>
      <c r="D1618" t="s">
        <v>6410</v>
      </c>
      <c r="E1618" s="43">
        <v>46045.741393935183</v>
      </c>
      <c r="F1618" s="3">
        <v>46045</v>
      </c>
      <c r="G1618" s="43">
        <v>46051.856289120369</v>
      </c>
      <c r="H1618" t="s">
        <v>2701</v>
      </c>
      <c r="I1618" t="s">
        <v>2660</v>
      </c>
      <c r="J1618" t="s">
        <v>38</v>
      </c>
      <c r="L1618" t="s">
        <v>2342</v>
      </c>
      <c r="M1618">
        <v>22445894402</v>
      </c>
      <c r="N1618" t="s">
        <v>2702</v>
      </c>
      <c r="O1618" s="1">
        <v>45294</v>
      </c>
      <c r="T1618" t="s">
        <v>2662</v>
      </c>
      <c r="U1618" t="s">
        <v>6411</v>
      </c>
      <c r="V1618">
        <v>4</v>
      </c>
      <c r="W1618" t="s">
        <v>2704</v>
      </c>
      <c r="X1618">
        <v>1</v>
      </c>
      <c r="Y1618" t="s">
        <v>2717</v>
      </c>
      <c r="AA1618">
        <v>22445894402</v>
      </c>
      <c r="AB1618" t="s">
        <v>573</v>
      </c>
      <c r="AC1618">
        <v>0</v>
      </c>
      <c r="AD1618">
        <v>4</v>
      </c>
      <c r="AE1618">
        <v>224458944024</v>
      </c>
      <c r="AF1618" t="s">
        <v>6409</v>
      </c>
      <c r="AG1618">
        <v>1</v>
      </c>
      <c r="AH1618">
        <v>0</v>
      </c>
    </row>
    <row r="1619" spans="1:34">
      <c r="A1619">
        <v>2025</v>
      </c>
      <c r="B1619" s="1">
        <v>45992</v>
      </c>
      <c r="C1619" t="s">
        <v>2657</v>
      </c>
      <c r="D1619" t="s">
        <v>6412</v>
      </c>
      <c r="E1619" s="43">
        <v>45995.692356643522</v>
      </c>
      <c r="F1619" s="3">
        <v>45995</v>
      </c>
      <c r="G1619" s="43">
        <v>46006.564788877316</v>
      </c>
      <c r="H1619" t="s">
        <v>2686</v>
      </c>
      <c r="I1619" t="s">
        <v>2669</v>
      </c>
      <c r="J1619" t="s">
        <v>37</v>
      </c>
      <c r="L1619" t="s">
        <v>2352</v>
      </c>
      <c r="M1619">
        <v>117086860802</v>
      </c>
      <c r="N1619" t="s">
        <v>2702</v>
      </c>
      <c r="O1619" s="1">
        <v>45294</v>
      </c>
      <c r="T1619" t="s">
        <v>2662</v>
      </c>
      <c r="U1619" t="s">
        <v>6413</v>
      </c>
      <c r="V1619">
        <v>7</v>
      </c>
      <c r="X1619">
        <v>1</v>
      </c>
      <c r="Y1619" t="s">
        <v>2710</v>
      </c>
      <c r="AA1619">
        <v>117086860802</v>
      </c>
      <c r="AB1619" t="s">
        <v>876</v>
      </c>
      <c r="AC1619">
        <v>0</v>
      </c>
      <c r="AD1619">
        <v>49</v>
      </c>
      <c r="AE1619">
        <v>11708686080249</v>
      </c>
      <c r="AF1619" t="s">
        <v>6414</v>
      </c>
      <c r="AG1619">
        <v>1</v>
      </c>
      <c r="AH1619">
        <v>1</v>
      </c>
    </row>
    <row r="1620" spans="1:34">
      <c r="A1620">
        <v>2025</v>
      </c>
      <c r="B1620" s="1">
        <v>45992</v>
      </c>
      <c r="C1620" t="s">
        <v>2657</v>
      </c>
      <c r="D1620" t="s">
        <v>6415</v>
      </c>
      <c r="E1620" s="43">
        <v>45993.781946284726</v>
      </c>
      <c r="F1620" s="3">
        <v>45993</v>
      </c>
      <c r="G1620" s="43">
        <v>45995.865334942129</v>
      </c>
      <c r="H1620" t="s">
        <v>2686</v>
      </c>
      <c r="I1620" t="s">
        <v>2669</v>
      </c>
      <c r="J1620" t="s">
        <v>38</v>
      </c>
      <c r="L1620" t="s">
        <v>2363</v>
      </c>
      <c r="M1620">
        <v>1102146047902</v>
      </c>
      <c r="N1620" t="s">
        <v>2702</v>
      </c>
      <c r="O1620" s="1">
        <v>45842</v>
      </c>
      <c r="T1620" t="s">
        <v>2662</v>
      </c>
      <c r="U1620" t="s">
        <v>6416</v>
      </c>
      <c r="V1620">
        <v>2</v>
      </c>
      <c r="W1620" t="s">
        <v>2704</v>
      </c>
      <c r="X1620">
        <v>1</v>
      </c>
      <c r="Y1620" t="s">
        <v>2931</v>
      </c>
      <c r="AA1620">
        <v>21753463202</v>
      </c>
      <c r="AB1620" t="s">
        <v>2172</v>
      </c>
      <c r="AC1620">
        <v>0</v>
      </c>
      <c r="AD1620">
        <v>49</v>
      </c>
      <c r="AE1620">
        <v>2175346320249</v>
      </c>
      <c r="AF1620" t="s">
        <v>6417</v>
      </c>
      <c r="AG1620">
        <v>1</v>
      </c>
      <c r="AH1620">
        <v>1</v>
      </c>
    </row>
    <row r="1621" spans="1:34">
      <c r="A1621">
        <v>2025</v>
      </c>
      <c r="B1621" s="1">
        <v>45992</v>
      </c>
      <c r="C1621" t="s">
        <v>2657</v>
      </c>
      <c r="D1621" t="s">
        <v>6418</v>
      </c>
      <c r="E1621" s="43">
        <v>46001.561822766205</v>
      </c>
      <c r="F1621" s="3">
        <v>46001</v>
      </c>
      <c r="G1621" s="43">
        <v>46002.573486932873</v>
      </c>
      <c r="H1621" t="s">
        <v>2686</v>
      </c>
      <c r="I1621" t="s">
        <v>2681</v>
      </c>
      <c r="J1621" t="s">
        <v>38</v>
      </c>
      <c r="L1621" t="s">
        <v>2363</v>
      </c>
      <c r="M1621">
        <v>1102146047902</v>
      </c>
      <c r="N1621" t="s">
        <v>2702</v>
      </c>
      <c r="O1621" s="1">
        <v>45842</v>
      </c>
      <c r="T1621" t="s">
        <v>2662</v>
      </c>
      <c r="U1621" t="s">
        <v>6419</v>
      </c>
      <c r="V1621">
        <v>1</v>
      </c>
      <c r="W1621" t="s">
        <v>2677</v>
      </c>
      <c r="X1621">
        <v>1</v>
      </c>
      <c r="Y1621" t="s">
        <v>2678</v>
      </c>
      <c r="AA1621">
        <v>21753463202</v>
      </c>
      <c r="AB1621" t="s">
        <v>2172</v>
      </c>
      <c r="AC1621">
        <v>0</v>
      </c>
      <c r="AD1621">
        <v>50</v>
      </c>
      <c r="AE1621">
        <v>2175346320250</v>
      </c>
      <c r="AF1621" t="s">
        <v>6417</v>
      </c>
      <c r="AG1621">
        <v>1</v>
      </c>
      <c r="AH1621">
        <v>0</v>
      </c>
    </row>
    <row r="1622" spans="1:34">
      <c r="A1622">
        <v>2025</v>
      </c>
      <c r="B1622" s="1">
        <v>45931</v>
      </c>
      <c r="C1622" t="s">
        <v>2657</v>
      </c>
      <c r="D1622" t="s">
        <v>6420</v>
      </c>
      <c r="E1622" s="43">
        <v>45958.791787523151</v>
      </c>
      <c r="F1622" s="3">
        <v>45958</v>
      </c>
      <c r="G1622" s="43">
        <v>45958.791787523151</v>
      </c>
      <c r="H1622" t="s">
        <v>2659</v>
      </c>
      <c r="I1622" t="s">
        <v>2660</v>
      </c>
      <c r="J1622" t="s">
        <v>37</v>
      </c>
      <c r="L1622" t="s">
        <v>2351</v>
      </c>
      <c r="M1622">
        <v>281658231902</v>
      </c>
      <c r="N1622" t="s">
        <v>2661</v>
      </c>
      <c r="O1622" s="1">
        <v>45880</v>
      </c>
      <c r="T1622" t="s">
        <v>2662</v>
      </c>
      <c r="U1622" t="s">
        <v>6421</v>
      </c>
      <c r="V1622">
        <v>0</v>
      </c>
      <c r="W1622" t="s">
        <v>2677</v>
      </c>
      <c r="X1622">
        <v>1</v>
      </c>
      <c r="Y1622" t="s">
        <v>2807</v>
      </c>
      <c r="AA1622">
        <v>736960318302</v>
      </c>
      <c r="AB1622" t="s">
        <v>2596</v>
      </c>
      <c r="AC1622">
        <v>1</v>
      </c>
      <c r="AD1622">
        <v>44</v>
      </c>
      <c r="AE1622">
        <v>73696031830244</v>
      </c>
      <c r="AF1622" t="s">
        <v>6422</v>
      </c>
      <c r="AG1622">
        <v>1</v>
      </c>
      <c r="AH1622">
        <v>1</v>
      </c>
    </row>
    <row r="1623" spans="1:34">
      <c r="A1623">
        <v>2026</v>
      </c>
      <c r="B1623" s="1">
        <v>46054</v>
      </c>
      <c r="C1623" t="s">
        <v>2657</v>
      </c>
      <c r="D1623" t="s">
        <v>6423</v>
      </c>
      <c r="E1623" s="43">
        <v>46055.771661157407</v>
      </c>
      <c r="F1623" s="3">
        <v>46055</v>
      </c>
      <c r="G1623" s="43">
        <v>46078.703219606483</v>
      </c>
      <c r="H1623" t="s">
        <v>2725</v>
      </c>
      <c r="I1623" t="s">
        <v>2669</v>
      </c>
      <c r="J1623" t="s">
        <v>38</v>
      </c>
      <c r="L1623" t="s">
        <v>2347</v>
      </c>
      <c r="M1623">
        <v>193343155102</v>
      </c>
      <c r="N1623" t="s">
        <v>2675</v>
      </c>
      <c r="O1623" s="1">
        <v>45673</v>
      </c>
      <c r="T1623" t="s">
        <v>2662</v>
      </c>
      <c r="U1623" t="s">
        <v>6424</v>
      </c>
      <c r="V1623">
        <v>17</v>
      </c>
      <c r="X1623">
        <v>1</v>
      </c>
      <c r="Y1623" t="s">
        <v>2744</v>
      </c>
      <c r="Z1623" t="s">
        <v>2684</v>
      </c>
      <c r="AA1623">
        <v>193343155102</v>
      </c>
      <c r="AB1623" t="s">
        <v>781</v>
      </c>
      <c r="AC1623">
        <v>1</v>
      </c>
      <c r="AD1623">
        <v>6</v>
      </c>
      <c r="AE1623">
        <v>1933431551026</v>
      </c>
      <c r="AF1623" t="s">
        <v>6425</v>
      </c>
      <c r="AG1623">
        <v>1</v>
      </c>
      <c r="AH1623">
        <v>1</v>
      </c>
    </row>
    <row r="1624" spans="1:34">
      <c r="A1624">
        <v>2026</v>
      </c>
      <c r="B1624" s="1">
        <v>46054</v>
      </c>
      <c r="C1624" t="s">
        <v>2657</v>
      </c>
      <c r="D1624" t="s">
        <v>6426</v>
      </c>
      <c r="E1624" s="43">
        <v>46059.858956736112</v>
      </c>
      <c r="F1624" s="3">
        <v>46059</v>
      </c>
      <c r="G1624" s="43">
        <v>46062.725184270836</v>
      </c>
      <c r="H1624" t="s">
        <v>2725</v>
      </c>
      <c r="I1624" t="s">
        <v>2669</v>
      </c>
      <c r="J1624" t="s">
        <v>38</v>
      </c>
      <c r="L1624" t="s">
        <v>2393</v>
      </c>
      <c r="M1624">
        <v>13351599302</v>
      </c>
      <c r="N1624" t="s">
        <v>2702</v>
      </c>
      <c r="O1624" s="1">
        <v>44991</v>
      </c>
      <c r="T1624" t="s">
        <v>2662</v>
      </c>
      <c r="U1624" t="s">
        <v>6427</v>
      </c>
      <c r="V1624">
        <v>1</v>
      </c>
      <c r="X1624">
        <v>1</v>
      </c>
      <c r="Y1624" t="s">
        <v>2717</v>
      </c>
      <c r="AA1624">
        <v>13351599302</v>
      </c>
      <c r="AB1624" t="s">
        <v>1583</v>
      </c>
      <c r="AC1624">
        <v>0</v>
      </c>
      <c r="AD1624">
        <v>6</v>
      </c>
      <c r="AE1624">
        <v>133515993026</v>
      </c>
      <c r="AF1624" t="s">
        <v>6428</v>
      </c>
      <c r="AG1624">
        <v>0</v>
      </c>
      <c r="AH1624">
        <v>0</v>
      </c>
    </row>
    <row r="1625" spans="1:34">
      <c r="A1625">
        <v>2026</v>
      </c>
      <c r="B1625" s="1">
        <v>46054</v>
      </c>
      <c r="C1625" t="s">
        <v>2657</v>
      </c>
      <c r="D1625" t="s">
        <v>6429</v>
      </c>
      <c r="E1625" s="43">
        <v>46056.605632395833</v>
      </c>
      <c r="F1625" s="3">
        <v>46056</v>
      </c>
      <c r="G1625" s="43">
        <v>46062.727454027779</v>
      </c>
      <c r="H1625" t="s">
        <v>2725</v>
      </c>
      <c r="I1625" t="s">
        <v>2669</v>
      </c>
      <c r="J1625" t="s">
        <v>38</v>
      </c>
      <c r="L1625" t="s">
        <v>2393</v>
      </c>
      <c r="M1625">
        <v>13351599302</v>
      </c>
      <c r="N1625" t="s">
        <v>2702</v>
      </c>
      <c r="O1625" s="1">
        <v>44991</v>
      </c>
      <c r="T1625" t="s">
        <v>2662</v>
      </c>
      <c r="U1625" t="s">
        <v>6430</v>
      </c>
      <c r="V1625">
        <v>4</v>
      </c>
      <c r="W1625" t="s">
        <v>2664</v>
      </c>
      <c r="X1625">
        <v>1</v>
      </c>
      <c r="Y1625" t="s">
        <v>2717</v>
      </c>
      <c r="AA1625">
        <v>13351599302</v>
      </c>
      <c r="AB1625" t="s">
        <v>1583</v>
      </c>
      <c r="AC1625">
        <v>0</v>
      </c>
      <c r="AD1625">
        <v>6</v>
      </c>
      <c r="AE1625">
        <v>133515993026</v>
      </c>
      <c r="AF1625" t="s">
        <v>6428</v>
      </c>
      <c r="AG1625">
        <v>1</v>
      </c>
      <c r="AH1625">
        <v>1</v>
      </c>
    </row>
    <row r="1626" spans="1:34">
      <c r="A1626">
        <v>2026</v>
      </c>
      <c r="B1626" s="1">
        <v>46082</v>
      </c>
      <c r="C1626" t="s">
        <v>2657</v>
      </c>
      <c r="D1626" t="s">
        <v>6431</v>
      </c>
      <c r="E1626" s="43">
        <v>46094.601309953701</v>
      </c>
      <c r="F1626" s="3">
        <v>46094</v>
      </c>
      <c r="G1626" s="43">
        <v>46094.601309953701</v>
      </c>
      <c r="H1626" t="s">
        <v>2668</v>
      </c>
      <c r="I1626" t="s">
        <v>2681</v>
      </c>
      <c r="J1626" t="s">
        <v>39</v>
      </c>
      <c r="L1626" t="s">
        <v>2362</v>
      </c>
      <c r="M1626">
        <v>361885515402</v>
      </c>
      <c r="N1626" t="s">
        <v>2746</v>
      </c>
      <c r="O1626" s="1">
        <v>45669</v>
      </c>
      <c r="T1626" t="s">
        <v>2662</v>
      </c>
      <c r="U1626" t="s">
        <v>6432</v>
      </c>
      <c r="V1626">
        <v>0</v>
      </c>
      <c r="W1626" t="s">
        <v>2664</v>
      </c>
      <c r="X1626">
        <v>1</v>
      </c>
      <c r="Y1626" t="s">
        <v>2665</v>
      </c>
      <c r="AA1626">
        <v>361885515402</v>
      </c>
      <c r="AB1626" t="s">
        <v>1603</v>
      </c>
      <c r="AC1626">
        <v>1</v>
      </c>
      <c r="AD1626">
        <v>11</v>
      </c>
      <c r="AE1626">
        <v>36188551540211</v>
      </c>
      <c r="AF1626" t="s">
        <v>6433</v>
      </c>
      <c r="AG1626">
        <v>1</v>
      </c>
      <c r="AH1626">
        <v>1</v>
      </c>
    </row>
    <row r="1627" spans="1:34">
      <c r="A1627">
        <v>2026</v>
      </c>
      <c r="B1627" s="1">
        <v>46054</v>
      </c>
      <c r="C1627" t="s">
        <v>2657</v>
      </c>
      <c r="D1627" t="s">
        <v>6434</v>
      </c>
      <c r="E1627" s="43">
        <v>46055.798492488429</v>
      </c>
      <c r="F1627" s="3">
        <v>46055</v>
      </c>
      <c r="G1627" s="43">
        <v>46085.51981701389</v>
      </c>
      <c r="H1627" t="s">
        <v>2725</v>
      </c>
      <c r="I1627" t="s">
        <v>2669</v>
      </c>
      <c r="J1627" t="s">
        <v>37</v>
      </c>
      <c r="L1627" t="s">
        <v>2364</v>
      </c>
      <c r="M1627">
        <v>957435887502</v>
      </c>
      <c r="N1627" t="s">
        <v>2661</v>
      </c>
      <c r="O1627" s="1">
        <v>45669</v>
      </c>
      <c r="T1627" t="s">
        <v>2798</v>
      </c>
      <c r="U1627" t="s">
        <v>6435</v>
      </c>
      <c r="V1627">
        <v>29</v>
      </c>
      <c r="W1627" t="s">
        <v>2985</v>
      </c>
      <c r="X1627">
        <v>0</v>
      </c>
      <c r="Y1627" t="s">
        <v>2985</v>
      </c>
      <c r="AA1627">
        <v>137029362402</v>
      </c>
      <c r="AB1627" t="s">
        <v>1441</v>
      </c>
      <c r="AC1627">
        <v>0</v>
      </c>
      <c r="AD1627">
        <v>6</v>
      </c>
      <c r="AE1627">
        <v>1370293624026</v>
      </c>
      <c r="AF1627" t="s">
        <v>6436</v>
      </c>
      <c r="AG1627">
        <v>1</v>
      </c>
      <c r="AH1627">
        <v>1</v>
      </c>
    </row>
    <row r="1628" spans="1:34">
      <c r="A1628">
        <v>2026</v>
      </c>
      <c r="B1628" s="1">
        <v>46054</v>
      </c>
      <c r="C1628" t="s">
        <v>2657</v>
      </c>
      <c r="D1628" t="s">
        <v>6437</v>
      </c>
      <c r="E1628" s="43">
        <v>46064.530187997683</v>
      </c>
      <c r="F1628" s="3">
        <v>46064</v>
      </c>
      <c r="G1628" s="43">
        <v>46085.520386990742</v>
      </c>
      <c r="H1628" t="s">
        <v>2725</v>
      </c>
      <c r="I1628" t="s">
        <v>2681</v>
      </c>
      <c r="J1628" t="s">
        <v>37</v>
      </c>
      <c r="L1628" t="s">
        <v>2364</v>
      </c>
      <c r="M1628">
        <v>137029362402</v>
      </c>
      <c r="N1628" t="s">
        <v>2661</v>
      </c>
      <c r="O1628" s="1">
        <v>45669</v>
      </c>
      <c r="T1628" t="s">
        <v>2798</v>
      </c>
      <c r="U1628" t="s">
        <v>6438</v>
      </c>
      <c r="V1628">
        <v>22</v>
      </c>
      <c r="W1628" t="s">
        <v>2664</v>
      </c>
      <c r="X1628">
        <v>0</v>
      </c>
      <c r="Y1628" t="s">
        <v>2721</v>
      </c>
      <c r="AA1628">
        <v>137029362402</v>
      </c>
      <c r="AB1628" t="s">
        <v>1441</v>
      </c>
      <c r="AC1628">
        <v>0</v>
      </c>
      <c r="AD1628">
        <v>7</v>
      </c>
      <c r="AE1628">
        <v>1370293624027</v>
      </c>
      <c r="AF1628" t="s">
        <v>6436</v>
      </c>
      <c r="AG1628">
        <v>0</v>
      </c>
      <c r="AH1628">
        <v>0</v>
      </c>
    </row>
    <row r="1629" spans="1:34">
      <c r="A1629">
        <v>2026</v>
      </c>
      <c r="B1629" s="1">
        <v>46054</v>
      </c>
      <c r="C1629" t="s">
        <v>2657</v>
      </c>
      <c r="D1629" t="s">
        <v>6439</v>
      </c>
      <c r="E1629" s="43">
        <v>46062.625057025463</v>
      </c>
      <c r="F1629" s="3">
        <v>46062</v>
      </c>
      <c r="G1629" s="43">
        <v>46073.576783136574</v>
      </c>
      <c r="H1629" t="s">
        <v>2725</v>
      </c>
      <c r="I1629" t="s">
        <v>2681</v>
      </c>
      <c r="J1629" t="s">
        <v>37</v>
      </c>
      <c r="L1629" t="s">
        <v>2364</v>
      </c>
      <c r="M1629">
        <v>137029362402</v>
      </c>
      <c r="N1629" t="s">
        <v>2661</v>
      </c>
      <c r="O1629" s="1">
        <v>45669</v>
      </c>
      <c r="T1629" t="s">
        <v>2662</v>
      </c>
      <c r="U1629" t="s">
        <v>6440</v>
      </c>
      <c r="V1629">
        <v>9</v>
      </c>
      <c r="W1629" t="s">
        <v>2677</v>
      </c>
      <c r="X1629">
        <v>1</v>
      </c>
      <c r="Y1629" t="s">
        <v>2807</v>
      </c>
      <c r="AA1629">
        <v>137029362402</v>
      </c>
      <c r="AB1629" t="s">
        <v>1441</v>
      </c>
      <c r="AC1629">
        <v>0</v>
      </c>
      <c r="AD1629">
        <v>7</v>
      </c>
      <c r="AE1629">
        <v>1370293624027</v>
      </c>
      <c r="AF1629" t="s">
        <v>6436</v>
      </c>
      <c r="AG1629">
        <v>1</v>
      </c>
      <c r="AH1629">
        <v>0</v>
      </c>
    </row>
    <row r="1630" spans="1:34">
      <c r="A1630">
        <v>2026</v>
      </c>
      <c r="B1630" s="1">
        <v>46054</v>
      </c>
      <c r="C1630" t="s">
        <v>2657</v>
      </c>
      <c r="D1630" t="s">
        <v>6441</v>
      </c>
      <c r="E1630" s="43">
        <v>46073.590832268521</v>
      </c>
      <c r="F1630" s="3">
        <v>46073</v>
      </c>
      <c r="G1630" s="43">
        <v>46073.590832268521</v>
      </c>
      <c r="H1630" t="s">
        <v>2725</v>
      </c>
      <c r="I1630" t="s">
        <v>2719</v>
      </c>
      <c r="J1630" t="s">
        <v>37</v>
      </c>
      <c r="L1630" t="s">
        <v>2364</v>
      </c>
      <c r="M1630">
        <v>137029362402</v>
      </c>
      <c r="N1630" t="s">
        <v>2661</v>
      </c>
      <c r="O1630" s="1">
        <v>45669</v>
      </c>
      <c r="T1630" t="s">
        <v>2662</v>
      </c>
      <c r="U1630" t="s">
        <v>6442</v>
      </c>
      <c r="V1630">
        <v>0</v>
      </c>
      <c r="W1630" t="s">
        <v>2677</v>
      </c>
      <c r="X1630">
        <v>1</v>
      </c>
      <c r="Y1630" t="s">
        <v>2807</v>
      </c>
      <c r="AA1630">
        <v>137029362402</v>
      </c>
      <c r="AB1630" t="s">
        <v>1441</v>
      </c>
      <c r="AC1630">
        <v>0</v>
      </c>
      <c r="AD1630">
        <v>8</v>
      </c>
      <c r="AE1630">
        <v>1370293624028</v>
      </c>
      <c r="AF1630" t="s">
        <v>6436</v>
      </c>
      <c r="AG1630">
        <v>0</v>
      </c>
      <c r="AH1630">
        <v>0</v>
      </c>
    </row>
    <row r="1631" spans="1:34">
      <c r="A1631">
        <v>2026</v>
      </c>
      <c r="B1631" s="1">
        <v>46054</v>
      </c>
      <c r="C1631" t="s">
        <v>2657</v>
      </c>
      <c r="D1631" t="s">
        <v>6443</v>
      </c>
      <c r="E1631" s="43">
        <v>46073.585881435189</v>
      </c>
      <c r="F1631" s="3">
        <v>46073</v>
      </c>
      <c r="G1631" s="43">
        <v>46073.585881435189</v>
      </c>
      <c r="H1631" t="s">
        <v>2725</v>
      </c>
      <c r="I1631" t="s">
        <v>2719</v>
      </c>
      <c r="J1631" t="s">
        <v>37</v>
      </c>
      <c r="L1631" t="s">
        <v>2364</v>
      </c>
      <c r="M1631">
        <v>137029362402</v>
      </c>
      <c r="N1631" t="s">
        <v>2661</v>
      </c>
      <c r="O1631" s="1">
        <v>45669</v>
      </c>
      <c r="T1631" t="s">
        <v>2662</v>
      </c>
      <c r="U1631" t="s">
        <v>6444</v>
      </c>
      <c r="V1631">
        <v>0</v>
      </c>
      <c r="W1631" t="s">
        <v>2677</v>
      </c>
      <c r="X1631">
        <v>1</v>
      </c>
      <c r="Y1631" t="s">
        <v>2760</v>
      </c>
      <c r="AA1631">
        <v>137029362402</v>
      </c>
      <c r="AB1631" t="s">
        <v>1441</v>
      </c>
      <c r="AC1631">
        <v>0</v>
      </c>
      <c r="AD1631">
        <v>8</v>
      </c>
      <c r="AE1631">
        <v>1370293624028</v>
      </c>
      <c r="AF1631" t="s">
        <v>6436</v>
      </c>
      <c r="AG1631">
        <v>1</v>
      </c>
      <c r="AH1631">
        <v>0</v>
      </c>
    </row>
    <row r="1632" spans="1:34">
      <c r="A1632">
        <v>2025</v>
      </c>
      <c r="B1632" s="1">
        <v>45931</v>
      </c>
      <c r="C1632" t="s">
        <v>2657</v>
      </c>
      <c r="D1632" t="s">
        <v>6445</v>
      </c>
      <c r="E1632" s="43">
        <v>45957.878029837964</v>
      </c>
      <c r="F1632" s="3">
        <v>45957</v>
      </c>
      <c r="G1632" s="43">
        <v>45966.507800451385</v>
      </c>
      <c r="H1632" t="s">
        <v>2659</v>
      </c>
      <c r="I1632" t="s">
        <v>2660</v>
      </c>
      <c r="J1632" t="s">
        <v>37</v>
      </c>
      <c r="L1632" t="s">
        <v>2351</v>
      </c>
      <c r="M1632">
        <v>608754220802</v>
      </c>
      <c r="N1632" t="s">
        <v>2746</v>
      </c>
      <c r="O1632" s="1">
        <v>46066</v>
      </c>
      <c r="T1632" t="s">
        <v>2662</v>
      </c>
      <c r="U1632" t="s">
        <v>6446</v>
      </c>
      <c r="V1632">
        <v>7</v>
      </c>
      <c r="W1632" t="s">
        <v>2671</v>
      </c>
      <c r="X1632">
        <v>1</v>
      </c>
      <c r="Y1632" t="s">
        <v>2683</v>
      </c>
      <c r="AA1632">
        <v>734743947702</v>
      </c>
      <c r="AB1632" t="s">
        <v>2588</v>
      </c>
      <c r="AC1632">
        <v>0</v>
      </c>
      <c r="AD1632">
        <v>44</v>
      </c>
      <c r="AE1632">
        <v>73474394770244</v>
      </c>
      <c r="AF1632" t="s">
        <v>6447</v>
      </c>
      <c r="AG1632">
        <v>1</v>
      </c>
      <c r="AH1632">
        <v>1</v>
      </c>
    </row>
    <row r="1633" spans="1:34">
      <c r="A1633">
        <v>2026</v>
      </c>
      <c r="B1633" s="1">
        <v>46082</v>
      </c>
      <c r="C1633" t="s">
        <v>2657</v>
      </c>
      <c r="D1633" t="s">
        <v>6448</v>
      </c>
      <c r="E1633" s="43">
        <v>46087.524170833334</v>
      </c>
      <c r="F1633" s="3">
        <v>46087</v>
      </c>
      <c r="G1633" s="43">
        <v>46087.524170833334</v>
      </c>
      <c r="H1633" t="s">
        <v>2668</v>
      </c>
      <c r="I1633" t="s">
        <v>2669</v>
      </c>
      <c r="J1633" t="s">
        <v>39</v>
      </c>
      <c r="L1633" t="s">
        <v>2336</v>
      </c>
      <c r="M1633">
        <v>414165418502</v>
      </c>
      <c r="N1633" t="s">
        <v>2746</v>
      </c>
      <c r="O1633" s="1">
        <v>45342</v>
      </c>
      <c r="T1633" t="s">
        <v>2662</v>
      </c>
      <c r="U1633" t="s">
        <v>6449</v>
      </c>
      <c r="V1633">
        <v>0</v>
      </c>
      <c r="W1633" t="s">
        <v>2743</v>
      </c>
      <c r="X1633">
        <v>1</v>
      </c>
      <c r="Y1633" t="s">
        <v>2688</v>
      </c>
      <c r="AA1633">
        <v>414165418502</v>
      </c>
      <c r="AB1633" t="s">
        <v>1569</v>
      </c>
      <c r="AC1633">
        <v>0</v>
      </c>
      <c r="AD1633">
        <v>10</v>
      </c>
      <c r="AE1633">
        <v>41416541850210</v>
      </c>
      <c r="AF1633" t="s">
        <v>6450</v>
      </c>
      <c r="AG1633">
        <v>0</v>
      </c>
      <c r="AH1633">
        <v>0</v>
      </c>
    </row>
    <row r="1634" spans="1:34">
      <c r="A1634">
        <v>2026</v>
      </c>
      <c r="B1634" s="1">
        <v>46082</v>
      </c>
      <c r="C1634" t="s">
        <v>2657</v>
      </c>
      <c r="D1634" t="s">
        <v>6451</v>
      </c>
      <c r="E1634" s="43">
        <v>46083.523568738427</v>
      </c>
      <c r="F1634" s="3">
        <v>46083</v>
      </c>
      <c r="G1634" s="43">
        <v>46086.655283252316</v>
      </c>
      <c r="H1634" t="s">
        <v>2668</v>
      </c>
      <c r="I1634" t="s">
        <v>2669</v>
      </c>
      <c r="J1634" t="s">
        <v>39</v>
      </c>
      <c r="L1634" t="s">
        <v>2336</v>
      </c>
      <c r="M1634">
        <v>1126409110002</v>
      </c>
      <c r="N1634" t="s">
        <v>2746</v>
      </c>
      <c r="O1634" s="1">
        <v>45930</v>
      </c>
      <c r="T1634" t="s">
        <v>2662</v>
      </c>
      <c r="U1634" t="s">
        <v>6452</v>
      </c>
      <c r="V1634">
        <v>3</v>
      </c>
      <c r="W1634" t="s">
        <v>2671</v>
      </c>
      <c r="X1634">
        <v>1</v>
      </c>
      <c r="Y1634" t="s">
        <v>2683</v>
      </c>
      <c r="AA1634">
        <v>414165418502</v>
      </c>
      <c r="AB1634" t="s">
        <v>1569</v>
      </c>
      <c r="AC1634">
        <v>0</v>
      </c>
      <c r="AD1634">
        <v>10</v>
      </c>
      <c r="AE1634">
        <v>41416541850210</v>
      </c>
      <c r="AF1634" t="s">
        <v>6450</v>
      </c>
      <c r="AG1634">
        <v>1</v>
      </c>
      <c r="AH1634">
        <v>1</v>
      </c>
    </row>
    <row r="1635" spans="1:34">
      <c r="A1635">
        <v>2026</v>
      </c>
      <c r="B1635" s="1">
        <v>46082</v>
      </c>
      <c r="C1635" t="s">
        <v>2657</v>
      </c>
      <c r="D1635" t="s">
        <v>6453</v>
      </c>
      <c r="E1635" s="43">
        <v>46086.751657939814</v>
      </c>
      <c r="F1635" s="3">
        <v>46086</v>
      </c>
      <c r="G1635" s="43">
        <v>46090.815435671298</v>
      </c>
      <c r="H1635" t="s">
        <v>2668</v>
      </c>
      <c r="I1635" t="s">
        <v>2669</v>
      </c>
      <c r="J1635" t="s">
        <v>39</v>
      </c>
      <c r="L1635" t="s">
        <v>2336</v>
      </c>
      <c r="M1635">
        <v>1126409110002</v>
      </c>
      <c r="N1635" t="s">
        <v>2746</v>
      </c>
      <c r="O1635" s="1">
        <v>45930</v>
      </c>
      <c r="T1635" t="s">
        <v>2662</v>
      </c>
      <c r="U1635" t="s">
        <v>6454</v>
      </c>
      <c r="V1635">
        <v>2</v>
      </c>
      <c r="W1635" t="s">
        <v>2677</v>
      </c>
      <c r="X1635">
        <v>1</v>
      </c>
      <c r="Y1635" t="s">
        <v>2772</v>
      </c>
      <c r="AA1635">
        <v>414165418502</v>
      </c>
      <c r="AB1635" t="s">
        <v>1569</v>
      </c>
      <c r="AC1635">
        <v>0</v>
      </c>
      <c r="AD1635">
        <v>10</v>
      </c>
      <c r="AE1635">
        <v>41416541850210</v>
      </c>
      <c r="AF1635" t="s">
        <v>6450</v>
      </c>
      <c r="AG1635">
        <v>0</v>
      </c>
      <c r="AH1635">
        <v>0</v>
      </c>
    </row>
    <row r="1636" spans="1:34">
      <c r="A1636">
        <v>2026</v>
      </c>
      <c r="B1636" s="1">
        <v>46082</v>
      </c>
      <c r="C1636" t="s">
        <v>2657</v>
      </c>
      <c r="D1636" t="s">
        <v>6455</v>
      </c>
      <c r="E1636" s="43">
        <v>46093.568589571762</v>
      </c>
      <c r="F1636" s="3">
        <v>46093</v>
      </c>
      <c r="G1636" s="43">
        <v>46093.568589571762</v>
      </c>
      <c r="H1636" t="s">
        <v>2668</v>
      </c>
      <c r="I1636" t="s">
        <v>2681</v>
      </c>
      <c r="J1636" t="s">
        <v>39</v>
      </c>
      <c r="L1636" t="s">
        <v>2336</v>
      </c>
      <c r="M1636">
        <v>1126409110002</v>
      </c>
      <c r="N1636" t="s">
        <v>2746</v>
      </c>
      <c r="O1636" s="1">
        <v>45930</v>
      </c>
      <c r="T1636" t="s">
        <v>2798</v>
      </c>
      <c r="U1636" t="s">
        <v>6456</v>
      </c>
      <c r="V1636">
        <v>1</v>
      </c>
      <c r="W1636" t="s">
        <v>2671</v>
      </c>
      <c r="X1636">
        <v>0</v>
      </c>
      <c r="Y1636" t="s">
        <v>2692</v>
      </c>
      <c r="AA1636">
        <v>414165418502</v>
      </c>
      <c r="AB1636" t="s">
        <v>1569</v>
      </c>
      <c r="AC1636">
        <v>1</v>
      </c>
      <c r="AD1636">
        <v>11</v>
      </c>
      <c r="AE1636">
        <v>41416541850211</v>
      </c>
      <c r="AF1636" t="s">
        <v>6450</v>
      </c>
      <c r="AG1636">
        <v>0</v>
      </c>
      <c r="AH1636">
        <v>0</v>
      </c>
    </row>
    <row r="1637" spans="1:34">
      <c r="A1637">
        <v>2026</v>
      </c>
      <c r="B1637" s="1">
        <v>46082</v>
      </c>
      <c r="C1637" t="s">
        <v>2657</v>
      </c>
      <c r="D1637" t="s">
        <v>6457</v>
      </c>
      <c r="E1637" s="43">
        <v>46090.810008553242</v>
      </c>
      <c r="F1637" s="3">
        <v>46090</v>
      </c>
      <c r="G1637" s="43">
        <v>46090.810008553242</v>
      </c>
      <c r="H1637" t="s">
        <v>2668</v>
      </c>
      <c r="I1637" t="s">
        <v>2681</v>
      </c>
      <c r="J1637" t="s">
        <v>39</v>
      </c>
      <c r="L1637" t="s">
        <v>2336</v>
      </c>
      <c r="M1637">
        <v>1126409110002</v>
      </c>
      <c r="N1637" t="s">
        <v>2746</v>
      </c>
      <c r="O1637" s="1">
        <v>45930</v>
      </c>
      <c r="T1637" t="s">
        <v>2662</v>
      </c>
      <c r="U1637" t="s">
        <v>6458</v>
      </c>
      <c r="V1637">
        <v>0</v>
      </c>
      <c r="W1637" t="s">
        <v>2671</v>
      </c>
      <c r="X1637">
        <v>1</v>
      </c>
      <c r="Y1637" t="s">
        <v>2683</v>
      </c>
      <c r="AA1637">
        <v>414165418502</v>
      </c>
      <c r="AB1637" t="s">
        <v>1569</v>
      </c>
      <c r="AC1637">
        <v>0</v>
      </c>
      <c r="AD1637">
        <v>11</v>
      </c>
      <c r="AE1637">
        <v>41416541850211</v>
      </c>
      <c r="AF1637" t="s">
        <v>6450</v>
      </c>
      <c r="AG1637">
        <v>0</v>
      </c>
      <c r="AH1637">
        <v>0</v>
      </c>
    </row>
    <row r="1638" spans="1:34">
      <c r="A1638">
        <v>2026</v>
      </c>
      <c r="B1638" s="1">
        <v>46082</v>
      </c>
      <c r="C1638" t="s">
        <v>2657</v>
      </c>
      <c r="D1638" t="s">
        <v>6459</v>
      </c>
      <c r="E1638" s="43">
        <v>46090.599407349539</v>
      </c>
      <c r="F1638" s="3">
        <v>46090</v>
      </c>
      <c r="G1638" s="43">
        <v>46092.778963078701</v>
      </c>
      <c r="H1638" t="s">
        <v>2668</v>
      </c>
      <c r="I1638" t="s">
        <v>2681</v>
      </c>
      <c r="J1638" t="s">
        <v>39</v>
      </c>
      <c r="L1638" t="s">
        <v>2336</v>
      </c>
      <c r="M1638">
        <v>1126409110002</v>
      </c>
      <c r="N1638" t="s">
        <v>2746</v>
      </c>
      <c r="O1638" s="1">
        <v>45930</v>
      </c>
      <c r="T1638" t="s">
        <v>2662</v>
      </c>
      <c r="U1638" t="s">
        <v>6460</v>
      </c>
      <c r="V1638">
        <v>2</v>
      </c>
      <c r="W1638" t="s">
        <v>2671</v>
      </c>
      <c r="X1638">
        <v>1</v>
      </c>
      <c r="Y1638" t="s">
        <v>2683</v>
      </c>
      <c r="AA1638">
        <v>414165418502</v>
      </c>
      <c r="AB1638" t="s">
        <v>1569</v>
      </c>
      <c r="AC1638">
        <v>0</v>
      </c>
      <c r="AD1638">
        <v>11</v>
      </c>
      <c r="AE1638">
        <v>41416541850211</v>
      </c>
      <c r="AF1638" t="s">
        <v>6450</v>
      </c>
      <c r="AG1638">
        <v>1</v>
      </c>
      <c r="AH1638">
        <v>0</v>
      </c>
    </row>
    <row r="1639" spans="1:34">
      <c r="A1639">
        <v>2026</v>
      </c>
      <c r="B1639" s="1">
        <v>46082</v>
      </c>
      <c r="C1639" t="s">
        <v>2657</v>
      </c>
      <c r="D1639" t="s">
        <v>6461</v>
      </c>
      <c r="E1639" s="43">
        <v>46092.817679953703</v>
      </c>
      <c r="F1639" s="3">
        <v>46092</v>
      </c>
      <c r="G1639" s="43">
        <v>46092.817679953703</v>
      </c>
      <c r="H1639" t="s">
        <v>2668</v>
      </c>
      <c r="I1639" t="s">
        <v>2681</v>
      </c>
      <c r="J1639" t="s">
        <v>39</v>
      </c>
      <c r="L1639" t="s">
        <v>2336</v>
      </c>
      <c r="M1639">
        <v>1126409110002</v>
      </c>
      <c r="N1639" t="s">
        <v>2746</v>
      </c>
      <c r="O1639" s="1">
        <v>45930</v>
      </c>
      <c r="T1639" t="s">
        <v>2662</v>
      </c>
      <c r="U1639" t="s">
        <v>6462</v>
      </c>
      <c r="V1639">
        <v>0</v>
      </c>
      <c r="W1639" t="s">
        <v>2671</v>
      </c>
      <c r="X1639">
        <v>1</v>
      </c>
      <c r="Y1639" t="s">
        <v>2683</v>
      </c>
      <c r="AA1639">
        <v>414165418502</v>
      </c>
      <c r="AB1639" t="s">
        <v>1569</v>
      </c>
      <c r="AC1639">
        <v>0</v>
      </c>
      <c r="AD1639">
        <v>11</v>
      </c>
      <c r="AE1639">
        <v>41416541850211</v>
      </c>
      <c r="AF1639" t="s">
        <v>6450</v>
      </c>
      <c r="AG1639">
        <v>0</v>
      </c>
      <c r="AH1639">
        <v>0</v>
      </c>
    </row>
    <row r="1640" spans="1:34">
      <c r="A1640">
        <v>2025</v>
      </c>
      <c r="B1640" s="1">
        <v>45962</v>
      </c>
      <c r="C1640" t="s">
        <v>2657</v>
      </c>
      <c r="D1640" t="s">
        <v>6463</v>
      </c>
      <c r="E1640" s="43">
        <v>45975.882469502314</v>
      </c>
      <c r="F1640" s="3">
        <v>45975</v>
      </c>
      <c r="G1640" s="43">
        <v>45980.707384050926</v>
      </c>
      <c r="H1640" t="s">
        <v>2802</v>
      </c>
      <c r="I1640" t="s">
        <v>2681</v>
      </c>
      <c r="J1640" t="s">
        <v>36</v>
      </c>
      <c r="L1640" t="s">
        <v>2393</v>
      </c>
      <c r="M1640">
        <v>241002216802</v>
      </c>
      <c r="N1640" t="s">
        <v>2702</v>
      </c>
      <c r="O1640" s="1">
        <v>45411</v>
      </c>
      <c r="T1640" t="s">
        <v>2662</v>
      </c>
      <c r="U1640" t="s">
        <v>6464</v>
      </c>
      <c r="V1640">
        <v>3</v>
      </c>
      <c r="W1640" t="s">
        <v>2664</v>
      </c>
      <c r="X1640">
        <v>1</v>
      </c>
      <c r="Y1640" t="s">
        <v>2721</v>
      </c>
      <c r="AA1640">
        <v>241002216802</v>
      </c>
      <c r="AB1640" t="s">
        <v>1704</v>
      </c>
      <c r="AC1640">
        <v>0</v>
      </c>
      <c r="AD1640">
        <v>46</v>
      </c>
      <c r="AE1640">
        <v>24100221680246</v>
      </c>
      <c r="AF1640" t="s">
        <v>6465</v>
      </c>
      <c r="AG1640">
        <v>0</v>
      </c>
      <c r="AH1640">
        <v>0</v>
      </c>
    </row>
    <row r="1641" spans="1:34">
      <c r="A1641">
        <v>2025</v>
      </c>
      <c r="B1641" s="1">
        <v>45962</v>
      </c>
      <c r="C1641" t="s">
        <v>2657</v>
      </c>
      <c r="D1641" t="s">
        <v>6466</v>
      </c>
      <c r="E1641" s="43">
        <v>45973.780805196759</v>
      </c>
      <c r="F1641" s="3">
        <v>45973</v>
      </c>
      <c r="G1641" s="43">
        <v>45973.780805196759</v>
      </c>
      <c r="H1641" t="s">
        <v>2802</v>
      </c>
      <c r="I1641" t="s">
        <v>2681</v>
      </c>
      <c r="J1641" t="s">
        <v>36</v>
      </c>
      <c r="L1641" t="s">
        <v>2393</v>
      </c>
      <c r="M1641">
        <v>241002216802</v>
      </c>
      <c r="N1641" t="s">
        <v>2702</v>
      </c>
      <c r="O1641" s="1">
        <v>45411</v>
      </c>
      <c r="T1641" t="s">
        <v>2662</v>
      </c>
      <c r="U1641" t="s">
        <v>6467</v>
      </c>
      <c r="V1641">
        <v>0</v>
      </c>
      <c r="W1641" t="s">
        <v>2664</v>
      </c>
      <c r="X1641">
        <v>1</v>
      </c>
      <c r="Y1641" t="s">
        <v>2721</v>
      </c>
      <c r="AA1641">
        <v>241002216802</v>
      </c>
      <c r="AB1641" t="s">
        <v>1704</v>
      </c>
      <c r="AC1641">
        <v>0</v>
      </c>
      <c r="AD1641">
        <v>46</v>
      </c>
      <c r="AE1641">
        <v>24100221680246</v>
      </c>
      <c r="AF1641" t="s">
        <v>6465</v>
      </c>
      <c r="AG1641">
        <v>1</v>
      </c>
      <c r="AH1641">
        <v>1</v>
      </c>
    </row>
    <row r="1642" spans="1:34">
      <c r="A1642">
        <v>2025</v>
      </c>
      <c r="B1642" s="1">
        <v>45962</v>
      </c>
      <c r="C1642" t="s">
        <v>2657</v>
      </c>
      <c r="D1642" t="s">
        <v>6468</v>
      </c>
      <c r="E1642" s="43">
        <v>45967.554466898146</v>
      </c>
      <c r="F1642" s="3">
        <v>45967</v>
      </c>
      <c r="G1642" s="43">
        <v>45979.594537824072</v>
      </c>
      <c r="H1642" t="s">
        <v>2802</v>
      </c>
      <c r="I1642" t="s">
        <v>2669</v>
      </c>
      <c r="J1642" t="s">
        <v>38</v>
      </c>
      <c r="L1642" t="s">
        <v>2379</v>
      </c>
      <c r="M1642">
        <v>627010921602</v>
      </c>
      <c r="N1642" t="s">
        <v>2675</v>
      </c>
      <c r="O1642" s="1">
        <v>45503</v>
      </c>
      <c r="T1642" t="s">
        <v>2662</v>
      </c>
      <c r="U1642" t="s">
        <v>6469</v>
      </c>
      <c r="V1642">
        <v>8</v>
      </c>
      <c r="X1642">
        <v>1</v>
      </c>
      <c r="Y1642" t="s">
        <v>2672</v>
      </c>
      <c r="AA1642">
        <v>627010921602</v>
      </c>
      <c r="AB1642" t="s">
        <v>1204</v>
      </c>
      <c r="AC1642">
        <v>0</v>
      </c>
      <c r="AD1642">
        <v>45</v>
      </c>
      <c r="AE1642">
        <v>62701092160245</v>
      </c>
      <c r="AF1642" t="s">
        <v>6470</v>
      </c>
      <c r="AG1642">
        <v>0</v>
      </c>
      <c r="AH1642">
        <v>0</v>
      </c>
    </row>
    <row r="1643" spans="1:34">
      <c r="A1643">
        <v>2025</v>
      </c>
      <c r="B1643" s="1">
        <v>45962</v>
      </c>
      <c r="C1643" t="s">
        <v>2657</v>
      </c>
      <c r="D1643" t="s">
        <v>6471</v>
      </c>
      <c r="E1643" s="43">
        <v>45966.609378703703</v>
      </c>
      <c r="F1643" s="3">
        <v>45966</v>
      </c>
      <c r="G1643" s="43">
        <v>45966.609378703703</v>
      </c>
      <c r="H1643" t="s">
        <v>2802</v>
      </c>
      <c r="I1643" t="s">
        <v>2669</v>
      </c>
      <c r="J1643" t="s">
        <v>38</v>
      </c>
      <c r="L1643" t="s">
        <v>2379</v>
      </c>
      <c r="M1643">
        <v>627010921602</v>
      </c>
      <c r="N1643" t="s">
        <v>2675</v>
      </c>
      <c r="O1643" s="1">
        <v>45503</v>
      </c>
      <c r="T1643" t="s">
        <v>2662</v>
      </c>
      <c r="U1643" t="s">
        <v>6472</v>
      </c>
      <c r="V1643">
        <v>0</v>
      </c>
      <c r="W1643" t="s">
        <v>2677</v>
      </c>
      <c r="X1643">
        <v>1</v>
      </c>
      <c r="Y1643" t="s">
        <v>2779</v>
      </c>
      <c r="AA1643">
        <v>627010921602</v>
      </c>
      <c r="AB1643" t="s">
        <v>1204</v>
      </c>
      <c r="AC1643">
        <v>0</v>
      </c>
      <c r="AD1643">
        <v>45</v>
      </c>
      <c r="AE1643">
        <v>62701092160245</v>
      </c>
      <c r="AF1643" t="s">
        <v>6470</v>
      </c>
      <c r="AG1643">
        <v>1</v>
      </c>
      <c r="AH1643">
        <v>1</v>
      </c>
    </row>
    <row r="1644" spans="1:34">
      <c r="A1644">
        <v>2025</v>
      </c>
      <c r="B1644" s="1">
        <v>45962</v>
      </c>
      <c r="C1644" t="s">
        <v>2657</v>
      </c>
      <c r="D1644" t="s">
        <v>6473</v>
      </c>
      <c r="E1644" s="43">
        <v>45974.775092175929</v>
      </c>
      <c r="F1644" s="3">
        <v>45974</v>
      </c>
      <c r="G1644" s="43">
        <v>45979.594406736112</v>
      </c>
      <c r="H1644" t="s">
        <v>2802</v>
      </c>
      <c r="I1644" t="s">
        <v>2681</v>
      </c>
      <c r="J1644" t="s">
        <v>38</v>
      </c>
      <c r="L1644" t="s">
        <v>2379</v>
      </c>
      <c r="M1644">
        <v>627010921602</v>
      </c>
      <c r="N1644" t="s">
        <v>2675</v>
      </c>
      <c r="O1644" s="1">
        <v>45503</v>
      </c>
      <c r="T1644" t="s">
        <v>2662</v>
      </c>
      <c r="U1644" t="s">
        <v>6474</v>
      </c>
      <c r="V1644">
        <v>3</v>
      </c>
      <c r="W1644" t="s">
        <v>2671</v>
      </c>
      <c r="X1644">
        <v>1</v>
      </c>
      <c r="Y1644" t="s">
        <v>2683</v>
      </c>
      <c r="Z1644" t="s">
        <v>2684</v>
      </c>
      <c r="AA1644">
        <v>627010921602</v>
      </c>
      <c r="AB1644" t="s">
        <v>1204</v>
      </c>
      <c r="AC1644">
        <v>0</v>
      </c>
      <c r="AD1644">
        <v>46</v>
      </c>
      <c r="AE1644">
        <v>62701092160246</v>
      </c>
      <c r="AF1644" t="s">
        <v>6470</v>
      </c>
      <c r="AG1644">
        <v>1</v>
      </c>
      <c r="AH1644">
        <v>0</v>
      </c>
    </row>
    <row r="1645" spans="1:34">
      <c r="A1645">
        <v>2026</v>
      </c>
      <c r="B1645" s="1">
        <v>46054</v>
      </c>
      <c r="C1645" t="s">
        <v>2657</v>
      </c>
      <c r="D1645" t="s">
        <v>6475</v>
      </c>
      <c r="E1645" s="43">
        <v>46057.882303124999</v>
      </c>
      <c r="F1645" s="3">
        <v>46057</v>
      </c>
      <c r="G1645" s="43">
        <v>46057.882303124999</v>
      </c>
      <c r="H1645" t="s">
        <v>2725</v>
      </c>
      <c r="I1645" t="s">
        <v>2669</v>
      </c>
      <c r="J1645" t="s">
        <v>38</v>
      </c>
      <c r="L1645" t="s">
        <v>2342</v>
      </c>
      <c r="M1645">
        <v>22445894402</v>
      </c>
      <c r="N1645" t="s">
        <v>2702</v>
      </c>
      <c r="O1645" s="1">
        <v>45294</v>
      </c>
      <c r="T1645" t="s">
        <v>2662</v>
      </c>
      <c r="U1645" t="s">
        <v>6476</v>
      </c>
      <c r="V1645">
        <v>0</v>
      </c>
      <c r="W1645" t="s">
        <v>2664</v>
      </c>
      <c r="X1645">
        <v>1</v>
      </c>
      <c r="Y1645" t="s">
        <v>2710</v>
      </c>
      <c r="AA1645">
        <v>22445894402</v>
      </c>
      <c r="AB1645" t="s">
        <v>573</v>
      </c>
      <c r="AC1645">
        <v>0</v>
      </c>
      <c r="AD1645">
        <v>6</v>
      </c>
      <c r="AE1645">
        <v>224458944026</v>
      </c>
      <c r="AF1645" t="s">
        <v>6477</v>
      </c>
      <c r="AG1645">
        <v>1</v>
      </c>
      <c r="AH1645">
        <v>1</v>
      </c>
    </row>
    <row r="1646" spans="1:34">
      <c r="A1646">
        <v>2026</v>
      </c>
      <c r="B1646" s="1">
        <v>46082</v>
      </c>
      <c r="C1646" t="s">
        <v>2657</v>
      </c>
      <c r="D1646" t="s">
        <v>6478</v>
      </c>
      <c r="E1646" s="43">
        <v>46083.73069733796</v>
      </c>
      <c r="F1646" s="3">
        <v>46083</v>
      </c>
      <c r="G1646" s="43">
        <v>46084.663567847223</v>
      </c>
      <c r="H1646" t="s">
        <v>2668</v>
      </c>
      <c r="I1646" t="s">
        <v>2669</v>
      </c>
      <c r="J1646" t="s">
        <v>39</v>
      </c>
      <c r="L1646" t="s">
        <v>2353</v>
      </c>
      <c r="M1646">
        <v>355214089002</v>
      </c>
      <c r="N1646" t="s">
        <v>2675</v>
      </c>
      <c r="O1646" s="1">
        <v>45661</v>
      </c>
      <c r="T1646" t="s">
        <v>2662</v>
      </c>
      <c r="U1646" t="s">
        <v>6479</v>
      </c>
      <c r="V1646">
        <v>1</v>
      </c>
      <c r="W1646" t="s">
        <v>2704</v>
      </c>
      <c r="X1646">
        <v>1</v>
      </c>
      <c r="Y1646" t="s">
        <v>2931</v>
      </c>
      <c r="AA1646">
        <v>355214089002</v>
      </c>
      <c r="AB1646" t="s">
        <v>101</v>
      </c>
      <c r="AC1646">
        <v>1</v>
      </c>
      <c r="AD1646">
        <v>10</v>
      </c>
      <c r="AE1646">
        <v>35521408900210</v>
      </c>
      <c r="AF1646" t="s">
        <v>6480</v>
      </c>
      <c r="AG1646">
        <v>1</v>
      </c>
      <c r="AH1646">
        <v>1</v>
      </c>
    </row>
    <row r="1647" spans="1:34">
      <c r="A1647">
        <v>2025</v>
      </c>
      <c r="B1647" s="1">
        <v>45931</v>
      </c>
      <c r="C1647" t="s">
        <v>2657</v>
      </c>
      <c r="D1647" t="s">
        <v>6481</v>
      </c>
      <c r="E1647" s="43">
        <v>45938.716502372685</v>
      </c>
      <c r="F1647" s="3">
        <v>45938</v>
      </c>
      <c r="G1647" s="43">
        <v>45947.684478900461</v>
      </c>
      <c r="H1647" t="s">
        <v>2659</v>
      </c>
      <c r="I1647" t="s">
        <v>2681</v>
      </c>
      <c r="J1647" t="s">
        <v>38</v>
      </c>
      <c r="L1647" t="s">
        <v>2381</v>
      </c>
      <c r="M1647">
        <v>183456830502</v>
      </c>
      <c r="N1647" t="s">
        <v>2702</v>
      </c>
      <c r="O1647" s="1">
        <v>45661</v>
      </c>
      <c r="T1647" t="s">
        <v>2662</v>
      </c>
      <c r="U1647" t="s">
        <v>6482</v>
      </c>
      <c r="V1647">
        <v>7</v>
      </c>
      <c r="W1647" t="s">
        <v>2743</v>
      </c>
      <c r="X1647">
        <v>1</v>
      </c>
      <c r="Y1647" t="s">
        <v>2699</v>
      </c>
      <c r="AA1647">
        <v>183456830502</v>
      </c>
      <c r="AB1647" t="s">
        <v>1466</v>
      </c>
      <c r="AC1647">
        <v>0</v>
      </c>
      <c r="AD1647">
        <v>41</v>
      </c>
      <c r="AE1647">
        <v>18345683050241</v>
      </c>
      <c r="AF1647" t="s">
        <v>6483</v>
      </c>
      <c r="AG1647">
        <v>1</v>
      </c>
      <c r="AH1647">
        <v>1</v>
      </c>
    </row>
    <row r="1648" spans="1:34">
      <c r="A1648">
        <v>2025</v>
      </c>
      <c r="B1648" s="1">
        <v>45931</v>
      </c>
      <c r="C1648" t="s">
        <v>2657</v>
      </c>
      <c r="D1648" t="s">
        <v>6484</v>
      </c>
      <c r="E1648" s="43">
        <v>45947.893557581017</v>
      </c>
      <c r="F1648" s="3">
        <v>45947</v>
      </c>
      <c r="G1648" s="43">
        <v>45947.893557581017</v>
      </c>
      <c r="H1648" t="s">
        <v>2659</v>
      </c>
      <c r="I1648" t="s">
        <v>2719</v>
      </c>
      <c r="J1648" t="s">
        <v>100</v>
      </c>
      <c r="L1648" t="s">
        <v>2381</v>
      </c>
      <c r="M1648">
        <v>183456830502</v>
      </c>
      <c r="N1648" t="s">
        <v>2702</v>
      </c>
      <c r="O1648" s="1">
        <v>45661</v>
      </c>
      <c r="T1648" t="s">
        <v>2662</v>
      </c>
      <c r="U1648" t="s">
        <v>6485</v>
      </c>
      <c r="V1648">
        <v>0</v>
      </c>
      <c r="W1648" t="s">
        <v>2743</v>
      </c>
      <c r="X1648">
        <v>1</v>
      </c>
      <c r="Y1648" t="s">
        <v>2699</v>
      </c>
      <c r="AA1648">
        <v>183456830502</v>
      </c>
      <c r="AB1648" t="s">
        <v>1466</v>
      </c>
      <c r="AC1648">
        <v>0</v>
      </c>
      <c r="AD1648">
        <v>42</v>
      </c>
      <c r="AE1648">
        <v>18345683050242</v>
      </c>
      <c r="AF1648" t="s">
        <v>6483</v>
      </c>
      <c r="AG1648">
        <v>1</v>
      </c>
      <c r="AH1648">
        <v>0</v>
      </c>
    </row>
    <row r="1649" spans="1:34">
      <c r="A1649">
        <v>2025</v>
      </c>
      <c r="B1649" s="1">
        <v>45931</v>
      </c>
      <c r="C1649" t="s">
        <v>2657</v>
      </c>
      <c r="D1649" t="s">
        <v>6486</v>
      </c>
      <c r="E1649" s="43">
        <v>45951.741261435185</v>
      </c>
      <c r="F1649" s="3">
        <v>45951</v>
      </c>
      <c r="G1649" s="43">
        <v>45951.832728668982</v>
      </c>
      <c r="H1649" t="s">
        <v>2659</v>
      </c>
      <c r="I1649" t="s">
        <v>2719</v>
      </c>
      <c r="J1649" t="s">
        <v>100</v>
      </c>
      <c r="L1649" t="s">
        <v>2381</v>
      </c>
      <c r="M1649">
        <v>183456830502</v>
      </c>
      <c r="N1649" t="s">
        <v>2702</v>
      </c>
      <c r="O1649" s="1">
        <v>45661</v>
      </c>
      <c r="T1649" t="s">
        <v>2662</v>
      </c>
      <c r="U1649" t="s">
        <v>6487</v>
      </c>
      <c r="V1649">
        <v>0</v>
      </c>
      <c r="W1649" t="s">
        <v>2743</v>
      </c>
      <c r="X1649">
        <v>1</v>
      </c>
      <c r="Y1649" t="s">
        <v>2699</v>
      </c>
      <c r="AA1649">
        <v>183456830502</v>
      </c>
      <c r="AB1649" t="s">
        <v>1466</v>
      </c>
      <c r="AC1649">
        <v>0</v>
      </c>
      <c r="AD1649">
        <v>43</v>
      </c>
      <c r="AE1649">
        <v>18345683050243</v>
      </c>
      <c r="AF1649" t="s">
        <v>6483</v>
      </c>
      <c r="AG1649">
        <v>0</v>
      </c>
      <c r="AH1649">
        <v>0</v>
      </c>
    </row>
    <row r="1650" spans="1:34">
      <c r="A1650">
        <v>2025</v>
      </c>
      <c r="B1650" s="1">
        <v>45931</v>
      </c>
      <c r="C1650" t="s">
        <v>2657</v>
      </c>
      <c r="D1650" t="s">
        <v>6488</v>
      </c>
      <c r="E1650" s="43">
        <v>45950.755890208333</v>
      </c>
      <c r="F1650" s="3">
        <v>45950</v>
      </c>
      <c r="G1650" s="43">
        <v>46079.747241226854</v>
      </c>
      <c r="H1650" t="s">
        <v>2659</v>
      </c>
      <c r="I1650" t="s">
        <v>2719</v>
      </c>
      <c r="J1650" t="s">
        <v>100</v>
      </c>
      <c r="L1650" t="s">
        <v>2381</v>
      </c>
      <c r="M1650">
        <v>183456830502</v>
      </c>
      <c r="N1650" t="s">
        <v>2702</v>
      </c>
      <c r="O1650" s="1">
        <v>45661</v>
      </c>
      <c r="T1650" t="s">
        <v>2798</v>
      </c>
      <c r="U1650" t="s">
        <v>6489</v>
      </c>
      <c r="V1650">
        <v>104</v>
      </c>
      <c r="W1650" t="s">
        <v>2743</v>
      </c>
      <c r="X1650">
        <v>0</v>
      </c>
      <c r="Y1650" t="s">
        <v>2699</v>
      </c>
      <c r="AA1650">
        <v>183456830502</v>
      </c>
      <c r="AB1650" t="s">
        <v>1466</v>
      </c>
      <c r="AC1650">
        <v>0</v>
      </c>
      <c r="AD1650">
        <v>43</v>
      </c>
      <c r="AE1650">
        <v>18345683050243</v>
      </c>
      <c r="AF1650" t="s">
        <v>6483</v>
      </c>
      <c r="AG1650">
        <v>1</v>
      </c>
      <c r="AH1650">
        <v>0</v>
      </c>
    </row>
    <row r="1651" spans="1:34">
      <c r="A1651">
        <v>2025</v>
      </c>
      <c r="B1651" s="1">
        <v>45931</v>
      </c>
      <c r="C1651" t="s">
        <v>2657</v>
      </c>
      <c r="D1651" t="s">
        <v>6490</v>
      </c>
      <c r="E1651" s="43">
        <v>45959.621696793984</v>
      </c>
      <c r="F1651" s="3">
        <v>45959</v>
      </c>
      <c r="G1651" s="43">
        <v>45964.799602013889</v>
      </c>
      <c r="H1651" t="s">
        <v>2659</v>
      </c>
      <c r="I1651" t="s">
        <v>2697</v>
      </c>
      <c r="J1651" t="s">
        <v>100</v>
      </c>
      <c r="L1651" t="s">
        <v>2381</v>
      </c>
      <c r="M1651">
        <v>183456830502</v>
      </c>
      <c r="N1651" t="s">
        <v>2702</v>
      </c>
      <c r="O1651" s="1">
        <v>45661</v>
      </c>
      <c r="T1651" t="s">
        <v>2662</v>
      </c>
      <c r="U1651" t="s">
        <v>6491</v>
      </c>
      <c r="V1651">
        <v>3</v>
      </c>
      <c r="W1651" t="s">
        <v>2743</v>
      </c>
      <c r="X1651">
        <v>1</v>
      </c>
      <c r="Y1651" t="s">
        <v>2699</v>
      </c>
      <c r="AA1651">
        <v>183456830502</v>
      </c>
      <c r="AB1651" t="s">
        <v>1466</v>
      </c>
      <c r="AC1651">
        <v>0</v>
      </c>
      <c r="AD1651">
        <v>44</v>
      </c>
      <c r="AE1651">
        <v>18345683050244</v>
      </c>
      <c r="AF1651" t="s">
        <v>6483</v>
      </c>
      <c r="AG1651">
        <v>1</v>
      </c>
      <c r="AH1651">
        <v>0</v>
      </c>
    </row>
    <row r="1652" spans="1:34">
      <c r="A1652">
        <v>2025</v>
      </c>
      <c r="B1652" s="1">
        <v>45992</v>
      </c>
      <c r="C1652" t="s">
        <v>2657</v>
      </c>
      <c r="D1652" t="s">
        <v>6492</v>
      </c>
      <c r="E1652" s="43">
        <v>45995.504727118052</v>
      </c>
      <c r="F1652" s="3">
        <v>45995</v>
      </c>
      <c r="G1652" s="43">
        <v>45995.740856944445</v>
      </c>
      <c r="H1652" t="s">
        <v>2686</v>
      </c>
      <c r="I1652" t="s">
        <v>2669</v>
      </c>
      <c r="J1652" t="s">
        <v>2735</v>
      </c>
      <c r="L1652" t="s">
        <v>2362</v>
      </c>
      <c r="M1652">
        <v>301429377802</v>
      </c>
      <c r="N1652" t="s">
        <v>2746</v>
      </c>
      <c r="O1652" s="1">
        <v>45669</v>
      </c>
      <c r="T1652" t="s">
        <v>2662</v>
      </c>
      <c r="U1652" t="s">
        <v>6493</v>
      </c>
      <c r="V1652">
        <v>0</v>
      </c>
      <c r="W1652" t="s">
        <v>2704</v>
      </c>
      <c r="X1652">
        <v>1</v>
      </c>
      <c r="Y1652" t="s">
        <v>2721</v>
      </c>
      <c r="AA1652">
        <v>301429377802</v>
      </c>
      <c r="AB1652" t="s">
        <v>1868</v>
      </c>
      <c r="AC1652">
        <v>0</v>
      </c>
      <c r="AD1652">
        <v>49</v>
      </c>
      <c r="AE1652">
        <v>30142937780249</v>
      </c>
      <c r="AF1652" t="s">
        <v>6494</v>
      </c>
      <c r="AG1652">
        <v>1</v>
      </c>
      <c r="AH1652">
        <v>1</v>
      </c>
    </row>
    <row r="1653" spans="1:34">
      <c r="A1653">
        <v>2025</v>
      </c>
      <c r="B1653" s="1">
        <v>45992</v>
      </c>
      <c r="C1653" t="s">
        <v>2657</v>
      </c>
      <c r="D1653" t="s">
        <v>6495</v>
      </c>
      <c r="E1653" s="43">
        <v>46002.561867604163</v>
      </c>
      <c r="F1653" s="3">
        <v>46002</v>
      </c>
      <c r="G1653" s="43">
        <v>46005.578014942126</v>
      </c>
      <c r="H1653" t="s">
        <v>2686</v>
      </c>
      <c r="I1653" t="s">
        <v>2681</v>
      </c>
      <c r="J1653" t="s">
        <v>2735</v>
      </c>
      <c r="L1653" t="s">
        <v>2362</v>
      </c>
      <c r="M1653">
        <v>301429377802</v>
      </c>
      <c r="N1653" t="s">
        <v>2746</v>
      </c>
      <c r="O1653" s="1">
        <v>45669</v>
      </c>
      <c r="T1653" t="s">
        <v>2662</v>
      </c>
      <c r="U1653" t="s">
        <v>6496</v>
      </c>
      <c r="V1653">
        <v>1</v>
      </c>
      <c r="W1653" t="s">
        <v>2743</v>
      </c>
      <c r="X1653">
        <v>1</v>
      </c>
      <c r="Y1653" t="s">
        <v>2721</v>
      </c>
      <c r="AA1653">
        <v>301429377802</v>
      </c>
      <c r="AB1653" t="s">
        <v>1868</v>
      </c>
      <c r="AC1653">
        <v>0</v>
      </c>
      <c r="AD1653">
        <v>50</v>
      </c>
      <c r="AE1653">
        <v>30142937780250</v>
      </c>
      <c r="AF1653" t="s">
        <v>6494</v>
      </c>
      <c r="AG1653">
        <v>1</v>
      </c>
      <c r="AH1653">
        <v>0</v>
      </c>
    </row>
    <row r="1654" spans="1:34">
      <c r="A1654">
        <v>2025</v>
      </c>
      <c r="B1654" s="1">
        <v>45992</v>
      </c>
      <c r="C1654" t="s">
        <v>2657</v>
      </c>
      <c r="D1654" t="s">
        <v>6497</v>
      </c>
      <c r="E1654" s="43">
        <v>46009.548695798614</v>
      </c>
      <c r="F1654" s="3">
        <v>46009</v>
      </c>
      <c r="G1654" s="43">
        <v>46009.548695798614</v>
      </c>
      <c r="H1654" t="s">
        <v>2686</v>
      </c>
      <c r="I1654" t="s">
        <v>2719</v>
      </c>
      <c r="J1654" t="s">
        <v>2735</v>
      </c>
      <c r="L1654" t="s">
        <v>2362</v>
      </c>
      <c r="M1654">
        <v>301429377802</v>
      </c>
      <c r="N1654" t="s">
        <v>2746</v>
      </c>
      <c r="O1654" s="1">
        <v>45669</v>
      </c>
      <c r="T1654" t="s">
        <v>2662</v>
      </c>
      <c r="U1654" t="s">
        <v>6498</v>
      </c>
      <c r="V1654">
        <v>0</v>
      </c>
      <c r="W1654" t="s">
        <v>2704</v>
      </c>
      <c r="X1654">
        <v>1</v>
      </c>
      <c r="Y1654" t="s">
        <v>2695</v>
      </c>
      <c r="AA1654">
        <v>301429377802</v>
      </c>
      <c r="AB1654" t="s">
        <v>1868</v>
      </c>
      <c r="AC1654">
        <v>0</v>
      </c>
      <c r="AD1654">
        <v>51</v>
      </c>
      <c r="AE1654">
        <v>30142937780251</v>
      </c>
      <c r="AF1654" t="s">
        <v>6494</v>
      </c>
      <c r="AG1654">
        <v>1</v>
      </c>
      <c r="AH1654">
        <v>0</v>
      </c>
    </row>
    <row r="1655" spans="1:34">
      <c r="A1655">
        <v>2025</v>
      </c>
      <c r="B1655" s="1">
        <v>45992</v>
      </c>
      <c r="C1655" t="s">
        <v>2657</v>
      </c>
      <c r="D1655" t="s">
        <v>6499</v>
      </c>
      <c r="E1655" s="43">
        <v>45992.613739641201</v>
      </c>
      <c r="F1655" s="3">
        <v>45992</v>
      </c>
      <c r="G1655" s="43">
        <v>46003.811127395835</v>
      </c>
      <c r="H1655" t="s">
        <v>2686</v>
      </c>
      <c r="I1655" t="s">
        <v>2669</v>
      </c>
      <c r="J1655" t="s">
        <v>2735</v>
      </c>
      <c r="L1655" t="s">
        <v>2362</v>
      </c>
      <c r="M1655">
        <v>58401384302</v>
      </c>
      <c r="N1655" t="s">
        <v>2746</v>
      </c>
      <c r="O1655" s="1">
        <v>45680</v>
      </c>
      <c r="T1655" t="s">
        <v>2662</v>
      </c>
      <c r="U1655" t="s">
        <v>6500</v>
      </c>
      <c r="V1655">
        <v>9</v>
      </c>
      <c r="W1655" t="s">
        <v>2664</v>
      </c>
      <c r="X1655">
        <v>1</v>
      </c>
      <c r="Y1655" t="s">
        <v>2665</v>
      </c>
      <c r="Z1655" t="s">
        <v>2834</v>
      </c>
      <c r="AA1655">
        <v>58401384302</v>
      </c>
      <c r="AB1655" t="s">
        <v>1152</v>
      </c>
      <c r="AC1655">
        <v>0</v>
      </c>
      <c r="AD1655">
        <v>49</v>
      </c>
      <c r="AE1655">
        <v>5840138430249</v>
      </c>
      <c r="AF1655" t="s">
        <v>6501</v>
      </c>
      <c r="AG1655">
        <v>1</v>
      </c>
      <c r="AH1655">
        <v>1</v>
      </c>
    </row>
    <row r="1656" spans="1:34">
      <c r="A1656">
        <v>2026</v>
      </c>
      <c r="B1656" s="1">
        <v>46023</v>
      </c>
      <c r="C1656" t="s">
        <v>2657</v>
      </c>
      <c r="D1656" t="s">
        <v>6502</v>
      </c>
      <c r="E1656" s="43">
        <v>46028.805043912034</v>
      </c>
      <c r="F1656" s="3">
        <v>46028</v>
      </c>
      <c r="G1656" s="43">
        <v>46034.828624930553</v>
      </c>
      <c r="H1656" t="s">
        <v>2701</v>
      </c>
      <c r="I1656" t="s">
        <v>2669</v>
      </c>
      <c r="J1656" t="s">
        <v>38</v>
      </c>
      <c r="L1656" t="s">
        <v>2342</v>
      </c>
      <c r="M1656">
        <v>20208037402</v>
      </c>
      <c r="N1656" t="s">
        <v>2702</v>
      </c>
      <c r="O1656" s="1">
        <v>45294</v>
      </c>
      <c r="T1656" t="s">
        <v>2662</v>
      </c>
      <c r="U1656" t="s">
        <v>6503</v>
      </c>
      <c r="V1656">
        <v>4</v>
      </c>
      <c r="W1656" t="s">
        <v>2677</v>
      </c>
      <c r="X1656">
        <v>1</v>
      </c>
      <c r="Y1656" t="s">
        <v>2807</v>
      </c>
      <c r="Z1656" t="s">
        <v>2684</v>
      </c>
      <c r="AA1656">
        <v>20208037402</v>
      </c>
      <c r="AB1656" t="s">
        <v>1678</v>
      </c>
      <c r="AC1656">
        <v>0</v>
      </c>
      <c r="AD1656">
        <v>2</v>
      </c>
      <c r="AE1656">
        <v>202080374022</v>
      </c>
      <c r="AF1656" t="s">
        <v>6504</v>
      </c>
      <c r="AG1656">
        <v>1</v>
      </c>
      <c r="AH1656">
        <v>1</v>
      </c>
    </row>
    <row r="1657" spans="1:34">
      <c r="A1657">
        <v>2026</v>
      </c>
      <c r="B1657" s="1">
        <v>46054</v>
      </c>
      <c r="C1657" t="s">
        <v>2657</v>
      </c>
      <c r="D1657" t="s">
        <v>6505</v>
      </c>
      <c r="E1657" s="43">
        <v>46073.681381273149</v>
      </c>
      <c r="F1657" s="3">
        <v>46073</v>
      </c>
      <c r="G1657" s="43">
        <v>46073.681381273149</v>
      </c>
      <c r="H1657" t="s">
        <v>2725</v>
      </c>
      <c r="I1657" t="s">
        <v>2719</v>
      </c>
      <c r="J1657" t="s">
        <v>100</v>
      </c>
      <c r="L1657" t="s">
        <v>2353</v>
      </c>
      <c r="M1657">
        <v>69746651</v>
      </c>
      <c r="N1657" t="s">
        <v>2675</v>
      </c>
      <c r="O1657" s="1">
        <v>45294</v>
      </c>
      <c r="T1657" t="s">
        <v>2798</v>
      </c>
      <c r="U1657" t="s">
        <v>6506</v>
      </c>
      <c r="V1657">
        <v>15</v>
      </c>
      <c r="W1657" t="s">
        <v>2704</v>
      </c>
      <c r="X1657">
        <v>0</v>
      </c>
      <c r="Y1657" t="s">
        <v>2717</v>
      </c>
      <c r="AA1657">
        <v>69746651</v>
      </c>
      <c r="AB1657" t="s">
        <v>944</v>
      </c>
      <c r="AC1657">
        <v>1</v>
      </c>
      <c r="AD1657">
        <v>8</v>
      </c>
      <c r="AE1657">
        <v>697466518</v>
      </c>
      <c r="AF1657" t="s">
        <v>6507</v>
      </c>
      <c r="AG1657">
        <v>1</v>
      </c>
      <c r="AH1657">
        <v>1</v>
      </c>
    </row>
    <row r="1658" spans="1:34">
      <c r="A1658">
        <v>2025</v>
      </c>
      <c r="B1658" s="1">
        <v>45870</v>
      </c>
      <c r="C1658" t="s">
        <v>2657</v>
      </c>
      <c r="D1658" t="s">
        <v>6508</v>
      </c>
      <c r="E1658" s="43">
        <v>45890.770721759262</v>
      </c>
      <c r="F1658" s="3">
        <v>45890</v>
      </c>
      <c r="G1658" s="43">
        <v>45891.609155659724</v>
      </c>
      <c r="H1658" t="s">
        <v>3088</v>
      </c>
      <c r="I1658" t="s">
        <v>2719</v>
      </c>
      <c r="J1658" t="s">
        <v>38</v>
      </c>
      <c r="L1658" t="s">
        <v>2351</v>
      </c>
      <c r="M1658">
        <v>219314571102</v>
      </c>
      <c r="N1658" t="s">
        <v>2661</v>
      </c>
      <c r="O1658" s="1">
        <v>45835</v>
      </c>
      <c r="T1658" t="s">
        <v>2662</v>
      </c>
      <c r="U1658" t="s">
        <v>6509</v>
      </c>
      <c r="V1658">
        <v>1</v>
      </c>
      <c r="W1658" t="s">
        <v>2671</v>
      </c>
      <c r="X1658">
        <v>1</v>
      </c>
      <c r="Y1658" t="s">
        <v>2699</v>
      </c>
      <c r="AA1658">
        <v>551856008602</v>
      </c>
      <c r="AB1658" t="s">
        <v>1248</v>
      </c>
      <c r="AC1658">
        <v>0</v>
      </c>
      <c r="AD1658">
        <v>34</v>
      </c>
      <c r="AE1658">
        <v>55185600860234</v>
      </c>
      <c r="AF1658" t="s">
        <v>6510</v>
      </c>
      <c r="AG1658">
        <v>1</v>
      </c>
      <c r="AH1658">
        <v>1</v>
      </c>
    </row>
    <row r="1659" spans="1:34">
      <c r="A1659">
        <v>2026</v>
      </c>
      <c r="B1659" s="1">
        <v>46054</v>
      </c>
      <c r="C1659" t="s">
        <v>2657</v>
      </c>
      <c r="D1659" t="s">
        <v>6511</v>
      </c>
      <c r="E1659" s="43">
        <v>46062.819243101854</v>
      </c>
      <c r="F1659" s="3">
        <v>46062</v>
      </c>
      <c r="G1659" s="43">
        <v>46064.512660590277</v>
      </c>
      <c r="H1659" t="s">
        <v>2725</v>
      </c>
      <c r="I1659" t="s">
        <v>2681</v>
      </c>
      <c r="J1659" t="s">
        <v>37</v>
      </c>
      <c r="L1659" t="s">
        <v>2344</v>
      </c>
      <c r="M1659">
        <v>125288528002</v>
      </c>
      <c r="N1659" t="s">
        <v>2661</v>
      </c>
      <c r="O1659" s="1">
        <v>45884</v>
      </c>
      <c r="T1659" t="s">
        <v>2662</v>
      </c>
      <c r="U1659" t="s">
        <v>6512</v>
      </c>
      <c r="V1659">
        <v>2</v>
      </c>
      <c r="X1659">
        <v>1</v>
      </c>
      <c r="Y1659" t="s">
        <v>2721</v>
      </c>
      <c r="AA1659">
        <v>125288528002</v>
      </c>
      <c r="AB1659" t="s">
        <v>668</v>
      </c>
      <c r="AC1659">
        <v>0</v>
      </c>
      <c r="AD1659">
        <v>7</v>
      </c>
      <c r="AE1659">
        <v>1252885280027</v>
      </c>
      <c r="AF1659" t="s">
        <v>6513</v>
      </c>
      <c r="AG1659">
        <v>1</v>
      </c>
      <c r="AH1659">
        <v>1</v>
      </c>
    </row>
    <row r="1660" spans="1:34">
      <c r="A1660">
        <v>2026</v>
      </c>
      <c r="B1660" s="1">
        <v>46054</v>
      </c>
      <c r="C1660" t="s">
        <v>2657</v>
      </c>
      <c r="D1660" s="44" t="s">
        <v>6514</v>
      </c>
      <c r="E1660" s="43">
        <v>46076.72438216435</v>
      </c>
      <c r="F1660" s="3">
        <v>46076</v>
      </c>
      <c r="G1660" s="43">
        <v>46078.601917627311</v>
      </c>
      <c r="H1660" t="s">
        <v>2725</v>
      </c>
      <c r="I1660" t="s">
        <v>2660</v>
      </c>
      <c r="J1660" t="s">
        <v>37</v>
      </c>
      <c r="L1660" t="s">
        <v>2344</v>
      </c>
      <c r="M1660">
        <v>125288528002</v>
      </c>
      <c r="N1660" t="s">
        <v>2661</v>
      </c>
      <c r="O1660" s="1">
        <v>45884</v>
      </c>
      <c r="T1660" t="s">
        <v>2662</v>
      </c>
      <c r="U1660" t="s">
        <v>6515</v>
      </c>
      <c r="V1660">
        <v>2</v>
      </c>
      <c r="W1660" t="s">
        <v>2985</v>
      </c>
      <c r="X1660">
        <v>1</v>
      </c>
      <c r="Y1660" t="s">
        <v>2985</v>
      </c>
      <c r="AA1660">
        <v>125288528002</v>
      </c>
      <c r="AB1660" t="s">
        <v>668</v>
      </c>
      <c r="AC1660">
        <v>0</v>
      </c>
      <c r="AD1660">
        <v>9</v>
      </c>
      <c r="AE1660">
        <v>1252885280029</v>
      </c>
      <c r="AF1660" t="s">
        <v>6513</v>
      </c>
      <c r="AG1660">
        <v>1</v>
      </c>
      <c r="AH1660">
        <v>0</v>
      </c>
    </row>
    <row r="1661" spans="1:34">
      <c r="A1661">
        <v>2025</v>
      </c>
      <c r="B1661" s="1">
        <v>45962</v>
      </c>
      <c r="C1661" t="s">
        <v>2657</v>
      </c>
      <c r="D1661" t="s">
        <v>6516</v>
      </c>
      <c r="E1661" s="43">
        <v>45966.536006631941</v>
      </c>
      <c r="F1661" s="3">
        <v>45966</v>
      </c>
      <c r="G1661" s="43">
        <v>45968.491292511571</v>
      </c>
      <c r="H1661" t="s">
        <v>2802</v>
      </c>
      <c r="I1661" t="s">
        <v>2669</v>
      </c>
      <c r="J1661" t="s">
        <v>2735</v>
      </c>
      <c r="L1661" t="s">
        <v>2361</v>
      </c>
      <c r="M1661">
        <v>159666680002</v>
      </c>
      <c r="N1661" t="s">
        <v>2702</v>
      </c>
      <c r="O1661" s="1">
        <v>45503</v>
      </c>
      <c r="T1661" t="s">
        <v>2662</v>
      </c>
      <c r="U1661" t="s">
        <v>6517</v>
      </c>
      <c r="V1661">
        <v>2</v>
      </c>
      <c r="W1661" t="s">
        <v>2677</v>
      </c>
      <c r="X1661">
        <v>1</v>
      </c>
      <c r="Y1661" t="s">
        <v>2760</v>
      </c>
      <c r="Z1661" t="s">
        <v>2684</v>
      </c>
      <c r="AA1661">
        <v>159666680002</v>
      </c>
      <c r="AB1661" t="s">
        <v>2109</v>
      </c>
      <c r="AC1661">
        <v>0</v>
      </c>
      <c r="AD1661">
        <v>45</v>
      </c>
      <c r="AE1661">
        <v>15966668000245</v>
      </c>
      <c r="AF1661" t="s">
        <v>6518</v>
      </c>
      <c r="AG1661">
        <v>0</v>
      </c>
      <c r="AH1661">
        <v>0</v>
      </c>
    </row>
    <row r="1662" spans="1:34">
      <c r="A1662">
        <v>2025</v>
      </c>
      <c r="B1662" s="1">
        <v>45962</v>
      </c>
      <c r="C1662" t="s">
        <v>2657</v>
      </c>
      <c r="D1662" t="s">
        <v>6519</v>
      </c>
      <c r="E1662" s="43">
        <v>45964.791308344909</v>
      </c>
      <c r="F1662" s="3">
        <v>45964</v>
      </c>
      <c r="G1662" s="43">
        <v>45968.49132390046</v>
      </c>
      <c r="H1662" t="s">
        <v>2802</v>
      </c>
      <c r="I1662" t="s">
        <v>2669</v>
      </c>
      <c r="J1662" t="s">
        <v>2735</v>
      </c>
      <c r="L1662" t="s">
        <v>2361</v>
      </c>
      <c r="M1662">
        <v>159666680002</v>
      </c>
      <c r="N1662" t="s">
        <v>2702</v>
      </c>
      <c r="O1662" s="1">
        <v>45503</v>
      </c>
      <c r="T1662" t="s">
        <v>2662</v>
      </c>
      <c r="U1662" t="s">
        <v>6520</v>
      </c>
      <c r="V1662">
        <v>4</v>
      </c>
      <c r="W1662" t="s">
        <v>2664</v>
      </c>
      <c r="X1662">
        <v>1</v>
      </c>
      <c r="Y1662" t="s">
        <v>2665</v>
      </c>
      <c r="AA1662">
        <v>159666680002</v>
      </c>
      <c r="AB1662" t="s">
        <v>2109</v>
      </c>
      <c r="AC1662">
        <v>0</v>
      </c>
      <c r="AD1662">
        <v>45</v>
      </c>
      <c r="AE1662">
        <v>15966668000245</v>
      </c>
      <c r="AF1662" t="s">
        <v>6518</v>
      </c>
      <c r="AG1662">
        <v>1</v>
      </c>
      <c r="AH1662">
        <v>1</v>
      </c>
    </row>
    <row r="1663" spans="1:34">
      <c r="A1663">
        <v>2025</v>
      </c>
      <c r="B1663" s="1">
        <v>45962</v>
      </c>
      <c r="C1663" t="s">
        <v>2657</v>
      </c>
      <c r="D1663" t="s">
        <v>6521</v>
      </c>
      <c r="E1663" s="43">
        <v>45971.732105694442</v>
      </c>
      <c r="F1663" s="3">
        <v>45971</v>
      </c>
      <c r="G1663" s="43">
        <v>45972.700014675924</v>
      </c>
      <c r="H1663" t="s">
        <v>2802</v>
      </c>
      <c r="I1663" t="s">
        <v>2681</v>
      </c>
      <c r="J1663" t="s">
        <v>2735</v>
      </c>
      <c r="L1663" t="s">
        <v>2361</v>
      </c>
      <c r="M1663">
        <v>602057730902</v>
      </c>
      <c r="N1663" t="s">
        <v>2746</v>
      </c>
      <c r="O1663" s="1">
        <v>45534</v>
      </c>
      <c r="T1663" t="s">
        <v>2662</v>
      </c>
      <c r="U1663" t="s">
        <v>6522</v>
      </c>
      <c r="V1663">
        <v>1</v>
      </c>
      <c r="X1663">
        <v>1</v>
      </c>
      <c r="Y1663" t="s">
        <v>2688</v>
      </c>
      <c r="AA1663">
        <v>159666680002</v>
      </c>
      <c r="AB1663" t="s">
        <v>2109</v>
      </c>
      <c r="AC1663">
        <v>0</v>
      </c>
      <c r="AD1663">
        <v>46</v>
      </c>
      <c r="AE1663">
        <v>15966668000246</v>
      </c>
      <c r="AF1663" t="s">
        <v>6518</v>
      </c>
      <c r="AG1663">
        <v>1</v>
      </c>
      <c r="AH1663">
        <v>0</v>
      </c>
    </row>
    <row r="1664" spans="1:34">
      <c r="A1664">
        <v>2025</v>
      </c>
      <c r="B1664" s="1">
        <v>45962</v>
      </c>
      <c r="C1664" t="s">
        <v>2657</v>
      </c>
      <c r="D1664" t="s">
        <v>6523</v>
      </c>
      <c r="E1664" s="43">
        <v>45972.597805393518</v>
      </c>
      <c r="F1664" s="3">
        <v>45972</v>
      </c>
      <c r="G1664" s="43">
        <v>45975.759201875</v>
      </c>
      <c r="H1664" t="s">
        <v>2802</v>
      </c>
      <c r="I1664" t="s">
        <v>2681</v>
      </c>
      <c r="J1664" t="s">
        <v>2735</v>
      </c>
      <c r="L1664" t="s">
        <v>2361</v>
      </c>
      <c r="M1664">
        <v>622908280602</v>
      </c>
      <c r="N1664" t="s">
        <v>2746</v>
      </c>
      <c r="O1664" s="1">
        <v>45680</v>
      </c>
      <c r="T1664" t="s">
        <v>2662</v>
      </c>
      <c r="U1664" t="s">
        <v>6524</v>
      </c>
      <c r="V1664">
        <v>3</v>
      </c>
      <c r="W1664" t="s">
        <v>2671</v>
      </c>
      <c r="X1664">
        <v>1</v>
      </c>
      <c r="Y1664" t="s">
        <v>2764</v>
      </c>
      <c r="AA1664">
        <v>159666680002</v>
      </c>
      <c r="AB1664" t="s">
        <v>2109</v>
      </c>
      <c r="AC1664">
        <v>0</v>
      </c>
      <c r="AD1664">
        <v>46</v>
      </c>
      <c r="AE1664">
        <v>15966668000246</v>
      </c>
      <c r="AF1664" t="s">
        <v>6518</v>
      </c>
      <c r="AG1664">
        <v>0</v>
      </c>
      <c r="AH1664">
        <v>0</v>
      </c>
    </row>
    <row r="1665" spans="1:34">
      <c r="A1665">
        <v>2025</v>
      </c>
      <c r="B1665" s="1">
        <v>45962</v>
      </c>
      <c r="C1665" t="s">
        <v>2657</v>
      </c>
      <c r="D1665" t="s">
        <v>6525</v>
      </c>
      <c r="E1665" s="43">
        <v>45980.497424097222</v>
      </c>
      <c r="F1665" s="3">
        <v>45980</v>
      </c>
      <c r="G1665" s="43">
        <v>45980.854960069446</v>
      </c>
      <c r="H1665" t="s">
        <v>2802</v>
      </c>
      <c r="I1665" t="s">
        <v>2719</v>
      </c>
      <c r="J1665" t="s">
        <v>2735</v>
      </c>
      <c r="L1665" t="s">
        <v>2361</v>
      </c>
      <c r="M1665">
        <v>159666680002</v>
      </c>
      <c r="N1665" t="s">
        <v>2702</v>
      </c>
      <c r="O1665" s="1">
        <v>45503</v>
      </c>
      <c r="T1665" t="s">
        <v>2662</v>
      </c>
      <c r="U1665" t="s">
        <v>6526</v>
      </c>
      <c r="V1665">
        <v>0</v>
      </c>
      <c r="W1665" t="s">
        <v>2677</v>
      </c>
      <c r="X1665">
        <v>1</v>
      </c>
      <c r="Y1665" t="s">
        <v>2760</v>
      </c>
      <c r="AA1665">
        <v>159666680002</v>
      </c>
      <c r="AB1665" t="s">
        <v>2109</v>
      </c>
      <c r="AC1665">
        <v>1</v>
      </c>
      <c r="AD1665">
        <v>47</v>
      </c>
      <c r="AE1665">
        <v>15966668000247</v>
      </c>
      <c r="AF1665" t="s">
        <v>6518</v>
      </c>
      <c r="AG1665">
        <v>0</v>
      </c>
      <c r="AH1665">
        <v>0</v>
      </c>
    </row>
    <row r="1666" spans="1:34">
      <c r="A1666">
        <v>2025</v>
      </c>
      <c r="B1666" s="1">
        <v>45962</v>
      </c>
      <c r="C1666" t="s">
        <v>2657</v>
      </c>
      <c r="D1666" t="s">
        <v>6527</v>
      </c>
      <c r="E1666" s="43">
        <v>45979.74526048611</v>
      </c>
      <c r="F1666" s="3">
        <v>45979</v>
      </c>
      <c r="G1666" s="43">
        <v>45980.770285057872</v>
      </c>
      <c r="H1666" t="s">
        <v>2802</v>
      </c>
      <c r="I1666" t="s">
        <v>2719</v>
      </c>
      <c r="J1666" t="s">
        <v>2735</v>
      </c>
      <c r="L1666" t="s">
        <v>2361</v>
      </c>
      <c r="M1666">
        <v>159666680002</v>
      </c>
      <c r="N1666" t="s">
        <v>2702</v>
      </c>
      <c r="O1666" s="1">
        <v>45503</v>
      </c>
      <c r="T1666" t="s">
        <v>2662</v>
      </c>
      <c r="U1666" t="s">
        <v>6528</v>
      </c>
      <c r="V1666">
        <v>1</v>
      </c>
      <c r="W1666" t="s">
        <v>2671</v>
      </c>
      <c r="X1666">
        <v>1</v>
      </c>
      <c r="Y1666" t="s">
        <v>2764</v>
      </c>
      <c r="AA1666">
        <v>159666680002</v>
      </c>
      <c r="AB1666" t="s">
        <v>2109</v>
      </c>
      <c r="AC1666">
        <v>0</v>
      </c>
      <c r="AD1666">
        <v>47</v>
      </c>
      <c r="AE1666">
        <v>15966668000247</v>
      </c>
      <c r="AF1666" t="s">
        <v>6518</v>
      </c>
      <c r="AG1666">
        <v>1</v>
      </c>
      <c r="AH1666">
        <v>0</v>
      </c>
    </row>
    <row r="1667" spans="1:34">
      <c r="A1667">
        <v>2025</v>
      </c>
      <c r="B1667" s="1">
        <v>45931</v>
      </c>
      <c r="C1667" t="s">
        <v>2657</v>
      </c>
      <c r="D1667" t="s">
        <v>6529</v>
      </c>
      <c r="E1667" s="43">
        <v>45943.535301296295</v>
      </c>
      <c r="F1667" s="3">
        <v>45943</v>
      </c>
      <c r="G1667" s="43">
        <v>45951.606288252318</v>
      </c>
      <c r="H1667" t="s">
        <v>2659</v>
      </c>
      <c r="I1667" t="s">
        <v>2681</v>
      </c>
      <c r="J1667" t="s">
        <v>2735</v>
      </c>
      <c r="L1667" t="s">
        <v>2421</v>
      </c>
      <c r="M1667">
        <v>816067318102</v>
      </c>
      <c r="N1667" t="s">
        <v>2661</v>
      </c>
      <c r="O1667" s="1">
        <v>45448</v>
      </c>
      <c r="T1667" t="s">
        <v>2662</v>
      </c>
      <c r="U1667" t="s">
        <v>6530</v>
      </c>
      <c r="V1667">
        <v>6</v>
      </c>
      <c r="W1667" t="s">
        <v>2677</v>
      </c>
      <c r="X1667">
        <v>1</v>
      </c>
      <c r="Y1667" t="s">
        <v>2678</v>
      </c>
      <c r="AA1667">
        <v>816067318102</v>
      </c>
      <c r="AB1667" t="s">
        <v>1643</v>
      </c>
      <c r="AC1667">
        <v>0</v>
      </c>
      <c r="AD1667">
        <v>42</v>
      </c>
      <c r="AE1667">
        <v>81606731810242</v>
      </c>
      <c r="AF1667" t="s">
        <v>6531</v>
      </c>
      <c r="AG1667">
        <v>1</v>
      </c>
      <c r="AH1667">
        <v>1</v>
      </c>
    </row>
    <row r="1668" spans="1:34">
      <c r="A1668">
        <v>2025</v>
      </c>
      <c r="B1668" s="1">
        <v>45931</v>
      </c>
      <c r="C1668" t="s">
        <v>2657</v>
      </c>
      <c r="D1668" t="s">
        <v>6532</v>
      </c>
      <c r="E1668" s="43">
        <v>45959.735402650462</v>
      </c>
      <c r="F1668" s="3">
        <v>45959</v>
      </c>
      <c r="G1668" s="43">
        <v>45959.835654062503</v>
      </c>
      <c r="H1668" t="s">
        <v>2659</v>
      </c>
      <c r="I1668" t="s">
        <v>2697</v>
      </c>
      <c r="J1668" t="s">
        <v>37</v>
      </c>
      <c r="L1668" t="s">
        <v>2421</v>
      </c>
      <c r="M1668">
        <v>816067318102</v>
      </c>
      <c r="N1668" t="s">
        <v>2661</v>
      </c>
      <c r="O1668" s="1">
        <v>45448</v>
      </c>
      <c r="T1668" t="s">
        <v>2662</v>
      </c>
      <c r="U1668" t="s">
        <v>6533</v>
      </c>
      <c r="V1668">
        <v>0</v>
      </c>
      <c r="W1668" t="s">
        <v>2671</v>
      </c>
      <c r="X1668">
        <v>1</v>
      </c>
      <c r="Y1668" t="s">
        <v>2760</v>
      </c>
      <c r="AA1668">
        <v>816067318102</v>
      </c>
      <c r="AB1668" t="s">
        <v>1643</v>
      </c>
      <c r="AC1668">
        <v>0</v>
      </c>
      <c r="AD1668">
        <v>44</v>
      </c>
      <c r="AE1668">
        <v>81606731810244</v>
      </c>
      <c r="AF1668" t="s">
        <v>6531</v>
      </c>
      <c r="AG1668">
        <v>1</v>
      </c>
      <c r="AH1668">
        <v>0</v>
      </c>
    </row>
    <row r="1669" spans="1:34">
      <c r="A1669">
        <v>2025</v>
      </c>
      <c r="B1669" s="1">
        <v>45962</v>
      </c>
      <c r="C1669" t="s">
        <v>2657</v>
      </c>
      <c r="D1669" t="s">
        <v>6534</v>
      </c>
      <c r="E1669" s="43">
        <v>45975.595971979164</v>
      </c>
      <c r="F1669" s="3">
        <v>45975</v>
      </c>
      <c r="G1669" s="43">
        <v>45975.659168761573</v>
      </c>
      <c r="H1669" t="s">
        <v>2802</v>
      </c>
      <c r="I1669" t="s">
        <v>2681</v>
      </c>
      <c r="J1669" t="s">
        <v>2735</v>
      </c>
      <c r="L1669" t="s">
        <v>2336</v>
      </c>
      <c r="M1669">
        <v>127737463602</v>
      </c>
      <c r="N1669" t="s">
        <v>2746</v>
      </c>
      <c r="O1669" s="1">
        <v>45661</v>
      </c>
      <c r="T1669" t="s">
        <v>2662</v>
      </c>
      <c r="U1669" t="s">
        <v>6535</v>
      </c>
      <c r="V1669">
        <v>0</v>
      </c>
      <c r="W1669" t="s">
        <v>2743</v>
      </c>
      <c r="X1669">
        <v>1</v>
      </c>
      <c r="Y1669" t="s">
        <v>2688</v>
      </c>
      <c r="AA1669">
        <v>127737463602</v>
      </c>
      <c r="AB1669" t="s">
        <v>1066</v>
      </c>
      <c r="AC1669">
        <v>0</v>
      </c>
      <c r="AD1669">
        <v>46</v>
      </c>
      <c r="AE1669">
        <v>12773746360246</v>
      </c>
      <c r="AF1669" t="s">
        <v>6536</v>
      </c>
      <c r="AG1669">
        <v>1</v>
      </c>
      <c r="AH1669">
        <v>1</v>
      </c>
    </row>
    <row r="1670" spans="1:34">
      <c r="A1670">
        <v>2025</v>
      </c>
      <c r="B1670" s="1">
        <v>45962</v>
      </c>
      <c r="C1670" t="s">
        <v>2657</v>
      </c>
      <c r="D1670" s="44" t="s">
        <v>6537</v>
      </c>
      <c r="E1670" s="43">
        <v>45979.780077523152</v>
      </c>
      <c r="F1670" s="3">
        <v>45979</v>
      </c>
      <c r="G1670" s="43">
        <v>45979.790518483795</v>
      </c>
      <c r="H1670" t="s">
        <v>2802</v>
      </c>
      <c r="I1670" t="s">
        <v>2719</v>
      </c>
      <c r="J1670" t="s">
        <v>2735</v>
      </c>
      <c r="L1670" t="s">
        <v>2336</v>
      </c>
      <c r="M1670">
        <v>127737463602</v>
      </c>
      <c r="N1670" t="s">
        <v>2746</v>
      </c>
      <c r="O1670" s="1">
        <v>45661</v>
      </c>
      <c r="T1670" t="s">
        <v>2662</v>
      </c>
      <c r="U1670" t="s">
        <v>6538</v>
      </c>
      <c r="V1670">
        <v>0</v>
      </c>
      <c r="W1670" t="s">
        <v>2743</v>
      </c>
      <c r="X1670">
        <v>1</v>
      </c>
      <c r="Y1670" t="s">
        <v>2699</v>
      </c>
      <c r="AA1670">
        <v>127737463602</v>
      </c>
      <c r="AB1670" t="s">
        <v>1066</v>
      </c>
      <c r="AC1670">
        <v>0</v>
      </c>
      <c r="AD1670">
        <v>47</v>
      </c>
      <c r="AE1670">
        <v>12773746360247</v>
      </c>
      <c r="AF1670" t="s">
        <v>6536</v>
      </c>
      <c r="AG1670">
        <v>1</v>
      </c>
      <c r="AH1670">
        <v>0</v>
      </c>
    </row>
    <row r="1671" spans="1:34">
      <c r="A1671">
        <v>2025</v>
      </c>
      <c r="B1671" s="1">
        <v>45962</v>
      </c>
      <c r="C1671" t="s">
        <v>2657</v>
      </c>
      <c r="D1671" t="s">
        <v>6539</v>
      </c>
      <c r="E1671" s="43">
        <v>45985.664341342592</v>
      </c>
      <c r="F1671" s="3">
        <v>45985</v>
      </c>
      <c r="G1671" s="43">
        <v>45986.765647766202</v>
      </c>
      <c r="H1671" t="s">
        <v>2802</v>
      </c>
      <c r="I1671" t="s">
        <v>2660</v>
      </c>
      <c r="J1671" t="s">
        <v>2735</v>
      </c>
      <c r="L1671" t="s">
        <v>2336</v>
      </c>
      <c r="M1671">
        <v>127737463602</v>
      </c>
      <c r="N1671" t="s">
        <v>2746</v>
      </c>
      <c r="O1671" s="1">
        <v>45661</v>
      </c>
      <c r="T1671" t="s">
        <v>2662</v>
      </c>
      <c r="U1671" t="s">
        <v>6540</v>
      </c>
      <c r="V1671">
        <v>1</v>
      </c>
      <c r="W1671" t="s">
        <v>2743</v>
      </c>
      <c r="X1671">
        <v>1</v>
      </c>
      <c r="Y1671" t="s">
        <v>2721</v>
      </c>
      <c r="AA1671">
        <v>127737463602</v>
      </c>
      <c r="AB1671" t="s">
        <v>1066</v>
      </c>
      <c r="AC1671">
        <v>0</v>
      </c>
      <c r="AD1671">
        <v>48</v>
      </c>
      <c r="AE1671">
        <v>12773746360248</v>
      </c>
      <c r="AF1671" t="s">
        <v>6536</v>
      </c>
      <c r="AG1671">
        <v>1</v>
      </c>
      <c r="AH1671">
        <v>0</v>
      </c>
    </row>
    <row r="1672" spans="1:34">
      <c r="A1672">
        <v>2025</v>
      </c>
      <c r="B1672" s="1">
        <v>45962</v>
      </c>
      <c r="C1672" t="s">
        <v>2657</v>
      </c>
      <c r="D1672" t="s">
        <v>6541</v>
      </c>
      <c r="E1672" s="43">
        <v>45988.648178923613</v>
      </c>
      <c r="F1672" s="3">
        <v>45988</v>
      </c>
      <c r="G1672" s="43">
        <v>45988.648178923613</v>
      </c>
      <c r="H1672" t="s">
        <v>2802</v>
      </c>
      <c r="I1672" t="s">
        <v>2660</v>
      </c>
      <c r="J1672" t="s">
        <v>2735</v>
      </c>
      <c r="L1672" t="s">
        <v>2336</v>
      </c>
      <c r="M1672">
        <v>127737463602</v>
      </c>
      <c r="N1672" t="s">
        <v>2746</v>
      </c>
      <c r="O1672" s="1">
        <v>45661</v>
      </c>
      <c r="T1672" t="s">
        <v>2662</v>
      </c>
      <c r="U1672" t="s">
        <v>6542</v>
      </c>
      <c r="V1672">
        <v>0</v>
      </c>
      <c r="W1672" t="s">
        <v>2677</v>
      </c>
      <c r="X1672">
        <v>1</v>
      </c>
      <c r="Y1672" t="s">
        <v>2807</v>
      </c>
      <c r="AA1672">
        <v>127737463602</v>
      </c>
      <c r="AB1672" t="s">
        <v>1066</v>
      </c>
      <c r="AC1672">
        <v>0</v>
      </c>
      <c r="AD1672">
        <v>48</v>
      </c>
      <c r="AE1672">
        <v>12773746360248</v>
      </c>
      <c r="AF1672" t="s">
        <v>6536</v>
      </c>
      <c r="AG1672">
        <v>0</v>
      </c>
      <c r="AH1672">
        <v>0</v>
      </c>
    </row>
    <row r="1673" spans="1:34">
      <c r="A1673">
        <v>2025</v>
      </c>
      <c r="B1673" s="1">
        <v>45962</v>
      </c>
      <c r="C1673" t="s">
        <v>2657</v>
      </c>
      <c r="D1673" t="s">
        <v>6543</v>
      </c>
      <c r="E1673" s="43">
        <v>45987.666858263889</v>
      </c>
      <c r="F1673" s="3">
        <v>45987</v>
      </c>
      <c r="G1673" s="43">
        <v>45987.745186863423</v>
      </c>
      <c r="H1673" t="s">
        <v>2802</v>
      </c>
      <c r="I1673" t="s">
        <v>2660</v>
      </c>
      <c r="J1673" t="s">
        <v>2735</v>
      </c>
      <c r="L1673" t="s">
        <v>2336</v>
      </c>
      <c r="M1673">
        <v>127737463602</v>
      </c>
      <c r="N1673" t="s">
        <v>2746</v>
      </c>
      <c r="O1673" s="1">
        <v>45661</v>
      </c>
      <c r="T1673" t="s">
        <v>2662</v>
      </c>
      <c r="U1673" t="s">
        <v>6544</v>
      </c>
      <c r="V1673">
        <v>0</v>
      </c>
      <c r="W1673" t="s">
        <v>2743</v>
      </c>
      <c r="X1673">
        <v>1</v>
      </c>
      <c r="Y1673" t="s">
        <v>2699</v>
      </c>
      <c r="AA1673">
        <v>127737463602</v>
      </c>
      <c r="AB1673" t="s">
        <v>1066</v>
      </c>
      <c r="AC1673">
        <v>0</v>
      </c>
      <c r="AD1673">
        <v>48</v>
      </c>
      <c r="AE1673">
        <v>12773746360248</v>
      </c>
      <c r="AF1673" t="s">
        <v>6536</v>
      </c>
      <c r="AG1673">
        <v>0</v>
      </c>
      <c r="AH1673">
        <v>0</v>
      </c>
    </row>
    <row r="1674" spans="1:34">
      <c r="A1674">
        <v>2025</v>
      </c>
      <c r="B1674" s="1">
        <v>45962</v>
      </c>
      <c r="C1674" t="s">
        <v>2657</v>
      </c>
      <c r="D1674" t="s">
        <v>6545</v>
      </c>
      <c r="E1674" s="43">
        <v>45988.739442233797</v>
      </c>
      <c r="F1674" s="3">
        <v>45988</v>
      </c>
      <c r="G1674" s="43">
        <v>45989.651795011574</v>
      </c>
      <c r="H1674" t="s">
        <v>2802</v>
      </c>
      <c r="I1674" t="s">
        <v>2660</v>
      </c>
      <c r="J1674" t="s">
        <v>2735</v>
      </c>
      <c r="L1674" t="s">
        <v>2336</v>
      </c>
      <c r="M1674">
        <v>127737463602</v>
      </c>
      <c r="N1674" t="s">
        <v>2746</v>
      </c>
      <c r="O1674" s="1">
        <v>45661</v>
      </c>
      <c r="T1674" t="s">
        <v>2662</v>
      </c>
      <c r="U1674" t="s">
        <v>6546</v>
      </c>
      <c r="V1674">
        <v>1</v>
      </c>
      <c r="W1674" t="s">
        <v>2677</v>
      </c>
      <c r="X1674">
        <v>1</v>
      </c>
      <c r="Y1674" t="s">
        <v>2760</v>
      </c>
      <c r="AA1674">
        <v>127737463602</v>
      </c>
      <c r="AB1674" t="s">
        <v>1066</v>
      </c>
      <c r="AC1674">
        <v>0</v>
      </c>
      <c r="AD1674">
        <v>48</v>
      </c>
      <c r="AE1674">
        <v>12773746360248</v>
      </c>
      <c r="AF1674" t="s">
        <v>6536</v>
      </c>
      <c r="AG1674">
        <v>0</v>
      </c>
      <c r="AH1674">
        <v>0</v>
      </c>
    </row>
    <row r="1675" spans="1:34">
      <c r="A1675">
        <v>2026</v>
      </c>
      <c r="B1675" s="1">
        <v>46082</v>
      </c>
      <c r="C1675" t="s">
        <v>2657</v>
      </c>
      <c r="D1675" t="s">
        <v>6547</v>
      </c>
      <c r="E1675" s="43">
        <v>46087.744137060188</v>
      </c>
      <c r="F1675" s="3">
        <v>46087</v>
      </c>
      <c r="G1675" s="43">
        <v>46091.630779409723</v>
      </c>
      <c r="H1675" t="s">
        <v>2668</v>
      </c>
      <c r="I1675" t="s">
        <v>2669</v>
      </c>
      <c r="J1675" t="s">
        <v>36</v>
      </c>
      <c r="L1675" t="s">
        <v>2355</v>
      </c>
      <c r="M1675">
        <v>542325043802</v>
      </c>
      <c r="N1675" t="s">
        <v>2702</v>
      </c>
      <c r="O1675" s="1">
        <v>45661</v>
      </c>
      <c r="T1675" t="s">
        <v>2662</v>
      </c>
      <c r="U1675" t="s">
        <v>6548</v>
      </c>
      <c r="V1675">
        <v>2</v>
      </c>
      <c r="W1675" t="s">
        <v>2743</v>
      </c>
      <c r="X1675">
        <v>1</v>
      </c>
      <c r="Y1675" t="s">
        <v>2721</v>
      </c>
      <c r="AA1675">
        <v>542325043802</v>
      </c>
      <c r="AB1675" t="s">
        <v>448</v>
      </c>
      <c r="AC1675">
        <v>0</v>
      </c>
      <c r="AD1675">
        <v>10</v>
      </c>
      <c r="AE1675">
        <v>54232504380210</v>
      </c>
      <c r="AF1675" t="s">
        <v>6549</v>
      </c>
      <c r="AG1675">
        <v>0</v>
      </c>
      <c r="AH1675">
        <v>0</v>
      </c>
    </row>
    <row r="1676" spans="1:34">
      <c r="A1676">
        <v>2026</v>
      </c>
      <c r="B1676" s="1">
        <v>46082</v>
      </c>
      <c r="C1676" t="s">
        <v>2657</v>
      </c>
      <c r="D1676" t="s">
        <v>6550</v>
      </c>
      <c r="E1676" s="43">
        <v>46083.550513993054</v>
      </c>
      <c r="F1676" s="3">
        <v>46083</v>
      </c>
      <c r="G1676" s="43">
        <v>46083.550513993054</v>
      </c>
      <c r="H1676" t="s">
        <v>2668</v>
      </c>
      <c r="I1676" t="s">
        <v>2669</v>
      </c>
      <c r="J1676" t="s">
        <v>36</v>
      </c>
      <c r="L1676" t="s">
        <v>2355</v>
      </c>
      <c r="M1676">
        <v>542325043802</v>
      </c>
      <c r="N1676" t="s">
        <v>2702</v>
      </c>
      <c r="O1676" s="1">
        <v>45661</v>
      </c>
      <c r="T1676" t="s">
        <v>2662</v>
      </c>
      <c r="U1676" t="s">
        <v>6551</v>
      </c>
      <c r="V1676">
        <v>0</v>
      </c>
      <c r="W1676" t="s">
        <v>2743</v>
      </c>
      <c r="X1676">
        <v>1</v>
      </c>
      <c r="Y1676" t="s">
        <v>2721</v>
      </c>
      <c r="AA1676">
        <v>542325043802</v>
      </c>
      <c r="AB1676" t="s">
        <v>448</v>
      </c>
      <c r="AC1676">
        <v>0</v>
      </c>
      <c r="AD1676">
        <v>10</v>
      </c>
      <c r="AE1676">
        <v>54232504380210</v>
      </c>
      <c r="AF1676" t="s">
        <v>6549</v>
      </c>
      <c r="AG1676">
        <v>1</v>
      </c>
      <c r="AH1676">
        <v>1</v>
      </c>
    </row>
    <row r="1677" spans="1:34">
      <c r="A1677">
        <v>2026</v>
      </c>
      <c r="B1677" s="1">
        <v>46082</v>
      </c>
      <c r="C1677" t="s">
        <v>2657</v>
      </c>
      <c r="D1677" t="s">
        <v>6552</v>
      </c>
      <c r="E1677" s="43">
        <v>46090.769187858794</v>
      </c>
      <c r="F1677" s="3">
        <v>46090</v>
      </c>
      <c r="G1677" s="43">
        <v>46094.765936990741</v>
      </c>
      <c r="H1677" t="s">
        <v>2668</v>
      </c>
      <c r="I1677" t="s">
        <v>2681</v>
      </c>
      <c r="J1677" t="s">
        <v>36</v>
      </c>
      <c r="L1677" t="s">
        <v>2355</v>
      </c>
      <c r="M1677">
        <v>542325043802</v>
      </c>
      <c r="N1677" t="s">
        <v>2702</v>
      </c>
      <c r="O1677" s="1">
        <v>45661</v>
      </c>
      <c r="T1677" t="s">
        <v>2662</v>
      </c>
      <c r="U1677" t="s">
        <v>6553</v>
      </c>
      <c r="V1677">
        <v>4</v>
      </c>
      <c r="X1677">
        <v>1</v>
      </c>
      <c r="Y1677" t="s">
        <v>2721</v>
      </c>
      <c r="AA1677">
        <v>542325043802</v>
      </c>
      <c r="AB1677" t="s">
        <v>448</v>
      </c>
      <c r="AC1677">
        <v>1</v>
      </c>
      <c r="AD1677">
        <v>11</v>
      </c>
      <c r="AE1677">
        <v>54232504380211</v>
      </c>
      <c r="AF1677" t="s">
        <v>6549</v>
      </c>
      <c r="AG1677">
        <v>1</v>
      </c>
      <c r="AH1677">
        <v>0</v>
      </c>
    </row>
    <row r="1678" spans="1:34">
      <c r="A1678">
        <v>2025</v>
      </c>
      <c r="B1678" s="1">
        <v>45839</v>
      </c>
      <c r="C1678" t="s">
        <v>2657</v>
      </c>
      <c r="D1678" t="s">
        <v>6554</v>
      </c>
      <c r="E1678" s="43">
        <v>45863.757779444444</v>
      </c>
      <c r="F1678" s="3">
        <v>45863</v>
      </c>
      <c r="G1678" s="43">
        <v>45874.783764282409</v>
      </c>
      <c r="H1678" t="s">
        <v>2869</v>
      </c>
      <c r="I1678" t="s">
        <v>2660</v>
      </c>
      <c r="J1678" t="s">
        <v>38</v>
      </c>
      <c r="L1678" t="s">
        <v>2342</v>
      </c>
      <c r="M1678">
        <v>755841394202</v>
      </c>
      <c r="N1678" t="s">
        <v>2702</v>
      </c>
      <c r="O1678" s="1">
        <v>45411</v>
      </c>
      <c r="T1678" t="s">
        <v>2662</v>
      </c>
      <c r="U1678" t="s">
        <v>6555</v>
      </c>
      <c r="V1678">
        <v>7</v>
      </c>
      <c r="W1678" t="s">
        <v>2677</v>
      </c>
      <c r="X1678">
        <v>1</v>
      </c>
      <c r="Y1678" t="s">
        <v>2772</v>
      </c>
      <c r="AA1678">
        <v>755841394202</v>
      </c>
      <c r="AB1678" t="s">
        <v>376</v>
      </c>
      <c r="AC1678">
        <v>0</v>
      </c>
      <c r="AD1678">
        <v>30</v>
      </c>
      <c r="AE1678">
        <v>75584139420230</v>
      </c>
      <c r="AF1678" t="s">
        <v>6556</v>
      </c>
      <c r="AG1678">
        <v>1</v>
      </c>
      <c r="AH1678">
        <v>1</v>
      </c>
    </row>
    <row r="1679" spans="1:34">
      <c r="A1679">
        <v>2025</v>
      </c>
      <c r="B1679" s="1">
        <v>45992</v>
      </c>
      <c r="C1679" t="s">
        <v>2657</v>
      </c>
      <c r="D1679" t="s">
        <v>6557</v>
      </c>
      <c r="E1679" s="43">
        <v>46009.676453553242</v>
      </c>
      <c r="F1679" s="3">
        <v>46009</v>
      </c>
      <c r="G1679" s="43">
        <v>46029.553840034721</v>
      </c>
      <c r="H1679" t="s">
        <v>2686</v>
      </c>
      <c r="I1679" t="s">
        <v>2719</v>
      </c>
      <c r="J1679" t="s">
        <v>38</v>
      </c>
      <c r="L1679" t="s">
        <v>2342</v>
      </c>
      <c r="M1679">
        <v>98385811302</v>
      </c>
      <c r="N1679" t="s">
        <v>2702</v>
      </c>
      <c r="O1679" s="1">
        <v>45294</v>
      </c>
      <c r="T1679" t="s">
        <v>2662</v>
      </c>
      <c r="U1679" t="s">
        <v>6558</v>
      </c>
      <c r="V1679">
        <v>14</v>
      </c>
      <c r="W1679" t="s">
        <v>2664</v>
      </c>
      <c r="X1679">
        <v>1</v>
      </c>
      <c r="Y1679" t="s">
        <v>2757</v>
      </c>
      <c r="AA1679">
        <v>98385811302</v>
      </c>
      <c r="AB1679" t="s">
        <v>1591</v>
      </c>
      <c r="AC1679">
        <v>0</v>
      </c>
      <c r="AD1679">
        <v>51</v>
      </c>
      <c r="AE1679">
        <v>9838581130251</v>
      </c>
      <c r="AF1679" t="s">
        <v>6559</v>
      </c>
      <c r="AG1679">
        <v>1</v>
      </c>
      <c r="AH1679">
        <v>1</v>
      </c>
    </row>
    <row r="1680" spans="1:34">
      <c r="A1680">
        <v>2025</v>
      </c>
      <c r="B1680" s="1">
        <v>45931</v>
      </c>
      <c r="C1680" t="s">
        <v>2657</v>
      </c>
      <c r="D1680" t="s">
        <v>6560</v>
      </c>
      <c r="E1680" s="43">
        <v>45932.624234513889</v>
      </c>
      <c r="F1680" s="3">
        <v>45932</v>
      </c>
      <c r="G1680" s="43">
        <v>45932.784049988426</v>
      </c>
      <c r="H1680" t="s">
        <v>2659</v>
      </c>
      <c r="I1680" t="s">
        <v>2669</v>
      </c>
      <c r="J1680" t="s">
        <v>2735</v>
      </c>
      <c r="L1680" t="s">
        <v>2408</v>
      </c>
      <c r="M1680">
        <v>10369153302</v>
      </c>
      <c r="N1680" t="s">
        <v>2746</v>
      </c>
      <c r="O1680" s="1">
        <v>45751</v>
      </c>
      <c r="T1680" t="s">
        <v>2662</v>
      </c>
      <c r="U1680" t="s">
        <v>6561</v>
      </c>
      <c r="V1680">
        <v>0</v>
      </c>
      <c r="W1680" t="s">
        <v>2677</v>
      </c>
      <c r="X1680">
        <v>1</v>
      </c>
      <c r="Y1680" t="s">
        <v>2678</v>
      </c>
      <c r="Z1680" t="s">
        <v>2684</v>
      </c>
      <c r="AA1680">
        <v>10369153302</v>
      </c>
      <c r="AB1680" t="s">
        <v>329</v>
      </c>
      <c r="AC1680">
        <v>0</v>
      </c>
      <c r="AD1680">
        <v>40</v>
      </c>
      <c r="AE1680">
        <v>1036915330240</v>
      </c>
      <c r="AF1680" t="s">
        <v>6562</v>
      </c>
      <c r="AG1680">
        <v>1</v>
      </c>
      <c r="AH1680">
        <v>1</v>
      </c>
    </row>
    <row r="1681" spans="1:34">
      <c r="A1681">
        <v>2025</v>
      </c>
      <c r="B1681" s="1">
        <v>45931</v>
      </c>
      <c r="C1681" t="s">
        <v>2657</v>
      </c>
      <c r="D1681" t="s">
        <v>6563</v>
      </c>
      <c r="E1681" s="43">
        <v>45937.537291215274</v>
      </c>
      <c r="F1681" s="3">
        <v>45937</v>
      </c>
      <c r="G1681" s="43">
        <v>45937.681726296294</v>
      </c>
      <c r="H1681" t="s">
        <v>2659</v>
      </c>
      <c r="I1681" t="s">
        <v>2669</v>
      </c>
      <c r="J1681" t="s">
        <v>2735</v>
      </c>
      <c r="L1681" t="s">
        <v>2408</v>
      </c>
      <c r="M1681">
        <v>10369153302</v>
      </c>
      <c r="N1681" t="s">
        <v>2746</v>
      </c>
      <c r="O1681" s="1">
        <v>45751</v>
      </c>
      <c r="T1681" t="s">
        <v>2662</v>
      </c>
      <c r="U1681" t="s">
        <v>6564</v>
      </c>
      <c r="V1681">
        <v>0</v>
      </c>
      <c r="W1681" t="s">
        <v>2743</v>
      </c>
      <c r="X1681">
        <v>1</v>
      </c>
      <c r="Y1681" t="s">
        <v>2688</v>
      </c>
      <c r="AA1681">
        <v>10369153302</v>
      </c>
      <c r="AB1681" t="s">
        <v>329</v>
      </c>
      <c r="AC1681">
        <v>0</v>
      </c>
      <c r="AD1681">
        <v>41</v>
      </c>
      <c r="AE1681">
        <v>1036915330241</v>
      </c>
      <c r="AF1681" t="s">
        <v>6562</v>
      </c>
      <c r="AG1681">
        <v>1</v>
      </c>
      <c r="AH1681">
        <v>0</v>
      </c>
    </row>
    <row r="1682" spans="1:34">
      <c r="A1682">
        <v>2025</v>
      </c>
      <c r="B1682" s="1">
        <v>45931</v>
      </c>
      <c r="C1682" t="s">
        <v>2657</v>
      </c>
      <c r="D1682" t="s">
        <v>6565</v>
      </c>
      <c r="E1682" s="43">
        <v>45943.72221428241</v>
      </c>
      <c r="F1682" s="3">
        <v>45943</v>
      </c>
      <c r="G1682" s="43">
        <v>45943.72221428241</v>
      </c>
      <c r="H1682" t="s">
        <v>2659</v>
      </c>
      <c r="I1682" t="s">
        <v>2681</v>
      </c>
      <c r="J1682" t="s">
        <v>2735</v>
      </c>
      <c r="L1682" t="s">
        <v>2408</v>
      </c>
      <c r="M1682">
        <v>10369153302</v>
      </c>
      <c r="N1682" t="s">
        <v>2746</v>
      </c>
      <c r="O1682" s="1">
        <v>45751</v>
      </c>
      <c r="T1682" t="s">
        <v>2662</v>
      </c>
      <c r="U1682" t="s">
        <v>6566</v>
      </c>
      <c r="V1682">
        <v>0</v>
      </c>
      <c r="W1682" t="s">
        <v>2677</v>
      </c>
      <c r="X1682">
        <v>1</v>
      </c>
      <c r="Y1682" t="s">
        <v>3237</v>
      </c>
      <c r="Z1682" t="s">
        <v>2684</v>
      </c>
      <c r="AA1682">
        <v>10369153302</v>
      </c>
      <c r="AB1682" t="s">
        <v>329</v>
      </c>
      <c r="AC1682">
        <v>0</v>
      </c>
      <c r="AD1682">
        <v>42</v>
      </c>
      <c r="AE1682">
        <v>1036915330242</v>
      </c>
      <c r="AF1682" t="s">
        <v>6562</v>
      </c>
      <c r="AG1682">
        <v>1</v>
      </c>
      <c r="AH1682">
        <v>0</v>
      </c>
    </row>
    <row r="1683" spans="1:34">
      <c r="A1683">
        <v>2025</v>
      </c>
      <c r="B1683" s="1">
        <v>45931</v>
      </c>
      <c r="C1683" t="s">
        <v>2657</v>
      </c>
      <c r="D1683" t="s">
        <v>6567</v>
      </c>
      <c r="E1683" s="43">
        <v>45946.51092872685</v>
      </c>
      <c r="F1683" s="3">
        <v>45946</v>
      </c>
      <c r="G1683" s="43">
        <v>45946.51092872685</v>
      </c>
      <c r="H1683" t="s">
        <v>2659</v>
      </c>
      <c r="I1683" t="s">
        <v>2719</v>
      </c>
      <c r="J1683" t="s">
        <v>2735</v>
      </c>
      <c r="L1683" t="s">
        <v>2408</v>
      </c>
      <c r="M1683">
        <v>10369153302</v>
      </c>
      <c r="N1683" t="s">
        <v>2746</v>
      </c>
      <c r="O1683" s="1">
        <v>45751</v>
      </c>
      <c r="T1683" t="s">
        <v>2662</v>
      </c>
      <c r="U1683" t="s">
        <v>6568</v>
      </c>
      <c r="V1683">
        <v>0</v>
      </c>
      <c r="W1683" t="s">
        <v>2671</v>
      </c>
      <c r="X1683">
        <v>1</v>
      </c>
      <c r="Y1683" t="s">
        <v>2695</v>
      </c>
      <c r="AA1683">
        <v>10369153302</v>
      </c>
      <c r="AB1683" t="s">
        <v>329</v>
      </c>
      <c r="AC1683">
        <v>0</v>
      </c>
      <c r="AD1683">
        <v>42</v>
      </c>
      <c r="AE1683">
        <v>1036915330242</v>
      </c>
      <c r="AF1683" t="s">
        <v>6562</v>
      </c>
      <c r="AG1683">
        <v>0</v>
      </c>
      <c r="AH1683">
        <v>0</v>
      </c>
    </row>
    <row r="1684" spans="1:34">
      <c r="A1684">
        <v>2025</v>
      </c>
      <c r="B1684" s="1">
        <v>45931</v>
      </c>
      <c r="C1684" t="s">
        <v>2657</v>
      </c>
      <c r="D1684" t="s">
        <v>6569</v>
      </c>
      <c r="E1684" s="43">
        <v>45947.54076783565</v>
      </c>
      <c r="F1684" s="3">
        <v>45947</v>
      </c>
      <c r="G1684" s="43">
        <v>45951.727447708334</v>
      </c>
      <c r="H1684" t="s">
        <v>2659</v>
      </c>
      <c r="I1684" t="s">
        <v>2719</v>
      </c>
      <c r="J1684" t="s">
        <v>2735</v>
      </c>
      <c r="L1684" t="s">
        <v>2408</v>
      </c>
      <c r="M1684">
        <v>10369153302</v>
      </c>
      <c r="N1684" t="s">
        <v>2746</v>
      </c>
      <c r="O1684" s="1">
        <v>45751</v>
      </c>
      <c r="T1684" t="s">
        <v>2662</v>
      </c>
      <c r="U1684" t="s">
        <v>6570</v>
      </c>
      <c r="V1684">
        <v>2</v>
      </c>
      <c r="W1684" t="s">
        <v>2677</v>
      </c>
      <c r="X1684">
        <v>1</v>
      </c>
      <c r="Y1684" t="s">
        <v>2678</v>
      </c>
      <c r="Z1684" t="s">
        <v>2684</v>
      </c>
      <c r="AA1684">
        <v>10369153302</v>
      </c>
      <c r="AB1684" t="s">
        <v>329</v>
      </c>
      <c r="AC1684">
        <v>0</v>
      </c>
      <c r="AD1684">
        <v>42</v>
      </c>
      <c r="AE1684">
        <v>1036915330242</v>
      </c>
      <c r="AF1684" t="s">
        <v>6562</v>
      </c>
      <c r="AG1684">
        <v>0</v>
      </c>
      <c r="AH1684">
        <v>0</v>
      </c>
    </row>
    <row r="1685" spans="1:34">
      <c r="A1685">
        <v>2025</v>
      </c>
      <c r="B1685" s="1">
        <v>45931</v>
      </c>
      <c r="C1685" t="s">
        <v>2657</v>
      </c>
      <c r="D1685" t="s">
        <v>6571</v>
      </c>
      <c r="E1685" s="43">
        <v>45959.807574282408</v>
      </c>
      <c r="F1685" s="3">
        <v>45959</v>
      </c>
      <c r="G1685" s="43">
        <v>45959.807574282408</v>
      </c>
      <c r="H1685" t="s">
        <v>2659</v>
      </c>
      <c r="I1685" t="s">
        <v>2697</v>
      </c>
      <c r="J1685" t="s">
        <v>2735</v>
      </c>
      <c r="L1685" t="s">
        <v>2408</v>
      </c>
      <c r="M1685">
        <v>10369153302</v>
      </c>
      <c r="N1685" t="s">
        <v>2746</v>
      </c>
      <c r="O1685" s="1">
        <v>45751</v>
      </c>
      <c r="T1685" t="s">
        <v>2662</v>
      </c>
      <c r="U1685" t="s">
        <v>6572</v>
      </c>
      <c r="V1685">
        <v>0</v>
      </c>
      <c r="W1685" t="s">
        <v>2671</v>
      </c>
      <c r="X1685">
        <v>1</v>
      </c>
      <c r="Y1685" t="s">
        <v>2695</v>
      </c>
      <c r="AA1685">
        <v>10369153302</v>
      </c>
      <c r="AB1685" t="s">
        <v>329</v>
      </c>
      <c r="AC1685">
        <v>0</v>
      </c>
      <c r="AD1685">
        <v>44</v>
      </c>
      <c r="AE1685">
        <v>1036915330244</v>
      </c>
      <c r="AF1685" t="s">
        <v>6562</v>
      </c>
      <c r="AG1685">
        <v>1</v>
      </c>
      <c r="AH1685">
        <v>0</v>
      </c>
    </row>
    <row r="1686" spans="1:34">
      <c r="A1686">
        <v>2026</v>
      </c>
      <c r="B1686" s="1">
        <v>46023</v>
      </c>
      <c r="C1686" t="s">
        <v>2657</v>
      </c>
      <c r="D1686" t="s">
        <v>6573</v>
      </c>
      <c r="E1686" s="43">
        <v>46050.575816608798</v>
      </c>
      <c r="F1686" s="3">
        <v>46050</v>
      </c>
      <c r="G1686" s="43">
        <v>46055.871707175924</v>
      </c>
      <c r="H1686" t="s">
        <v>2701</v>
      </c>
      <c r="I1686" t="s">
        <v>2660</v>
      </c>
      <c r="J1686" t="s">
        <v>38</v>
      </c>
      <c r="L1686" t="s">
        <v>2353</v>
      </c>
      <c r="M1686">
        <v>597004571302</v>
      </c>
      <c r="N1686" t="s">
        <v>2675</v>
      </c>
      <c r="O1686" s="1">
        <v>45294</v>
      </c>
      <c r="T1686" t="s">
        <v>2662</v>
      </c>
      <c r="U1686" t="s">
        <v>6574</v>
      </c>
      <c r="V1686">
        <v>3</v>
      </c>
      <c r="W1686" t="s">
        <v>2677</v>
      </c>
      <c r="X1686">
        <v>1</v>
      </c>
      <c r="Y1686" t="s">
        <v>2678</v>
      </c>
      <c r="Z1686" t="s">
        <v>2684</v>
      </c>
      <c r="AA1686">
        <v>597004571302</v>
      </c>
      <c r="AB1686" t="s">
        <v>2203</v>
      </c>
      <c r="AC1686">
        <v>0</v>
      </c>
      <c r="AD1686">
        <v>5</v>
      </c>
      <c r="AE1686">
        <v>5970045713025</v>
      </c>
      <c r="AF1686" t="s">
        <v>6575</v>
      </c>
      <c r="AG1686">
        <v>0</v>
      </c>
      <c r="AH1686">
        <v>0</v>
      </c>
    </row>
    <row r="1687" spans="1:34">
      <c r="A1687">
        <v>2026</v>
      </c>
      <c r="B1687" s="1">
        <v>46023</v>
      </c>
      <c r="C1687" t="s">
        <v>2657</v>
      </c>
      <c r="D1687" t="s">
        <v>6576</v>
      </c>
      <c r="E1687" s="43">
        <v>46048.730382222224</v>
      </c>
      <c r="F1687" s="3">
        <v>46048</v>
      </c>
      <c r="G1687" s="43">
        <v>46050.849932083336</v>
      </c>
      <c r="H1687" t="s">
        <v>2701</v>
      </c>
      <c r="I1687" t="s">
        <v>2660</v>
      </c>
      <c r="J1687" t="s">
        <v>38</v>
      </c>
      <c r="L1687" t="s">
        <v>2353</v>
      </c>
      <c r="M1687">
        <v>597004571302</v>
      </c>
      <c r="N1687" t="s">
        <v>2675</v>
      </c>
      <c r="O1687" s="1">
        <v>45294</v>
      </c>
      <c r="T1687" t="s">
        <v>2662</v>
      </c>
      <c r="U1687" t="s">
        <v>6577</v>
      </c>
      <c r="V1687">
        <v>2</v>
      </c>
      <c r="W1687" t="s">
        <v>2677</v>
      </c>
      <c r="X1687">
        <v>1</v>
      </c>
      <c r="Y1687" t="s">
        <v>2678</v>
      </c>
      <c r="Z1687" t="s">
        <v>2684</v>
      </c>
      <c r="AA1687">
        <v>597004571302</v>
      </c>
      <c r="AB1687" t="s">
        <v>2203</v>
      </c>
      <c r="AC1687">
        <v>0</v>
      </c>
      <c r="AD1687">
        <v>5</v>
      </c>
      <c r="AE1687">
        <v>5970045713025</v>
      </c>
      <c r="AF1687" t="s">
        <v>6575</v>
      </c>
      <c r="AG1687">
        <v>1</v>
      </c>
      <c r="AH1687">
        <v>1</v>
      </c>
    </row>
    <row r="1688" spans="1:34">
      <c r="A1688">
        <v>2026</v>
      </c>
      <c r="B1688" s="1">
        <v>46082</v>
      </c>
      <c r="C1688" t="s">
        <v>2657</v>
      </c>
      <c r="D1688" t="s">
        <v>6578</v>
      </c>
      <c r="E1688" s="43">
        <v>46084.49774496528</v>
      </c>
      <c r="F1688" s="3">
        <v>46084</v>
      </c>
      <c r="G1688" s="43">
        <v>46085.642117384261</v>
      </c>
      <c r="H1688" t="s">
        <v>2668</v>
      </c>
      <c r="I1688" t="s">
        <v>2669</v>
      </c>
      <c r="J1688" t="s">
        <v>39</v>
      </c>
      <c r="L1688" t="s">
        <v>2408</v>
      </c>
      <c r="M1688">
        <v>1148686680402</v>
      </c>
      <c r="N1688" t="s">
        <v>2746</v>
      </c>
      <c r="O1688" s="1">
        <v>46001</v>
      </c>
      <c r="T1688" t="s">
        <v>2662</v>
      </c>
      <c r="U1688" t="s">
        <v>6579</v>
      </c>
      <c r="V1688">
        <v>1</v>
      </c>
      <c r="W1688" t="s">
        <v>2671</v>
      </c>
      <c r="X1688">
        <v>1</v>
      </c>
      <c r="Y1688" t="s">
        <v>2672</v>
      </c>
      <c r="AA1688">
        <v>1148686680402</v>
      </c>
      <c r="AB1688" t="s">
        <v>2424</v>
      </c>
      <c r="AC1688">
        <v>1</v>
      </c>
      <c r="AD1688">
        <v>10</v>
      </c>
      <c r="AE1688">
        <v>114868668040210</v>
      </c>
      <c r="AF1688" t="s">
        <v>6580</v>
      </c>
      <c r="AG1688">
        <v>1</v>
      </c>
      <c r="AH1688">
        <v>1</v>
      </c>
    </row>
    <row r="1689" spans="1:34">
      <c r="A1689">
        <v>2025</v>
      </c>
      <c r="B1689" s="1">
        <v>45931</v>
      </c>
      <c r="C1689" t="s">
        <v>2657</v>
      </c>
      <c r="D1689" s="44" t="s">
        <v>6581</v>
      </c>
      <c r="E1689" s="43">
        <v>45933.528241111111</v>
      </c>
      <c r="F1689" s="3">
        <v>45933</v>
      </c>
      <c r="G1689" s="43">
        <v>45938.62985391204</v>
      </c>
      <c r="H1689" t="s">
        <v>2659</v>
      </c>
      <c r="I1689" t="s">
        <v>2669</v>
      </c>
      <c r="J1689" t="s">
        <v>2735</v>
      </c>
      <c r="L1689" t="s">
        <v>2362</v>
      </c>
      <c r="M1689">
        <v>25248213105</v>
      </c>
      <c r="N1689" t="s">
        <v>2746</v>
      </c>
      <c r="O1689" s="1">
        <v>45294</v>
      </c>
      <c r="T1689" t="s">
        <v>2662</v>
      </c>
      <c r="U1689" t="s">
        <v>2760</v>
      </c>
      <c r="V1689">
        <v>3</v>
      </c>
      <c r="W1689" t="s">
        <v>2677</v>
      </c>
      <c r="X1689">
        <v>1</v>
      </c>
      <c r="Y1689" t="s">
        <v>2760</v>
      </c>
      <c r="Z1689" t="s">
        <v>2684</v>
      </c>
      <c r="AA1689">
        <v>25248213105</v>
      </c>
      <c r="AB1689" t="s">
        <v>1611</v>
      </c>
      <c r="AC1689">
        <v>0</v>
      </c>
      <c r="AD1689">
        <v>40</v>
      </c>
      <c r="AE1689">
        <v>2524821310540</v>
      </c>
      <c r="AF1689" t="s">
        <v>6582</v>
      </c>
      <c r="AG1689">
        <v>1</v>
      </c>
      <c r="AH1689">
        <v>1</v>
      </c>
    </row>
    <row r="1690" spans="1:34">
      <c r="A1690">
        <v>2025</v>
      </c>
      <c r="B1690" s="1">
        <v>45931</v>
      </c>
      <c r="C1690" t="s">
        <v>2657</v>
      </c>
      <c r="D1690" s="44" t="s">
        <v>6583</v>
      </c>
      <c r="E1690" s="43">
        <v>45936.861504490742</v>
      </c>
      <c r="F1690" s="3">
        <v>45936</v>
      </c>
      <c r="G1690" s="43">
        <v>45940.634973206019</v>
      </c>
      <c r="H1690" t="s">
        <v>2659</v>
      </c>
      <c r="I1690" t="s">
        <v>2669</v>
      </c>
      <c r="J1690" t="s">
        <v>2735</v>
      </c>
      <c r="L1690" t="s">
        <v>2362</v>
      </c>
      <c r="M1690">
        <v>25248213105</v>
      </c>
      <c r="N1690" t="s">
        <v>2746</v>
      </c>
      <c r="O1690" s="1">
        <v>45294</v>
      </c>
      <c r="T1690" t="s">
        <v>2662</v>
      </c>
      <c r="U1690" t="s">
        <v>6584</v>
      </c>
      <c r="V1690">
        <v>4</v>
      </c>
      <c r="W1690" t="s">
        <v>2671</v>
      </c>
      <c r="X1690">
        <v>1</v>
      </c>
      <c r="Y1690" t="s">
        <v>2727</v>
      </c>
      <c r="AA1690">
        <v>25248213105</v>
      </c>
      <c r="AB1690" t="s">
        <v>1611</v>
      </c>
      <c r="AC1690">
        <v>0</v>
      </c>
      <c r="AD1690">
        <v>41</v>
      </c>
      <c r="AE1690">
        <v>2524821310541</v>
      </c>
      <c r="AF1690" t="s">
        <v>6582</v>
      </c>
      <c r="AG1690">
        <v>1</v>
      </c>
      <c r="AH1690">
        <v>0</v>
      </c>
    </row>
    <row r="1691" spans="1:34">
      <c r="A1691">
        <v>2025</v>
      </c>
      <c r="B1691" s="1">
        <v>45931</v>
      </c>
      <c r="C1691" t="s">
        <v>2657</v>
      </c>
      <c r="D1691" t="s">
        <v>6585</v>
      </c>
      <c r="E1691" s="43">
        <v>45943.713052106483</v>
      </c>
      <c r="F1691" s="3">
        <v>45943</v>
      </c>
      <c r="G1691" s="43">
        <v>45946.843047986113</v>
      </c>
      <c r="H1691" t="s">
        <v>2659</v>
      </c>
      <c r="I1691" t="s">
        <v>2681</v>
      </c>
      <c r="J1691" t="s">
        <v>2735</v>
      </c>
      <c r="L1691" t="s">
        <v>2362</v>
      </c>
      <c r="M1691">
        <v>25248213105</v>
      </c>
      <c r="N1691" t="s">
        <v>2746</v>
      </c>
      <c r="O1691" s="1">
        <v>45294</v>
      </c>
      <c r="T1691" t="s">
        <v>2662</v>
      </c>
      <c r="U1691" t="s">
        <v>6586</v>
      </c>
      <c r="V1691">
        <v>3</v>
      </c>
      <c r="W1691" t="s">
        <v>2677</v>
      </c>
      <c r="X1691">
        <v>1</v>
      </c>
      <c r="Y1691" t="s">
        <v>2760</v>
      </c>
      <c r="AA1691">
        <v>25248213105</v>
      </c>
      <c r="AB1691" t="s">
        <v>1611</v>
      </c>
      <c r="AC1691">
        <v>0</v>
      </c>
      <c r="AD1691">
        <v>42</v>
      </c>
      <c r="AE1691">
        <v>2524821310542</v>
      </c>
      <c r="AF1691" t="s">
        <v>6582</v>
      </c>
      <c r="AG1691">
        <v>0</v>
      </c>
      <c r="AH1691">
        <v>0</v>
      </c>
    </row>
    <row r="1692" spans="1:34">
      <c r="A1692">
        <v>2025</v>
      </c>
      <c r="B1692" s="1">
        <v>45931</v>
      </c>
      <c r="C1692" t="s">
        <v>2657</v>
      </c>
      <c r="D1692" t="s">
        <v>6587</v>
      </c>
      <c r="E1692" s="43">
        <v>45943.712080254627</v>
      </c>
      <c r="F1692" s="3">
        <v>45943</v>
      </c>
      <c r="G1692" s="43">
        <v>45946.831297951387</v>
      </c>
      <c r="H1692" t="s">
        <v>2659</v>
      </c>
      <c r="I1692" t="s">
        <v>2681</v>
      </c>
      <c r="J1692" t="s">
        <v>2735</v>
      </c>
      <c r="L1692" t="s">
        <v>2362</v>
      </c>
      <c r="M1692">
        <v>25248213105</v>
      </c>
      <c r="N1692" t="s">
        <v>2746</v>
      </c>
      <c r="O1692" s="1">
        <v>45294</v>
      </c>
      <c r="T1692" t="s">
        <v>2662</v>
      </c>
      <c r="U1692" t="s">
        <v>6588</v>
      </c>
      <c r="V1692">
        <v>3</v>
      </c>
      <c r="W1692" t="s">
        <v>2677</v>
      </c>
      <c r="X1692">
        <v>1</v>
      </c>
      <c r="Y1692" t="s">
        <v>2767</v>
      </c>
      <c r="AA1692">
        <v>25248213105</v>
      </c>
      <c r="AB1692" t="s">
        <v>1611</v>
      </c>
      <c r="AC1692">
        <v>0</v>
      </c>
      <c r="AD1692">
        <v>42</v>
      </c>
      <c r="AE1692">
        <v>2524821310542</v>
      </c>
      <c r="AF1692" t="s">
        <v>6582</v>
      </c>
      <c r="AG1692">
        <v>1</v>
      </c>
      <c r="AH1692">
        <v>0</v>
      </c>
    </row>
    <row r="1693" spans="1:34">
      <c r="A1693">
        <v>2025</v>
      </c>
      <c r="B1693" s="1">
        <v>45931</v>
      </c>
      <c r="C1693" t="s">
        <v>2657</v>
      </c>
      <c r="D1693" t="s">
        <v>6589</v>
      </c>
      <c r="E1693" s="43">
        <v>45946.812314976851</v>
      </c>
      <c r="F1693" s="3">
        <v>45946</v>
      </c>
      <c r="G1693" s="43">
        <v>45947.65815278935</v>
      </c>
      <c r="H1693" t="s">
        <v>2659</v>
      </c>
      <c r="I1693" t="s">
        <v>2719</v>
      </c>
      <c r="J1693" t="s">
        <v>2735</v>
      </c>
      <c r="L1693" t="s">
        <v>2362</v>
      </c>
      <c r="M1693">
        <v>25248213105</v>
      </c>
      <c r="N1693" t="s">
        <v>2746</v>
      </c>
      <c r="O1693" s="1">
        <v>45294</v>
      </c>
      <c r="T1693" t="s">
        <v>2662</v>
      </c>
      <c r="U1693" t="s">
        <v>6590</v>
      </c>
      <c r="V1693">
        <v>1</v>
      </c>
      <c r="W1693" t="s">
        <v>2671</v>
      </c>
      <c r="X1693">
        <v>1</v>
      </c>
      <c r="Y1693" t="s">
        <v>2683</v>
      </c>
      <c r="AA1693">
        <v>25248213105</v>
      </c>
      <c r="AB1693" t="s">
        <v>1611</v>
      </c>
      <c r="AC1693">
        <v>0</v>
      </c>
      <c r="AD1693">
        <v>42</v>
      </c>
      <c r="AE1693">
        <v>2524821310542</v>
      </c>
      <c r="AF1693" t="s">
        <v>6582</v>
      </c>
      <c r="AG1693">
        <v>0</v>
      </c>
      <c r="AH1693">
        <v>0</v>
      </c>
    </row>
    <row r="1694" spans="1:34">
      <c r="A1694">
        <v>2025</v>
      </c>
      <c r="B1694" s="1">
        <v>45931</v>
      </c>
      <c r="C1694" t="s">
        <v>2657</v>
      </c>
      <c r="D1694" t="s">
        <v>6591</v>
      </c>
      <c r="E1694" s="43">
        <v>45945.636325543979</v>
      </c>
      <c r="F1694" s="3">
        <v>45945</v>
      </c>
      <c r="G1694" s="43">
        <v>45945.636325543979</v>
      </c>
      <c r="H1694" t="s">
        <v>2659</v>
      </c>
      <c r="I1694" t="s">
        <v>2719</v>
      </c>
      <c r="J1694" t="s">
        <v>2735</v>
      </c>
      <c r="L1694" t="s">
        <v>2362</v>
      </c>
      <c r="M1694">
        <v>25248213105</v>
      </c>
      <c r="N1694" t="s">
        <v>2746</v>
      </c>
      <c r="O1694" s="1">
        <v>45294</v>
      </c>
      <c r="T1694" t="s">
        <v>2662</v>
      </c>
      <c r="U1694" t="s">
        <v>6592</v>
      </c>
      <c r="V1694">
        <v>0</v>
      </c>
      <c r="W1694" t="s">
        <v>2671</v>
      </c>
      <c r="X1694">
        <v>1</v>
      </c>
      <c r="Y1694" t="s">
        <v>2695</v>
      </c>
      <c r="AA1694">
        <v>25248213105</v>
      </c>
      <c r="AB1694" t="s">
        <v>1611</v>
      </c>
      <c r="AC1694">
        <v>0</v>
      </c>
      <c r="AD1694">
        <v>42</v>
      </c>
      <c r="AE1694">
        <v>2524821310542</v>
      </c>
      <c r="AF1694" t="s">
        <v>6582</v>
      </c>
      <c r="AG1694">
        <v>0</v>
      </c>
      <c r="AH1694">
        <v>0</v>
      </c>
    </row>
    <row r="1695" spans="1:34">
      <c r="A1695">
        <v>2025</v>
      </c>
      <c r="B1695" s="1">
        <v>45931</v>
      </c>
      <c r="C1695" t="s">
        <v>2657</v>
      </c>
      <c r="D1695" t="s">
        <v>6593</v>
      </c>
      <c r="E1695" s="43">
        <v>45954.530346180552</v>
      </c>
      <c r="F1695" s="3">
        <v>45954</v>
      </c>
      <c r="G1695" s="43">
        <v>45960.717389988429</v>
      </c>
      <c r="H1695" t="s">
        <v>2659</v>
      </c>
      <c r="I1695" t="s">
        <v>2660</v>
      </c>
      <c r="J1695" t="s">
        <v>2735</v>
      </c>
      <c r="L1695" t="s">
        <v>2362</v>
      </c>
      <c r="M1695">
        <v>25248213105</v>
      </c>
      <c r="N1695" t="s">
        <v>2746</v>
      </c>
      <c r="O1695" s="1">
        <v>45294</v>
      </c>
      <c r="T1695" t="s">
        <v>2662</v>
      </c>
      <c r="U1695" t="s">
        <v>6594</v>
      </c>
      <c r="V1695">
        <v>4</v>
      </c>
      <c r="W1695" t="s">
        <v>2664</v>
      </c>
      <c r="X1695">
        <v>1</v>
      </c>
      <c r="Y1695" t="s">
        <v>2665</v>
      </c>
      <c r="AA1695">
        <v>25248213105</v>
      </c>
      <c r="AB1695" t="s">
        <v>1611</v>
      </c>
      <c r="AC1695">
        <v>0</v>
      </c>
      <c r="AD1695">
        <v>43</v>
      </c>
      <c r="AE1695">
        <v>2524821310543</v>
      </c>
      <c r="AF1695" t="s">
        <v>6582</v>
      </c>
      <c r="AG1695">
        <v>1</v>
      </c>
      <c r="AH1695">
        <v>0</v>
      </c>
    </row>
    <row r="1696" spans="1:34">
      <c r="A1696">
        <v>2025</v>
      </c>
      <c r="B1696" s="1">
        <v>45931</v>
      </c>
      <c r="C1696" t="s">
        <v>2657</v>
      </c>
      <c r="D1696" t="s">
        <v>6595</v>
      </c>
      <c r="E1696" s="43">
        <v>45959.779897604167</v>
      </c>
      <c r="F1696" s="3">
        <v>45959</v>
      </c>
      <c r="G1696" s="43">
        <v>45961.644442303237</v>
      </c>
      <c r="H1696" t="s">
        <v>2659</v>
      </c>
      <c r="I1696" t="s">
        <v>2697</v>
      </c>
      <c r="J1696" t="s">
        <v>2735</v>
      </c>
      <c r="L1696" t="s">
        <v>2362</v>
      </c>
      <c r="M1696">
        <v>25248213105</v>
      </c>
      <c r="N1696" t="s">
        <v>2746</v>
      </c>
      <c r="O1696" s="1">
        <v>45294</v>
      </c>
      <c r="T1696" t="s">
        <v>2662</v>
      </c>
      <c r="U1696" t="s">
        <v>6596</v>
      </c>
      <c r="V1696">
        <v>2</v>
      </c>
      <c r="W1696" t="s">
        <v>2677</v>
      </c>
      <c r="X1696">
        <v>1</v>
      </c>
      <c r="Y1696" t="s">
        <v>2760</v>
      </c>
      <c r="AA1696">
        <v>25248213105</v>
      </c>
      <c r="AB1696" t="s">
        <v>1611</v>
      </c>
      <c r="AC1696">
        <v>0</v>
      </c>
      <c r="AD1696">
        <v>44</v>
      </c>
      <c r="AE1696">
        <v>2524821310544</v>
      </c>
      <c r="AF1696" t="s">
        <v>6582</v>
      </c>
      <c r="AG1696">
        <v>0</v>
      </c>
      <c r="AH1696">
        <v>0</v>
      </c>
    </row>
    <row r="1697" spans="1:34">
      <c r="A1697">
        <v>2025</v>
      </c>
      <c r="B1697" s="1">
        <v>45931</v>
      </c>
      <c r="C1697" t="s">
        <v>2657</v>
      </c>
      <c r="D1697" t="s">
        <v>6597</v>
      </c>
      <c r="E1697" s="43">
        <v>45959.627562708331</v>
      </c>
      <c r="F1697" s="3">
        <v>45959</v>
      </c>
      <c r="G1697" s="43">
        <v>45960.879507187499</v>
      </c>
      <c r="H1697" t="s">
        <v>2659</v>
      </c>
      <c r="I1697" t="s">
        <v>2697</v>
      </c>
      <c r="J1697" t="s">
        <v>2735</v>
      </c>
      <c r="L1697" t="s">
        <v>2362</v>
      </c>
      <c r="M1697">
        <v>25248213105</v>
      </c>
      <c r="N1697" t="s">
        <v>2746</v>
      </c>
      <c r="O1697" s="1">
        <v>45294</v>
      </c>
      <c r="T1697" t="s">
        <v>2662</v>
      </c>
      <c r="U1697" t="s">
        <v>6598</v>
      </c>
      <c r="V1697">
        <v>1</v>
      </c>
      <c r="W1697" t="s">
        <v>2677</v>
      </c>
      <c r="X1697">
        <v>1</v>
      </c>
      <c r="Y1697" t="s">
        <v>2807</v>
      </c>
      <c r="AA1697">
        <v>25248213105</v>
      </c>
      <c r="AB1697" t="s">
        <v>1611</v>
      </c>
      <c r="AC1697">
        <v>0</v>
      </c>
      <c r="AD1697">
        <v>44</v>
      </c>
      <c r="AE1697">
        <v>2524821310544</v>
      </c>
      <c r="AF1697" t="s">
        <v>6582</v>
      </c>
      <c r="AG1697">
        <v>1</v>
      </c>
      <c r="AH1697">
        <v>0</v>
      </c>
    </row>
    <row r="1698" spans="1:34">
      <c r="A1698">
        <v>2025</v>
      </c>
      <c r="B1698" s="1">
        <v>45931</v>
      </c>
      <c r="C1698" t="s">
        <v>2657</v>
      </c>
      <c r="D1698" t="s">
        <v>6599</v>
      </c>
      <c r="E1698" s="43">
        <v>45961.491747384258</v>
      </c>
      <c r="F1698" s="3">
        <v>45961</v>
      </c>
      <c r="G1698" s="43">
        <v>45964.590190787036</v>
      </c>
      <c r="H1698" t="s">
        <v>2659</v>
      </c>
      <c r="I1698" t="s">
        <v>2697</v>
      </c>
      <c r="J1698" t="s">
        <v>2735</v>
      </c>
      <c r="L1698" t="s">
        <v>2362</v>
      </c>
      <c r="M1698">
        <v>25248213105</v>
      </c>
      <c r="N1698" t="s">
        <v>2746</v>
      </c>
      <c r="O1698" s="1">
        <v>45294</v>
      </c>
      <c r="T1698" t="s">
        <v>2662</v>
      </c>
      <c r="U1698" t="s">
        <v>6600</v>
      </c>
      <c r="V1698">
        <v>1</v>
      </c>
      <c r="W1698" t="s">
        <v>2671</v>
      </c>
      <c r="X1698">
        <v>1</v>
      </c>
      <c r="Y1698" t="s">
        <v>2672</v>
      </c>
      <c r="AA1698">
        <v>25248213105</v>
      </c>
      <c r="AB1698" t="s">
        <v>1611</v>
      </c>
      <c r="AC1698">
        <v>0</v>
      </c>
      <c r="AD1698">
        <v>44</v>
      </c>
      <c r="AE1698">
        <v>2524821310544</v>
      </c>
      <c r="AF1698" t="s">
        <v>6582</v>
      </c>
      <c r="AG1698">
        <v>0</v>
      </c>
      <c r="AH1698">
        <v>0</v>
      </c>
    </row>
    <row r="1699" spans="1:34">
      <c r="A1699">
        <v>2026</v>
      </c>
      <c r="B1699" s="1">
        <v>46082</v>
      </c>
      <c r="C1699" t="s">
        <v>2657</v>
      </c>
      <c r="D1699" t="s">
        <v>6601</v>
      </c>
      <c r="E1699" s="43">
        <v>46086.724719108795</v>
      </c>
      <c r="F1699" s="3">
        <v>46086</v>
      </c>
      <c r="G1699" s="43">
        <v>46086.724719108795</v>
      </c>
      <c r="H1699" t="s">
        <v>2668</v>
      </c>
      <c r="I1699" t="s">
        <v>2669</v>
      </c>
      <c r="J1699" t="s">
        <v>38</v>
      </c>
      <c r="L1699" t="s">
        <v>2342</v>
      </c>
      <c r="M1699">
        <v>28945506502</v>
      </c>
      <c r="N1699" t="s">
        <v>2702</v>
      </c>
      <c r="O1699" s="1">
        <v>45349</v>
      </c>
      <c r="T1699" t="s">
        <v>2662</v>
      </c>
      <c r="U1699" t="s">
        <v>6602</v>
      </c>
      <c r="V1699">
        <v>0</v>
      </c>
      <c r="W1699" t="s">
        <v>2704</v>
      </c>
      <c r="X1699">
        <v>1</v>
      </c>
      <c r="Y1699" t="s">
        <v>2710</v>
      </c>
      <c r="AA1699">
        <v>28945506502</v>
      </c>
      <c r="AB1699" t="s">
        <v>820</v>
      </c>
      <c r="AC1699">
        <v>0</v>
      </c>
      <c r="AD1699">
        <v>10</v>
      </c>
      <c r="AE1699">
        <v>2894550650210</v>
      </c>
      <c r="AF1699" t="s">
        <v>6603</v>
      </c>
      <c r="AG1699">
        <v>1</v>
      </c>
      <c r="AH1699">
        <v>1</v>
      </c>
    </row>
    <row r="1700" spans="1:34">
      <c r="A1700">
        <v>2026</v>
      </c>
      <c r="B1700" s="1">
        <v>46082</v>
      </c>
      <c r="C1700" t="s">
        <v>2657</v>
      </c>
      <c r="D1700" t="s">
        <v>6604</v>
      </c>
      <c r="E1700" s="43">
        <v>46086.725424814817</v>
      </c>
      <c r="F1700" s="3">
        <v>46086</v>
      </c>
      <c r="G1700" s="43">
        <v>46086.725424814817</v>
      </c>
      <c r="H1700" t="s">
        <v>2668</v>
      </c>
      <c r="I1700" t="s">
        <v>2669</v>
      </c>
      <c r="J1700" t="s">
        <v>38</v>
      </c>
      <c r="L1700" t="s">
        <v>2342</v>
      </c>
      <c r="M1700">
        <v>28945506502</v>
      </c>
      <c r="N1700" t="s">
        <v>2702</v>
      </c>
      <c r="O1700" s="1">
        <v>45349</v>
      </c>
      <c r="T1700" t="s">
        <v>2662</v>
      </c>
      <c r="U1700" t="s">
        <v>6605</v>
      </c>
      <c r="V1700">
        <v>0</v>
      </c>
      <c r="W1700" t="s">
        <v>2677</v>
      </c>
      <c r="X1700">
        <v>1</v>
      </c>
      <c r="Y1700" t="s">
        <v>2807</v>
      </c>
      <c r="AA1700">
        <v>28945506502</v>
      </c>
      <c r="AB1700" t="s">
        <v>820</v>
      </c>
      <c r="AC1700">
        <v>0</v>
      </c>
      <c r="AD1700">
        <v>10</v>
      </c>
      <c r="AE1700">
        <v>2894550650210</v>
      </c>
      <c r="AF1700" t="s">
        <v>6603</v>
      </c>
      <c r="AG1700">
        <v>0</v>
      </c>
      <c r="AH1700">
        <v>0</v>
      </c>
    </row>
    <row r="1701" spans="1:34">
      <c r="A1701">
        <v>2026</v>
      </c>
      <c r="B1701" s="1">
        <v>46082</v>
      </c>
      <c r="C1701" t="s">
        <v>2657</v>
      </c>
      <c r="D1701" t="s">
        <v>6606</v>
      </c>
      <c r="E1701" s="43">
        <v>46090.897837916666</v>
      </c>
      <c r="F1701" s="3">
        <v>46090</v>
      </c>
      <c r="G1701" s="43">
        <v>46090.897837916666</v>
      </c>
      <c r="H1701" t="s">
        <v>2668</v>
      </c>
      <c r="I1701" t="s">
        <v>2681</v>
      </c>
      <c r="J1701" t="s">
        <v>38</v>
      </c>
      <c r="L1701" t="s">
        <v>2342</v>
      </c>
      <c r="M1701">
        <v>28945506502</v>
      </c>
      <c r="N1701" t="s">
        <v>2702</v>
      </c>
      <c r="O1701" s="1">
        <v>45349</v>
      </c>
      <c r="T1701" t="s">
        <v>2798</v>
      </c>
      <c r="U1701" t="s">
        <v>6607</v>
      </c>
      <c r="V1701">
        <v>4</v>
      </c>
      <c r="W1701" t="s">
        <v>2664</v>
      </c>
      <c r="X1701">
        <v>0</v>
      </c>
      <c r="Y1701" t="s">
        <v>2665</v>
      </c>
      <c r="AA1701">
        <v>28945506502</v>
      </c>
      <c r="AB1701" t="s">
        <v>820</v>
      </c>
      <c r="AC1701">
        <v>1</v>
      </c>
      <c r="AD1701">
        <v>11</v>
      </c>
      <c r="AE1701">
        <v>2894550650211</v>
      </c>
      <c r="AF1701" t="s">
        <v>6603</v>
      </c>
      <c r="AG1701">
        <v>1</v>
      </c>
      <c r="AH1701">
        <v>0</v>
      </c>
    </row>
    <row r="1702" spans="1:34">
      <c r="A1702">
        <v>2025</v>
      </c>
      <c r="B1702" s="1">
        <v>45962</v>
      </c>
      <c r="C1702" t="s">
        <v>2657</v>
      </c>
      <c r="D1702" t="s">
        <v>6608</v>
      </c>
      <c r="E1702" s="43">
        <v>45985.658225520834</v>
      </c>
      <c r="F1702" s="3">
        <v>45985</v>
      </c>
      <c r="G1702" s="43">
        <v>46048.572261828704</v>
      </c>
      <c r="H1702" t="s">
        <v>2802</v>
      </c>
      <c r="I1702" t="s">
        <v>2660</v>
      </c>
      <c r="J1702" t="s">
        <v>100</v>
      </c>
      <c r="L1702" t="s">
        <v>2363</v>
      </c>
      <c r="M1702">
        <v>24371682602</v>
      </c>
      <c r="N1702" t="s">
        <v>2702</v>
      </c>
      <c r="O1702" s="1">
        <v>45947</v>
      </c>
      <c r="T1702" t="s">
        <v>2662</v>
      </c>
      <c r="U1702" t="s">
        <v>6609</v>
      </c>
      <c r="V1702">
        <v>45</v>
      </c>
      <c r="W1702" t="s">
        <v>2704</v>
      </c>
      <c r="X1702">
        <v>1</v>
      </c>
      <c r="Y1702" t="s">
        <v>2665</v>
      </c>
      <c r="AA1702">
        <v>24371682602</v>
      </c>
      <c r="AB1702" t="s">
        <v>1509</v>
      </c>
      <c r="AC1702">
        <v>0</v>
      </c>
      <c r="AD1702">
        <v>48</v>
      </c>
      <c r="AE1702">
        <v>2437168260248</v>
      </c>
      <c r="AF1702" t="s">
        <v>6610</v>
      </c>
      <c r="AG1702">
        <v>1</v>
      </c>
      <c r="AH1702">
        <v>1</v>
      </c>
    </row>
    <row r="1703" spans="1:34">
      <c r="A1703">
        <v>2026</v>
      </c>
      <c r="B1703" s="1">
        <v>46054</v>
      </c>
      <c r="C1703" t="s">
        <v>2657</v>
      </c>
      <c r="D1703" s="44" t="s">
        <v>6611</v>
      </c>
      <c r="E1703" s="43">
        <v>46057.767067361114</v>
      </c>
      <c r="F1703" s="3">
        <v>46057</v>
      </c>
      <c r="G1703" s="43">
        <v>46062.596282766201</v>
      </c>
      <c r="H1703" t="s">
        <v>2725</v>
      </c>
      <c r="I1703" t="s">
        <v>2669</v>
      </c>
      <c r="J1703" t="s">
        <v>39</v>
      </c>
      <c r="L1703" t="s">
        <v>2362</v>
      </c>
      <c r="M1703">
        <v>801134136002</v>
      </c>
      <c r="N1703" t="s">
        <v>2746</v>
      </c>
      <c r="O1703" s="1">
        <v>45994</v>
      </c>
      <c r="T1703" t="s">
        <v>2662</v>
      </c>
      <c r="U1703" t="s">
        <v>6612</v>
      </c>
      <c r="V1703">
        <v>3</v>
      </c>
      <c r="W1703" t="s">
        <v>2677</v>
      </c>
      <c r="X1703">
        <v>1</v>
      </c>
      <c r="Y1703" t="s">
        <v>2767</v>
      </c>
      <c r="AA1703">
        <v>801134136002</v>
      </c>
      <c r="AB1703" t="s">
        <v>2599</v>
      </c>
      <c r="AC1703">
        <v>0</v>
      </c>
      <c r="AD1703">
        <v>6</v>
      </c>
      <c r="AE1703">
        <v>8011341360026</v>
      </c>
      <c r="AF1703" t="s">
        <v>6613</v>
      </c>
      <c r="AG1703">
        <v>1</v>
      </c>
      <c r="AH1703">
        <v>1</v>
      </c>
    </row>
    <row r="1704" spans="1:34">
      <c r="A1704">
        <v>2026</v>
      </c>
      <c r="B1704" s="1">
        <v>46054</v>
      </c>
      <c r="C1704" t="s">
        <v>2657</v>
      </c>
      <c r="D1704" t="s">
        <v>6614</v>
      </c>
      <c r="E1704" s="43">
        <v>46077.50375891204</v>
      </c>
      <c r="F1704" s="3">
        <v>46077</v>
      </c>
      <c r="G1704" s="43">
        <v>46078.682399687503</v>
      </c>
      <c r="H1704" t="s">
        <v>2725</v>
      </c>
      <c r="I1704" t="s">
        <v>2660</v>
      </c>
      <c r="J1704" t="s">
        <v>39</v>
      </c>
      <c r="L1704" t="s">
        <v>2362</v>
      </c>
      <c r="M1704">
        <v>801134136002</v>
      </c>
      <c r="N1704" t="s">
        <v>2746</v>
      </c>
      <c r="O1704" s="1">
        <v>45994</v>
      </c>
      <c r="T1704" t="s">
        <v>2662</v>
      </c>
      <c r="U1704" t="s">
        <v>6615</v>
      </c>
      <c r="V1704">
        <v>1</v>
      </c>
      <c r="W1704" t="s">
        <v>2677</v>
      </c>
      <c r="X1704">
        <v>1</v>
      </c>
      <c r="Y1704" t="s">
        <v>2767</v>
      </c>
      <c r="AA1704">
        <v>801134136002</v>
      </c>
      <c r="AB1704" t="s">
        <v>2599</v>
      </c>
      <c r="AC1704">
        <v>0</v>
      </c>
      <c r="AD1704">
        <v>9</v>
      </c>
      <c r="AE1704">
        <v>8011341360029</v>
      </c>
      <c r="AF1704" t="s">
        <v>6613</v>
      </c>
      <c r="AG1704">
        <v>1</v>
      </c>
      <c r="AH1704">
        <v>0</v>
      </c>
    </row>
    <row r="1705" spans="1:34">
      <c r="A1705">
        <v>2026</v>
      </c>
      <c r="B1705" s="1">
        <v>46023</v>
      </c>
      <c r="C1705" t="s">
        <v>2657</v>
      </c>
      <c r="D1705" t="s">
        <v>6616</v>
      </c>
      <c r="E1705" s="43">
        <v>46028.868297245368</v>
      </c>
      <c r="F1705" s="3">
        <v>46028</v>
      </c>
      <c r="G1705" s="43">
        <v>46064.719068668979</v>
      </c>
      <c r="H1705" t="s">
        <v>2701</v>
      </c>
      <c r="I1705" t="s">
        <v>2669</v>
      </c>
      <c r="J1705" t="s">
        <v>36</v>
      </c>
      <c r="L1705" t="s">
        <v>2421</v>
      </c>
      <c r="M1705">
        <v>55427353102</v>
      </c>
      <c r="N1705" t="s">
        <v>2661</v>
      </c>
      <c r="O1705" s="1">
        <v>45294</v>
      </c>
      <c r="T1705" t="s">
        <v>2662</v>
      </c>
      <c r="U1705" t="s">
        <v>6617</v>
      </c>
      <c r="V1705">
        <v>26</v>
      </c>
      <c r="W1705" t="s">
        <v>2743</v>
      </c>
      <c r="X1705">
        <v>1</v>
      </c>
      <c r="Y1705" t="s">
        <v>2772</v>
      </c>
      <c r="Z1705" t="s">
        <v>2834</v>
      </c>
      <c r="AA1705">
        <v>55427353102</v>
      </c>
      <c r="AB1705" t="s">
        <v>1972</v>
      </c>
      <c r="AC1705">
        <v>0</v>
      </c>
      <c r="AD1705">
        <v>2</v>
      </c>
      <c r="AE1705">
        <v>554273531022</v>
      </c>
      <c r="AF1705" t="s">
        <v>6618</v>
      </c>
      <c r="AG1705">
        <v>1</v>
      </c>
      <c r="AH1705">
        <v>1</v>
      </c>
    </row>
    <row r="1706" spans="1:34">
      <c r="A1706">
        <v>2026</v>
      </c>
      <c r="B1706" s="1">
        <v>46023</v>
      </c>
      <c r="C1706" t="s">
        <v>2657</v>
      </c>
      <c r="D1706" t="s">
        <v>6619</v>
      </c>
      <c r="E1706" s="43">
        <v>46036.909700069446</v>
      </c>
      <c r="F1706" s="3">
        <v>46036</v>
      </c>
      <c r="G1706" s="43">
        <v>46048.505366759258</v>
      </c>
      <c r="H1706" t="s">
        <v>2701</v>
      </c>
      <c r="I1706" t="s">
        <v>2681</v>
      </c>
      <c r="J1706" t="s">
        <v>36</v>
      </c>
      <c r="L1706" t="s">
        <v>2421</v>
      </c>
      <c r="M1706">
        <v>55427353102</v>
      </c>
      <c r="N1706" t="s">
        <v>2661</v>
      </c>
      <c r="O1706" s="1">
        <v>45294</v>
      </c>
      <c r="T1706" t="s">
        <v>2662</v>
      </c>
      <c r="U1706" t="s">
        <v>6620</v>
      </c>
      <c r="V1706">
        <v>8</v>
      </c>
      <c r="W1706" t="s">
        <v>2671</v>
      </c>
      <c r="X1706">
        <v>1</v>
      </c>
      <c r="Y1706" t="s">
        <v>2760</v>
      </c>
      <c r="AA1706">
        <v>55427353102</v>
      </c>
      <c r="AB1706" t="s">
        <v>1972</v>
      </c>
      <c r="AC1706">
        <v>0</v>
      </c>
      <c r="AD1706">
        <v>3</v>
      </c>
      <c r="AE1706">
        <v>554273531023</v>
      </c>
      <c r="AF1706" t="s">
        <v>6618</v>
      </c>
      <c r="AG1706">
        <v>1</v>
      </c>
      <c r="AH1706">
        <v>0</v>
      </c>
    </row>
    <row r="1707" spans="1:34">
      <c r="A1707">
        <v>2026</v>
      </c>
      <c r="B1707" s="1">
        <v>46023</v>
      </c>
      <c r="C1707" t="s">
        <v>2657</v>
      </c>
      <c r="D1707" t="s">
        <v>6621</v>
      </c>
      <c r="E1707" s="43">
        <v>46044.731839270833</v>
      </c>
      <c r="F1707" s="3">
        <v>46044</v>
      </c>
      <c r="G1707" s="43">
        <v>46058.728604965276</v>
      </c>
      <c r="H1707" t="s">
        <v>2701</v>
      </c>
      <c r="I1707" t="s">
        <v>2660</v>
      </c>
      <c r="J1707" t="s">
        <v>36</v>
      </c>
      <c r="L1707" t="s">
        <v>2421</v>
      </c>
      <c r="M1707">
        <v>55427353102</v>
      </c>
      <c r="N1707" t="s">
        <v>2661</v>
      </c>
      <c r="O1707" s="1">
        <v>45294</v>
      </c>
      <c r="T1707" t="s">
        <v>2662</v>
      </c>
      <c r="U1707" t="s">
        <v>6622</v>
      </c>
      <c r="V1707">
        <v>10</v>
      </c>
      <c r="W1707" t="s">
        <v>2677</v>
      </c>
      <c r="X1707">
        <v>1</v>
      </c>
      <c r="Y1707" t="s">
        <v>2760</v>
      </c>
      <c r="AA1707">
        <v>55427353102</v>
      </c>
      <c r="AB1707" t="s">
        <v>1972</v>
      </c>
      <c r="AC1707">
        <v>0</v>
      </c>
      <c r="AD1707">
        <v>4</v>
      </c>
      <c r="AE1707">
        <v>554273531024</v>
      </c>
      <c r="AF1707" t="s">
        <v>6618</v>
      </c>
      <c r="AG1707">
        <v>1</v>
      </c>
      <c r="AH1707">
        <v>0</v>
      </c>
    </row>
    <row r="1708" spans="1:34">
      <c r="A1708">
        <v>2026</v>
      </c>
      <c r="B1708" s="1">
        <v>46023</v>
      </c>
      <c r="C1708" t="s">
        <v>2657</v>
      </c>
      <c r="D1708" t="s">
        <v>6623</v>
      </c>
      <c r="E1708" s="43">
        <v>46044.735495868059</v>
      </c>
      <c r="F1708" s="3">
        <v>46044</v>
      </c>
      <c r="G1708" s="43">
        <v>46076.669697766207</v>
      </c>
      <c r="H1708" t="s">
        <v>2701</v>
      </c>
      <c r="I1708" t="s">
        <v>2660</v>
      </c>
      <c r="J1708" t="s">
        <v>36</v>
      </c>
      <c r="L1708" t="s">
        <v>2421</v>
      </c>
      <c r="M1708">
        <v>55427353102</v>
      </c>
      <c r="N1708" t="s">
        <v>2661</v>
      </c>
      <c r="O1708" s="1">
        <v>45294</v>
      </c>
      <c r="T1708" t="s">
        <v>2662</v>
      </c>
      <c r="U1708" t="s">
        <v>6624</v>
      </c>
      <c r="V1708">
        <v>22</v>
      </c>
      <c r="W1708" t="s">
        <v>2677</v>
      </c>
      <c r="X1708">
        <v>1</v>
      </c>
      <c r="Y1708" t="s">
        <v>2760</v>
      </c>
      <c r="AA1708">
        <v>55427353102</v>
      </c>
      <c r="AB1708" t="s">
        <v>1972</v>
      </c>
      <c r="AC1708">
        <v>0</v>
      </c>
      <c r="AD1708">
        <v>4</v>
      </c>
      <c r="AE1708">
        <v>554273531024</v>
      </c>
      <c r="AF1708" t="s">
        <v>6618</v>
      </c>
      <c r="AG1708">
        <v>0</v>
      </c>
      <c r="AH1708">
        <v>0</v>
      </c>
    </row>
    <row r="1709" spans="1:34">
      <c r="A1709">
        <v>2026</v>
      </c>
      <c r="B1709" s="1">
        <v>46023</v>
      </c>
      <c r="C1709" t="s">
        <v>2657</v>
      </c>
      <c r="D1709" t="s">
        <v>6625</v>
      </c>
      <c r="E1709" s="43">
        <v>46044.745160451392</v>
      </c>
      <c r="F1709" s="3">
        <v>46044</v>
      </c>
      <c r="G1709" s="43">
        <v>46058.728810162036</v>
      </c>
      <c r="H1709" t="s">
        <v>2701</v>
      </c>
      <c r="I1709" t="s">
        <v>2660</v>
      </c>
      <c r="J1709" t="s">
        <v>36</v>
      </c>
      <c r="L1709" t="s">
        <v>2421</v>
      </c>
      <c r="M1709">
        <v>55427353102</v>
      </c>
      <c r="N1709" t="s">
        <v>2661</v>
      </c>
      <c r="O1709" s="1">
        <v>45294</v>
      </c>
      <c r="T1709" t="s">
        <v>2662</v>
      </c>
      <c r="U1709" t="s">
        <v>6626</v>
      </c>
      <c r="V1709">
        <v>10</v>
      </c>
      <c r="W1709" t="s">
        <v>2677</v>
      </c>
      <c r="X1709">
        <v>1</v>
      </c>
      <c r="Y1709" t="s">
        <v>2760</v>
      </c>
      <c r="AA1709">
        <v>55427353102</v>
      </c>
      <c r="AB1709" t="s">
        <v>1972</v>
      </c>
      <c r="AC1709">
        <v>0</v>
      </c>
      <c r="AD1709">
        <v>4</v>
      </c>
      <c r="AE1709">
        <v>554273531024</v>
      </c>
      <c r="AF1709" t="s">
        <v>6618</v>
      </c>
      <c r="AG1709">
        <v>0</v>
      </c>
      <c r="AH1709">
        <v>0</v>
      </c>
    </row>
    <row r="1710" spans="1:34">
      <c r="A1710">
        <v>2026</v>
      </c>
      <c r="B1710" s="1">
        <v>46023</v>
      </c>
      <c r="C1710" t="s">
        <v>2657</v>
      </c>
      <c r="D1710" s="44" t="s">
        <v>6627</v>
      </c>
      <c r="E1710" s="43">
        <v>46052.723932094908</v>
      </c>
      <c r="F1710" s="3">
        <v>46052</v>
      </c>
      <c r="G1710" s="43">
        <v>46055.84574827546</v>
      </c>
      <c r="H1710" t="s">
        <v>2701</v>
      </c>
      <c r="I1710" t="s">
        <v>2697</v>
      </c>
      <c r="J1710" t="s">
        <v>36</v>
      </c>
      <c r="L1710" t="s">
        <v>2421</v>
      </c>
      <c r="M1710">
        <v>55427353102</v>
      </c>
      <c r="N1710" t="s">
        <v>2661</v>
      </c>
      <c r="O1710" s="1">
        <v>45294</v>
      </c>
      <c r="T1710" t="s">
        <v>2662</v>
      </c>
      <c r="U1710" t="s">
        <v>6628</v>
      </c>
      <c r="V1710">
        <v>1</v>
      </c>
      <c r="W1710" t="s">
        <v>2677</v>
      </c>
      <c r="X1710">
        <v>1</v>
      </c>
      <c r="Y1710" t="s">
        <v>2760</v>
      </c>
      <c r="AA1710">
        <v>55427353102</v>
      </c>
      <c r="AB1710" t="s">
        <v>1972</v>
      </c>
      <c r="AC1710">
        <v>0</v>
      </c>
      <c r="AD1710">
        <v>5</v>
      </c>
      <c r="AE1710">
        <v>554273531025</v>
      </c>
      <c r="AF1710" t="s">
        <v>6618</v>
      </c>
      <c r="AG1710">
        <v>1</v>
      </c>
      <c r="AH1710">
        <v>0</v>
      </c>
    </row>
    <row r="1711" spans="1:34">
      <c r="A1711">
        <v>2026</v>
      </c>
      <c r="B1711" s="1">
        <v>46023</v>
      </c>
      <c r="C1711" t="s">
        <v>2657</v>
      </c>
      <c r="D1711" t="s">
        <v>6629</v>
      </c>
      <c r="E1711" s="43">
        <v>46049.684165856481</v>
      </c>
      <c r="F1711" s="3">
        <v>46049</v>
      </c>
      <c r="G1711" s="43">
        <v>46050.649102812502</v>
      </c>
      <c r="H1711" t="s">
        <v>2701</v>
      </c>
      <c r="I1711" t="s">
        <v>2660</v>
      </c>
      <c r="J1711" t="s">
        <v>100</v>
      </c>
      <c r="L1711" t="s">
        <v>2363</v>
      </c>
      <c r="M1711">
        <v>19297108502</v>
      </c>
      <c r="N1711" t="s">
        <v>2702</v>
      </c>
      <c r="O1711" s="1">
        <v>45994</v>
      </c>
      <c r="T1711" t="s">
        <v>2662</v>
      </c>
      <c r="U1711" t="s">
        <v>6630</v>
      </c>
      <c r="V1711">
        <v>1</v>
      </c>
      <c r="W1711" t="s">
        <v>2704</v>
      </c>
      <c r="X1711">
        <v>1</v>
      </c>
      <c r="Y1711" t="s">
        <v>2710</v>
      </c>
      <c r="AA1711">
        <v>19297108502</v>
      </c>
      <c r="AB1711" t="s">
        <v>2561</v>
      </c>
      <c r="AC1711">
        <v>0</v>
      </c>
      <c r="AD1711">
        <v>5</v>
      </c>
      <c r="AE1711">
        <v>192971085025</v>
      </c>
      <c r="AF1711" t="s">
        <v>6631</v>
      </c>
      <c r="AG1711">
        <v>1</v>
      </c>
      <c r="AH1711">
        <v>1</v>
      </c>
    </row>
    <row r="1712" spans="1:34">
      <c r="A1712">
        <v>2026</v>
      </c>
      <c r="B1712" s="1">
        <v>46023</v>
      </c>
      <c r="C1712" t="s">
        <v>2657</v>
      </c>
      <c r="D1712" t="s">
        <v>6632</v>
      </c>
      <c r="E1712" s="43">
        <v>46051.594322766206</v>
      </c>
      <c r="F1712" s="3">
        <v>46051</v>
      </c>
      <c r="G1712" s="43">
        <v>46051.594322766206</v>
      </c>
      <c r="H1712" t="s">
        <v>2701</v>
      </c>
      <c r="I1712" t="s">
        <v>2697</v>
      </c>
      <c r="J1712" t="s">
        <v>100</v>
      </c>
      <c r="L1712" t="s">
        <v>2363</v>
      </c>
      <c r="M1712">
        <v>19297108502</v>
      </c>
      <c r="N1712" t="s">
        <v>2702</v>
      </c>
      <c r="O1712" s="1">
        <v>45994</v>
      </c>
      <c r="T1712" t="s">
        <v>2662</v>
      </c>
      <c r="U1712" t="s">
        <v>6633</v>
      </c>
      <c r="V1712">
        <v>0</v>
      </c>
      <c r="W1712" t="s">
        <v>2664</v>
      </c>
      <c r="X1712">
        <v>1</v>
      </c>
      <c r="Y1712" t="s">
        <v>2695</v>
      </c>
      <c r="AA1712">
        <v>19297108502</v>
      </c>
      <c r="AB1712" t="s">
        <v>2561</v>
      </c>
      <c r="AC1712">
        <v>0</v>
      </c>
      <c r="AD1712">
        <v>5</v>
      </c>
      <c r="AE1712">
        <v>192971085025</v>
      </c>
      <c r="AF1712" t="s">
        <v>6631</v>
      </c>
      <c r="AG1712">
        <v>0</v>
      </c>
      <c r="AH1712">
        <v>0</v>
      </c>
    </row>
    <row r="1713" spans="1:35">
      <c r="A1713">
        <v>2026</v>
      </c>
      <c r="B1713" s="1">
        <v>46023</v>
      </c>
      <c r="C1713" t="s">
        <v>2657</v>
      </c>
      <c r="D1713" t="s">
        <v>6634</v>
      </c>
      <c r="E1713" s="43">
        <v>46036.514713969904</v>
      </c>
      <c r="F1713" s="3">
        <v>46036</v>
      </c>
      <c r="G1713" s="43">
        <v>46041.798486898151</v>
      </c>
      <c r="H1713" t="s">
        <v>2701</v>
      </c>
      <c r="I1713" t="s">
        <v>2681</v>
      </c>
      <c r="J1713" t="s">
        <v>39</v>
      </c>
      <c r="L1713" t="s">
        <v>2408</v>
      </c>
      <c r="M1713">
        <v>1069577391202</v>
      </c>
      <c r="N1713" t="s">
        <v>2746</v>
      </c>
      <c r="O1713" s="1">
        <v>46049</v>
      </c>
      <c r="T1713" t="s">
        <v>2662</v>
      </c>
      <c r="U1713" t="s">
        <v>6635</v>
      </c>
      <c r="V1713">
        <v>3</v>
      </c>
      <c r="X1713">
        <v>1</v>
      </c>
      <c r="Y1713" t="s">
        <v>2717</v>
      </c>
      <c r="AA1713">
        <v>1069577391202</v>
      </c>
      <c r="AB1713" t="s">
        <v>2478</v>
      </c>
      <c r="AC1713">
        <v>0</v>
      </c>
      <c r="AD1713">
        <v>3</v>
      </c>
      <c r="AE1713">
        <v>10695773912023</v>
      </c>
      <c r="AF1713" t="s">
        <v>6636</v>
      </c>
      <c r="AG1713">
        <v>0</v>
      </c>
      <c r="AH1713">
        <v>0</v>
      </c>
    </row>
    <row r="1714" spans="1:35">
      <c r="A1714">
        <v>2026</v>
      </c>
      <c r="B1714" s="1">
        <v>46023</v>
      </c>
      <c r="C1714" t="s">
        <v>2657</v>
      </c>
      <c r="D1714" t="s">
        <v>6637</v>
      </c>
      <c r="E1714" s="43">
        <v>46035.510530509258</v>
      </c>
      <c r="F1714" s="3">
        <v>46035</v>
      </c>
      <c r="G1714" s="43">
        <v>46036.638476342596</v>
      </c>
      <c r="H1714" t="s">
        <v>2701</v>
      </c>
      <c r="I1714" t="s">
        <v>2681</v>
      </c>
      <c r="J1714" t="s">
        <v>39</v>
      </c>
      <c r="L1714" t="s">
        <v>2408</v>
      </c>
      <c r="M1714">
        <v>1069577391202</v>
      </c>
      <c r="N1714" t="s">
        <v>2746</v>
      </c>
      <c r="O1714" s="1">
        <v>46049</v>
      </c>
      <c r="T1714" t="s">
        <v>2662</v>
      </c>
      <c r="U1714" t="s">
        <v>6638</v>
      </c>
      <c r="V1714">
        <v>1</v>
      </c>
      <c r="X1714">
        <v>1</v>
      </c>
      <c r="Y1714" t="s">
        <v>2721</v>
      </c>
      <c r="AA1714">
        <v>1069577391202</v>
      </c>
      <c r="AB1714" t="s">
        <v>2478</v>
      </c>
      <c r="AC1714">
        <v>0</v>
      </c>
      <c r="AD1714">
        <v>3</v>
      </c>
      <c r="AE1714">
        <v>10695773912023</v>
      </c>
      <c r="AF1714" t="s">
        <v>6636</v>
      </c>
      <c r="AG1714">
        <v>0</v>
      </c>
      <c r="AH1714">
        <v>0</v>
      </c>
    </row>
    <row r="1715" spans="1:35">
      <c r="A1715">
        <v>2026</v>
      </c>
      <c r="B1715" s="1">
        <v>46023</v>
      </c>
      <c r="C1715" t="s">
        <v>2657</v>
      </c>
      <c r="D1715" t="s">
        <v>6639</v>
      </c>
      <c r="E1715" s="43">
        <v>46035.509841631945</v>
      </c>
      <c r="F1715" s="3">
        <v>46035</v>
      </c>
      <c r="G1715" s="43">
        <v>46035.792337094907</v>
      </c>
      <c r="H1715" t="s">
        <v>2701</v>
      </c>
      <c r="I1715" t="s">
        <v>2681</v>
      </c>
      <c r="J1715" t="s">
        <v>39</v>
      </c>
      <c r="L1715" t="s">
        <v>2408</v>
      </c>
      <c r="M1715">
        <v>1069577391202</v>
      </c>
      <c r="N1715" t="s">
        <v>2746</v>
      </c>
      <c r="O1715" s="1">
        <v>46049</v>
      </c>
      <c r="T1715" t="s">
        <v>2662</v>
      </c>
      <c r="U1715" t="s">
        <v>6640</v>
      </c>
      <c r="V1715">
        <v>0</v>
      </c>
      <c r="W1715" t="s">
        <v>2677</v>
      </c>
      <c r="X1715">
        <v>1</v>
      </c>
      <c r="Y1715" t="s">
        <v>3237</v>
      </c>
      <c r="AA1715">
        <v>1069577391202</v>
      </c>
      <c r="AB1715" t="s">
        <v>2478</v>
      </c>
      <c r="AC1715">
        <v>0</v>
      </c>
      <c r="AD1715">
        <v>3</v>
      </c>
      <c r="AE1715">
        <v>10695773912023</v>
      </c>
      <c r="AF1715" t="s">
        <v>6636</v>
      </c>
      <c r="AG1715">
        <v>0</v>
      </c>
      <c r="AH1715">
        <v>0</v>
      </c>
      <c r="AI1715" t="s">
        <v>3001</v>
      </c>
    </row>
    <row r="1716" spans="1:35">
      <c r="A1716">
        <v>2026</v>
      </c>
      <c r="B1716" s="1">
        <v>46023</v>
      </c>
      <c r="C1716" t="s">
        <v>2657</v>
      </c>
      <c r="D1716" t="s">
        <v>6641</v>
      </c>
      <c r="E1716" s="43">
        <v>46034.533067986114</v>
      </c>
      <c r="F1716" s="3">
        <v>46034</v>
      </c>
      <c r="G1716" s="43">
        <v>46036.631976597222</v>
      </c>
      <c r="H1716" t="s">
        <v>2701</v>
      </c>
      <c r="I1716" t="s">
        <v>2681</v>
      </c>
      <c r="J1716" t="s">
        <v>39</v>
      </c>
      <c r="L1716" t="s">
        <v>2408</v>
      </c>
      <c r="M1716">
        <v>1069577391202</v>
      </c>
      <c r="N1716" t="s">
        <v>2746</v>
      </c>
      <c r="O1716" s="1">
        <v>46049</v>
      </c>
      <c r="T1716" t="s">
        <v>2662</v>
      </c>
      <c r="U1716" t="s">
        <v>6642</v>
      </c>
      <c r="V1716">
        <v>2</v>
      </c>
      <c r="W1716" t="s">
        <v>2677</v>
      </c>
      <c r="X1716">
        <v>1</v>
      </c>
      <c r="Y1716" t="s">
        <v>2807</v>
      </c>
      <c r="AA1716">
        <v>1069577391202</v>
      </c>
      <c r="AB1716" t="s">
        <v>2478</v>
      </c>
      <c r="AC1716">
        <v>0</v>
      </c>
      <c r="AD1716">
        <v>3</v>
      </c>
      <c r="AE1716">
        <v>10695773912023</v>
      </c>
      <c r="AF1716" t="s">
        <v>6636</v>
      </c>
      <c r="AG1716">
        <v>1</v>
      </c>
      <c r="AH1716">
        <v>0</v>
      </c>
    </row>
    <row r="1717" spans="1:35">
      <c r="A1717">
        <v>2026</v>
      </c>
      <c r="B1717" s="1">
        <v>46023</v>
      </c>
      <c r="C1717" t="s">
        <v>2657</v>
      </c>
      <c r="D1717" t="s">
        <v>6643</v>
      </c>
      <c r="E1717" s="43">
        <v>46030.570918090278</v>
      </c>
      <c r="F1717" s="3">
        <v>46030</v>
      </c>
      <c r="G1717" s="43">
        <v>46034.536816747684</v>
      </c>
      <c r="H1717" t="s">
        <v>2701</v>
      </c>
      <c r="I1717" t="s">
        <v>2681</v>
      </c>
      <c r="J1717" t="s">
        <v>39</v>
      </c>
      <c r="L1717" t="s">
        <v>2408</v>
      </c>
      <c r="M1717">
        <v>1069577391202</v>
      </c>
      <c r="N1717" t="s">
        <v>2746</v>
      </c>
      <c r="O1717" s="1">
        <v>46049</v>
      </c>
      <c r="T1717" t="s">
        <v>2662</v>
      </c>
      <c r="U1717" t="s">
        <v>6644</v>
      </c>
      <c r="V1717">
        <v>2</v>
      </c>
      <c r="W1717" t="s">
        <v>2671</v>
      </c>
      <c r="X1717">
        <v>1</v>
      </c>
      <c r="Y1717" t="s">
        <v>2721</v>
      </c>
      <c r="AA1717">
        <v>1069577391202</v>
      </c>
      <c r="AB1717" t="s">
        <v>2478</v>
      </c>
      <c r="AC1717">
        <v>0</v>
      </c>
      <c r="AD1717">
        <v>2</v>
      </c>
      <c r="AE1717">
        <v>10695773912022</v>
      </c>
      <c r="AF1717" t="s">
        <v>6636</v>
      </c>
      <c r="AG1717">
        <v>1</v>
      </c>
      <c r="AH1717">
        <v>1</v>
      </c>
    </row>
    <row r="1718" spans="1:35">
      <c r="A1718">
        <v>2026</v>
      </c>
      <c r="B1718" s="1">
        <v>46023</v>
      </c>
      <c r="C1718" t="s">
        <v>2657</v>
      </c>
      <c r="D1718" t="s">
        <v>6645</v>
      </c>
      <c r="E1718" s="43">
        <v>46030.572200324073</v>
      </c>
      <c r="F1718" s="3">
        <v>46030</v>
      </c>
      <c r="G1718" s="43">
        <v>46031.549525150462</v>
      </c>
      <c r="H1718" t="s">
        <v>2701</v>
      </c>
      <c r="I1718" t="s">
        <v>2681</v>
      </c>
      <c r="J1718" t="s">
        <v>39</v>
      </c>
      <c r="L1718" t="s">
        <v>2408</v>
      </c>
      <c r="M1718">
        <v>1069577391202</v>
      </c>
      <c r="N1718" t="s">
        <v>2746</v>
      </c>
      <c r="O1718" s="1">
        <v>46049</v>
      </c>
      <c r="T1718" t="s">
        <v>2662</v>
      </c>
      <c r="U1718" t="s">
        <v>6646</v>
      </c>
      <c r="V1718">
        <v>1</v>
      </c>
      <c r="W1718" t="s">
        <v>2677</v>
      </c>
      <c r="X1718">
        <v>1</v>
      </c>
      <c r="Y1718" t="s">
        <v>2807</v>
      </c>
      <c r="AA1718">
        <v>1069577391202</v>
      </c>
      <c r="AB1718" t="s">
        <v>2478</v>
      </c>
      <c r="AC1718">
        <v>0</v>
      </c>
      <c r="AD1718">
        <v>2</v>
      </c>
      <c r="AE1718">
        <v>10695773912022</v>
      </c>
      <c r="AF1718" t="s">
        <v>6636</v>
      </c>
      <c r="AG1718">
        <v>0</v>
      </c>
      <c r="AH1718">
        <v>0</v>
      </c>
    </row>
    <row r="1719" spans="1:35">
      <c r="A1719">
        <v>2026</v>
      </c>
      <c r="B1719" s="1">
        <v>46023</v>
      </c>
      <c r="C1719" t="s">
        <v>2657</v>
      </c>
      <c r="D1719" s="44" t="s">
        <v>6647</v>
      </c>
      <c r="E1719" s="43">
        <v>46031.523594548613</v>
      </c>
      <c r="F1719" s="3">
        <v>46031</v>
      </c>
      <c r="G1719" s="43">
        <v>46034.618135798613</v>
      </c>
      <c r="H1719" t="s">
        <v>2701</v>
      </c>
      <c r="I1719" t="s">
        <v>2681</v>
      </c>
      <c r="J1719" t="s">
        <v>39</v>
      </c>
      <c r="L1719" t="s">
        <v>2408</v>
      </c>
      <c r="M1719">
        <v>1069577391202</v>
      </c>
      <c r="N1719" t="s">
        <v>2746</v>
      </c>
      <c r="O1719" s="1">
        <v>46049</v>
      </c>
      <c r="T1719" t="s">
        <v>2662</v>
      </c>
      <c r="U1719" t="s">
        <v>6648</v>
      </c>
      <c r="V1719">
        <v>1</v>
      </c>
      <c r="W1719" t="s">
        <v>2671</v>
      </c>
      <c r="X1719">
        <v>1</v>
      </c>
      <c r="Y1719" t="s">
        <v>2683</v>
      </c>
      <c r="AA1719">
        <v>1069577391202</v>
      </c>
      <c r="AB1719" t="s">
        <v>2478</v>
      </c>
      <c r="AC1719">
        <v>0</v>
      </c>
      <c r="AD1719">
        <v>2</v>
      </c>
      <c r="AE1719">
        <v>10695773912022</v>
      </c>
      <c r="AF1719" t="s">
        <v>6636</v>
      </c>
      <c r="AG1719">
        <v>0</v>
      </c>
      <c r="AH1719">
        <v>0</v>
      </c>
    </row>
    <row r="1720" spans="1:35">
      <c r="A1720">
        <v>2026</v>
      </c>
      <c r="B1720" s="1">
        <v>46023</v>
      </c>
      <c r="C1720" t="s">
        <v>2657</v>
      </c>
      <c r="D1720" t="s">
        <v>6649</v>
      </c>
      <c r="E1720" s="43">
        <v>46031.51780238426</v>
      </c>
      <c r="F1720" s="3">
        <v>46031</v>
      </c>
      <c r="G1720" s="43">
        <v>46031.789846666667</v>
      </c>
      <c r="H1720" t="s">
        <v>2701</v>
      </c>
      <c r="I1720" t="s">
        <v>2681</v>
      </c>
      <c r="J1720" t="s">
        <v>39</v>
      </c>
      <c r="L1720" t="s">
        <v>2408</v>
      </c>
      <c r="M1720">
        <v>1069577391202</v>
      </c>
      <c r="N1720" t="s">
        <v>2746</v>
      </c>
      <c r="O1720" s="1">
        <v>46049</v>
      </c>
      <c r="T1720" t="s">
        <v>2662</v>
      </c>
      <c r="U1720" t="s">
        <v>6650</v>
      </c>
      <c r="V1720">
        <v>0</v>
      </c>
      <c r="W1720" t="s">
        <v>2671</v>
      </c>
      <c r="X1720">
        <v>1</v>
      </c>
      <c r="Y1720" t="s">
        <v>2672</v>
      </c>
      <c r="AA1720">
        <v>1069577391202</v>
      </c>
      <c r="AB1720" t="s">
        <v>2478</v>
      </c>
      <c r="AC1720">
        <v>0</v>
      </c>
      <c r="AD1720">
        <v>2</v>
      </c>
      <c r="AE1720">
        <v>10695773912022</v>
      </c>
      <c r="AF1720" t="s">
        <v>6636</v>
      </c>
      <c r="AG1720">
        <v>0</v>
      </c>
      <c r="AH1720">
        <v>0</v>
      </c>
    </row>
    <row r="1721" spans="1:35">
      <c r="A1721">
        <v>2026</v>
      </c>
      <c r="B1721" s="1">
        <v>46023</v>
      </c>
      <c r="C1721" t="s">
        <v>2657</v>
      </c>
      <c r="D1721" t="s">
        <v>6651</v>
      </c>
      <c r="E1721" s="43">
        <v>46030.572677175929</v>
      </c>
      <c r="F1721" s="3">
        <v>46030</v>
      </c>
      <c r="G1721" s="43">
        <v>46035.792624374997</v>
      </c>
      <c r="H1721" t="s">
        <v>2701</v>
      </c>
      <c r="I1721" t="s">
        <v>2681</v>
      </c>
      <c r="J1721" t="s">
        <v>39</v>
      </c>
      <c r="L1721" t="s">
        <v>2408</v>
      </c>
      <c r="M1721">
        <v>1069577391202</v>
      </c>
      <c r="N1721" t="s">
        <v>2746</v>
      </c>
      <c r="O1721" s="1">
        <v>46049</v>
      </c>
      <c r="T1721" t="s">
        <v>2662</v>
      </c>
      <c r="U1721" t="s">
        <v>6652</v>
      </c>
      <c r="V1721">
        <v>3</v>
      </c>
      <c r="W1721" t="s">
        <v>2677</v>
      </c>
      <c r="X1721">
        <v>1</v>
      </c>
      <c r="Y1721" t="s">
        <v>3237</v>
      </c>
      <c r="AA1721">
        <v>1069577391202</v>
      </c>
      <c r="AB1721" t="s">
        <v>2478</v>
      </c>
      <c r="AC1721">
        <v>0</v>
      </c>
      <c r="AD1721">
        <v>2</v>
      </c>
      <c r="AE1721">
        <v>10695773912022</v>
      </c>
      <c r="AF1721" t="s">
        <v>6636</v>
      </c>
      <c r="AG1721">
        <v>0</v>
      </c>
      <c r="AH1721">
        <v>0</v>
      </c>
    </row>
    <row r="1722" spans="1:35">
      <c r="A1722">
        <v>2026</v>
      </c>
      <c r="B1722" s="1">
        <v>46023</v>
      </c>
      <c r="C1722" t="s">
        <v>2657</v>
      </c>
      <c r="D1722" t="s">
        <v>6653</v>
      </c>
      <c r="E1722" s="43">
        <v>46030.57338613426</v>
      </c>
      <c r="F1722" s="3">
        <v>46030</v>
      </c>
      <c r="G1722" s="43">
        <v>46030.57338613426</v>
      </c>
      <c r="H1722" t="s">
        <v>2701</v>
      </c>
      <c r="I1722" t="s">
        <v>2681</v>
      </c>
      <c r="J1722" t="s">
        <v>39</v>
      </c>
      <c r="L1722" t="s">
        <v>2408</v>
      </c>
      <c r="M1722">
        <v>1069577391202</v>
      </c>
      <c r="N1722" t="s">
        <v>2746</v>
      </c>
      <c r="O1722" s="1">
        <v>46049</v>
      </c>
      <c r="T1722" t="s">
        <v>2662</v>
      </c>
      <c r="U1722" t="s">
        <v>6654</v>
      </c>
      <c r="V1722">
        <v>0</v>
      </c>
      <c r="X1722">
        <v>1</v>
      </c>
      <c r="Y1722" t="s">
        <v>2688</v>
      </c>
      <c r="AA1722">
        <v>1069577391202</v>
      </c>
      <c r="AB1722" t="s">
        <v>2478</v>
      </c>
      <c r="AC1722">
        <v>0</v>
      </c>
      <c r="AD1722">
        <v>2</v>
      </c>
      <c r="AE1722">
        <v>10695773912022</v>
      </c>
      <c r="AF1722" t="s">
        <v>6636</v>
      </c>
      <c r="AG1722">
        <v>0</v>
      </c>
      <c r="AH1722">
        <v>0</v>
      </c>
    </row>
    <row r="1723" spans="1:35">
      <c r="A1723">
        <v>2026</v>
      </c>
      <c r="B1723" s="1">
        <v>46023</v>
      </c>
      <c r="C1723" t="s">
        <v>2657</v>
      </c>
      <c r="D1723" t="s">
        <v>6655</v>
      </c>
      <c r="E1723" s="43">
        <v>46030.575021226854</v>
      </c>
      <c r="F1723" s="3">
        <v>46030</v>
      </c>
      <c r="G1723" s="43">
        <v>46031.549622199076</v>
      </c>
      <c r="H1723" t="s">
        <v>2701</v>
      </c>
      <c r="I1723" t="s">
        <v>2681</v>
      </c>
      <c r="J1723" t="s">
        <v>39</v>
      </c>
      <c r="L1723" t="s">
        <v>2408</v>
      </c>
      <c r="M1723">
        <v>1069577391202</v>
      </c>
      <c r="N1723" t="s">
        <v>2746</v>
      </c>
      <c r="O1723" s="1">
        <v>46049</v>
      </c>
      <c r="T1723" t="s">
        <v>2662</v>
      </c>
      <c r="U1723" t="s">
        <v>6656</v>
      </c>
      <c r="V1723">
        <v>1</v>
      </c>
      <c r="W1723" t="s">
        <v>2671</v>
      </c>
      <c r="X1723">
        <v>1</v>
      </c>
      <c r="Y1723" t="s">
        <v>2683</v>
      </c>
      <c r="AA1723">
        <v>1069577391202</v>
      </c>
      <c r="AB1723" t="s">
        <v>2478</v>
      </c>
      <c r="AC1723">
        <v>0</v>
      </c>
      <c r="AD1723">
        <v>2</v>
      </c>
      <c r="AE1723">
        <v>10695773912022</v>
      </c>
      <c r="AF1723" t="s">
        <v>6636</v>
      </c>
      <c r="AG1723">
        <v>0</v>
      </c>
      <c r="AH1723">
        <v>0</v>
      </c>
    </row>
    <row r="1724" spans="1:35">
      <c r="A1724">
        <v>2026</v>
      </c>
      <c r="B1724" s="1">
        <v>46023</v>
      </c>
      <c r="C1724" t="s">
        <v>2657</v>
      </c>
      <c r="D1724" t="s">
        <v>6657</v>
      </c>
      <c r="E1724" s="43">
        <v>46030.571370185186</v>
      </c>
      <c r="F1724" s="3">
        <v>46030</v>
      </c>
      <c r="G1724" s="43">
        <v>46030.571370185186</v>
      </c>
      <c r="H1724" t="s">
        <v>2701</v>
      </c>
      <c r="I1724" t="s">
        <v>2681</v>
      </c>
      <c r="J1724" t="s">
        <v>39</v>
      </c>
      <c r="L1724" t="s">
        <v>2408</v>
      </c>
      <c r="M1724">
        <v>1069577391202</v>
      </c>
      <c r="N1724" t="s">
        <v>2746</v>
      </c>
      <c r="O1724" s="1">
        <v>46049</v>
      </c>
      <c r="T1724" t="s">
        <v>2662</v>
      </c>
      <c r="U1724" t="s">
        <v>6658</v>
      </c>
      <c r="V1724">
        <v>0</v>
      </c>
      <c r="W1724" t="s">
        <v>2671</v>
      </c>
      <c r="X1724">
        <v>1</v>
      </c>
      <c r="Y1724" t="s">
        <v>2672</v>
      </c>
      <c r="AA1724">
        <v>1069577391202</v>
      </c>
      <c r="AB1724" t="s">
        <v>2478</v>
      </c>
      <c r="AC1724">
        <v>0</v>
      </c>
      <c r="AD1724">
        <v>2</v>
      </c>
      <c r="AE1724">
        <v>10695773912022</v>
      </c>
      <c r="AF1724" t="s">
        <v>6636</v>
      </c>
      <c r="AG1724">
        <v>0</v>
      </c>
      <c r="AH1724">
        <v>0</v>
      </c>
    </row>
    <row r="1725" spans="1:35">
      <c r="A1725">
        <v>2026</v>
      </c>
      <c r="B1725" s="1">
        <v>46023</v>
      </c>
      <c r="C1725" t="s">
        <v>2657</v>
      </c>
      <c r="D1725" t="s">
        <v>6659</v>
      </c>
      <c r="E1725" s="43">
        <v>46038.539096944442</v>
      </c>
      <c r="F1725" s="3">
        <v>46038</v>
      </c>
      <c r="G1725" s="43">
        <v>46045.678005833332</v>
      </c>
      <c r="H1725" t="s">
        <v>2701</v>
      </c>
      <c r="I1725" t="s">
        <v>2719</v>
      </c>
      <c r="J1725" t="s">
        <v>39</v>
      </c>
      <c r="L1725" t="s">
        <v>2408</v>
      </c>
      <c r="M1725">
        <v>1069577391202</v>
      </c>
      <c r="N1725" t="s">
        <v>2746</v>
      </c>
      <c r="O1725" s="1">
        <v>46049</v>
      </c>
      <c r="T1725" t="s">
        <v>2662</v>
      </c>
      <c r="U1725" t="s">
        <v>6660</v>
      </c>
      <c r="V1725">
        <v>5</v>
      </c>
      <c r="W1725" t="s">
        <v>2677</v>
      </c>
      <c r="X1725">
        <v>1</v>
      </c>
      <c r="Y1725" t="s">
        <v>2807</v>
      </c>
      <c r="AA1725">
        <v>1069577391202</v>
      </c>
      <c r="AB1725" t="s">
        <v>2478</v>
      </c>
      <c r="AC1725">
        <v>0</v>
      </c>
      <c r="AD1725">
        <v>3</v>
      </c>
      <c r="AE1725">
        <v>10695773912023</v>
      </c>
      <c r="AF1725" t="s">
        <v>6636</v>
      </c>
      <c r="AG1725">
        <v>0</v>
      </c>
      <c r="AH1725">
        <v>0</v>
      </c>
    </row>
    <row r="1726" spans="1:35">
      <c r="A1726">
        <v>2026</v>
      </c>
      <c r="B1726" s="1">
        <v>46023</v>
      </c>
      <c r="C1726" t="s">
        <v>2657</v>
      </c>
      <c r="D1726" t="s">
        <v>6661</v>
      </c>
      <c r="E1726" s="43">
        <v>46037.571939363428</v>
      </c>
      <c r="F1726" s="3">
        <v>46037</v>
      </c>
      <c r="G1726" s="43">
        <v>46048.676401238423</v>
      </c>
      <c r="H1726" t="s">
        <v>2701</v>
      </c>
      <c r="I1726" t="s">
        <v>2719</v>
      </c>
      <c r="J1726" t="s">
        <v>39</v>
      </c>
      <c r="L1726" t="s">
        <v>2408</v>
      </c>
      <c r="M1726">
        <v>1069577391202</v>
      </c>
      <c r="N1726" t="s">
        <v>2746</v>
      </c>
      <c r="O1726" s="1">
        <v>46049</v>
      </c>
      <c r="T1726" t="s">
        <v>2662</v>
      </c>
      <c r="U1726" t="s">
        <v>6662</v>
      </c>
      <c r="V1726">
        <v>7</v>
      </c>
      <c r="W1726" t="s">
        <v>2677</v>
      </c>
      <c r="X1726">
        <v>1</v>
      </c>
      <c r="Y1726" t="s">
        <v>2807</v>
      </c>
      <c r="AA1726">
        <v>1069577391202</v>
      </c>
      <c r="AB1726" t="s">
        <v>2478</v>
      </c>
      <c r="AC1726">
        <v>0</v>
      </c>
      <c r="AD1726">
        <v>3</v>
      </c>
      <c r="AE1726">
        <v>10695773912023</v>
      </c>
      <c r="AF1726" t="s">
        <v>6636</v>
      </c>
      <c r="AG1726">
        <v>0</v>
      </c>
      <c r="AH1726">
        <v>0</v>
      </c>
    </row>
    <row r="1727" spans="1:35">
      <c r="A1727">
        <v>2026</v>
      </c>
      <c r="B1727" s="1">
        <v>46023</v>
      </c>
      <c r="C1727" t="s">
        <v>2657</v>
      </c>
      <c r="D1727" t="s">
        <v>6663</v>
      </c>
      <c r="E1727" s="43">
        <v>46043.506677129626</v>
      </c>
      <c r="F1727" s="3">
        <v>46043</v>
      </c>
      <c r="G1727" s="43">
        <v>46076.781888275465</v>
      </c>
      <c r="H1727" t="s">
        <v>2701</v>
      </c>
      <c r="I1727" t="s">
        <v>2719</v>
      </c>
      <c r="J1727" t="s">
        <v>39</v>
      </c>
      <c r="L1727" t="s">
        <v>2408</v>
      </c>
      <c r="M1727">
        <v>1069577391202</v>
      </c>
      <c r="N1727" t="s">
        <v>2746</v>
      </c>
      <c r="O1727" s="1">
        <v>46049</v>
      </c>
      <c r="T1727" t="s">
        <v>2662</v>
      </c>
      <c r="U1727" t="s">
        <v>6664</v>
      </c>
      <c r="V1727">
        <v>23</v>
      </c>
      <c r="W1727" t="s">
        <v>2671</v>
      </c>
      <c r="X1727">
        <v>1</v>
      </c>
      <c r="Y1727" t="s">
        <v>2692</v>
      </c>
      <c r="AA1727">
        <v>1069577391202</v>
      </c>
      <c r="AB1727" t="s">
        <v>2478</v>
      </c>
      <c r="AC1727">
        <v>0</v>
      </c>
      <c r="AD1727">
        <v>4</v>
      </c>
      <c r="AE1727">
        <v>10695773912024</v>
      </c>
      <c r="AF1727" t="s">
        <v>6636</v>
      </c>
      <c r="AG1727">
        <v>0</v>
      </c>
      <c r="AH1727">
        <v>0</v>
      </c>
    </row>
    <row r="1728" spans="1:35">
      <c r="A1728">
        <v>2026</v>
      </c>
      <c r="B1728" s="1">
        <v>46023</v>
      </c>
      <c r="C1728" t="s">
        <v>2657</v>
      </c>
      <c r="D1728" t="s">
        <v>6665</v>
      </c>
      <c r="E1728" s="43">
        <v>46042.566556585647</v>
      </c>
      <c r="F1728" s="3">
        <v>46042</v>
      </c>
      <c r="G1728" s="43">
        <v>46043.518702557871</v>
      </c>
      <c r="H1728" t="s">
        <v>2701</v>
      </c>
      <c r="I1728" t="s">
        <v>2719</v>
      </c>
      <c r="J1728" t="s">
        <v>39</v>
      </c>
      <c r="L1728" t="s">
        <v>2408</v>
      </c>
      <c r="M1728">
        <v>1069577391202</v>
      </c>
      <c r="N1728" t="s">
        <v>2746</v>
      </c>
      <c r="O1728" s="1">
        <v>46049</v>
      </c>
      <c r="T1728" t="s">
        <v>2662</v>
      </c>
      <c r="U1728" t="s">
        <v>6666</v>
      </c>
      <c r="V1728">
        <v>1</v>
      </c>
      <c r="W1728" t="s">
        <v>2677</v>
      </c>
      <c r="X1728">
        <v>1</v>
      </c>
      <c r="Y1728" t="s">
        <v>2985</v>
      </c>
      <c r="AA1728">
        <v>1069577391202</v>
      </c>
      <c r="AB1728" t="s">
        <v>2478</v>
      </c>
      <c r="AC1728">
        <v>0</v>
      </c>
      <c r="AD1728">
        <v>4</v>
      </c>
      <c r="AE1728">
        <v>10695773912024</v>
      </c>
      <c r="AF1728" t="s">
        <v>6636</v>
      </c>
      <c r="AG1728">
        <v>0</v>
      </c>
      <c r="AH1728">
        <v>0</v>
      </c>
    </row>
    <row r="1729" spans="1:34">
      <c r="A1729">
        <v>2026</v>
      </c>
      <c r="B1729" s="1">
        <v>46023</v>
      </c>
      <c r="C1729" t="s">
        <v>2657</v>
      </c>
      <c r="D1729" s="44" t="s">
        <v>6667</v>
      </c>
      <c r="E1729" s="43">
        <v>46041.59942003472</v>
      </c>
      <c r="F1729" s="3">
        <v>46041</v>
      </c>
      <c r="G1729" s="43">
        <v>46043.573347048608</v>
      </c>
      <c r="H1729" t="s">
        <v>2701</v>
      </c>
      <c r="I1729" t="s">
        <v>2719</v>
      </c>
      <c r="J1729" t="s">
        <v>39</v>
      </c>
      <c r="L1729" t="s">
        <v>2408</v>
      </c>
      <c r="M1729">
        <v>1069577391202</v>
      </c>
      <c r="N1729" t="s">
        <v>2746</v>
      </c>
      <c r="O1729" s="1">
        <v>46049</v>
      </c>
      <c r="T1729" t="s">
        <v>2662</v>
      </c>
      <c r="U1729" t="s">
        <v>6668</v>
      </c>
      <c r="V1729">
        <v>2</v>
      </c>
      <c r="W1729" t="s">
        <v>2677</v>
      </c>
      <c r="X1729">
        <v>1</v>
      </c>
      <c r="Y1729" t="s">
        <v>2807</v>
      </c>
      <c r="AA1729">
        <v>1069577391202</v>
      </c>
      <c r="AB1729" t="s">
        <v>2478</v>
      </c>
      <c r="AC1729">
        <v>0</v>
      </c>
      <c r="AD1729">
        <v>4</v>
      </c>
      <c r="AE1729">
        <v>10695773912024</v>
      </c>
      <c r="AF1729" t="s">
        <v>6636</v>
      </c>
      <c r="AG1729">
        <v>1</v>
      </c>
      <c r="AH1729">
        <v>0</v>
      </c>
    </row>
    <row r="1730" spans="1:34">
      <c r="A1730">
        <v>2026</v>
      </c>
      <c r="B1730" s="1">
        <v>46023</v>
      </c>
      <c r="C1730" t="s">
        <v>2657</v>
      </c>
      <c r="D1730" t="s">
        <v>6669</v>
      </c>
      <c r="E1730" s="43">
        <v>46042.576054537036</v>
      </c>
      <c r="F1730" s="3">
        <v>46042</v>
      </c>
      <c r="G1730" s="43">
        <v>46049.53313783565</v>
      </c>
      <c r="H1730" t="s">
        <v>2701</v>
      </c>
      <c r="I1730" t="s">
        <v>2719</v>
      </c>
      <c r="J1730" t="s">
        <v>39</v>
      </c>
      <c r="L1730" t="s">
        <v>2408</v>
      </c>
      <c r="M1730">
        <v>1069577391202</v>
      </c>
      <c r="N1730" t="s">
        <v>2746</v>
      </c>
      <c r="O1730" s="1">
        <v>46049</v>
      </c>
      <c r="T1730" t="s">
        <v>2662</v>
      </c>
      <c r="U1730" t="s">
        <v>6670</v>
      </c>
      <c r="V1730">
        <v>5</v>
      </c>
      <c r="W1730" t="s">
        <v>2677</v>
      </c>
      <c r="X1730">
        <v>1</v>
      </c>
      <c r="Y1730" t="s">
        <v>2807</v>
      </c>
      <c r="AA1730">
        <v>1069577391202</v>
      </c>
      <c r="AB1730" t="s">
        <v>2478</v>
      </c>
      <c r="AC1730">
        <v>0</v>
      </c>
      <c r="AD1730">
        <v>4</v>
      </c>
      <c r="AE1730">
        <v>10695773912024</v>
      </c>
      <c r="AF1730" t="s">
        <v>6636</v>
      </c>
      <c r="AG1730">
        <v>0</v>
      </c>
      <c r="AH1730">
        <v>0</v>
      </c>
    </row>
    <row r="1731" spans="1:34">
      <c r="A1731">
        <v>2026</v>
      </c>
      <c r="B1731" s="1">
        <v>46023</v>
      </c>
      <c r="C1731" t="s">
        <v>2657</v>
      </c>
      <c r="D1731" t="s">
        <v>6671</v>
      </c>
      <c r="E1731" s="43">
        <v>46045.709633287035</v>
      </c>
      <c r="F1731" s="3">
        <v>46045</v>
      </c>
      <c r="G1731" s="43">
        <v>46048.509856956021</v>
      </c>
      <c r="H1731" t="s">
        <v>2701</v>
      </c>
      <c r="I1731" t="s">
        <v>2660</v>
      </c>
      <c r="J1731" t="s">
        <v>39</v>
      </c>
      <c r="L1731" t="s">
        <v>2408</v>
      </c>
      <c r="M1731">
        <v>1069577391202</v>
      </c>
      <c r="N1731" t="s">
        <v>2746</v>
      </c>
      <c r="O1731" s="1">
        <v>46049</v>
      </c>
      <c r="T1731" t="s">
        <v>2662</v>
      </c>
      <c r="U1731" t="s">
        <v>6672</v>
      </c>
      <c r="V1731">
        <v>1</v>
      </c>
      <c r="W1731" t="s">
        <v>2677</v>
      </c>
      <c r="X1731">
        <v>1</v>
      </c>
      <c r="Y1731" t="s">
        <v>2985</v>
      </c>
      <c r="AA1731">
        <v>1069577391202</v>
      </c>
      <c r="AB1731" t="s">
        <v>2478</v>
      </c>
      <c r="AC1731">
        <v>0</v>
      </c>
      <c r="AD1731">
        <v>4</v>
      </c>
      <c r="AE1731">
        <v>10695773912024</v>
      </c>
      <c r="AF1731" t="s">
        <v>6636</v>
      </c>
      <c r="AG1731">
        <v>0</v>
      </c>
      <c r="AH1731">
        <v>0</v>
      </c>
    </row>
    <row r="1732" spans="1:34">
      <c r="A1732">
        <v>2026</v>
      </c>
      <c r="B1732" s="1">
        <v>46023</v>
      </c>
      <c r="C1732" t="s">
        <v>2657</v>
      </c>
      <c r="D1732" t="s">
        <v>6673</v>
      </c>
      <c r="E1732" s="43">
        <v>46045.630387152778</v>
      </c>
      <c r="F1732" s="3">
        <v>46045</v>
      </c>
      <c r="G1732" s="43">
        <v>46063.541129259262</v>
      </c>
      <c r="H1732" t="s">
        <v>2701</v>
      </c>
      <c r="I1732" t="s">
        <v>2660</v>
      </c>
      <c r="J1732" t="s">
        <v>39</v>
      </c>
      <c r="L1732" t="s">
        <v>2408</v>
      </c>
      <c r="M1732">
        <v>1069577391202</v>
      </c>
      <c r="N1732" t="s">
        <v>2746</v>
      </c>
      <c r="O1732" s="1">
        <v>46049</v>
      </c>
      <c r="T1732" t="s">
        <v>2662</v>
      </c>
      <c r="U1732" t="s">
        <v>6674</v>
      </c>
      <c r="V1732">
        <v>12</v>
      </c>
      <c r="W1732" t="s">
        <v>2677</v>
      </c>
      <c r="X1732">
        <v>1</v>
      </c>
      <c r="Y1732" t="s">
        <v>2767</v>
      </c>
      <c r="AA1732">
        <v>1069577391202</v>
      </c>
      <c r="AB1732" t="s">
        <v>2478</v>
      </c>
      <c r="AC1732">
        <v>0</v>
      </c>
      <c r="AD1732">
        <v>4</v>
      </c>
      <c r="AE1732">
        <v>10695773912024</v>
      </c>
      <c r="AF1732" t="s">
        <v>6636</v>
      </c>
      <c r="AG1732">
        <v>0</v>
      </c>
      <c r="AH1732">
        <v>0</v>
      </c>
    </row>
    <row r="1733" spans="1:34">
      <c r="A1733">
        <v>2026</v>
      </c>
      <c r="B1733" s="1">
        <v>46023</v>
      </c>
      <c r="C1733" t="s">
        <v>2657</v>
      </c>
      <c r="D1733" t="s">
        <v>6675</v>
      </c>
      <c r="E1733" s="43">
        <v>46049.799338263889</v>
      </c>
      <c r="F1733" s="3">
        <v>46049</v>
      </c>
      <c r="G1733" s="43">
        <v>46050.576797222224</v>
      </c>
      <c r="H1733" t="s">
        <v>2701</v>
      </c>
      <c r="I1733" t="s">
        <v>2660</v>
      </c>
      <c r="J1733" t="s">
        <v>39</v>
      </c>
      <c r="L1733" t="s">
        <v>2408</v>
      </c>
      <c r="M1733">
        <v>1069577391202</v>
      </c>
      <c r="N1733" t="s">
        <v>2746</v>
      </c>
      <c r="O1733" s="1">
        <v>46049</v>
      </c>
      <c r="T1733" t="s">
        <v>2662</v>
      </c>
      <c r="U1733" t="s">
        <v>6676</v>
      </c>
      <c r="V1733">
        <v>1</v>
      </c>
      <c r="W1733" t="s">
        <v>2671</v>
      </c>
      <c r="X1733">
        <v>1</v>
      </c>
      <c r="Y1733" t="s">
        <v>2683</v>
      </c>
      <c r="AA1733">
        <v>1069577391202</v>
      </c>
      <c r="AB1733" t="s">
        <v>2478</v>
      </c>
      <c r="AC1733">
        <v>0</v>
      </c>
      <c r="AD1733">
        <v>5</v>
      </c>
      <c r="AE1733">
        <v>10695773912025</v>
      </c>
      <c r="AF1733" t="s">
        <v>6636</v>
      </c>
      <c r="AG1733">
        <v>0</v>
      </c>
      <c r="AH1733">
        <v>0</v>
      </c>
    </row>
    <row r="1734" spans="1:34">
      <c r="A1734">
        <v>2026</v>
      </c>
      <c r="B1734" s="1">
        <v>46023</v>
      </c>
      <c r="C1734" t="s">
        <v>2657</v>
      </c>
      <c r="D1734" t="s">
        <v>6677</v>
      </c>
      <c r="E1734" s="43">
        <v>46049.865827002315</v>
      </c>
      <c r="F1734" s="3">
        <v>46049</v>
      </c>
      <c r="G1734" s="43">
        <v>46062.584373240737</v>
      </c>
      <c r="H1734" t="s">
        <v>2701</v>
      </c>
      <c r="I1734" t="s">
        <v>2660</v>
      </c>
      <c r="J1734" t="s">
        <v>39</v>
      </c>
      <c r="L1734" t="s">
        <v>2408</v>
      </c>
      <c r="M1734">
        <v>1069577391202</v>
      </c>
      <c r="N1734" t="s">
        <v>2746</v>
      </c>
      <c r="O1734" s="1">
        <v>46049</v>
      </c>
      <c r="T1734" t="s">
        <v>2662</v>
      </c>
      <c r="U1734" t="s">
        <v>6678</v>
      </c>
      <c r="V1734">
        <v>9</v>
      </c>
      <c r="W1734" t="s">
        <v>2677</v>
      </c>
      <c r="X1734">
        <v>1</v>
      </c>
      <c r="Y1734" t="s">
        <v>2767</v>
      </c>
      <c r="AA1734">
        <v>1069577391202</v>
      </c>
      <c r="AB1734" t="s">
        <v>2478</v>
      </c>
      <c r="AC1734">
        <v>0</v>
      </c>
      <c r="AD1734">
        <v>5</v>
      </c>
      <c r="AE1734">
        <v>10695773912025</v>
      </c>
      <c r="AF1734" t="s">
        <v>6636</v>
      </c>
      <c r="AG1734">
        <v>0</v>
      </c>
      <c r="AH1734">
        <v>0</v>
      </c>
    </row>
    <row r="1735" spans="1:34">
      <c r="A1735">
        <v>2026</v>
      </c>
      <c r="B1735" s="1">
        <v>46023</v>
      </c>
      <c r="C1735" t="s">
        <v>2657</v>
      </c>
      <c r="D1735" t="s">
        <v>6679</v>
      </c>
      <c r="E1735" s="43">
        <v>46049.798247604165</v>
      </c>
      <c r="F1735" s="3">
        <v>46049</v>
      </c>
      <c r="G1735" s="43">
        <v>46051.64565150463</v>
      </c>
      <c r="H1735" t="s">
        <v>2701</v>
      </c>
      <c r="I1735" t="s">
        <v>2660</v>
      </c>
      <c r="J1735" t="s">
        <v>39</v>
      </c>
      <c r="L1735" t="s">
        <v>2408</v>
      </c>
      <c r="M1735">
        <v>1069577391202</v>
      </c>
      <c r="N1735" t="s">
        <v>2746</v>
      </c>
      <c r="O1735" s="1">
        <v>46049</v>
      </c>
      <c r="T1735" t="s">
        <v>2662</v>
      </c>
      <c r="U1735" t="s">
        <v>6680</v>
      </c>
      <c r="V1735">
        <v>2</v>
      </c>
      <c r="W1735" t="s">
        <v>2677</v>
      </c>
      <c r="X1735">
        <v>1</v>
      </c>
      <c r="Y1735" t="s">
        <v>2807</v>
      </c>
      <c r="AA1735">
        <v>1069577391202</v>
      </c>
      <c r="AB1735" t="s">
        <v>2478</v>
      </c>
      <c r="AC1735">
        <v>0</v>
      </c>
      <c r="AD1735">
        <v>5</v>
      </c>
      <c r="AE1735">
        <v>10695773912025</v>
      </c>
      <c r="AF1735" t="s">
        <v>6636</v>
      </c>
      <c r="AG1735">
        <v>1</v>
      </c>
      <c r="AH1735">
        <v>0</v>
      </c>
    </row>
    <row r="1736" spans="1:34">
      <c r="A1736">
        <v>2026</v>
      </c>
      <c r="B1736" s="1">
        <v>46082</v>
      </c>
      <c r="C1736" t="s">
        <v>2657</v>
      </c>
      <c r="D1736" t="s">
        <v>6681</v>
      </c>
      <c r="E1736" s="43">
        <v>46085.864708368055</v>
      </c>
      <c r="F1736" s="3">
        <v>46085</v>
      </c>
      <c r="G1736" s="43">
        <v>46090.867662164354</v>
      </c>
      <c r="H1736" t="s">
        <v>2668</v>
      </c>
      <c r="I1736" t="s">
        <v>2669</v>
      </c>
      <c r="J1736" t="s">
        <v>37</v>
      </c>
      <c r="L1736" t="s">
        <v>2344</v>
      </c>
      <c r="M1736">
        <v>662733088802</v>
      </c>
      <c r="N1736" t="s">
        <v>2661</v>
      </c>
      <c r="O1736" s="1">
        <v>46043</v>
      </c>
      <c r="T1736" t="s">
        <v>2662</v>
      </c>
      <c r="U1736" t="s">
        <v>6682</v>
      </c>
      <c r="V1736">
        <v>3</v>
      </c>
      <c r="W1736" t="s">
        <v>2677</v>
      </c>
      <c r="X1736">
        <v>1</v>
      </c>
      <c r="Y1736" t="s">
        <v>2779</v>
      </c>
      <c r="AA1736">
        <v>662733088802</v>
      </c>
      <c r="AB1736" t="s">
        <v>2601</v>
      </c>
      <c r="AC1736">
        <v>1</v>
      </c>
      <c r="AD1736">
        <v>10</v>
      </c>
      <c r="AE1736">
        <v>66273308880210</v>
      </c>
      <c r="AF1736" t="s">
        <v>6683</v>
      </c>
      <c r="AG1736">
        <v>1</v>
      </c>
      <c r="AH1736">
        <v>1</v>
      </c>
    </row>
    <row r="1737" spans="1:34">
      <c r="A1737">
        <v>2026</v>
      </c>
      <c r="B1737" s="1">
        <v>46054</v>
      </c>
      <c r="C1737" t="s">
        <v>2657</v>
      </c>
      <c r="D1737" t="s">
        <v>6684</v>
      </c>
      <c r="E1737" s="43">
        <v>46065.635304976851</v>
      </c>
      <c r="F1737" s="3">
        <v>46065</v>
      </c>
      <c r="G1737" s="43">
        <v>46066.816854837962</v>
      </c>
      <c r="H1737" t="s">
        <v>2725</v>
      </c>
      <c r="I1737" t="s">
        <v>2681</v>
      </c>
      <c r="J1737" t="s">
        <v>38</v>
      </c>
      <c r="L1737" t="s">
        <v>2379</v>
      </c>
      <c r="M1737">
        <v>365217284302</v>
      </c>
      <c r="N1737" t="s">
        <v>2675</v>
      </c>
      <c r="O1737" s="1">
        <v>45680</v>
      </c>
      <c r="T1737" t="s">
        <v>2662</v>
      </c>
      <c r="U1737" t="s">
        <v>6685</v>
      </c>
      <c r="V1737">
        <v>1</v>
      </c>
      <c r="W1737" t="s">
        <v>2985</v>
      </c>
      <c r="X1737">
        <v>1</v>
      </c>
      <c r="Y1737" t="s">
        <v>2985</v>
      </c>
      <c r="AA1737">
        <v>130065728702</v>
      </c>
      <c r="AB1737" t="s">
        <v>1303</v>
      </c>
      <c r="AC1737">
        <v>1</v>
      </c>
      <c r="AD1737">
        <v>7</v>
      </c>
      <c r="AE1737">
        <v>1300657287027</v>
      </c>
      <c r="AF1737" t="s">
        <v>6686</v>
      </c>
      <c r="AG1737">
        <v>1</v>
      </c>
      <c r="AH1737">
        <v>1</v>
      </c>
    </row>
    <row r="1738" spans="1:34">
      <c r="A1738">
        <v>2025</v>
      </c>
      <c r="B1738" s="1">
        <v>45870</v>
      </c>
      <c r="C1738" t="s">
        <v>2657</v>
      </c>
      <c r="D1738" t="s">
        <v>6687</v>
      </c>
      <c r="E1738" s="43">
        <v>45888.793054479167</v>
      </c>
      <c r="F1738" s="3">
        <v>45888</v>
      </c>
      <c r="G1738" s="43">
        <v>45894.656145347224</v>
      </c>
      <c r="H1738" t="s">
        <v>3088</v>
      </c>
      <c r="I1738" t="s">
        <v>2719</v>
      </c>
      <c r="J1738" t="s">
        <v>2735</v>
      </c>
      <c r="L1738" t="s">
        <v>2362</v>
      </c>
      <c r="M1738">
        <v>25248213105</v>
      </c>
      <c r="N1738" t="s">
        <v>2746</v>
      </c>
      <c r="O1738" s="1">
        <v>45294</v>
      </c>
      <c r="T1738" t="s">
        <v>2662</v>
      </c>
      <c r="U1738" t="s">
        <v>6688</v>
      </c>
      <c r="V1738">
        <v>4</v>
      </c>
      <c r="W1738" t="s">
        <v>2677</v>
      </c>
      <c r="X1738">
        <v>1</v>
      </c>
      <c r="Y1738" t="s">
        <v>2695</v>
      </c>
      <c r="Z1738" t="s">
        <v>2684</v>
      </c>
      <c r="AA1738">
        <v>25248213105</v>
      </c>
      <c r="AB1738" t="s">
        <v>1611</v>
      </c>
      <c r="AC1738">
        <v>0</v>
      </c>
      <c r="AD1738">
        <v>34</v>
      </c>
      <c r="AE1738">
        <v>2524821310534</v>
      </c>
      <c r="AF1738" t="s">
        <v>6689</v>
      </c>
      <c r="AG1738">
        <v>1</v>
      </c>
      <c r="AH1738">
        <v>1</v>
      </c>
    </row>
    <row r="1739" spans="1:34">
      <c r="A1739">
        <v>2026</v>
      </c>
      <c r="B1739" s="1">
        <v>46023</v>
      </c>
      <c r="C1739" t="s">
        <v>2657</v>
      </c>
      <c r="D1739" t="s">
        <v>6690</v>
      </c>
      <c r="E1739" s="43">
        <v>46034.680141956022</v>
      </c>
      <c r="F1739" s="3">
        <v>46034</v>
      </c>
      <c r="G1739" s="43">
        <v>46037.529688333336</v>
      </c>
      <c r="H1739" t="s">
        <v>2701</v>
      </c>
      <c r="I1739" t="s">
        <v>2681</v>
      </c>
      <c r="J1739" t="s">
        <v>36</v>
      </c>
      <c r="L1739" t="s">
        <v>2355</v>
      </c>
      <c r="M1739">
        <v>59283260402</v>
      </c>
      <c r="N1739" t="s">
        <v>2702</v>
      </c>
      <c r="O1739" s="1">
        <v>45294</v>
      </c>
      <c r="T1739" t="s">
        <v>2662</v>
      </c>
      <c r="U1739" t="s">
        <v>6691</v>
      </c>
      <c r="V1739">
        <v>3</v>
      </c>
      <c r="W1739" t="s">
        <v>2704</v>
      </c>
      <c r="X1739">
        <v>1</v>
      </c>
      <c r="Y1739" t="s">
        <v>2710</v>
      </c>
      <c r="AA1739">
        <v>59283260402</v>
      </c>
      <c r="AB1739" t="s">
        <v>905</v>
      </c>
      <c r="AC1739">
        <v>0</v>
      </c>
      <c r="AD1739">
        <v>3</v>
      </c>
      <c r="AE1739">
        <v>592832604023</v>
      </c>
      <c r="AF1739" t="s">
        <v>6692</v>
      </c>
      <c r="AG1739">
        <v>1</v>
      </c>
      <c r="AH1739">
        <v>1</v>
      </c>
    </row>
    <row r="1740" spans="1:34">
      <c r="A1740">
        <v>2026</v>
      </c>
      <c r="B1740" s="1">
        <v>46023</v>
      </c>
      <c r="C1740" t="s">
        <v>2657</v>
      </c>
      <c r="D1740" t="s">
        <v>6693</v>
      </c>
      <c r="E1740" s="43">
        <v>46035.637810578701</v>
      </c>
      <c r="F1740" s="3">
        <v>46035</v>
      </c>
      <c r="G1740" s="43">
        <v>46037.529522997684</v>
      </c>
      <c r="H1740" t="s">
        <v>2701</v>
      </c>
      <c r="I1740" t="s">
        <v>2681</v>
      </c>
      <c r="J1740" t="s">
        <v>36</v>
      </c>
      <c r="L1740" t="s">
        <v>2355</v>
      </c>
      <c r="M1740">
        <v>59283260402</v>
      </c>
      <c r="N1740" t="s">
        <v>2702</v>
      </c>
      <c r="O1740" s="1">
        <v>45294</v>
      </c>
      <c r="T1740" t="s">
        <v>2662</v>
      </c>
      <c r="U1740" t="s">
        <v>6694</v>
      </c>
      <c r="V1740">
        <v>2</v>
      </c>
      <c r="W1740" t="s">
        <v>2704</v>
      </c>
      <c r="X1740">
        <v>1</v>
      </c>
      <c r="Y1740" t="s">
        <v>2710</v>
      </c>
      <c r="AA1740">
        <v>59283260402</v>
      </c>
      <c r="AB1740" t="s">
        <v>905</v>
      </c>
      <c r="AC1740">
        <v>0</v>
      </c>
      <c r="AD1740">
        <v>3</v>
      </c>
      <c r="AE1740">
        <v>592832604023</v>
      </c>
      <c r="AF1740" t="s">
        <v>6692</v>
      </c>
      <c r="AG1740">
        <v>0</v>
      </c>
      <c r="AH1740">
        <v>0</v>
      </c>
    </row>
    <row r="1741" spans="1:34">
      <c r="A1741">
        <v>2026</v>
      </c>
      <c r="B1741" s="1">
        <v>46023</v>
      </c>
      <c r="C1741" t="s">
        <v>2657</v>
      </c>
      <c r="D1741" t="s">
        <v>6695</v>
      </c>
      <c r="E1741" s="43">
        <v>46034.754054247685</v>
      </c>
      <c r="F1741" s="3">
        <v>46034</v>
      </c>
      <c r="G1741" s="43">
        <v>46037.54146385417</v>
      </c>
      <c r="H1741" t="s">
        <v>2701</v>
      </c>
      <c r="I1741" t="s">
        <v>2681</v>
      </c>
      <c r="J1741" t="s">
        <v>36</v>
      </c>
      <c r="L1741" t="s">
        <v>2355</v>
      </c>
      <c r="M1741">
        <v>59283260402</v>
      </c>
      <c r="N1741" t="s">
        <v>2702</v>
      </c>
      <c r="O1741" s="1">
        <v>45294</v>
      </c>
      <c r="T1741" t="s">
        <v>2662</v>
      </c>
      <c r="U1741" t="s">
        <v>6696</v>
      </c>
      <c r="V1741">
        <v>3</v>
      </c>
      <c r="W1741" t="s">
        <v>2704</v>
      </c>
      <c r="X1741">
        <v>1</v>
      </c>
      <c r="Y1741" t="s">
        <v>2721</v>
      </c>
      <c r="AA1741">
        <v>59283260402</v>
      </c>
      <c r="AB1741" t="s">
        <v>905</v>
      </c>
      <c r="AC1741">
        <v>0</v>
      </c>
      <c r="AD1741">
        <v>3</v>
      </c>
      <c r="AE1741">
        <v>592832604023</v>
      </c>
      <c r="AF1741" t="s">
        <v>6692</v>
      </c>
      <c r="AG1741">
        <v>0</v>
      </c>
      <c r="AH1741">
        <v>0</v>
      </c>
    </row>
    <row r="1742" spans="1:34">
      <c r="A1742">
        <v>2026</v>
      </c>
      <c r="B1742" s="1">
        <v>46023</v>
      </c>
      <c r="C1742" t="s">
        <v>2657</v>
      </c>
      <c r="D1742" t="s">
        <v>6697</v>
      </c>
      <c r="E1742" s="43">
        <v>46036.797334814815</v>
      </c>
      <c r="F1742" s="3">
        <v>46036</v>
      </c>
      <c r="G1742" s="43">
        <v>46037.491560173614</v>
      </c>
      <c r="H1742" t="s">
        <v>2701</v>
      </c>
      <c r="I1742" t="s">
        <v>2681</v>
      </c>
      <c r="J1742" t="s">
        <v>36</v>
      </c>
      <c r="L1742" t="s">
        <v>2355</v>
      </c>
      <c r="M1742">
        <v>59283260402</v>
      </c>
      <c r="N1742" t="s">
        <v>2702</v>
      </c>
      <c r="O1742" s="1">
        <v>45294</v>
      </c>
      <c r="T1742" t="s">
        <v>2662</v>
      </c>
      <c r="U1742" t="s">
        <v>6698</v>
      </c>
      <c r="V1742">
        <v>1</v>
      </c>
      <c r="W1742" t="s">
        <v>2704</v>
      </c>
      <c r="X1742">
        <v>1</v>
      </c>
      <c r="Y1742" t="s">
        <v>2710</v>
      </c>
      <c r="AA1742">
        <v>59283260402</v>
      </c>
      <c r="AB1742" t="s">
        <v>905</v>
      </c>
      <c r="AC1742">
        <v>0</v>
      </c>
      <c r="AD1742">
        <v>3</v>
      </c>
      <c r="AE1742">
        <v>592832604023</v>
      </c>
      <c r="AF1742" t="s">
        <v>6692</v>
      </c>
      <c r="AG1742">
        <v>0</v>
      </c>
      <c r="AH1742">
        <v>0</v>
      </c>
    </row>
    <row r="1743" spans="1:34">
      <c r="A1743">
        <v>2026</v>
      </c>
      <c r="B1743" s="1">
        <v>46023</v>
      </c>
      <c r="C1743" t="s">
        <v>2657</v>
      </c>
      <c r="D1743" t="s">
        <v>6699</v>
      </c>
      <c r="E1743" s="43">
        <v>46036.795921273151</v>
      </c>
      <c r="F1743" s="3">
        <v>46036</v>
      </c>
      <c r="G1743" s="43">
        <v>46037.490727557873</v>
      </c>
      <c r="H1743" t="s">
        <v>2701</v>
      </c>
      <c r="I1743" t="s">
        <v>2681</v>
      </c>
      <c r="J1743" t="s">
        <v>36</v>
      </c>
      <c r="L1743" t="s">
        <v>2355</v>
      </c>
      <c r="M1743">
        <v>59283260402</v>
      </c>
      <c r="N1743" t="s">
        <v>2702</v>
      </c>
      <c r="O1743" s="1">
        <v>45294</v>
      </c>
      <c r="T1743" t="s">
        <v>2662</v>
      </c>
      <c r="U1743" t="s">
        <v>6700</v>
      </c>
      <c r="V1743">
        <v>1</v>
      </c>
      <c r="W1743" t="s">
        <v>2704</v>
      </c>
      <c r="X1743">
        <v>1</v>
      </c>
      <c r="Y1743" t="s">
        <v>2710</v>
      </c>
      <c r="AA1743">
        <v>59283260402</v>
      </c>
      <c r="AB1743" t="s">
        <v>905</v>
      </c>
      <c r="AC1743">
        <v>0</v>
      </c>
      <c r="AD1743">
        <v>3</v>
      </c>
      <c r="AE1743">
        <v>592832604023</v>
      </c>
      <c r="AF1743" t="s">
        <v>6692</v>
      </c>
      <c r="AG1743">
        <v>0</v>
      </c>
      <c r="AH1743">
        <v>0</v>
      </c>
    </row>
    <row r="1744" spans="1:34">
      <c r="A1744">
        <v>2026</v>
      </c>
      <c r="B1744" s="1">
        <v>46023</v>
      </c>
      <c r="C1744" t="s">
        <v>2657</v>
      </c>
      <c r="D1744" t="s">
        <v>6701</v>
      </c>
      <c r="E1744" s="43">
        <v>46035.649099131944</v>
      </c>
      <c r="F1744" s="3">
        <v>46035</v>
      </c>
      <c r="G1744" s="43">
        <v>46037.490819131941</v>
      </c>
      <c r="H1744" t="s">
        <v>2701</v>
      </c>
      <c r="I1744" t="s">
        <v>2681</v>
      </c>
      <c r="J1744" t="s">
        <v>36</v>
      </c>
      <c r="L1744" t="s">
        <v>2355</v>
      </c>
      <c r="M1744">
        <v>59283260402</v>
      </c>
      <c r="N1744" t="s">
        <v>2702</v>
      </c>
      <c r="O1744" s="1">
        <v>45294</v>
      </c>
      <c r="T1744" t="s">
        <v>2662</v>
      </c>
      <c r="U1744" t="s">
        <v>6702</v>
      </c>
      <c r="V1744">
        <v>2</v>
      </c>
      <c r="W1744" t="s">
        <v>2704</v>
      </c>
      <c r="X1744">
        <v>1</v>
      </c>
      <c r="Y1744" t="s">
        <v>2710</v>
      </c>
      <c r="AA1744">
        <v>59283260402</v>
      </c>
      <c r="AB1744" t="s">
        <v>905</v>
      </c>
      <c r="AC1744">
        <v>0</v>
      </c>
      <c r="AD1744">
        <v>3</v>
      </c>
      <c r="AE1744">
        <v>592832604023</v>
      </c>
      <c r="AF1744" t="s">
        <v>6692</v>
      </c>
      <c r="AG1744">
        <v>0</v>
      </c>
      <c r="AH1744">
        <v>0</v>
      </c>
    </row>
    <row r="1745" spans="1:34">
      <c r="A1745">
        <v>2026</v>
      </c>
      <c r="B1745" s="1">
        <v>46023</v>
      </c>
      <c r="C1745" t="s">
        <v>2657</v>
      </c>
      <c r="D1745" t="s">
        <v>6703</v>
      </c>
      <c r="E1745" s="43">
        <v>46036.793825995373</v>
      </c>
      <c r="F1745" s="3">
        <v>46036</v>
      </c>
      <c r="G1745" s="43">
        <v>46037.491882546296</v>
      </c>
      <c r="H1745" t="s">
        <v>2701</v>
      </c>
      <c r="I1745" t="s">
        <v>2681</v>
      </c>
      <c r="J1745" t="s">
        <v>36</v>
      </c>
      <c r="L1745" t="s">
        <v>2355</v>
      </c>
      <c r="M1745">
        <v>59283260402</v>
      </c>
      <c r="N1745" t="s">
        <v>2702</v>
      </c>
      <c r="O1745" s="1">
        <v>45294</v>
      </c>
      <c r="T1745" t="s">
        <v>2662</v>
      </c>
      <c r="U1745" t="s">
        <v>6704</v>
      </c>
      <c r="V1745">
        <v>1</v>
      </c>
      <c r="W1745" t="s">
        <v>2704</v>
      </c>
      <c r="X1745">
        <v>1</v>
      </c>
      <c r="Y1745" t="s">
        <v>2710</v>
      </c>
      <c r="AA1745">
        <v>59283260402</v>
      </c>
      <c r="AB1745" t="s">
        <v>905</v>
      </c>
      <c r="AC1745">
        <v>0</v>
      </c>
      <c r="AD1745">
        <v>3</v>
      </c>
      <c r="AE1745">
        <v>592832604023</v>
      </c>
      <c r="AF1745" t="s">
        <v>6692</v>
      </c>
      <c r="AG1745">
        <v>0</v>
      </c>
      <c r="AH1745">
        <v>0</v>
      </c>
    </row>
    <row r="1746" spans="1:34">
      <c r="A1746">
        <v>2026</v>
      </c>
      <c r="B1746" s="1">
        <v>46023</v>
      </c>
      <c r="C1746" t="s">
        <v>2657</v>
      </c>
      <c r="D1746" t="s">
        <v>6705</v>
      </c>
      <c r="E1746" s="43">
        <v>46037.668959733797</v>
      </c>
      <c r="F1746" s="3">
        <v>46037</v>
      </c>
      <c r="G1746" s="43">
        <v>46043.942936388892</v>
      </c>
      <c r="H1746" t="s">
        <v>2701</v>
      </c>
      <c r="I1746" t="s">
        <v>2719</v>
      </c>
      <c r="J1746" t="s">
        <v>36</v>
      </c>
      <c r="L1746" t="s">
        <v>2355</v>
      </c>
      <c r="M1746">
        <v>59283260402</v>
      </c>
      <c r="N1746" t="s">
        <v>2702</v>
      </c>
      <c r="O1746" s="1">
        <v>45294</v>
      </c>
      <c r="T1746" t="s">
        <v>2662</v>
      </c>
      <c r="U1746" t="s">
        <v>6706</v>
      </c>
      <c r="V1746">
        <v>4</v>
      </c>
      <c r="W1746" t="s">
        <v>2677</v>
      </c>
      <c r="X1746">
        <v>1</v>
      </c>
      <c r="Y1746" t="s">
        <v>2760</v>
      </c>
      <c r="Z1746" t="s">
        <v>2684</v>
      </c>
      <c r="AA1746">
        <v>59283260402</v>
      </c>
      <c r="AB1746" t="s">
        <v>905</v>
      </c>
      <c r="AC1746">
        <v>0</v>
      </c>
      <c r="AD1746">
        <v>3</v>
      </c>
      <c r="AE1746">
        <v>592832604023</v>
      </c>
      <c r="AF1746" t="s">
        <v>6692</v>
      </c>
      <c r="AG1746">
        <v>0</v>
      </c>
      <c r="AH1746">
        <v>0</v>
      </c>
    </row>
    <row r="1747" spans="1:34">
      <c r="A1747">
        <v>2026</v>
      </c>
      <c r="B1747" s="1">
        <v>46023</v>
      </c>
      <c r="C1747" t="s">
        <v>2657</v>
      </c>
      <c r="D1747" t="s">
        <v>6707</v>
      </c>
      <c r="E1747" s="43">
        <v>46041.667489629632</v>
      </c>
      <c r="F1747" s="3">
        <v>46041</v>
      </c>
      <c r="G1747" s="43">
        <v>46043.865965821758</v>
      </c>
      <c r="H1747" t="s">
        <v>2701</v>
      </c>
      <c r="I1747" t="s">
        <v>2719</v>
      </c>
      <c r="J1747" t="s">
        <v>36</v>
      </c>
      <c r="L1747" t="s">
        <v>2355</v>
      </c>
      <c r="M1747">
        <v>59283260402</v>
      </c>
      <c r="N1747" t="s">
        <v>2702</v>
      </c>
      <c r="O1747" s="1">
        <v>45294</v>
      </c>
      <c r="T1747" t="s">
        <v>2662</v>
      </c>
      <c r="U1747" t="s">
        <v>6708</v>
      </c>
      <c r="V1747">
        <v>2</v>
      </c>
      <c r="W1747" t="s">
        <v>2704</v>
      </c>
      <c r="X1747">
        <v>1</v>
      </c>
      <c r="Y1747" t="s">
        <v>2710</v>
      </c>
      <c r="AA1747">
        <v>59283260402</v>
      </c>
      <c r="AB1747" t="s">
        <v>905</v>
      </c>
      <c r="AC1747">
        <v>0</v>
      </c>
      <c r="AD1747">
        <v>4</v>
      </c>
      <c r="AE1747">
        <v>592832604024</v>
      </c>
      <c r="AF1747" t="s">
        <v>6692</v>
      </c>
      <c r="AG1747">
        <v>0</v>
      </c>
      <c r="AH1747">
        <v>0</v>
      </c>
    </row>
    <row r="1748" spans="1:34">
      <c r="A1748">
        <v>2026</v>
      </c>
      <c r="B1748" s="1">
        <v>46023</v>
      </c>
      <c r="C1748" t="s">
        <v>2657</v>
      </c>
      <c r="D1748" t="s">
        <v>6709</v>
      </c>
      <c r="E1748" s="43">
        <v>46041.662324432873</v>
      </c>
      <c r="F1748" s="3">
        <v>46041</v>
      </c>
      <c r="G1748" s="43">
        <v>46043.866020000001</v>
      </c>
      <c r="H1748" t="s">
        <v>2701</v>
      </c>
      <c r="I1748" t="s">
        <v>2719</v>
      </c>
      <c r="J1748" t="s">
        <v>36</v>
      </c>
      <c r="L1748" t="s">
        <v>2355</v>
      </c>
      <c r="M1748">
        <v>59283260402</v>
      </c>
      <c r="N1748" t="s">
        <v>2702</v>
      </c>
      <c r="O1748" s="1">
        <v>45294</v>
      </c>
      <c r="T1748" t="s">
        <v>2662</v>
      </c>
      <c r="U1748" t="s">
        <v>6710</v>
      </c>
      <c r="V1748">
        <v>2</v>
      </c>
      <c r="W1748" t="s">
        <v>2704</v>
      </c>
      <c r="X1748">
        <v>1</v>
      </c>
      <c r="Y1748" t="s">
        <v>2721</v>
      </c>
      <c r="AA1748">
        <v>59283260402</v>
      </c>
      <c r="AB1748" t="s">
        <v>905</v>
      </c>
      <c r="AC1748">
        <v>0</v>
      </c>
      <c r="AD1748">
        <v>4</v>
      </c>
      <c r="AE1748">
        <v>592832604024</v>
      </c>
      <c r="AF1748" t="s">
        <v>6692</v>
      </c>
      <c r="AG1748">
        <v>1</v>
      </c>
      <c r="AH1748">
        <v>0</v>
      </c>
    </row>
    <row r="1749" spans="1:34">
      <c r="A1749">
        <v>2026</v>
      </c>
      <c r="B1749" s="1">
        <v>46023</v>
      </c>
      <c r="C1749" t="s">
        <v>2657</v>
      </c>
      <c r="D1749" t="s">
        <v>6711</v>
      </c>
      <c r="E1749" s="43">
        <v>46041.666142870374</v>
      </c>
      <c r="F1749" s="3">
        <v>46041</v>
      </c>
      <c r="G1749" s="43">
        <v>46042.491703125001</v>
      </c>
      <c r="H1749" t="s">
        <v>2701</v>
      </c>
      <c r="I1749" t="s">
        <v>2719</v>
      </c>
      <c r="J1749" t="s">
        <v>36</v>
      </c>
      <c r="L1749" t="s">
        <v>2355</v>
      </c>
      <c r="M1749">
        <v>59283260402</v>
      </c>
      <c r="N1749" t="s">
        <v>2702</v>
      </c>
      <c r="O1749" s="1">
        <v>45294</v>
      </c>
      <c r="T1749" t="s">
        <v>2662</v>
      </c>
      <c r="U1749" t="s">
        <v>6712</v>
      </c>
      <c r="V1749">
        <v>1</v>
      </c>
      <c r="W1749" t="s">
        <v>2704</v>
      </c>
      <c r="X1749">
        <v>1</v>
      </c>
      <c r="Y1749" t="s">
        <v>2710</v>
      </c>
      <c r="AA1749">
        <v>59283260402</v>
      </c>
      <c r="AB1749" t="s">
        <v>905</v>
      </c>
      <c r="AC1749">
        <v>0</v>
      </c>
      <c r="AD1749">
        <v>4</v>
      </c>
      <c r="AE1749">
        <v>592832604024</v>
      </c>
      <c r="AF1749" t="s">
        <v>6692</v>
      </c>
      <c r="AG1749">
        <v>0</v>
      </c>
      <c r="AH1749">
        <v>0</v>
      </c>
    </row>
    <row r="1750" spans="1:34">
      <c r="A1750">
        <v>2026</v>
      </c>
      <c r="B1750" s="1">
        <v>46023</v>
      </c>
      <c r="C1750" t="s">
        <v>2657</v>
      </c>
      <c r="D1750" t="s">
        <v>6713</v>
      </c>
      <c r="E1750" s="43">
        <v>46041.666861597223</v>
      </c>
      <c r="F1750" s="3">
        <v>46041</v>
      </c>
      <c r="G1750" s="43">
        <v>46043.865994085645</v>
      </c>
      <c r="H1750" t="s">
        <v>2701</v>
      </c>
      <c r="I1750" t="s">
        <v>2719</v>
      </c>
      <c r="J1750" t="s">
        <v>36</v>
      </c>
      <c r="L1750" t="s">
        <v>2355</v>
      </c>
      <c r="M1750">
        <v>59283260402</v>
      </c>
      <c r="N1750" t="s">
        <v>2702</v>
      </c>
      <c r="O1750" s="1">
        <v>45294</v>
      </c>
      <c r="T1750" t="s">
        <v>2662</v>
      </c>
      <c r="U1750" t="s">
        <v>6714</v>
      </c>
      <c r="V1750">
        <v>2</v>
      </c>
      <c r="W1750" t="s">
        <v>2704</v>
      </c>
      <c r="X1750">
        <v>1</v>
      </c>
      <c r="Y1750" t="s">
        <v>2710</v>
      </c>
      <c r="AA1750">
        <v>59283260402</v>
      </c>
      <c r="AB1750" t="s">
        <v>905</v>
      </c>
      <c r="AC1750">
        <v>0</v>
      </c>
      <c r="AD1750">
        <v>4</v>
      </c>
      <c r="AE1750">
        <v>592832604024</v>
      </c>
      <c r="AF1750" t="s">
        <v>6692</v>
      </c>
      <c r="AG1750">
        <v>0</v>
      </c>
      <c r="AH1750">
        <v>0</v>
      </c>
    </row>
    <row r="1751" spans="1:34">
      <c r="A1751">
        <v>2026</v>
      </c>
      <c r="B1751" s="1">
        <v>46023</v>
      </c>
      <c r="C1751" t="s">
        <v>2657</v>
      </c>
      <c r="D1751" t="s">
        <v>6715</v>
      </c>
      <c r="E1751" s="43">
        <v>46041.665003136572</v>
      </c>
      <c r="F1751" s="3">
        <v>46041</v>
      </c>
      <c r="G1751" s="43">
        <v>46042.493759953701</v>
      </c>
      <c r="H1751" t="s">
        <v>2701</v>
      </c>
      <c r="I1751" t="s">
        <v>2719</v>
      </c>
      <c r="J1751" t="s">
        <v>36</v>
      </c>
      <c r="L1751" t="s">
        <v>2355</v>
      </c>
      <c r="M1751">
        <v>59283260402</v>
      </c>
      <c r="N1751" t="s">
        <v>2702</v>
      </c>
      <c r="O1751" s="1">
        <v>45294</v>
      </c>
      <c r="T1751" t="s">
        <v>2662</v>
      </c>
      <c r="U1751" t="s">
        <v>6716</v>
      </c>
      <c r="V1751">
        <v>1</v>
      </c>
      <c r="W1751" t="s">
        <v>2704</v>
      </c>
      <c r="X1751">
        <v>1</v>
      </c>
      <c r="Y1751" t="s">
        <v>2710</v>
      </c>
      <c r="AA1751">
        <v>59283260402</v>
      </c>
      <c r="AB1751" t="s">
        <v>905</v>
      </c>
      <c r="AC1751">
        <v>0</v>
      </c>
      <c r="AD1751">
        <v>4</v>
      </c>
      <c r="AE1751">
        <v>592832604024</v>
      </c>
      <c r="AF1751" t="s">
        <v>6692</v>
      </c>
      <c r="AG1751">
        <v>0</v>
      </c>
      <c r="AH1751">
        <v>0</v>
      </c>
    </row>
    <row r="1752" spans="1:34">
      <c r="A1752">
        <v>2026</v>
      </c>
      <c r="B1752" s="1">
        <v>46023</v>
      </c>
      <c r="C1752" t="s">
        <v>2657</v>
      </c>
      <c r="D1752" t="s">
        <v>6717</v>
      </c>
      <c r="E1752" s="43">
        <v>46049.528765150462</v>
      </c>
      <c r="F1752" s="3">
        <v>46049</v>
      </c>
      <c r="G1752" s="43">
        <v>46062.850746863427</v>
      </c>
      <c r="H1752" t="s">
        <v>2701</v>
      </c>
      <c r="I1752" t="s">
        <v>2660</v>
      </c>
      <c r="J1752" t="s">
        <v>36</v>
      </c>
      <c r="L1752" t="s">
        <v>2355</v>
      </c>
      <c r="M1752">
        <v>59283260402</v>
      </c>
      <c r="N1752" t="s">
        <v>2702</v>
      </c>
      <c r="O1752" s="1">
        <v>45294</v>
      </c>
      <c r="T1752" t="s">
        <v>2662</v>
      </c>
      <c r="U1752" t="s">
        <v>6718</v>
      </c>
      <c r="V1752">
        <v>9</v>
      </c>
      <c r="W1752" t="s">
        <v>2704</v>
      </c>
      <c r="X1752">
        <v>1</v>
      </c>
      <c r="Y1752" t="s">
        <v>2710</v>
      </c>
      <c r="AA1752">
        <v>59283260402</v>
      </c>
      <c r="AB1752" t="s">
        <v>905</v>
      </c>
      <c r="AC1752">
        <v>0</v>
      </c>
      <c r="AD1752">
        <v>5</v>
      </c>
      <c r="AE1752">
        <v>592832604025</v>
      </c>
      <c r="AF1752" t="s">
        <v>6692</v>
      </c>
      <c r="AG1752">
        <v>1</v>
      </c>
      <c r="AH1752">
        <v>0</v>
      </c>
    </row>
    <row r="1753" spans="1:34">
      <c r="A1753">
        <v>2026</v>
      </c>
      <c r="B1753" s="1">
        <v>46023</v>
      </c>
      <c r="C1753" t="s">
        <v>2657</v>
      </c>
      <c r="D1753" t="s">
        <v>6719</v>
      </c>
      <c r="E1753" s="43">
        <v>46044.767253136575</v>
      </c>
      <c r="F1753" s="3">
        <v>46044</v>
      </c>
      <c r="G1753" s="43">
        <v>46051.487817118053</v>
      </c>
      <c r="H1753" t="s">
        <v>2701</v>
      </c>
      <c r="I1753" t="s">
        <v>2660</v>
      </c>
      <c r="J1753" t="s">
        <v>36</v>
      </c>
      <c r="L1753" t="s">
        <v>2355</v>
      </c>
      <c r="M1753">
        <v>59283260402</v>
      </c>
      <c r="N1753" t="s">
        <v>2702</v>
      </c>
      <c r="O1753" s="1">
        <v>45294</v>
      </c>
      <c r="T1753" t="s">
        <v>2662</v>
      </c>
      <c r="U1753" t="s">
        <v>6720</v>
      </c>
      <c r="V1753">
        <v>5</v>
      </c>
      <c r="W1753" t="s">
        <v>2704</v>
      </c>
      <c r="X1753">
        <v>1</v>
      </c>
      <c r="Y1753" t="s">
        <v>2931</v>
      </c>
      <c r="Z1753" t="s">
        <v>2684</v>
      </c>
      <c r="AA1753">
        <v>59283260402</v>
      </c>
      <c r="AB1753" t="s">
        <v>905</v>
      </c>
      <c r="AC1753">
        <v>0</v>
      </c>
      <c r="AD1753">
        <v>4</v>
      </c>
      <c r="AE1753">
        <v>592832604024</v>
      </c>
      <c r="AF1753" t="s">
        <v>6692</v>
      </c>
      <c r="AG1753">
        <v>0</v>
      </c>
      <c r="AH1753">
        <v>0</v>
      </c>
    </row>
    <row r="1754" spans="1:34">
      <c r="A1754">
        <v>2026</v>
      </c>
      <c r="B1754" s="1">
        <v>46023</v>
      </c>
      <c r="C1754" t="s">
        <v>2657</v>
      </c>
      <c r="D1754" t="s">
        <v>6721</v>
      </c>
      <c r="E1754" s="43">
        <v>46045.590621493058</v>
      </c>
      <c r="F1754" s="3">
        <v>46045</v>
      </c>
      <c r="G1754" s="43">
        <v>46062.84322101852</v>
      </c>
      <c r="H1754" t="s">
        <v>2701</v>
      </c>
      <c r="I1754" t="s">
        <v>2660</v>
      </c>
      <c r="J1754" t="s">
        <v>36</v>
      </c>
      <c r="L1754" t="s">
        <v>2355</v>
      </c>
      <c r="M1754">
        <v>59283260402</v>
      </c>
      <c r="N1754" t="s">
        <v>2702</v>
      </c>
      <c r="O1754" s="1">
        <v>45294</v>
      </c>
      <c r="T1754" t="s">
        <v>2662</v>
      </c>
      <c r="U1754" t="s">
        <v>6722</v>
      </c>
      <c r="V1754">
        <v>11</v>
      </c>
      <c r="W1754" t="s">
        <v>2704</v>
      </c>
      <c r="X1754">
        <v>1</v>
      </c>
      <c r="Y1754" t="s">
        <v>2710</v>
      </c>
      <c r="AA1754">
        <v>59283260402</v>
      </c>
      <c r="AB1754" t="s">
        <v>905</v>
      </c>
      <c r="AC1754">
        <v>0</v>
      </c>
      <c r="AD1754">
        <v>4</v>
      </c>
      <c r="AE1754">
        <v>592832604024</v>
      </c>
      <c r="AF1754" t="s">
        <v>6692</v>
      </c>
      <c r="AG1754">
        <v>0</v>
      </c>
      <c r="AH1754">
        <v>0</v>
      </c>
    </row>
    <row r="1755" spans="1:34">
      <c r="A1755">
        <v>2026</v>
      </c>
      <c r="B1755" s="1">
        <v>46054</v>
      </c>
      <c r="C1755" t="s">
        <v>2657</v>
      </c>
      <c r="D1755" s="44" t="s">
        <v>6723</v>
      </c>
      <c r="E1755" s="43">
        <v>46059.796969224539</v>
      </c>
      <c r="F1755" s="3">
        <v>46059</v>
      </c>
      <c r="G1755" s="43">
        <v>46076.532817384257</v>
      </c>
      <c r="H1755" t="s">
        <v>2725</v>
      </c>
      <c r="I1755" t="s">
        <v>2669</v>
      </c>
      <c r="J1755" t="s">
        <v>36</v>
      </c>
      <c r="L1755" t="s">
        <v>2421</v>
      </c>
      <c r="M1755">
        <v>389244098902</v>
      </c>
      <c r="N1755" t="s">
        <v>2661</v>
      </c>
      <c r="O1755" s="1">
        <v>46055</v>
      </c>
      <c r="T1755" t="s">
        <v>2662</v>
      </c>
      <c r="U1755" t="s">
        <v>6724</v>
      </c>
      <c r="V1755">
        <v>11</v>
      </c>
      <c r="W1755" t="s">
        <v>2664</v>
      </c>
      <c r="X1755">
        <v>1</v>
      </c>
      <c r="Y1755" t="s">
        <v>2717</v>
      </c>
      <c r="AA1755">
        <v>971539676602</v>
      </c>
      <c r="AB1755" t="s">
        <v>2474</v>
      </c>
      <c r="AC1755">
        <v>0</v>
      </c>
      <c r="AD1755">
        <v>6</v>
      </c>
      <c r="AE1755">
        <v>9715396766026</v>
      </c>
      <c r="AF1755" t="s">
        <v>6725</v>
      </c>
      <c r="AG1755">
        <v>1</v>
      </c>
      <c r="AH1755">
        <v>1</v>
      </c>
    </row>
    <row r="1756" spans="1:34">
      <c r="A1756">
        <v>2026</v>
      </c>
      <c r="B1756" s="1">
        <v>46054</v>
      </c>
      <c r="C1756" t="s">
        <v>2657</v>
      </c>
      <c r="D1756" t="s">
        <v>6726</v>
      </c>
      <c r="E1756" s="43">
        <v>46062.605336273147</v>
      </c>
      <c r="F1756" s="3">
        <v>46062</v>
      </c>
      <c r="G1756" s="43">
        <v>46072.496140520831</v>
      </c>
      <c r="H1756" t="s">
        <v>2725</v>
      </c>
      <c r="I1756" t="s">
        <v>2681</v>
      </c>
      <c r="J1756" t="s">
        <v>36</v>
      </c>
      <c r="L1756" t="s">
        <v>2421</v>
      </c>
      <c r="M1756">
        <v>389244098902</v>
      </c>
      <c r="N1756" t="s">
        <v>2661</v>
      </c>
      <c r="O1756" s="1">
        <v>46055</v>
      </c>
      <c r="T1756" t="s">
        <v>2662</v>
      </c>
      <c r="U1756" t="s">
        <v>6727</v>
      </c>
      <c r="V1756">
        <v>8</v>
      </c>
      <c r="W1756" t="s">
        <v>2664</v>
      </c>
      <c r="X1756">
        <v>1</v>
      </c>
      <c r="Y1756" t="s">
        <v>2721</v>
      </c>
      <c r="AA1756">
        <v>971539676602</v>
      </c>
      <c r="AB1756" t="s">
        <v>2474</v>
      </c>
      <c r="AC1756">
        <v>0</v>
      </c>
      <c r="AD1756">
        <v>7</v>
      </c>
      <c r="AE1756">
        <v>9715396766027</v>
      </c>
      <c r="AF1756" t="s">
        <v>6725</v>
      </c>
      <c r="AG1756">
        <v>1</v>
      </c>
      <c r="AH1756">
        <v>0</v>
      </c>
    </row>
    <row r="1757" spans="1:34">
      <c r="A1757">
        <v>2026</v>
      </c>
      <c r="B1757" s="1">
        <v>46054</v>
      </c>
      <c r="C1757" t="s">
        <v>2657</v>
      </c>
      <c r="D1757" t="s">
        <v>6728</v>
      </c>
      <c r="E1757" s="43">
        <v>46076.503227326386</v>
      </c>
      <c r="F1757" s="3">
        <v>46076</v>
      </c>
      <c r="G1757" s="43">
        <v>46092.570936249998</v>
      </c>
      <c r="H1757" t="s">
        <v>2725</v>
      </c>
      <c r="I1757" t="s">
        <v>2660</v>
      </c>
      <c r="J1757" t="s">
        <v>36</v>
      </c>
      <c r="L1757" t="s">
        <v>2421</v>
      </c>
      <c r="M1757">
        <v>971539676602</v>
      </c>
      <c r="N1757" t="s">
        <v>2661</v>
      </c>
      <c r="O1757" s="1">
        <v>45994</v>
      </c>
      <c r="T1757" t="s">
        <v>2662</v>
      </c>
      <c r="U1757" t="s">
        <v>6729</v>
      </c>
      <c r="V1757">
        <v>12</v>
      </c>
      <c r="W1757" t="s">
        <v>2677</v>
      </c>
      <c r="X1757">
        <v>1</v>
      </c>
      <c r="Y1757" t="s">
        <v>2760</v>
      </c>
      <c r="AA1757">
        <v>971539676602</v>
      </c>
      <c r="AB1757" t="s">
        <v>2474</v>
      </c>
      <c r="AC1757">
        <v>0</v>
      </c>
      <c r="AD1757">
        <v>9</v>
      </c>
      <c r="AE1757">
        <v>9715396766029</v>
      </c>
      <c r="AF1757" t="s">
        <v>6725</v>
      </c>
      <c r="AG1757">
        <v>0</v>
      </c>
      <c r="AH1757">
        <v>0</v>
      </c>
    </row>
    <row r="1758" spans="1:34">
      <c r="A1758">
        <v>2026</v>
      </c>
      <c r="B1758" s="1">
        <v>46054</v>
      </c>
      <c r="C1758" t="s">
        <v>2657</v>
      </c>
      <c r="D1758" t="s">
        <v>6730</v>
      </c>
      <c r="E1758" s="43">
        <v>46076.488847152781</v>
      </c>
      <c r="F1758" s="3">
        <v>46076</v>
      </c>
      <c r="G1758" s="43">
        <v>46079.501638865739</v>
      </c>
      <c r="H1758" t="s">
        <v>2725</v>
      </c>
      <c r="I1758" t="s">
        <v>2660</v>
      </c>
      <c r="J1758" t="s">
        <v>36</v>
      </c>
      <c r="L1758" t="s">
        <v>2421</v>
      </c>
      <c r="M1758">
        <v>971539676602</v>
      </c>
      <c r="N1758" t="s">
        <v>2661</v>
      </c>
      <c r="O1758" s="1">
        <v>45994</v>
      </c>
      <c r="T1758" t="s">
        <v>2662</v>
      </c>
      <c r="U1758" t="s">
        <v>6731</v>
      </c>
      <c r="V1758">
        <v>3</v>
      </c>
      <c r="W1758" t="s">
        <v>2677</v>
      </c>
      <c r="X1758">
        <v>1</v>
      </c>
      <c r="Y1758" t="s">
        <v>2760</v>
      </c>
      <c r="AA1758">
        <v>971539676602</v>
      </c>
      <c r="AB1758" t="s">
        <v>2474</v>
      </c>
      <c r="AC1758">
        <v>0</v>
      </c>
      <c r="AD1758">
        <v>9</v>
      </c>
      <c r="AE1758">
        <v>9715396766029</v>
      </c>
      <c r="AF1758" t="s">
        <v>6725</v>
      </c>
      <c r="AG1758">
        <v>1</v>
      </c>
      <c r="AH1758">
        <v>0</v>
      </c>
    </row>
    <row r="1759" spans="1:34">
      <c r="A1759">
        <v>2025</v>
      </c>
      <c r="B1759" s="1">
        <v>45931</v>
      </c>
      <c r="C1759" t="s">
        <v>2657</v>
      </c>
      <c r="D1759" t="s">
        <v>6732</v>
      </c>
      <c r="E1759" s="43">
        <v>45936.481382951388</v>
      </c>
      <c r="F1759" s="3">
        <v>45936</v>
      </c>
      <c r="G1759" s="43">
        <v>45936.577271134258</v>
      </c>
      <c r="H1759" t="s">
        <v>2659</v>
      </c>
      <c r="I1759" t="s">
        <v>2669</v>
      </c>
      <c r="J1759" t="s">
        <v>2735</v>
      </c>
      <c r="L1759" t="s">
        <v>2408</v>
      </c>
      <c r="M1759">
        <v>24383333802</v>
      </c>
      <c r="N1759" t="s">
        <v>2746</v>
      </c>
      <c r="O1759" s="1">
        <v>45661</v>
      </c>
      <c r="T1759" t="s">
        <v>2662</v>
      </c>
      <c r="U1759" t="s">
        <v>2760</v>
      </c>
      <c r="V1759">
        <v>0</v>
      </c>
      <c r="W1759" t="s">
        <v>2677</v>
      </c>
      <c r="X1759">
        <v>1</v>
      </c>
      <c r="Y1759" t="s">
        <v>2760</v>
      </c>
      <c r="AA1759">
        <v>24383333802</v>
      </c>
      <c r="AB1759" t="s">
        <v>1342</v>
      </c>
      <c r="AC1759">
        <v>0</v>
      </c>
      <c r="AD1759">
        <v>41</v>
      </c>
      <c r="AE1759">
        <v>2438333380241</v>
      </c>
      <c r="AF1759" t="s">
        <v>6733</v>
      </c>
      <c r="AG1759">
        <v>1</v>
      </c>
      <c r="AH1759">
        <v>0</v>
      </c>
    </row>
    <row r="1760" spans="1:34">
      <c r="A1760">
        <v>2025</v>
      </c>
      <c r="B1760" s="1">
        <v>45931</v>
      </c>
      <c r="C1760" t="s">
        <v>2657</v>
      </c>
      <c r="D1760" t="s">
        <v>6734</v>
      </c>
      <c r="E1760" s="43">
        <v>45932.585874050928</v>
      </c>
      <c r="F1760" s="3">
        <v>45932</v>
      </c>
      <c r="G1760" s="43">
        <v>45932.585874050928</v>
      </c>
      <c r="H1760" t="s">
        <v>2659</v>
      </c>
      <c r="I1760" t="s">
        <v>2669</v>
      </c>
      <c r="J1760" t="s">
        <v>2735</v>
      </c>
      <c r="L1760" t="s">
        <v>2408</v>
      </c>
      <c r="M1760">
        <v>24383333802</v>
      </c>
      <c r="N1760" t="s">
        <v>2746</v>
      </c>
      <c r="O1760" s="1">
        <v>45661</v>
      </c>
      <c r="T1760" t="s">
        <v>2662</v>
      </c>
      <c r="U1760" t="s">
        <v>6735</v>
      </c>
      <c r="V1760">
        <v>0</v>
      </c>
      <c r="W1760" t="s">
        <v>2671</v>
      </c>
      <c r="X1760">
        <v>1</v>
      </c>
      <c r="Y1760" t="s">
        <v>2695</v>
      </c>
      <c r="AA1760">
        <v>24383333802</v>
      </c>
      <c r="AB1760" t="s">
        <v>1342</v>
      </c>
      <c r="AC1760">
        <v>0</v>
      </c>
      <c r="AD1760">
        <v>40</v>
      </c>
      <c r="AE1760">
        <v>2438333380240</v>
      </c>
      <c r="AF1760" t="s">
        <v>6733</v>
      </c>
      <c r="AG1760">
        <v>0</v>
      </c>
      <c r="AH1760">
        <v>1</v>
      </c>
    </row>
    <row r="1761" spans="1:34">
      <c r="A1761">
        <v>2025</v>
      </c>
      <c r="B1761" s="1">
        <v>45931</v>
      </c>
      <c r="C1761" t="s">
        <v>2657</v>
      </c>
      <c r="D1761" t="s">
        <v>6736</v>
      </c>
      <c r="E1761" s="43">
        <v>45938.520033842593</v>
      </c>
      <c r="F1761" s="3">
        <v>45938</v>
      </c>
      <c r="G1761" s="43">
        <v>45938.520033842593</v>
      </c>
      <c r="H1761" t="s">
        <v>2659</v>
      </c>
      <c r="I1761" t="s">
        <v>2681</v>
      </c>
      <c r="J1761" t="s">
        <v>2735</v>
      </c>
      <c r="L1761" t="s">
        <v>2408</v>
      </c>
      <c r="M1761">
        <v>24383333802</v>
      </c>
      <c r="N1761" t="s">
        <v>2746</v>
      </c>
      <c r="O1761" s="1">
        <v>45661</v>
      </c>
      <c r="T1761" t="s">
        <v>2662</v>
      </c>
      <c r="U1761" t="s">
        <v>6737</v>
      </c>
      <c r="V1761">
        <v>0</v>
      </c>
      <c r="W1761" t="s">
        <v>2671</v>
      </c>
      <c r="X1761">
        <v>1</v>
      </c>
      <c r="Y1761" t="s">
        <v>2695</v>
      </c>
      <c r="AA1761">
        <v>24383333802</v>
      </c>
      <c r="AB1761" t="s">
        <v>1342</v>
      </c>
      <c r="AC1761">
        <v>0</v>
      </c>
      <c r="AD1761">
        <v>41</v>
      </c>
      <c r="AE1761">
        <v>2438333380241</v>
      </c>
      <c r="AF1761" t="s">
        <v>6733</v>
      </c>
      <c r="AG1761">
        <v>0</v>
      </c>
      <c r="AH1761">
        <v>0</v>
      </c>
    </row>
    <row r="1762" spans="1:34">
      <c r="A1762">
        <v>2025</v>
      </c>
      <c r="B1762" s="1">
        <v>45931</v>
      </c>
      <c r="C1762" t="s">
        <v>2657</v>
      </c>
      <c r="D1762" s="44" t="s">
        <v>6738</v>
      </c>
      <c r="E1762" s="43">
        <v>45952.688502581019</v>
      </c>
      <c r="F1762" s="3">
        <v>45952</v>
      </c>
      <c r="G1762" s="43">
        <v>45973.593088402777</v>
      </c>
      <c r="H1762" t="s">
        <v>2659</v>
      </c>
      <c r="I1762" t="s">
        <v>2660</v>
      </c>
      <c r="J1762" t="s">
        <v>2735</v>
      </c>
      <c r="L1762" t="s">
        <v>2408</v>
      </c>
      <c r="M1762">
        <v>24383333802</v>
      </c>
      <c r="N1762" t="s">
        <v>2746</v>
      </c>
      <c r="O1762" s="1">
        <v>45661</v>
      </c>
      <c r="T1762" t="s">
        <v>2662</v>
      </c>
      <c r="U1762" t="s">
        <v>6739</v>
      </c>
      <c r="V1762">
        <v>15</v>
      </c>
      <c r="W1762" t="s">
        <v>2677</v>
      </c>
      <c r="X1762">
        <v>1</v>
      </c>
      <c r="Y1762" t="s">
        <v>2678</v>
      </c>
      <c r="AA1762">
        <v>24383333802</v>
      </c>
      <c r="AB1762" t="s">
        <v>1342</v>
      </c>
      <c r="AC1762">
        <v>0</v>
      </c>
      <c r="AD1762">
        <v>43</v>
      </c>
      <c r="AE1762">
        <v>2438333380243</v>
      </c>
      <c r="AF1762" t="s">
        <v>6733</v>
      </c>
      <c r="AG1762">
        <v>1</v>
      </c>
      <c r="AH1762">
        <v>0</v>
      </c>
    </row>
    <row r="1763" spans="1:34">
      <c r="A1763">
        <v>2025</v>
      </c>
      <c r="B1763" s="1">
        <v>45931</v>
      </c>
      <c r="C1763" t="s">
        <v>2657</v>
      </c>
      <c r="D1763" t="s">
        <v>6740</v>
      </c>
      <c r="E1763" s="43">
        <v>45958.856931388887</v>
      </c>
      <c r="F1763" s="3">
        <v>45958</v>
      </c>
      <c r="G1763" s="43">
        <v>45958.856931388887</v>
      </c>
      <c r="H1763" t="s">
        <v>2659</v>
      </c>
      <c r="I1763" t="s">
        <v>2660</v>
      </c>
      <c r="J1763" t="s">
        <v>2735</v>
      </c>
      <c r="L1763" t="s">
        <v>2408</v>
      </c>
      <c r="M1763">
        <v>24383333802</v>
      </c>
      <c r="N1763" t="s">
        <v>2746</v>
      </c>
      <c r="O1763" s="1">
        <v>45661</v>
      </c>
      <c r="T1763" t="s">
        <v>2662</v>
      </c>
      <c r="U1763" t="s">
        <v>6741</v>
      </c>
      <c r="V1763">
        <v>0</v>
      </c>
      <c r="W1763" t="s">
        <v>2664</v>
      </c>
      <c r="X1763">
        <v>1</v>
      </c>
      <c r="Y1763" t="s">
        <v>2695</v>
      </c>
      <c r="AA1763">
        <v>24383333802</v>
      </c>
      <c r="AB1763" t="s">
        <v>1342</v>
      </c>
      <c r="AC1763">
        <v>0</v>
      </c>
      <c r="AD1763">
        <v>44</v>
      </c>
      <c r="AE1763">
        <v>2438333380244</v>
      </c>
      <c r="AF1763" t="s">
        <v>6733</v>
      </c>
      <c r="AG1763">
        <v>0</v>
      </c>
      <c r="AH1763">
        <v>0</v>
      </c>
    </row>
    <row r="1764" spans="1:34">
      <c r="A1764">
        <v>2025</v>
      </c>
      <c r="B1764" s="1">
        <v>45931</v>
      </c>
      <c r="C1764" t="s">
        <v>2657</v>
      </c>
      <c r="D1764" t="s">
        <v>6742</v>
      </c>
      <c r="E1764" s="43">
        <v>45957.480048194448</v>
      </c>
      <c r="F1764" s="3">
        <v>45957</v>
      </c>
      <c r="G1764" s="43">
        <v>45958.736897187497</v>
      </c>
      <c r="H1764" t="s">
        <v>2659</v>
      </c>
      <c r="I1764" t="s">
        <v>2660</v>
      </c>
      <c r="J1764" t="s">
        <v>2735</v>
      </c>
      <c r="L1764" t="s">
        <v>2408</v>
      </c>
      <c r="M1764">
        <v>24383333802</v>
      </c>
      <c r="N1764" t="s">
        <v>2746</v>
      </c>
      <c r="O1764" s="1">
        <v>45661</v>
      </c>
      <c r="T1764" t="s">
        <v>2662</v>
      </c>
      <c r="U1764" t="s">
        <v>6743</v>
      </c>
      <c r="V1764">
        <v>1</v>
      </c>
      <c r="W1764" t="s">
        <v>2671</v>
      </c>
      <c r="X1764">
        <v>1</v>
      </c>
      <c r="Y1764" t="s">
        <v>2683</v>
      </c>
      <c r="AA1764">
        <v>24383333802</v>
      </c>
      <c r="AB1764" t="s">
        <v>1342</v>
      </c>
      <c r="AC1764">
        <v>0</v>
      </c>
      <c r="AD1764">
        <v>44</v>
      </c>
      <c r="AE1764">
        <v>2438333380244</v>
      </c>
      <c r="AF1764" t="s">
        <v>6733</v>
      </c>
      <c r="AG1764">
        <v>1</v>
      </c>
      <c r="AH1764">
        <v>0</v>
      </c>
    </row>
    <row r="1765" spans="1:34">
      <c r="A1765">
        <v>2026</v>
      </c>
      <c r="B1765" s="1">
        <v>46082</v>
      </c>
      <c r="C1765" t="s">
        <v>2657</v>
      </c>
      <c r="D1765" s="44" t="s">
        <v>6744</v>
      </c>
      <c r="E1765" s="43">
        <v>46091.540057488426</v>
      </c>
      <c r="F1765" s="3">
        <v>46091</v>
      </c>
      <c r="G1765" s="43">
        <v>46091.674870266201</v>
      </c>
      <c r="H1765" t="s">
        <v>2668</v>
      </c>
      <c r="I1765" t="s">
        <v>2681</v>
      </c>
      <c r="J1765" t="s">
        <v>39</v>
      </c>
      <c r="L1765" t="s">
        <v>2362</v>
      </c>
      <c r="M1765">
        <v>58401384302</v>
      </c>
      <c r="N1765" t="s">
        <v>2746</v>
      </c>
      <c r="O1765" s="1">
        <v>45680</v>
      </c>
      <c r="T1765" t="s">
        <v>2662</v>
      </c>
      <c r="U1765" t="s">
        <v>6745</v>
      </c>
      <c r="V1765">
        <v>0</v>
      </c>
      <c r="W1765" t="s">
        <v>2677</v>
      </c>
      <c r="X1765">
        <v>1</v>
      </c>
      <c r="Y1765" t="s">
        <v>2678</v>
      </c>
      <c r="AA1765">
        <v>58401384302</v>
      </c>
      <c r="AB1765" t="s">
        <v>1152</v>
      </c>
      <c r="AC1765">
        <v>1</v>
      </c>
      <c r="AD1765">
        <v>11</v>
      </c>
      <c r="AE1765">
        <v>5840138430211</v>
      </c>
      <c r="AF1765" t="s">
        <v>6746</v>
      </c>
      <c r="AG1765">
        <v>1</v>
      </c>
      <c r="AH1765">
        <v>1</v>
      </c>
    </row>
    <row r="1766" spans="1:34">
      <c r="A1766">
        <v>2026</v>
      </c>
      <c r="B1766" s="1">
        <v>46023</v>
      </c>
      <c r="C1766" t="s">
        <v>2657</v>
      </c>
      <c r="D1766" t="s">
        <v>6747</v>
      </c>
      <c r="E1766" s="43">
        <v>46029.511429537037</v>
      </c>
      <c r="F1766" s="3">
        <v>46029</v>
      </c>
      <c r="G1766" s="43">
        <v>46030.733664039355</v>
      </c>
      <c r="H1766" t="s">
        <v>2701</v>
      </c>
      <c r="I1766" t="s">
        <v>2669</v>
      </c>
      <c r="J1766" t="s">
        <v>39</v>
      </c>
      <c r="L1766" t="s">
        <v>2408</v>
      </c>
      <c r="M1766">
        <v>933459575402</v>
      </c>
      <c r="N1766" t="s">
        <v>2746</v>
      </c>
      <c r="O1766" s="1">
        <v>45595</v>
      </c>
      <c r="T1766" t="s">
        <v>2662</v>
      </c>
      <c r="U1766" t="s">
        <v>6748</v>
      </c>
      <c r="V1766">
        <v>1</v>
      </c>
      <c r="W1766" t="s">
        <v>2677</v>
      </c>
      <c r="X1766">
        <v>1</v>
      </c>
      <c r="Y1766" t="s">
        <v>2760</v>
      </c>
      <c r="AA1766">
        <v>438747217402</v>
      </c>
      <c r="AB1766" t="s">
        <v>1377</v>
      </c>
      <c r="AC1766">
        <v>0</v>
      </c>
      <c r="AD1766">
        <v>2</v>
      </c>
      <c r="AE1766">
        <v>4387472174022</v>
      </c>
      <c r="AF1766" t="s">
        <v>6749</v>
      </c>
      <c r="AG1766">
        <v>1</v>
      </c>
      <c r="AH1766">
        <v>1</v>
      </c>
    </row>
    <row r="1767" spans="1:34">
      <c r="A1767">
        <v>2026</v>
      </c>
      <c r="B1767" s="1">
        <v>46023</v>
      </c>
      <c r="C1767" t="s">
        <v>2657</v>
      </c>
      <c r="D1767" t="s">
        <v>6750</v>
      </c>
      <c r="E1767" s="43">
        <v>46035.542343194444</v>
      </c>
      <c r="F1767" s="3">
        <v>46035</v>
      </c>
      <c r="G1767" s="43">
        <v>46037.816488287041</v>
      </c>
      <c r="H1767" t="s">
        <v>2701</v>
      </c>
      <c r="I1767" t="s">
        <v>2681</v>
      </c>
      <c r="J1767" t="s">
        <v>39</v>
      </c>
      <c r="L1767" t="s">
        <v>2408</v>
      </c>
      <c r="M1767">
        <v>933459575402</v>
      </c>
      <c r="N1767" t="s">
        <v>2746</v>
      </c>
      <c r="O1767" s="1">
        <v>45595</v>
      </c>
      <c r="T1767" t="s">
        <v>2662</v>
      </c>
      <c r="U1767" t="s">
        <v>6751</v>
      </c>
      <c r="V1767">
        <v>2</v>
      </c>
      <c r="W1767" t="s">
        <v>2671</v>
      </c>
      <c r="X1767">
        <v>1</v>
      </c>
      <c r="Y1767" t="s">
        <v>2672</v>
      </c>
      <c r="Z1767" t="s">
        <v>2684</v>
      </c>
      <c r="AA1767">
        <v>438747217402</v>
      </c>
      <c r="AB1767" t="s">
        <v>1377</v>
      </c>
      <c r="AC1767">
        <v>0</v>
      </c>
      <c r="AD1767">
        <v>3</v>
      </c>
      <c r="AE1767">
        <v>4387472174023</v>
      </c>
      <c r="AF1767" t="s">
        <v>6749</v>
      </c>
      <c r="AG1767">
        <v>1</v>
      </c>
      <c r="AH1767">
        <v>0</v>
      </c>
    </row>
    <row r="1768" spans="1:34">
      <c r="A1768">
        <v>2026</v>
      </c>
      <c r="B1768" s="1">
        <v>46023</v>
      </c>
      <c r="C1768" t="s">
        <v>2657</v>
      </c>
      <c r="D1768" t="s">
        <v>6752</v>
      </c>
      <c r="E1768" s="43">
        <v>46038.54070060185</v>
      </c>
      <c r="F1768" s="3">
        <v>46038</v>
      </c>
      <c r="G1768" s="43">
        <v>46041.775163599537</v>
      </c>
      <c r="H1768" t="s">
        <v>2701</v>
      </c>
      <c r="I1768" t="s">
        <v>2719</v>
      </c>
      <c r="J1768" t="s">
        <v>39</v>
      </c>
      <c r="L1768" t="s">
        <v>2408</v>
      </c>
      <c r="M1768">
        <v>438747217402</v>
      </c>
      <c r="N1768" t="s">
        <v>2746</v>
      </c>
      <c r="O1768" s="1">
        <v>45294</v>
      </c>
      <c r="T1768" t="s">
        <v>2662</v>
      </c>
      <c r="U1768" t="s">
        <v>6753</v>
      </c>
      <c r="V1768">
        <v>1</v>
      </c>
      <c r="W1768" t="s">
        <v>2704</v>
      </c>
      <c r="X1768">
        <v>1</v>
      </c>
      <c r="Y1768" t="s">
        <v>2721</v>
      </c>
      <c r="AA1768">
        <v>438747217402</v>
      </c>
      <c r="AB1768" t="s">
        <v>1377</v>
      </c>
      <c r="AC1768">
        <v>0</v>
      </c>
      <c r="AD1768">
        <v>3</v>
      </c>
      <c r="AE1768">
        <v>4387472174023</v>
      </c>
      <c r="AF1768" t="s">
        <v>6749</v>
      </c>
      <c r="AG1768">
        <v>0</v>
      </c>
      <c r="AH1768">
        <v>0</v>
      </c>
    </row>
    <row r="1769" spans="1:34">
      <c r="A1769">
        <v>2026</v>
      </c>
      <c r="B1769" s="1">
        <v>46023</v>
      </c>
      <c r="C1769" t="s">
        <v>2657</v>
      </c>
      <c r="D1769" t="s">
        <v>6754</v>
      </c>
      <c r="E1769" s="43">
        <v>46037.497255601855</v>
      </c>
      <c r="F1769" s="3">
        <v>46037</v>
      </c>
      <c r="G1769" s="43">
        <v>46037.497255601855</v>
      </c>
      <c r="H1769" t="s">
        <v>2701</v>
      </c>
      <c r="I1769" t="s">
        <v>2719</v>
      </c>
      <c r="J1769" t="s">
        <v>39</v>
      </c>
      <c r="L1769" t="s">
        <v>2408</v>
      </c>
      <c r="M1769">
        <v>438747217402</v>
      </c>
      <c r="N1769" t="s">
        <v>2746</v>
      </c>
      <c r="O1769" s="1">
        <v>45294</v>
      </c>
      <c r="T1769" t="s">
        <v>2662</v>
      </c>
      <c r="U1769" t="s">
        <v>6755</v>
      </c>
      <c r="V1769">
        <v>0</v>
      </c>
      <c r="W1769" t="s">
        <v>2704</v>
      </c>
      <c r="X1769">
        <v>1</v>
      </c>
      <c r="Y1769" t="s">
        <v>2695</v>
      </c>
      <c r="AA1769">
        <v>438747217402</v>
      </c>
      <c r="AB1769" t="s">
        <v>1377</v>
      </c>
      <c r="AC1769">
        <v>0</v>
      </c>
      <c r="AD1769">
        <v>3</v>
      </c>
      <c r="AE1769">
        <v>4387472174023</v>
      </c>
      <c r="AF1769" t="s">
        <v>6749</v>
      </c>
      <c r="AG1769">
        <v>0</v>
      </c>
      <c r="AH1769">
        <v>0</v>
      </c>
    </row>
    <row r="1770" spans="1:34">
      <c r="A1770">
        <v>2026</v>
      </c>
      <c r="B1770" s="1">
        <v>46023</v>
      </c>
      <c r="C1770" t="s">
        <v>2657</v>
      </c>
      <c r="D1770" s="44" t="s">
        <v>6756</v>
      </c>
      <c r="E1770" s="43">
        <v>46051.603969039352</v>
      </c>
      <c r="F1770" s="3">
        <v>46051</v>
      </c>
      <c r="G1770" s="43">
        <v>46057.569417905092</v>
      </c>
      <c r="H1770" t="s">
        <v>2701</v>
      </c>
      <c r="I1770" t="s">
        <v>2697</v>
      </c>
      <c r="J1770" t="s">
        <v>39</v>
      </c>
      <c r="L1770" t="s">
        <v>2408</v>
      </c>
      <c r="M1770">
        <v>438747217402</v>
      </c>
      <c r="N1770" t="s">
        <v>2746</v>
      </c>
      <c r="O1770" s="1">
        <v>45294</v>
      </c>
      <c r="T1770" t="s">
        <v>2662</v>
      </c>
      <c r="U1770" t="s">
        <v>6757</v>
      </c>
      <c r="V1770">
        <v>4</v>
      </c>
      <c r="X1770">
        <v>1</v>
      </c>
      <c r="Y1770" t="s">
        <v>2757</v>
      </c>
      <c r="Z1770" t="s">
        <v>2834</v>
      </c>
      <c r="AA1770">
        <v>438747217402</v>
      </c>
      <c r="AB1770" t="s">
        <v>1377</v>
      </c>
      <c r="AC1770">
        <v>0</v>
      </c>
      <c r="AD1770">
        <v>5</v>
      </c>
      <c r="AE1770">
        <v>4387472174025</v>
      </c>
      <c r="AF1770" t="s">
        <v>6749</v>
      </c>
      <c r="AG1770">
        <v>1</v>
      </c>
      <c r="AH1770">
        <v>0</v>
      </c>
    </row>
    <row r="1771" spans="1:34">
      <c r="A1771">
        <v>2026</v>
      </c>
      <c r="B1771" s="1">
        <v>46082</v>
      </c>
      <c r="C1771" t="s">
        <v>2657</v>
      </c>
      <c r="D1771" t="s">
        <v>6758</v>
      </c>
      <c r="E1771" s="43">
        <v>46084.874741666667</v>
      </c>
      <c r="F1771" s="3">
        <v>46084</v>
      </c>
      <c r="G1771" s="43">
        <v>46084.874741666667</v>
      </c>
      <c r="H1771" t="s">
        <v>2668</v>
      </c>
      <c r="I1771" t="s">
        <v>2669</v>
      </c>
      <c r="J1771" t="s">
        <v>38</v>
      </c>
      <c r="L1771" t="s">
        <v>2355</v>
      </c>
      <c r="M1771">
        <v>60238888002</v>
      </c>
      <c r="N1771" t="s">
        <v>2702</v>
      </c>
      <c r="O1771" s="1">
        <v>45324</v>
      </c>
      <c r="T1771" t="s">
        <v>2662</v>
      </c>
      <c r="U1771" t="s">
        <v>6759</v>
      </c>
      <c r="V1771">
        <v>0</v>
      </c>
      <c r="W1771" t="s">
        <v>2704</v>
      </c>
      <c r="X1771">
        <v>1</v>
      </c>
      <c r="Y1771" t="s">
        <v>2710</v>
      </c>
      <c r="AA1771">
        <v>60238888002</v>
      </c>
      <c r="AB1771" t="s">
        <v>1024</v>
      </c>
      <c r="AC1771">
        <v>0</v>
      </c>
      <c r="AD1771">
        <v>10</v>
      </c>
      <c r="AE1771">
        <v>6023888800210</v>
      </c>
      <c r="AF1771" t="s">
        <v>6760</v>
      </c>
      <c r="AG1771">
        <v>1</v>
      </c>
      <c r="AH1771">
        <v>1</v>
      </c>
    </row>
    <row r="1772" spans="1:34">
      <c r="A1772">
        <v>2026</v>
      </c>
      <c r="B1772" s="1">
        <v>46082</v>
      </c>
      <c r="C1772" t="s">
        <v>2657</v>
      </c>
      <c r="D1772" t="s">
        <v>6761</v>
      </c>
      <c r="E1772" s="43">
        <v>46087.80456478009</v>
      </c>
      <c r="F1772" s="3">
        <v>46087</v>
      </c>
      <c r="G1772" s="43">
        <v>46091.869811122684</v>
      </c>
      <c r="H1772" t="s">
        <v>2668</v>
      </c>
      <c r="I1772" t="s">
        <v>2669</v>
      </c>
      <c r="J1772" t="s">
        <v>38</v>
      </c>
      <c r="L1772" t="s">
        <v>2355</v>
      </c>
      <c r="M1772">
        <v>60238888002</v>
      </c>
      <c r="N1772" t="s">
        <v>2702</v>
      </c>
      <c r="O1772" s="1">
        <v>45324</v>
      </c>
      <c r="T1772" t="s">
        <v>2662</v>
      </c>
      <c r="U1772" t="s">
        <v>6762</v>
      </c>
      <c r="V1772">
        <v>2</v>
      </c>
      <c r="W1772" t="s">
        <v>2704</v>
      </c>
      <c r="X1772">
        <v>1</v>
      </c>
      <c r="Y1772" t="s">
        <v>2710</v>
      </c>
      <c r="AA1772">
        <v>60238888002</v>
      </c>
      <c r="AB1772" t="s">
        <v>1024</v>
      </c>
      <c r="AC1772">
        <v>1</v>
      </c>
      <c r="AD1772">
        <v>10</v>
      </c>
      <c r="AE1772">
        <v>6023888800210</v>
      </c>
      <c r="AF1772" t="s">
        <v>6760</v>
      </c>
      <c r="AG1772">
        <v>0</v>
      </c>
      <c r="AH1772">
        <v>0</v>
      </c>
    </row>
    <row r="1773" spans="1:34">
      <c r="A1773">
        <v>2026</v>
      </c>
      <c r="B1773" s="1">
        <v>46082</v>
      </c>
      <c r="C1773" t="s">
        <v>2657</v>
      </c>
      <c r="D1773" t="s">
        <v>6763</v>
      </c>
      <c r="E1773" s="43">
        <v>46084.884341990743</v>
      </c>
      <c r="F1773" s="3">
        <v>46084</v>
      </c>
      <c r="G1773" s="43">
        <v>46084.884341990743</v>
      </c>
      <c r="H1773" t="s">
        <v>2668</v>
      </c>
      <c r="I1773" t="s">
        <v>2669</v>
      </c>
      <c r="J1773" t="s">
        <v>38</v>
      </c>
      <c r="L1773" t="s">
        <v>2355</v>
      </c>
      <c r="M1773">
        <v>60238888002</v>
      </c>
      <c r="N1773" t="s">
        <v>2702</v>
      </c>
      <c r="O1773" s="1">
        <v>45324</v>
      </c>
      <c r="T1773" t="s">
        <v>2798</v>
      </c>
      <c r="U1773" t="s">
        <v>6764</v>
      </c>
      <c r="V1773">
        <v>8</v>
      </c>
      <c r="W1773" t="s">
        <v>2704</v>
      </c>
      <c r="X1773">
        <v>0</v>
      </c>
      <c r="Y1773" t="s">
        <v>2710</v>
      </c>
      <c r="AA1773">
        <v>60238888002</v>
      </c>
      <c r="AB1773" t="s">
        <v>1024</v>
      </c>
      <c r="AC1773">
        <v>0</v>
      </c>
      <c r="AD1773">
        <v>10</v>
      </c>
      <c r="AE1773">
        <v>6023888800210</v>
      </c>
      <c r="AF1773" t="s">
        <v>6760</v>
      </c>
      <c r="AG1773">
        <v>0</v>
      </c>
      <c r="AH1773">
        <v>0</v>
      </c>
    </row>
    <row r="1774" spans="1:34">
      <c r="A1774">
        <v>2025</v>
      </c>
      <c r="B1774" s="1">
        <v>45962</v>
      </c>
      <c r="C1774" t="s">
        <v>2657</v>
      </c>
      <c r="D1774" t="s">
        <v>6765</v>
      </c>
      <c r="E1774" s="43">
        <v>45966.750732638888</v>
      </c>
      <c r="F1774" s="3">
        <v>45966</v>
      </c>
      <c r="G1774" s="43">
        <v>45978.607185868059</v>
      </c>
      <c r="H1774" t="s">
        <v>2802</v>
      </c>
      <c r="I1774" t="s">
        <v>2669</v>
      </c>
      <c r="J1774" t="s">
        <v>100</v>
      </c>
      <c r="L1774" t="s">
        <v>2347</v>
      </c>
      <c r="M1774">
        <v>128837707402</v>
      </c>
      <c r="N1774" t="s">
        <v>2675</v>
      </c>
      <c r="O1774" s="1">
        <v>45669</v>
      </c>
      <c r="T1774" t="s">
        <v>2662</v>
      </c>
      <c r="U1774" t="s">
        <v>6766</v>
      </c>
      <c r="V1774">
        <v>8</v>
      </c>
      <c r="X1774">
        <v>1</v>
      </c>
      <c r="Y1774" t="s">
        <v>2717</v>
      </c>
      <c r="AA1774">
        <v>128837707402</v>
      </c>
      <c r="AB1774" t="s">
        <v>390</v>
      </c>
      <c r="AC1774">
        <v>0</v>
      </c>
      <c r="AD1774">
        <v>45</v>
      </c>
      <c r="AE1774">
        <v>12883770740245</v>
      </c>
      <c r="AF1774" t="s">
        <v>6767</v>
      </c>
      <c r="AG1774">
        <v>1</v>
      </c>
      <c r="AH1774">
        <v>1</v>
      </c>
    </row>
    <row r="1775" spans="1:34">
      <c r="A1775">
        <v>2025</v>
      </c>
      <c r="B1775" s="1">
        <v>45962</v>
      </c>
      <c r="C1775" t="s">
        <v>2657</v>
      </c>
      <c r="D1775" t="s">
        <v>6768</v>
      </c>
      <c r="E1775" s="43">
        <v>45986.813829560182</v>
      </c>
      <c r="F1775" s="1">
        <v>45986</v>
      </c>
      <c r="G1775" s="43">
        <v>45986.813829560182</v>
      </c>
      <c r="H1775" t="s">
        <v>2802</v>
      </c>
      <c r="I1775" t="s">
        <v>2660</v>
      </c>
      <c r="J1775" t="s">
        <v>100</v>
      </c>
      <c r="L1775" t="s">
        <v>2347</v>
      </c>
      <c r="M1775">
        <v>128837707402</v>
      </c>
      <c r="N1775" t="s">
        <v>2675</v>
      </c>
      <c r="O1775" s="1">
        <v>45669</v>
      </c>
      <c r="T1775" t="s">
        <v>2662</v>
      </c>
      <c r="U1775" t="s">
        <v>6769</v>
      </c>
      <c r="V1775">
        <v>0</v>
      </c>
      <c r="W1775" t="s">
        <v>2664</v>
      </c>
      <c r="X1775">
        <v>1</v>
      </c>
      <c r="Y1775" t="s">
        <v>2695</v>
      </c>
      <c r="AA1775">
        <v>128837707402</v>
      </c>
      <c r="AB1775" t="s">
        <v>390</v>
      </c>
      <c r="AC1775">
        <v>0</v>
      </c>
      <c r="AD1775">
        <v>48</v>
      </c>
      <c r="AE1775">
        <v>12883770740248</v>
      </c>
      <c r="AF1775" t="s">
        <v>6767</v>
      </c>
      <c r="AG1775">
        <v>1</v>
      </c>
      <c r="AH1775">
        <v>0</v>
      </c>
    </row>
    <row r="1776" spans="1:34">
      <c r="A1776">
        <v>2026</v>
      </c>
      <c r="B1776" s="1">
        <v>46023</v>
      </c>
      <c r="C1776" t="s">
        <v>2657</v>
      </c>
      <c r="D1776" t="s">
        <v>6770</v>
      </c>
      <c r="E1776" s="43">
        <v>46037.7943777662</v>
      </c>
      <c r="F1776" s="1">
        <v>46037</v>
      </c>
      <c r="G1776" s="43">
        <v>46044.564489837961</v>
      </c>
      <c r="H1776" t="s">
        <v>2701</v>
      </c>
      <c r="I1776" t="s">
        <v>2719</v>
      </c>
      <c r="J1776" t="s">
        <v>100</v>
      </c>
      <c r="L1776" t="s">
        <v>2353</v>
      </c>
      <c r="M1776">
        <v>98835860802</v>
      </c>
      <c r="N1776" t="s">
        <v>2675</v>
      </c>
      <c r="O1776" s="1">
        <v>45294</v>
      </c>
      <c r="T1776" t="s">
        <v>2662</v>
      </c>
      <c r="U1776" t="s">
        <v>6771</v>
      </c>
      <c r="V1776">
        <v>5</v>
      </c>
      <c r="W1776" t="s">
        <v>2671</v>
      </c>
      <c r="X1776">
        <v>1</v>
      </c>
      <c r="Y1776" t="s">
        <v>2683</v>
      </c>
      <c r="AA1776">
        <v>98835860802</v>
      </c>
      <c r="AB1776" t="s">
        <v>1667</v>
      </c>
      <c r="AC1776">
        <v>1</v>
      </c>
      <c r="AD1776">
        <v>3</v>
      </c>
      <c r="AE1776">
        <v>988358608023</v>
      </c>
      <c r="AF1776" t="s">
        <v>6772</v>
      </c>
      <c r="AG1776">
        <v>1</v>
      </c>
      <c r="AH1776">
        <v>1</v>
      </c>
    </row>
    <row r="1777" spans="1:34">
      <c r="A1777">
        <v>2025</v>
      </c>
      <c r="B1777" s="1">
        <v>45931</v>
      </c>
      <c r="C1777" t="s">
        <v>2657</v>
      </c>
      <c r="D1777" s="44" t="s">
        <v>6773</v>
      </c>
      <c r="E1777" s="43">
        <v>45947.85546677083</v>
      </c>
      <c r="F1777" s="1">
        <v>45947</v>
      </c>
      <c r="G1777" s="43">
        <v>45961.621307777779</v>
      </c>
      <c r="H1777" t="s">
        <v>2659</v>
      </c>
      <c r="I1777" t="s">
        <v>2719</v>
      </c>
      <c r="J1777" t="s">
        <v>38</v>
      </c>
      <c r="L1777" t="s">
        <v>2342</v>
      </c>
      <c r="M1777">
        <v>639370275302</v>
      </c>
      <c r="N1777" t="s">
        <v>2702</v>
      </c>
      <c r="O1777" s="1">
        <v>45661</v>
      </c>
      <c r="T1777" t="s">
        <v>2662</v>
      </c>
      <c r="U1777" t="s">
        <v>6774</v>
      </c>
      <c r="V1777">
        <v>10</v>
      </c>
      <c r="W1777" t="s">
        <v>2677</v>
      </c>
      <c r="X1777">
        <v>1</v>
      </c>
      <c r="Y1777" t="s">
        <v>2760</v>
      </c>
      <c r="AA1777">
        <v>639370275302</v>
      </c>
      <c r="AB1777" t="s">
        <v>301</v>
      </c>
      <c r="AC1777">
        <v>0</v>
      </c>
      <c r="AD1777">
        <v>42</v>
      </c>
      <c r="AE1777">
        <v>63937027530242</v>
      </c>
      <c r="AF1777" t="s">
        <v>6775</v>
      </c>
      <c r="AG1777">
        <v>1</v>
      </c>
      <c r="AH1777">
        <v>1</v>
      </c>
    </row>
    <row r="1778" spans="1:34">
      <c r="A1778">
        <v>2026</v>
      </c>
      <c r="B1778" s="1">
        <v>46023</v>
      </c>
      <c r="C1778" t="s">
        <v>2657</v>
      </c>
      <c r="D1778" t="s">
        <v>6776</v>
      </c>
      <c r="E1778" s="43">
        <v>46043.62789520833</v>
      </c>
      <c r="F1778" s="1">
        <v>46043</v>
      </c>
      <c r="G1778" s="43">
        <v>46043.62789520833</v>
      </c>
      <c r="H1778" t="s">
        <v>2701</v>
      </c>
      <c r="I1778" t="s">
        <v>2719</v>
      </c>
      <c r="J1778" t="s">
        <v>38</v>
      </c>
      <c r="L1778" t="s">
        <v>2379</v>
      </c>
      <c r="M1778">
        <v>653060435802</v>
      </c>
      <c r="N1778" t="s">
        <v>2675</v>
      </c>
      <c r="O1778" s="1">
        <v>45294</v>
      </c>
      <c r="T1778" t="s">
        <v>2662</v>
      </c>
      <c r="U1778" t="s">
        <v>6777</v>
      </c>
      <c r="V1778">
        <v>0</v>
      </c>
      <c r="W1778" t="s">
        <v>2664</v>
      </c>
      <c r="X1778">
        <v>1</v>
      </c>
      <c r="Y1778" t="s">
        <v>2695</v>
      </c>
      <c r="AA1778">
        <v>653060435802</v>
      </c>
      <c r="AB1778" t="s">
        <v>851</v>
      </c>
      <c r="AC1778">
        <v>0</v>
      </c>
      <c r="AD1778">
        <v>4</v>
      </c>
      <c r="AE1778">
        <v>6530604358024</v>
      </c>
      <c r="AF1778" t="s">
        <v>6778</v>
      </c>
      <c r="AG1778">
        <v>1</v>
      </c>
      <c r="AH1778">
        <v>1</v>
      </c>
    </row>
    <row r="1779" spans="1:34">
      <c r="A1779">
        <v>2025</v>
      </c>
      <c r="B1779" s="1">
        <v>45992</v>
      </c>
      <c r="C1779" t="s">
        <v>2657</v>
      </c>
      <c r="D1779" t="s">
        <v>6779</v>
      </c>
      <c r="E1779" s="43">
        <v>45993.778902164355</v>
      </c>
      <c r="F1779" s="1">
        <v>45993</v>
      </c>
      <c r="G1779" s="43">
        <v>45994.826106122688</v>
      </c>
      <c r="H1779" t="s">
        <v>2686</v>
      </c>
      <c r="I1779" t="s">
        <v>2669</v>
      </c>
      <c r="J1779" t="s">
        <v>2735</v>
      </c>
      <c r="L1779" t="s">
        <v>2336</v>
      </c>
      <c r="M1779">
        <v>995775060202</v>
      </c>
      <c r="N1779" t="s">
        <v>2702</v>
      </c>
      <c r="O1779" s="1">
        <v>46007</v>
      </c>
      <c r="T1779" t="s">
        <v>2662</v>
      </c>
      <c r="V1779">
        <v>1</v>
      </c>
      <c r="W1779" t="s">
        <v>2671</v>
      </c>
      <c r="X1779">
        <v>1</v>
      </c>
      <c r="Y1779" t="s">
        <v>3237</v>
      </c>
      <c r="AA1779">
        <v>449549597602</v>
      </c>
      <c r="AB1779" t="s">
        <v>1726</v>
      </c>
      <c r="AC1779">
        <v>0</v>
      </c>
      <c r="AD1779">
        <v>49</v>
      </c>
      <c r="AE1779">
        <v>44954959760249</v>
      </c>
      <c r="AF1779" t="s">
        <v>6780</v>
      </c>
      <c r="AG1779">
        <v>0</v>
      </c>
      <c r="AH1779">
        <v>0</v>
      </c>
    </row>
    <row r="1780" spans="1:34">
      <c r="A1780">
        <v>2025</v>
      </c>
      <c r="B1780" s="1">
        <v>45992</v>
      </c>
      <c r="C1780" t="s">
        <v>2657</v>
      </c>
      <c r="D1780" t="s">
        <v>6781</v>
      </c>
      <c r="E1780" s="43">
        <v>45993.768802905091</v>
      </c>
      <c r="F1780" s="1">
        <v>45993</v>
      </c>
      <c r="G1780" s="43">
        <v>45993.860445347222</v>
      </c>
      <c r="H1780" t="s">
        <v>2686</v>
      </c>
      <c r="I1780" t="s">
        <v>2669</v>
      </c>
      <c r="J1780" t="s">
        <v>2735</v>
      </c>
      <c r="L1780" t="s">
        <v>2336</v>
      </c>
      <c r="M1780">
        <v>995775060202</v>
      </c>
      <c r="N1780" t="s">
        <v>2702</v>
      </c>
      <c r="O1780" s="1">
        <v>46007</v>
      </c>
      <c r="T1780" t="s">
        <v>2662</v>
      </c>
      <c r="U1780" t="s">
        <v>6782</v>
      </c>
      <c r="V1780">
        <v>0</v>
      </c>
      <c r="X1780">
        <v>1</v>
      </c>
      <c r="AA1780">
        <v>449549597602</v>
      </c>
      <c r="AB1780" t="s">
        <v>1726</v>
      </c>
      <c r="AC1780">
        <v>0</v>
      </c>
      <c r="AD1780">
        <v>49</v>
      </c>
      <c r="AE1780">
        <v>44954959760249</v>
      </c>
      <c r="AF1780" t="s">
        <v>6780</v>
      </c>
      <c r="AG1780">
        <v>1</v>
      </c>
      <c r="AH1780">
        <v>1</v>
      </c>
    </row>
    <row r="1781" spans="1:34">
      <c r="A1781">
        <v>2025</v>
      </c>
      <c r="B1781" s="1">
        <v>45992</v>
      </c>
      <c r="C1781" t="s">
        <v>2657</v>
      </c>
      <c r="D1781" t="s">
        <v>6783</v>
      </c>
      <c r="E1781" s="43">
        <v>46001.518064004631</v>
      </c>
      <c r="F1781" s="1">
        <v>46001</v>
      </c>
      <c r="G1781" s="43">
        <v>46007.712158541668</v>
      </c>
      <c r="H1781" t="s">
        <v>2686</v>
      </c>
      <c r="I1781" t="s">
        <v>2681</v>
      </c>
      <c r="J1781" t="s">
        <v>2735</v>
      </c>
      <c r="L1781" t="s">
        <v>2336</v>
      </c>
      <c r="M1781">
        <v>449549597602</v>
      </c>
      <c r="N1781" t="s">
        <v>2702</v>
      </c>
      <c r="O1781" s="1">
        <v>45358</v>
      </c>
      <c r="T1781" t="s">
        <v>2662</v>
      </c>
      <c r="U1781" t="s">
        <v>6784</v>
      </c>
      <c r="V1781">
        <v>4</v>
      </c>
      <c r="W1781" t="s">
        <v>2664</v>
      </c>
      <c r="X1781">
        <v>1</v>
      </c>
      <c r="Y1781" t="s">
        <v>2665</v>
      </c>
      <c r="AA1781">
        <v>449549597602</v>
      </c>
      <c r="AB1781" t="s">
        <v>1726</v>
      </c>
      <c r="AC1781">
        <v>0</v>
      </c>
      <c r="AD1781">
        <v>50</v>
      </c>
      <c r="AE1781">
        <v>44954959760250</v>
      </c>
      <c r="AF1781" t="s">
        <v>6780</v>
      </c>
      <c r="AG1781">
        <v>1</v>
      </c>
      <c r="AH1781">
        <v>0</v>
      </c>
    </row>
    <row r="1782" spans="1:34">
      <c r="A1782">
        <v>2025</v>
      </c>
      <c r="B1782" s="1">
        <v>45992</v>
      </c>
      <c r="C1782" t="s">
        <v>2657</v>
      </c>
      <c r="D1782" t="s">
        <v>6785</v>
      </c>
      <c r="E1782" s="43">
        <v>46001.829897222226</v>
      </c>
      <c r="F1782" s="1">
        <v>46001</v>
      </c>
      <c r="G1782" s="43">
        <v>46001.829897222226</v>
      </c>
      <c r="H1782" t="s">
        <v>2686</v>
      </c>
      <c r="I1782" t="s">
        <v>2681</v>
      </c>
      <c r="J1782" t="s">
        <v>2735</v>
      </c>
      <c r="L1782" t="s">
        <v>2336</v>
      </c>
      <c r="M1782">
        <v>449549597602</v>
      </c>
      <c r="N1782" t="s">
        <v>2702</v>
      </c>
      <c r="O1782" s="1">
        <v>45358</v>
      </c>
      <c r="T1782" t="s">
        <v>2662</v>
      </c>
      <c r="U1782" t="s">
        <v>6786</v>
      </c>
      <c r="V1782">
        <v>0</v>
      </c>
      <c r="W1782" t="s">
        <v>2704</v>
      </c>
      <c r="X1782">
        <v>1</v>
      </c>
      <c r="Y1782" t="s">
        <v>2695</v>
      </c>
      <c r="AA1782">
        <v>449549597602</v>
      </c>
      <c r="AB1782" t="s">
        <v>1726</v>
      </c>
      <c r="AC1782">
        <v>0</v>
      </c>
      <c r="AD1782">
        <v>50</v>
      </c>
      <c r="AE1782">
        <v>44954959760250</v>
      </c>
      <c r="AF1782" t="s">
        <v>6780</v>
      </c>
      <c r="AG1782">
        <v>0</v>
      </c>
      <c r="AH1782">
        <v>0</v>
      </c>
    </row>
    <row r="1783" spans="1:34">
      <c r="A1783">
        <v>2025</v>
      </c>
      <c r="B1783" s="1">
        <v>45992</v>
      </c>
      <c r="C1783" t="s">
        <v>2657</v>
      </c>
      <c r="D1783" t="s">
        <v>6787</v>
      </c>
      <c r="E1783" s="43">
        <v>46003.501780069448</v>
      </c>
      <c r="F1783" s="1">
        <v>46003</v>
      </c>
      <c r="G1783" s="43">
        <v>46003.501780069448</v>
      </c>
      <c r="H1783" t="s">
        <v>2686</v>
      </c>
      <c r="I1783" t="s">
        <v>2681</v>
      </c>
      <c r="J1783" t="s">
        <v>2735</v>
      </c>
      <c r="L1783" t="s">
        <v>2336</v>
      </c>
      <c r="M1783">
        <v>995775060202</v>
      </c>
      <c r="N1783" t="s">
        <v>2702</v>
      </c>
      <c r="O1783" s="1">
        <v>46007</v>
      </c>
      <c r="T1783" t="s">
        <v>2662</v>
      </c>
      <c r="U1783" t="s">
        <v>6788</v>
      </c>
      <c r="V1783">
        <v>0</v>
      </c>
      <c r="W1783" t="s">
        <v>2671</v>
      </c>
      <c r="X1783">
        <v>1</v>
      </c>
      <c r="Y1783" t="s">
        <v>2695</v>
      </c>
      <c r="AA1783">
        <v>449549597602</v>
      </c>
      <c r="AB1783" t="s">
        <v>1726</v>
      </c>
      <c r="AC1783">
        <v>0</v>
      </c>
      <c r="AD1783">
        <v>50</v>
      </c>
      <c r="AE1783">
        <v>44954959760250</v>
      </c>
      <c r="AF1783" t="s">
        <v>6780</v>
      </c>
      <c r="AG1783">
        <v>0</v>
      </c>
      <c r="AH1783">
        <v>0</v>
      </c>
    </row>
    <row r="1784" spans="1:34">
      <c r="A1784">
        <v>2025</v>
      </c>
      <c r="B1784" s="1">
        <v>45992</v>
      </c>
      <c r="C1784" t="s">
        <v>2657</v>
      </c>
      <c r="D1784" s="44" t="s">
        <v>6789</v>
      </c>
      <c r="E1784" s="43">
        <v>46006.761880706021</v>
      </c>
      <c r="F1784" s="1">
        <v>46006</v>
      </c>
      <c r="G1784" s="43">
        <v>46007.727962685189</v>
      </c>
      <c r="H1784" t="s">
        <v>2686</v>
      </c>
      <c r="I1784" t="s">
        <v>2719</v>
      </c>
      <c r="J1784" t="s">
        <v>2735</v>
      </c>
      <c r="L1784" t="s">
        <v>2336</v>
      </c>
      <c r="M1784">
        <v>995775060202</v>
      </c>
      <c r="N1784" t="s">
        <v>2702</v>
      </c>
      <c r="O1784" s="1">
        <v>46007</v>
      </c>
      <c r="T1784" t="s">
        <v>2662</v>
      </c>
      <c r="U1784" t="s">
        <v>6790</v>
      </c>
      <c r="V1784">
        <v>1</v>
      </c>
      <c r="W1784" t="s">
        <v>2671</v>
      </c>
      <c r="X1784">
        <v>1</v>
      </c>
      <c r="Y1784" t="s">
        <v>2692</v>
      </c>
      <c r="Z1784" t="s">
        <v>2834</v>
      </c>
      <c r="AA1784">
        <v>449549597602</v>
      </c>
      <c r="AB1784" t="s">
        <v>1726</v>
      </c>
      <c r="AC1784">
        <v>0</v>
      </c>
      <c r="AD1784">
        <v>51</v>
      </c>
      <c r="AE1784">
        <v>44954959760251</v>
      </c>
      <c r="AF1784" t="s">
        <v>6780</v>
      </c>
      <c r="AG1784">
        <v>1</v>
      </c>
      <c r="AH1784">
        <v>0</v>
      </c>
    </row>
    <row r="1785" spans="1:34">
      <c r="A1785">
        <v>2025</v>
      </c>
      <c r="B1785" s="1">
        <v>45992</v>
      </c>
      <c r="C1785" t="s">
        <v>2657</v>
      </c>
      <c r="D1785" t="s">
        <v>6791</v>
      </c>
      <c r="E1785" s="43">
        <v>46013.510173402778</v>
      </c>
      <c r="F1785" s="1">
        <v>46013</v>
      </c>
      <c r="G1785" s="43">
        <v>46013.510173402778</v>
      </c>
      <c r="H1785" t="s">
        <v>2686</v>
      </c>
      <c r="I1785" t="s">
        <v>2660</v>
      </c>
      <c r="J1785" t="s">
        <v>2735</v>
      </c>
      <c r="L1785" t="s">
        <v>2336</v>
      </c>
      <c r="M1785">
        <v>449549597602</v>
      </c>
      <c r="N1785" t="s">
        <v>2702</v>
      </c>
      <c r="O1785" s="1">
        <v>45358</v>
      </c>
      <c r="T1785" t="s">
        <v>2662</v>
      </c>
      <c r="U1785" t="s">
        <v>6792</v>
      </c>
      <c r="V1785">
        <v>0</v>
      </c>
      <c r="W1785" t="s">
        <v>2664</v>
      </c>
      <c r="X1785">
        <v>1</v>
      </c>
      <c r="Y1785" t="s">
        <v>2695</v>
      </c>
      <c r="AA1785">
        <v>449549597602</v>
      </c>
      <c r="AB1785" t="s">
        <v>1726</v>
      </c>
      <c r="AC1785">
        <v>0</v>
      </c>
      <c r="AD1785">
        <v>52</v>
      </c>
      <c r="AE1785">
        <v>44954959760252</v>
      </c>
      <c r="AF1785" t="s">
        <v>6780</v>
      </c>
      <c r="AG1785">
        <v>1</v>
      </c>
      <c r="AH1785">
        <v>0</v>
      </c>
    </row>
    <row r="1786" spans="1:34">
      <c r="A1786">
        <v>2025</v>
      </c>
      <c r="B1786" s="1">
        <v>45870</v>
      </c>
      <c r="C1786" t="s">
        <v>2657</v>
      </c>
      <c r="D1786" t="s">
        <v>6793</v>
      </c>
      <c r="E1786" s="43">
        <v>45881.746939293982</v>
      </c>
      <c r="F1786" s="1">
        <v>45881</v>
      </c>
      <c r="G1786" s="43">
        <v>45895.848750196761</v>
      </c>
      <c r="H1786" t="s">
        <v>3088</v>
      </c>
      <c r="I1786" t="s">
        <v>2681</v>
      </c>
      <c r="J1786" t="s">
        <v>38</v>
      </c>
      <c r="L1786" t="s">
        <v>2342</v>
      </c>
      <c r="M1786">
        <v>148943295802</v>
      </c>
      <c r="N1786" t="s">
        <v>2702</v>
      </c>
      <c r="O1786" s="1">
        <v>44935</v>
      </c>
      <c r="T1786" t="s">
        <v>2662</v>
      </c>
      <c r="U1786" t="s">
        <v>6794</v>
      </c>
      <c r="V1786">
        <v>10</v>
      </c>
      <c r="W1786" t="s">
        <v>2704</v>
      </c>
      <c r="X1786">
        <v>1</v>
      </c>
      <c r="Y1786" t="s">
        <v>2764</v>
      </c>
      <c r="AA1786">
        <v>148943295802</v>
      </c>
      <c r="AB1786" t="s">
        <v>6795</v>
      </c>
      <c r="AC1786">
        <v>1</v>
      </c>
      <c r="AD1786">
        <v>33</v>
      </c>
      <c r="AE1786">
        <v>14894329580233</v>
      </c>
      <c r="AF1786" t="s">
        <v>6796</v>
      </c>
      <c r="AG1786">
        <v>1</v>
      </c>
      <c r="AH1786">
        <v>1</v>
      </c>
    </row>
    <row r="1787" spans="1:34">
      <c r="A1787">
        <v>2026</v>
      </c>
      <c r="B1787" s="1">
        <v>46023</v>
      </c>
      <c r="C1787" t="s">
        <v>2657</v>
      </c>
      <c r="D1787" t="s">
        <v>6797</v>
      </c>
      <c r="E1787" s="43">
        <v>46029.487325011571</v>
      </c>
      <c r="F1787" s="1">
        <v>46029</v>
      </c>
      <c r="G1787" s="43">
        <v>46030.631657430553</v>
      </c>
      <c r="H1787" t="s">
        <v>2701</v>
      </c>
      <c r="I1787" t="s">
        <v>2669</v>
      </c>
      <c r="J1787" t="s">
        <v>39</v>
      </c>
      <c r="L1787" t="s">
        <v>2336</v>
      </c>
      <c r="M1787">
        <v>1041281178802</v>
      </c>
      <c r="N1787" t="s">
        <v>2746</v>
      </c>
      <c r="O1787" s="1">
        <v>45937</v>
      </c>
      <c r="T1787" t="s">
        <v>2662</v>
      </c>
      <c r="U1787" t="s">
        <v>6798</v>
      </c>
      <c r="V1787">
        <v>1</v>
      </c>
      <c r="W1787" t="s">
        <v>2677</v>
      </c>
      <c r="X1787">
        <v>1</v>
      </c>
      <c r="Y1787" t="s">
        <v>2772</v>
      </c>
      <c r="AA1787">
        <v>1041281178802</v>
      </c>
      <c r="AB1787" t="s">
        <v>726</v>
      </c>
      <c r="AC1787">
        <v>0</v>
      </c>
      <c r="AD1787">
        <v>2</v>
      </c>
      <c r="AE1787">
        <v>10412811788022</v>
      </c>
      <c r="AF1787" t="s">
        <v>6799</v>
      </c>
      <c r="AG1787">
        <v>1</v>
      </c>
      <c r="AH1787">
        <v>1</v>
      </c>
    </row>
    <row r="1788" spans="1:34">
      <c r="A1788">
        <v>2026</v>
      </c>
      <c r="B1788" s="1">
        <v>46023</v>
      </c>
      <c r="C1788" t="s">
        <v>2657</v>
      </c>
      <c r="D1788" t="s">
        <v>6800</v>
      </c>
      <c r="E1788" s="43">
        <v>46029.657540219909</v>
      </c>
      <c r="F1788" s="1">
        <v>46029</v>
      </c>
      <c r="G1788" s="43">
        <v>46031.549855648147</v>
      </c>
      <c r="H1788" t="s">
        <v>2701</v>
      </c>
      <c r="I1788" t="s">
        <v>2669</v>
      </c>
      <c r="J1788" t="s">
        <v>39</v>
      </c>
      <c r="L1788" t="s">
        <v>2336</v>
      </c>
      <c r="M1788">
        <v>1041281178802</v>
      </c>
      <c r="N1788" t="s">
        <v>2746</v>
      </c>
      <c r="O1788" s="1">
        <v>45937</v>
      </c>
      <c r="T1788" t="s">
        <v>2662</v>
      </c>
      <c r="U1788" t="s">
        <v>6801</v>
      </c>
      <c r="V1788">
        <v>2</v>
      </c>
      <c r="W1788" t="s">
        <v>2671</v>
      </c>
      <c r="X1788">
        <v>1</v>
      </c>
      <c r="Y1788" t="s">
        <v>2683</v>
      </c>
      <c r="AA1788">
        <v>1041281178802</v>
      </c>
      <c r="AB1788" t="s">
        <v>726</v>
      </c>
      <c r="AC1788">
        <v>0</v>
      </c>
      <c r="AD1788">
        <v>2</v>
      </c>
      <c r="AE1788">
        <v>10412811788022</v>
      </c>
      <c r="AF1788" t="s">
        <v>6799</v>
      </c>
      <c r="AG1788">
        <v>0</v>
      </c>
      <c r="AH1788">
        <v>0</v>
      </c>
    </row>
    <row r="1789" spans="1:34">
      <c r="A1789">
        <v>2026</v>
      </c>
      <c r="B1789" s="1">
        <v>46023</v>
      </c>
      <c r="C1789" t="s">
        <v>2657</v>
      </c>
      <c r="D1789" t="s">
        <v>6802</v>
      </c>
      <c r="E1789" s="43">
        <v>46030.822231655089</v>
      </c>
      <c r="F1789" s="1">
        <v>46030</v>
      </c>
      <c r="G1789" s="43">
        <v>46031.549179629626</v>
      </c>
      <c r="H1789" t="s">
        <v>2701</v>
      </c>
      <c r="I1789" t="s">
        <v>2681</v>
      </c>
      <c r="J1789" t="s">
        <v>39</v>
      </c>
      <c r="L1789" t="s">
        <v>2336</v>
      </c>
      <c r="M1789">
        <v>1041281178802</v>
      </c>
      <c r="N1789" t="s">
        <v>2746</v>
      </c>
      <c r="O1789" s="1">
        <v>45937</v>
      </c>
      <c r="T1789" t="s">
        <v>2662</v>
      </c>
      <c r="U1789" t="s">
        <v>6803</v>
      </c>
      <c r="V1789">
        <v>1</v>
      </c>
      <c r="W1789" t="s">
        <v>2677</v>
      </c>
      <c r="X1789">
        <v>1</v>
      </c>
      <c r="Y1789" t="s">
        <v>2779</v>
      </c>
      <c r="AA1789">
        <v>1041281178802</v>
      </c>
      <c r="AB1789" t="s">
        <v>726</v>
      </c>
      <c r="AC1789">
        <v>0</v>
      </c>
      <c r="AD1789">
        <v>2</v>
      </c>
      <c r="AE1789">
        <v>10412811788022</v>
      </c>
      <c r="AF1789" t="s">
        <v>6799</v>
      </c>
      <c r="AG1789">
        <v>0</v>
      </c>
      <c r="AH1789">
        <v>0</v>
      </c>
    </row>
    <row r="1790" spans="1:34">
      <c r="A1790">
        <v>2026</v>
      </c>
      <c r="B1790" s="1">
        <v>46023</v>
      </c>
      <c r="C1790" t="s">
        <v>2657</v>
      </c>
      <c r="D1790" t="s">
        <v>6804</v>
      </c>
      <c r="E1790" s="43">
        <v>46035.630639097224</v>
      </c>
      <c r="F1790" s="1">
        <v>46035</v>
      </c>
      <c r="G1790" s="43">
        <v>46070.860190844905</v>
      </c>
      <c r="H1790" t="s">
        <v>2701</v>
      </c>
      <c r="I1790" t="s">
        <v>2681</v>
      </c>
      <c r="J1790" t="s">
        <v>39</v>
      </c>
      <c r="L1790" t="s">
        <v>2336</v>
      </c>
      <c r="M1790">
        <v>1106270355002</v>
      </c>
      <c r="N1790" t="s">
        <v>2746</v>
      </c>
      <c r="O1790" s="1">
        <v>45937</v>
      </c>
      <c r="T1790" t="s">
        <v>2662</v>
      </c>
      <c r="U1790" t="s">
        <v>6805</v>
      </c>
      <c r="V1790">
        <v>25</v>
      </c>
      <c r="W1790" t="s">
        <v>2677</v>
      </c>
      <c r="X1790">
        <v>1</v>
      </c>
      <c r="Y1790" t="s">
        <v>2767</v>
      </c>
      <c r="AA1790">
        <v>1041281178802</v>
      </c>
      <c r="AB1790" t="s">
        <v>726</v>
      </c>
      <c r="AC1790">
        <v>0</v>
      </c>
      <c r="AD1790">
        <v>3</v>
      </c>
      <c r="AE1790">
        <v>10412811788023</v>
      </c>
      <c r="AF1790" t="s">
        <v>6799</v>
      </c>
      <c r="AG1790">
        <v>0</v>
      </c>
      <c r="AH1790">
        <v>0</v>
      </c>
    </row>
    <row r="1791" spans="1:34">
      <c r="A1791">
        <v>2026</v>
      </c>
      <c r="B1791" s="1">
        <v>46023</v>
      </c>
      <c r="C1791" t="s">
        <v>2657</v>
      </c>
      <c r="D1791" t="s">
        <v>6806</v>
      </c>
      <c r="E1791" s="43">
        <v>46034.737836782406</v>
      </c>
      <c r="F1791" s="1">
        <v>46034</v>
      </c>
      <c r="G1791" s="43">
        <v>46037.813746284723</v>
      </c>
      <c r="H1791" t="s">
        <v>2701</v>
      </c>
      <c r="I1791" t="s">
        <v>2681</v>
      </c>
      <c r="J1791" t="s">
        <v>39</v>
      </c>
      <c r="L1791" t="s">
        <v>2336</v>
      </c>
      <c r="M1791">
        <v>1041281178802</v>
      </c>
      <c r="N1791" t="s">
        <v>2746</v>
      </c>
      <c r="O1791" s="1">
        <v>45937</v>
      </c>
      <c r="T1791" t="s">
        <v>2662</v>
      </c>
      <c r="U1791" t="s">
        <v>6807</v>
      </c>
      <c r="V1791">
        <v>3</v>
      </c>
      <c r="W1791" t="s">
        <v>2677</v>
      </c>
      <c r="X1791">
        <v>1</v>
      </c>
      <c r="Y1791" t="s">
        <v>2760</v>
      </c>
      <c r="AA1791">
        <v>1041281178802</v>
      </c>
      <c r="AB1791" t="s">
        <v>726</v>
      </c>
      <c r="AC1791">
        <v>0</v>
      </c>
      <c r="AD1791">
        <v>3</v>
      </c>
      <c r="AE1791">
        <v>10412811788023</v>
      </c>
      <c r="AF1791" t="s">
        <v>6799</v>
      </c>
      <c r="AG1791">
        <v>1</v>
      </c>
      <c r="AH1791">
        <v>0</v>
      </c>
    </row>
    <row r="1792" spans="1:34">
      <c r="A1792">
        <v>2026</v>
      </c>
      <c r="B1792" s="1">
        <v>46023</v>
      </c>
      <c r="C1792" t="s">
        <v>2657</v>
      </c>
      <c r="D1792" t="s">
        <v>6808</v>
      </c>
      <c r="E1792" s="43">
        <v>46037.555529791665</v>
      </c>
      <c r="F1792" s="1">
        <v>46037</v>
      </c>
      <c r="G1792" s="43">
        <v>46038.801484039352</v>
      </c>
      <c r="H1792" t="s">
        <v>2701</v>
      </c>
      <c r="I1792" t="s">
        <v>2719</v>
      </c>
      <c r="J1792" t="s">
        <v>39</v>
      </c>
      <c r="L1792" t="s">
        <v>2336</v>
      </c>
      <c r="M1792">
        <v>1041281178802</v>
      </c>
      <c r="N1792" t="s">
        <v>2746</v>
      </c>
      <c r="O1792" s="1">
        <v>45937</v>
      </c>
      <c r="T1792" t="s">
        <v>2662</v>
      </c>
      <c r="U1792" t="s">
        <v>6809</v>
      </c>
      <c r="V1792">
        <v>1</v>
      </c>
      <c r="W1792" t="s">
        <v>2671</v>
      </c>
      <c r="X1792">
        <v>1</v>
      </c>
      <c r="Y1792" t="s">
        <v>2683</v>
      </c>
      <c r="AA1792">
        <v>1041281178802</v>
      </c>
      <c r="AB1792" t="s">
        <v>726</v>
      </c>
      <c r="AC1792">
        <v>0</v>
      </c>
      <c r="AD1792">
        <v>3</v>
      </c>
      <c r="AE1792">
        <v>10412811788023</v>
      </c>
      <c r="AF1792" t="s">
        <v>6799</v>
      </c>
      <c r="AG1792">
        <v>0</v>
      </c>
      <c r="AH1792">
        <v>0</v>
      </c>
    </row>
    <row r="1793" spans="1:34">
      <c r="A1793">
        <v>2026</v>
      </c>
      <c r="B1793" s="1">
        <v>46023</v>
      </c>
      <c r="C1793" t="s">
        <v>2657</v>
      </c>
      <c r="D1793" t="s">
        <v>6810</v>
      </c>
      <c r="E1793" s="43">
        <v>46045.646057800928</v>
      </c>
      <c r="F1793" s="1">
        <v>46045</v>
      </c>
      <c r="G1793" s="43">
        <v>46048.509374976849</v>
      </c>
      <c r="H1793" t="s">
        <v>2701</v>
      </c>
      <c r="I1793" t="s">
        <v>2660</v>
      </c>
      <c r="J1793" t="s">
        <v>39</v>
      </c>
      <c r="L1793" t="s">
        <v>2336</v>
      </c>
      <c r="M1793">
        <v>14279576402</v>
      </c>
      <c r="N1793" t="s">
        <v>2702</v>
      </c>
      <c r="O1793" s="1">
        <v>45294</v>
      </c>
      <c r="T1793" t="s">
        <v>2662</v>
      </c>
      <c r="U1793" t="s">
        <v>6811</v>
      </c>
      <c r="V1793">
        <v>1</v>
      </c>
      <c r="W1793" t="s">
        <v>2677</v>
      </c>
      <c r="X1793">
        <v>1</v>
      </c>
      <c r="Y1793" t="s">
        <v>2760</v>
      </c>
      <c r="AA1793">
        <v>1041281178802</v>
      </c>
      <c r="AB1793" t="s">
        <v>726</v>
      </c>
      <c r="AC1793">
        <v>0</v>
      </c>
      <c r="AD1793">
        <v>4</v>
      </c>
      <c r="AE1793">
        <v>10412811788024</v>
      </c>
      <c r="AF1793" t="s">
        <v>6799</v>
      </c>
      <c r="AG1793">
        <v>1</v>
      </c>
      <c r="AH1793">
        <v>0</v>
      </c>
    </row>
    <row r="1794" spans="1:34">
      <c r="A1794">
        <v>2026</v>
      </c>
      <c r="B1794" s="1">
        <v>46023</v>
      </c>
      <c r="C1794" t="s">
        <v>2657</v>
      </c>
      <c r="D1794" t="s">
        <v>6812</v>
      </c>
      <c r="E1794" s="43">
        <v>46037.700271979164</v>
      </c>
      <c r="F1794" s="1">
        <v>46037</v>
      </c>
      <c r="G1794" s="43">
        <v>46038.643593796296</v>
      </c>
      <c r="H1794" t="s">
        <v>2701</v>
      </c>
      <c r="I1794" t="s">
        <v>2719</v>
      </c>
      <c r="J1794" t="s">
        <v>36</v>
      </c>
      <c r="L1794" t="s">
        <v>2472</v>
      </c>
      <c r="M1794">
        <v>500513845602</v>
      </c>
      <c r="N1794" t="s">
        <v>2702</v>
      </c>
      <c r="O1794" s="1">
        <v>46021</v>
      </c>
      <c r="T1794" t="s">
        <v>2662</v>
      </c>
      <c r="U1794" t="s">
        <v>6813</v>
      </c>
      <c r="V1794">
        <v>1</v>
      </c>
      <c r="W1794" t="s">
        <v>2704</v>
      </c>
      <c r="X1794">
        <v>1</v>
      </c>
      <c r="Y1794" t="s">
        <v>2721</v>
      </c>
      <c r="AA1794">
        <v>500513845602</v>
      </c>
      <c r="AB1794" t="s">
        <v>2559</v>
      </c>
      <c r="AC1794">
        <v>0</v>
      </c>
      <c r="AD1794">
        <v>3</v>
      </c>
      <c r="AE1794">
        <v>5005138456023</v>
      </c>
      <c r="AF1794" t="s">
        <v>6814</v>
      </c>
      <c r="AG1794">
        <v>1</v>
      </c>
      <c r="AH1794">
        <v>1</v>
      </c>
    </row>
    <row r="1795" spans="1:34">
      <c r="A1795">
        <v>2026</v>
      </c>
      <c r="B1795" s="1">
        <v>46023</v>
      </c>
      <c r="C1795" t="s">
        <v>2657</v>
      </c>
      <c r="D1795" t="s">
        <v>6815</v>
      </c>
      <c r="E1795" s="43">
        <v>46038.672214560182</v>
      </c>
      <c r="F1795" s="1">
        <v>46038</v>
      </c>
      <c r="G1795" s="43">
        <v>46043.901960185183</v>
      </c>
      <c r="H1795" t="s">
        <v>2701</v>
      </c>
      <c r="I1795" t="s">
        <v>2719</v>
      </c>
      <c r="J1795" t="s">
        <v>36</v>
      </c>
      <c r="L1795" t="s">
        <v>2472</v>
      </c>
      <c r="M1795">
        <v>500513845602</v>
      </c>
      <c r="N1795" t="s">
        <v>2702</v>
      </c>
      <c r="O1795" s="1">
        <v>46021</v>
      </c>
      <c r="T1795" t="s">
        <v>2662</v>
      </c>
      <c r="U1795" t="s">
        <v>6816</v>
      </c>
      <c r="V1795">
        <v>3</v>
      </c>
      <c r="W1795" t="s">
        <v>2704</v>
      </c>
      <c r="X1795">
        <v>1</v>
      </c>
      <c r="Y1795" t="s">
        <v>2710</v>
      </c>
      <c r="AA1795">
        <v>500513845602</v>
      </c>
      <c r="AB1795" t="s">
        <v>2559</v>
      </c>
      <c r="AC1795">
        <v>0</v>
      </c>
      <c r="AD1795">
        <v>3</v>
      </c>
      <c r="AE1795">
        <v>5005138456023</v>
      </c>
      <c r="AF1795" t="s">
        <v>6814</v>
      </c>
      <c r="AG1795">
        <v>0</v>
      </c>
      <c r="AH1795">
        <v>0</v>
      </c>
    </row>
    <row r="1796" spans="1:34">
      <c r="A1796">
        <v>2026</v>
      </c>
      <c r="B1796" s="1">
        <v>46023</v>
      </c>
      <c r="C1796" t="s">
        <v>2657</v>
      </c>
      <c r="D1796" t="s">
        <v>6817</v>
      </c>
      <c r="E1796" s="43">
        <v>46037.811001921298</v>
      </c>
      <c r="F1796" s="1">
        <v>46037</v>
      </c>
      <c r="G1796" s="43">
        <v>46041.533957233798</v>
      </c>
      <c r="H1796" t="s">
        <v>2701</v>
      </c>
      <c r="I1796" t="s">
        <v>2719</v>
      </c>
      <c r="J1796" t="s">
        <v>36</v>
      </c>
      <c r="L1796" t="s">
        <v>2472</v>
      </c>
      <c r="M1796">
        <v>500513845602</v>
      </c>
      <c r="N1796" t="s">
        <v>2702</v>
      </c>
      <c r="O1796" s="1">
        <v>46021</v>
      </c>
      <c r="T1796" t="s">
        <v>2662</v>
      </c>
      <c r="U1796" t="s">
        <v>6818</v>
      </c>
      <c r="V1796">
        <v>2</v>
      </c>
      <c r="W1796" t="s">
        <v>2704</v>
      </c>
      <c r="X1796">
        <v>1</v>
      </c>
      <c r="Y1796" t="s">
        <v>2710</v>
      </c>
      <c r="AA1796">
        <v>500513845602</v>
      </c>
      <c r="AB1796" t="s">
        <v>2559</v>
      </c>
      <c r="AC1796">
        <v>0</v>
      </c>
      <c r="AD1796">
        <v>3</v>
      </c>
      <c r="AE1796">
        <v>5005138456023</v>
      </c>
      <c r="AF1796" t="s">
        <v>6814</v>
      </c>
      <c r="AG1796">
        <v>0</v>
      </c>
      <c r="AH1796">
        <v>0</v>
      </c>
    </row>
    <row r="1797" spans="1:34">
      <c r="A1797">
        <v>2026</v>
      </c>
      <c r="B1797" s="1">
        <v>46023</v>
      </c>
      <c r="C1797" t="s">
        <v>2657</v>
      </c>
      <c r="D1797" t="s">
        <v>6819</v>
      </c>
      <c r="E1797" s="43">
        <v>46037.704824641201</v>
      </c>
      <c r="F1797" s="1">
        <v>46037</v>
      </c>
      <c r="G1797" s="43">
        <v>46041.534060416663</v>
      </c>
      <c r="H1797" t="s">
        <v>2701</v>
      </c>
      <c r="I1797" t="s">
        <v>2719</v>
      </c>
      <c r="J1797" t="s">
        <v>36</v>
      </c>
      <c r="L1797" t="s">
        <v>2472</v>
      </c>
      <c r="M1797">
        <v>500513845602</v>
      </c>
      <c r="N1797" t="s">
        <v>2702</v>
      </c>
      <c r="O1797" s="1">
        <v>46021</v>
      </c>
      <c r="T1797" t="s">
        <v>2662</v>
      </c>
      <c r="U1797" t="s">
        <v>6820</v>
      </c>
      <c r="V1797">
        <v>2</v>
      </c>
      <c r="W1797" t="s">
        <v>2704</v>
      </c>
      <c r="X1797">
        <v>1</v>
      </c>
      <c r="Y1797" t="s">
        <v>2710</v>
      </c>
      <c r="AA1797">
        <v>500513845602</v>
      </c>
      <c r="AB1797" t="s">
        <v>2559</v>
      </c>
      <c r="AC1797">
        <v>0</v>
      </c>
      <c r="AD1797">
        <v>3</v>
      </c>
      <c r="AE1797">
        <v>5005138456023</v>
      </c>
      <c r="AF1797" t="s">
        <v>6814</v>
      </c>
      <c r="AG1797">
        <v>0</v>
      </c>
      <c r="AH1797">
        <v>0</v>
      </c>
    </row>
    <row r="1798" spans="1:34">
      <c r="A1798">
        <v>2026</v>
      </c>
      <c r="B1798" s="1">
        <v>46023</v>
      </c>
      <c r="C1798" t="s">
        <v>2657</v>
      </c>
      <c r="D1798" t="s">
        <v>6821</v>
      </c>
      <c r="E1798" s="43">
        <v>46037.732494861113</v>
      </c>
      <c r="F1798" s="1">
        <v>46037</v>
      </c>
      <c r="G1798" s="43">
        <v>46038.6444628588</v>
      </c>
      <c r="H1798" t="s">
        <v>2701</v>
      </c>
      <c r="I1798" t="s">
        <v>2719</v>
      </c>
      <c r="J1798" t="s">
        <v>36</v>
      </c>
      <c r="L1798" t="s">
        <v>2472</v>
      </c>
      <c r="M1798">
        <v>500513845602</v>
      </c>
      <c r="N1798" t="s">
        <v>2702</v>
      </c>
      <c r="O1798" s="1">
        <v>46021</v>
      </c>
      <c r="T1798" t="s">
        <v>2662</v>
      </c>
      <c r="U1798" t="s">
        <v>6822</v>
      </c>
      <c r="V1798">
        <v>1</v>
      </c>
      <c r="W1798" t="s">
        <v>2704</v>
      </c>
      <c r="X1798">
        <v>1</v>
      </c>
      <c r="Y1798" t="s">
        <v>2710</v>
      </c>
      <c r="AA1798">
        <v>500513845602</v>
      </c>
      <c r="AB1798" t="s">
        <v>2559</v>
      </c>
      <c r="AC1798">
        <v>0</v>
      </c>
      <c r="AD1798">
        <v>3</v>
      </c>
      <c r="AE1798">
        <v>5005138456023</v>
      </c>
      <c r="AF1798" t="s">
        <v>6814</v>
      </c>
      <c r="AG1798">
        <v>0</v>
      </c>
      <c r="AH1798">
        <v>0</v>
      </c>
    </row>
    <row r="1799" spans="1:34">
      <c r="A1799">
        <v>2026</v>
      </c>
      <c r="B1799" s="1">
        <v>46054</v>
      </c>
      <c r="C1799" t="s">
        <v>2657</v>
      </c>
      <c r="D1799" t="s">
        <v>6823</v>
      </c>
      <c r="E1799" s="43">
        <v>46058.903130335646</v>
      </c>
      <c r="F1799" s="1">
        <v>46058</v>
      </c>
      <c r="G1799" s="43">
        <v>46066.838222534723</v>
      </c>
      <c r="H1799" t="s">
        <v>2725</v>
      </c>
      <c r="I1799" t="s">
        <v>2669</v>
      </c>
      <c r="J1799" t="s">
        <v>36</v>
      </c>
      <c r="L1799" t="s">
        <v>2355</v>
      </c>
      <c r="M1799">
        <v>241419664602</v>
      </c>
      <c r="N1799" t="s">
        <v>2702</v>
      </c>
      <c r="O1799" s="1">
        <v>45503</v>
      </c>
      <c r="T1799" t="s">
        <v>2662</v>
      </c>
      <c r="U1799" t="s">
        <v>6824</v>
      </c>
      <c r="V1799">
        <v>6</v>
      </c>
      <c r="W1799" t="s">
        <v>2664</v>
      </c>
      <c r="X1799">
        <v>1</v>
      </c>
      <c r="Y1799" t="s">
        <v>2672</v>
      </c>
      <c r="AA1799">
        <v>241419664602</v>
      </c>
      <c r="AB1799" t="s">
        <v>628</v>
      </c>
      <c r="AC1799">
        <v>1</v>
      </c>
      <c r="AD1799">
        <v>6</v>
      </c>
      <c r="AE1799">
        <v>2414196646026</v>
      </c>
      <c r="AF1799" t="s">
        <v>6825</v>
      </c>
      <c r="AG1799">
        <v>1</v>
      </c>
      <c r="AH1799">
        <v>1</v>
      </c>
    </row>
    <row r="1800" spans="1:34">
      <c r="A1800">
        <v>2025</v>
      </c>
      <c r="B1800" s="1">
        <v>45870</v>
      </c>
      <c r="C1800" t="s">
        <v>2657</v>
      </c>
      <c r="D1800" t="s">
        <v>6826</v>
      </c>
      <c r="E1800" s="43">
        <v>45883.754098090278</v>
      </c>
      <c r="F1800" s="1">
        <v>45883</v>
      </c>
      <c r="G1800" s="43">
        <v>45888.60209778935</v>
      </c>
      <c r="H1800" t="s">
        <v>3088</v>
      </c>
      <c r="I1800" t="s">
        <v>2681</v>
      </c>
      <c r="J1800" t="s">
        <v>38</v>
      </c>
      <c r="L1800" t="s">
        <v>2379</v>
      </c>
      <c r="M1800">
        <v>627010921602</v>
      </c>
      <c r="N1800" t="s">
        <v>2675</v>
      </c>
      <c r="O1800" s="1">
        <v>45503</v>
      </c>
      <c r="T1800" t="s">
        <v>2662</v>
      </c>
      <c r="U1800" t="s">
        <v>6827</v>
      </c>
      <c r="V1800">
        <v>3</v>
      </c>
      <c r="W1800" t="s">
        <v>2704</v>
      </c>
      <c r="X1800">
        <v>1</v>
      </c>
      <c r="Y1800" t="s">
        <v>2672</v>
      </c>
      <c r="AA1800">
        <v>627010921602</v>
      </c>
      <c r="AB1800" t="s">
        <v>1204</v>
      </c>
      <c r="AC1800">
        <v>0</v>
      </c>
      <c r="AD1800">
        <v>33</v>
      </c>
      <c r="AE1800">
        <v>62701092160233</v>
      </c>
      <c r="AF1800" t="s">
        <v>6828</v>
      </c>
      <c r="AG1800">
        <v>1</v>
      </c>
      <c r="AH1800">
        <v>1</v>
      </c>
    </row>
    <row r="1801" spans="1:34">
      <c r="A1801">
        <v>2025</v>
      </c>
      <c r="B1801" s="1">
        <v>45870</v>
      </c>
      <c r="C1801" t="s">
        <v>2657</v>
      </c>
      <c r="D1801" t="s">
        <v>6829</v>
      </c>
      <c r="E1801" s="43">
        <v>45890.773601956018</v>
      </c>
      <c r="F1801" s="1">
        <v>45890</v>
      </c>
      <c r="G1801" s="43">
        <v>45894.580962962966</v>
      </c>
      <c r="H1801" t="s">
        <v>3088</v>
      </c>
      <c r="I1801" t="s">
        <v>2719</v>
      </c>
      <c r="J1801" t="s">
        <v>38</v>
      </c>
      <c r="L1801" t="s">
        <v>2379</v>
      </c>
      <c r="M1801">
        <v>627010921602</v>
      </c>
      <c r="N1801" t="s">
        <v>2675</v>
      </c>
      <c r="O1801" s="1">
        <v>45503</v>
      </c>
      <c r="T1801" t="s">
        <v>2662</v>
      </c>
      <c r="U1801" t="s">
        <v>6830</v>
      </c>
      <c r="V1801">
        <v>2</v>
      </c>
      <c r="W1801" t="s">
        <v>2671</v>
      </c>
      <c r="X1801">
        <v>1</v>
      </c>
      <c r="Y1801" t="s">
        <v>2695</v>
      </c>
      <c r="Z1801" t="s">
        <v>2684</v>
      </c>
      <c r="AA1801">
        <v>627010921602</v>
      </c>
      <c r="AB1801" t="s">
        <v>1204</v>
      </c>
      <c r="AC1801">
        <v>0</v>
      </c>
      <c r="AD1801">
        <v>34</v>
      </c>
      <c r="AE1801">
        <v>62701092160234</v>
      </c>
      <c r="AF1801" t="s">
        <v>6828</v>
      </c>
      <c r="AG1801">
        <v>1</v>
      </c>
      <c r="AH1801">
        <v>0</v>
      </c>
    </row>
    <row r="1802" spans="1:34">
      <c r="A1802">
        <v>2025</v>
      </c>
      <c r="B1802" s="1">
        <v>45870</v>
      </c>
      <c r="C1802" t="s">
        <v>2657</v>
      </c>
      <c r="D1802" t="s">
        <v>6831</v>
      </c>
      <c r="E1802" s="43">
        <v>45897.763980138887</v>
      </c>
      <c r="F1802" s="1">
        <v>45897</v>
      </c>
      <c r="G1802" s="43">
        <v>45897.763980138887</v>
      </c>
      <c r="H1802" t="s">
        <v>3088</v>
      </c>
      <c r="I1802" t="s">
        <v>2660</v>
      </c>
      <c r="J1802" t="s">
        <v>38</v>
      </c>
      <c r="L1802" t="s">
        <v>2379</v>
      </c>
      <c r="M1802">
        <v>627010921602</v>
      </c>
      <c r="N1802" t="s">
        <v>2675</v>
      </c>
      <c r="O1802" s="1">
        <v>45503</v>
      </c>
      <c r="T1802" t="s">
        <v>2662</v>
      </c>
      <c r="U1802" t="s">
        <v>6832</v>
      </c>
      <c r="V1802">
        <v>0</v>
      </c>
      <c r="W1802" t="s">
        <v>2677</v>
      </c>
      <c r="X1802">
        <v>1</v>
      </c>
      <c r="Y1802" t="s">
        <v>2764</v>
      </c>
      <c r="Z1802" t="s">
        <v>2684</v>
      </c>
      <c r="AA1802">
        <v>627010921602</v>
      </c>
      <c r="AB1802" t="s">
        <v>1204</v>
      </c>
      <c r="AC1802">
        <v>0</v>
      </c>
      <c r="AD1802">
        <v>35</v>
      </c>
      <c r="AE1802">
        <v>62701092160235</v>
      </c>
      <c r="AF1802" t="s">
        <v>6828</v>
      </c>
      <c r="AG1802">
        <v>0</v>
      </c>
      <c r="AH1802">
        <v>0</v>
      </c>
    </row>
    <row r="1803" spans="1:34">
      <c r="A1803">
        <v>2025</v>
      </c>
      <c r="B1803" s="1">
        <v>45870</v>
      </c>
      <c r="C1803" t="s">
        <v>2657</v>
      </c>
      <c r="D1803" t="s">
        <v>6833</v>
      </c>
      <c r="E1803" s="43">
        <v>45897.761544351852</v>
      </c>
      <c r="F1803" s="1">
        <v>45897</v>
      </c>
      <c r="G1803" s="43">
        <v>45936.556620034724</v>
      </c>
      <c r="H1803" t="s">
        <v>3088</v>
      </c>
      <c r="I1803" t="s">
        <v>2660</v>
      </c>
      <c r="J1803" t="s">
        <v>38</v>
      </c>
      <c r="L1803" t="s">
        <v>2379</v>
      </c>
      <c r="M1803">
        <v>627010921602</v>
      </c>
      <c r="N1803" t="s">
        <v>2675</v>
      </c>
      <c r="O1803" s="1">
        <v>45503</v>
      </c>
      <c r="T1803" t="s">
        <v>2662</v>
      </c>
      <c r="U1803" t="s">
        <v>6834</v>
      </c>
      <c r="V1803">
        <v>27</v>
      </c>
      <c r="W1803" t="s">
        <v>2743</v>
      </c>
      <c r="X1803">
        <v>1</v>
      </c>
      <c r="Y1803" t="s">
        <v>2695</v>
      </c>
      <c r="AA1803">
        <v>627010921602</v>
      </c>
      <c r="AB1803" t="s">
        <v>1204</v>
      </c>
      <c r="AC1803">
        <v>0</v>
      </c>
      <c r="AD1803">
        <v>35</v>
      </c>
      <c r="AE1803">
        <v>62701092160235</v>
      </c>
      <c r="AF1803" t="s">
        <v>6828</v>
      </c>
      <c r="AG1803">
        <v>1</v>
      </c>
      <c r="AH1803">
        <v>0</v>
      </c>
    </row>
    <row r="1804" spans="1:34">
      <c r="A1804">
        <v>2025</v>
      </c>
      <c r="B1804" s="1">
        <v>45870</v>
      </c>
      <c r="C1804" t="s">
        <v>2657</v>
      </c>
      <c r="D1804" t="s">
        <v>6835</v>
      </c>
      <c r="E1804" s="43">
        <v>45897.765211284721</v>
      </c>
      <c r="F1804" s="1">
        <v>45897</v>
      </c>
      <c r="G1804" s="43">
        <v>45897.765211284721</v>
      </c>
      <c r="H1804" t="s">
        <v>3088</v>
      </c>
      <c r="I1804" t="s">
        <v>2660</v>
      </c>
      <c r="J1804" t="s">
        <v>38</v>
      </c>
      <c r="L1804" t="s">
        <v>2379</v>
      </c>
      <c r="M1804">
        <v>627010921602</v>
      </c>
      <c r="N1804" t="s">
        <v>2675</v>
      </c>
      <c r="O1804" s="1">
        <v>45503</v>
      </c>
      <c r="T1804" t="s">
        <v>2662</v>
      </c>
      <c r="U1804" t="s">
        <v>6836</v>
      </c>
      <c r="V1804">
        <v>0</v>
      </c>
      <c r="W1804" t="s">
        <v>2671</v>
      </c>
      <c r="X1804">
        <v>1</v>
      </c>
      <c r="Y1804" t="s">
        <v>2764</v>
      </c>
      <c r="Z1804" t="s">
        <v>2684</v>
      </c>
      <c r="AA1804">
        <v>627010921602</v>
      </c>
      <c r="AB1804" t="s">
        <v>1204</v>
      </c>
      <c r="AC1804">
        <v>0</v>
      </c>
      <c r="AD1804">
        <v>35</v>
      </c>
      <c r="AE1804">
        <v>62701092160235</v>
      </c>
      <c r="AF1804" t="s">
        <v>6828</v>
      </c>
      <c r="AG1804">
        <v>0</v>
      </c>
      <c r="AH1804">
        <v>0</v>
      </c>
    </row>
    <row r="1805" spans="1:34">
      <c r="A1805">
        <v>2025</v>
      </c>
      <c r="B1805" s="1">
        <v>45962</v>
      </c>
      <c r="C1805" t="s">
        <v>2657</v>
      </c>
      <c r="D1805" t="s">
        <v>6837</v>
      </c>
      <c r="E1805" s="43">
        <v>45965.517156932867</v>
      </c>
      <c r="F1805" s="1">
        <v>45965</v>
      </c>
      <c r="G1805" s="43">
        <v>45966.648908923613</v>
      </c>
      <c r="H1805" t="s">
        <v>2802</v>
      </c>
      <c r="I1805" t="s">
        <v>2669</v>
      </c>
      <c r="J1805" t="s">
        <v>2735</v>
      </c>
      <c r="L1805" t="s">
        <v>2408</v>
      </c>
      <c r="M1805">
        <v>11613361102</v>
      </c>
      <c r="N1805" t="s">
        <v>2746</v>
      </c>
      <c r="O1805" s="1">
        <v>45294</v>
      </c>
      <c r="T1805" t="s">
        <v>2662</v>
      </c>
      <c r="U1805" t="s">
        <v>6838</v>
      </c>
      <c r="V1805">
        <v>1</v>
      </c>
      <c r="W1805" t="s">
        <v>2743</v>
      </c>
      <c r="X1805">
        <v>1</v>
      </c>
      <c r="Y1805" t="s">
        <v>2699</v>
      </c>
      <c r="AA1805">
        <v>11613361102</v>
      </c>
      <c r="AB1805" t="s">
        <v>1880</v>
      </c>
      <c r="AC1805">
        <v>0</v>
      </c>
      <c r="AD1805">
        <v>45</v>
      </c>
      <c r="AE1805">
        <v>1161336110245</v>
      </c>
      <c r="AF1805" t="s">
        <v>6839</v>
      </c>
      <c r="AG1805">
        <v>0</v>
      </c>
      <c r="AH1805">
        <v>0</v>
      </c>
    </row>
    <row r="1806" spans="1:34">
      <c r="A1806">
        <v>2025</v>
      </c>
      <c r="B1806" s="1">
        <v>45962</v>
      </c>
      <c r="C1806" t="s">
        <v>2657</v>
      </c>
      <c r="D1806" t="s">
        <v>6840</v>
      </c>
      <c r="E1806" s="43">
        <v>45965.775391782408</v>
      </c>
      <c r="F1806" s="1">
        <v>45965</v>
      </c>
      <c r="G1806" s="43">
        <v>45967.547347395834</v>
      </c>
      <c r="H1806" t="s">
        <v>2802</v>
      </c>
      <c r="I1806" t="s">
        <v>2669</v>
      </c>
      <c r="J1806" t="s">
        <v>2735</v>
      </c>
      <c r="L1806" t="s">
        <v>2408</v>
      </c>
      <c r="M1806">
        <v>11613361102</v>
      </c>
      <c r="N1806" t="s">
        <v>2746</v>
      </c>
      <c r="O1806" s="1">
        <v>45294</v>
      </c>
      <c r="T1806" t="s">
        <v>2662</v>
      </c>
      <c r="U1806" t="s">
        <v>6841</v>
      </c>
      <c r="V1806">
        <v>2</v>
      </c>
      <c r="W1806" t="s">
        <v>2743</v>
      </c>
      <c r="X1806">
        <v>1</v>
      </c>
      <c r="Y1806" t="s">
        <v>2721</v>
      </c>
      <c r="AA1806">
        <v>11613361102</v>
      </c>
      <c r="AB1806" t="s">
        <v>1880</v>
      </c>
      <c r="AC1806">
        <v>0</v>
      </c>
      <c r="AD1806">
        <v>45</v>
      </c>
      <c r="AE1806">
        <v>1161336110245</v>
      </c>
      <c r="AF1806" t="s">
        <v>6839</v>
      </c>
      <c r="AG1806">
        <v>0</v>
      </c>
      <c r="AH1806">
        <v>0</v>
      </c>
    </row>
    <row r="1807" spans="1:34">
      <c r="A1807">
        <v>2025</v>
      </c>
      <c r="B1807" s="1">
        <v>45962</v>
      </c>
      <c r="C1807" t="s">
        <v>2657</v>
      </c>
      <c r="D1807" t="s">
        <v>6842</v>
      </c>
      <c r="E1807" s="43">
        <v>45964.587394756942</v>
      </c>
      <c r="F1807" s="1">
        <v>45964</v>
      </c>
      <c r="G1807" s="43">
        <v>45964.587394756942</v>
      </c>
      <c r="H1807" t="s">
        <v>2802</v>
      </c>
      <c r="I1807" t="s">
        <v>2669</v>
      </c>
      <c r="J1807" t="s">
        <v>2735</v>
      </c>
      <c r="L1807" t="s">
        <v>2408</v>
      </c>
      <c r="M1807">
        <v>11613361102</v>
      </c>
      <c r="N1807" t="s">
        <v>2746</v>
      </c>
      <c r="O1807" s="1">
        <v>45294</v>
      </c>
      <c r="T1807" t="s">
        <v>2662</v>
      </c>
      <c r="U1807" t="s">
        <v>6843</v>
      </c>
      <c r="V1807">
        <v>0</v>
      </c>
      <c r="W1807" t="s">
        <v>2704</v>
      </c>
      <c r="X1807">
        <v>1</v>
      </c>
      <c r="Y1807" t="s">
        <v>2695</v>
      </c>
      <c r="AA1807">
        <v>11613361102</v>
      </c>
      <c r="AB1807" t="s">
        <v>1880</v>
      </c>
      <c r="AC1807">
        <v>0</v>
      </c>
      <c r="AD1807">
        <v>45</v>
      </c>
      <c r="AE1807">
        <v>1161336110245</v>
      </c>
      <c r="AF1807" t="s">
        <v>6839</v>
      </c>
      <c r="AG1807">
        <v>1</v>
      </c>
      <c r="AH1807">
        <v>1</v>
      </c>
    </row>
    <row r="1808" spans="1:34">
      <c r="A1808">
        <v>2025</v>
      </c>
      <c r="B1808" s="1">
        <v>45962</v>
      </c>
      <c r="C1808" t="s">
        <v>2657</v>
      </c>
      <c r="D1808" t="s">
        <v>6844</v>
      </c>
      <c r="E1808" s="43">
        <v>45968.527935914353</v>
      </c>
      <c r="F1808" s="1">
        <v>45968</v>
      </c>
      <c r="G1808" s="43">
        <v>45975.766306331017</v>
      </c>
      <c r="H1808" t="s">
        <v>2802</v>
      </c>
      <c r="I1808" t="s">
        <v>2669</v>
      </c>
      <c r="J1808" t="s">
        <v>2735</v>
      </c>
      <c r="L1808" t="s">
        <v>2408</v>
      </c>
      <c r="M1808">
        <v>847074348102</v>
      </c>
      <c r="N1808" t="s">
        <v>2746</v>
      </c>
      <c r="O1808" s="1">
        <v>45457</v>
      </c>
      <c r="T1808" t="s">
        <v>2662</v>
      </c>
      <c r="U1808" t="s">
        <v>6845</v>
      </c>
      <c r="V1808">
        <v>5</v>
      </c>
      <c r="W1808" t="s">
        <v>2671</v>
      </c>
      <c r="X1808">
        <v>1</v>
      </c>
      <c r="Y1808" t="s">
        <v>2692</v>
      </c>
      <c r="AA1808">
        <v>11613361102</v>
      </c>
      <c r="AB1808" t="s">
        <v>1880</v>
      </c>
      <c r="AC1808">
        <v>0</v>
      </c>
      <c r="AD1808">
        <v>45</v>
      </c>
      <c r="AE1808">
        <v>1161336110245</v>
      </c>
      <c r="AF1808" t="s">
        <v>6839</v>
      </c>
      <c r="AG1808">
        <v>0</v>
      </c>
      <c r="AH1808">
        <v>0</v>
      </c>
    </row>
    <row r="1809" spans="1:34">
      <c r="A1809">
        <v>2025</v>
      </c>
      <c r="B1809" s="1">
        <v>45962</v>
      </c>
      <c r="C1809" t="s">
        <v>2657</v>
      </c>
      <c r="D1809" t="s">
        <v>6846</v>
      </c>
      <c r="E1809" s="43">
        <v>45965.59470173611</v>
      </c>
      <c r="F1809" s="1">
        <v>45965</v>
      </c>
      <c r="G1809" s="43">
        <v>45965.655435393521</v>
      </c>
      <c r="H1809" t="s">
        <v>2802</v>
      </c>
      <c r="I1809" t="s">
        <v>2669</v>
      </c>
      <c r="J1809" t="s">
        <v>2735</v>
      </c>
      <c r="L1809" t="s">
        <v>2408</v>
      </c>
      <c r="M1809">
        <v>11613361102</v>
      </c>
      <c r="N1809" t="s">
        <v>2746</v>
      </c>
      <c r="O1809" s="1">
        <v>45294</v>
      </c>
      <c r="T1809" t="s">
        <v>2662</v>
      </c>
      <c r="U1809" t="s">
        <v>6847</v>
      </c>
      <c r="V1809">
        <v>0</v>
      </c>
      <c r="W1809" t="s">
        <v>2743</v>
      </c>
      <c r="X1809">
        <v>1</v>
      </c>
      <c r="Y1809" t="s">
        <v>2695</v>
      </c>
      <c r="AA1809">
        <v>11613361102</v>
      </c>
      <c r="AB1809" t="s">
        <v>1880</v>
      </c>
      <c r="AC1809">
        <v>0</v>
      </c>
      <c r="AD1809">
        <v>45</v>
      </c>
      <c r="AE1809">
        <v>1161336110245</v>
      </c>
      <c r="AF1809" t="s">
        <v>6839</v>
      </c>
      <c r="AG1809">
        <v>0</v>
      </c>
      <c r="AH1809">
        <v>0</v>
      </c>
    </row>
    <row r="1810" spans="1:34">
      <c r="A1810">
        <v>2025</v>
      </c>
      <c r="B1810" s="1">
        <v>45962</v>
      </c>
      <c r="C1810" t="s">
        <v>2657</v>
      </c>
      <c r="D1810" t="s">
        <v>6848</v>
      </c>
      <c r="E1810" s="43">
        <v>45965.568551099539</v>
      </c>
      <c r="F1810" s="1">
        <v>45965</v>
      </c>
      <c r="G1810" s="43">
        <v>45965.594171076387</v>
      </c>
      <c r="H1810" t="s">
        <v>2802</v>
      </c>
      <c r="I1810" t="s">
        <v>2669</v>
      </c>
      <c r="J1810" t="s">
        <v>2735</v>
      </c>
      <c r="L1810" t="s">
        <v>2408</v>
      </c>
      <c r="M1810">
        <v>847074348102</v>
      </c>
      <c r="N1810" t="s">
        <v>2746</v>
      </c>
      <c r="O1810" s="1">
        <v>45457</v>
      </c>
      <c r="T1810" t="s">
        <v>2662</v>
      </c>
      <c r="U1810" t="s">
        <v>6849</v>
      </c>
      <c r="V1810">
        <v>0</v>
      </c>
      <c r="W1810" t="s">
        <v>2671</v>
      </c>
      <c r="X1810">
        <v>1</v>
      </c>
      <c r="Y1810" t="s">
        <v>2699</v>
      </c>
      <c r="AA1810">
        <v>11613361102</v>
      </c>
      <c r="AB1810" t="s">
        <v>1880</v>
      </c>
      <c r="AC1810">
        <v>0</v>
      </c>
      <c r="AD1810">
        <v>45</v>
      </c>
      <c r="AE1810">
        <v>1161336110245</v>
      </c>
      <c r="AF1810" t="s">
        <v>6839</v>
      </c>
      <c r="AG1810">
        <v>0</v>
      </c>
      <c r="AH1810">
        <v>0</v>
      </c>
    </row>
    <row r="1811" spans="1:34">
      <c r="A1811">
        <v>2025</v>
      </c>
      <c r="B1811" s="1">
        <v>45962</v>
      </c>
      <c r="C1811" t="s">
        <v>2657</v>
      </c>
      <c r="D1811" t="s">
        <v>6850</v>
      </c>
      <c r="E1811" s="43">
        <v>45973.542258738424</v>
      </c>
      <c r="F1811" s="1">
        <v>45973</v>
      </c>
      <c r="G1811" s="43">
        <v>45973.542258738424</v>
      </c>
      <c r="H1811" t="s">
        <v>2802</v>
      </c>
      <c r="I1811" t="s">
        <v>2681</v>
      </c>
      <c r="J1811" t="s">
        <v>2735</v>
      </c>
      <c r="L1811" t="s">
        <v>2408</v>
      </c>
      <c r="M1811">
        <v>847074348102</v>
      </c>
      <c r="N1811" t="s">
        <v>2746</v>
      </c>
      <c r="O1811" s="1">
        <v>45457</v>
      </c>
      <c r="T1811" t="s">
        <v>2662</v>
      </c>
      <c r="U1811" t="s">
        <v>6851</v>
      </c>
      <c r="V1811">
        <v>0</v>
      </c>
      <c r="W1811" t="s">
        <v>2671</v>
      </c>
      <c r="X1811">
        <v>1</v>
      </c>
      <c r="Y1811" t="s">
        <v>2695</v>
      </c>
      <c r="AA1811">
        <v>11613361102</v>
      </c>
      <c r="AB1811" t="s">
        <v>1880</v>
      </c>
      <c r="AC1811">
        <v>0</v>
      </c>
      <c r="AD1811">
        <v>46</v>
      </c>
      <c r="AE1811">
        <v>1161336110246</v>
      </c>
      <c r="AF1811" t="s">
        <v>6839</v>
      </c>
      <c r="AG1811">
        <v>0</v>
      </c>
      <c r="AH1811">
        <v>0</v>
      </c>
    </row>
    <row r="1812" spans="1:34">
      <c r="A1812">
        <v>2025</v>
      </c>
      <c r="B1812" s="1">
        <v>45962</v>
      </c>
      <c r="C1812" t="s">
        <v>2657</v>
      </c>
      <c r="D1812" t="s">
        <v>6852</v>
      </c>
      <c r="E1812" s="43">
        <v>45971.512030405094</v>
      </c>
      <c r="F1812" s="1">
        <v>45971</v>
      </c>
      <c r="G1812" s="43">
        <v>45971.512030405094</v>
      </c>
      <c r="H1812" t="s">
        <v>2802</v>
      </c>
      <c r="I1812" t="s">
        <v>2681</v>
      </c>
      <c r="J1812" t="s">
        <v>2735</v>
      </c>
      <c r="L1812" t="s">
        <v>2408</v>
      </c>
      <c r="M1812">
        <v>847074348102</v>
      </c>
      <c r="N1812" t="s">
        <v>2746</v>
      </c>
      <c r="O1812" s="1">
        <v>45457</v>
      </c>
      <c r="T1812" t="s">
        <v>2662</v>
      </c>
      <c r="U1812" t="s">
        <v>6853</v>
      </c>
      <c r="V1812">
        <v>0</v>
      </c>
      <c r="W1812" t="s">
        <v>2671</v>
      </c>
      <c r="X1812">
        <v>1</v>
      </c>
      <c r="Y1812" t="s">
        <v>2695</v>
      </c>
      <c r="AA1812">
        <v>11613361102</v>
      </c>
      <c r="AB1812" t="s">
        <v>1880</v>
      </c>
      <c r="AC1812">
        <v>0</v>
      </c>
      <c r="AD1812">
        <v>46</v>
      </c>
      <c r="AE1812">
        <v>1161336110246</v>
      </c>
      <c r="AF1812" t="s">
        <v>6839</v>
      </c>
      <c r="AG1812">
        <v>1</v>
      </c>
      <c r="AH1812">
        <v>0</v>
      </c>
    </row>
    <row r="1813" spans="1:34">
      <c r="A1813">
        <v>2025</v>
      </c>
      <c r="B1813" s="1">
        <v>45962</v>
      </c>
      <c r="C1813" t="s">
        <v>2657</v>
      </c>
      <c r="D1813" t="s">
        <v>6854</v>
      </c>
      <c r="E1813" s="43">
        <v>45979.60530570602</v>
      </c>
      <c r="F1813" s="1">
        <v>45979</v>
      </c>
      <c r="G1813" s="43">
        <v>45979.764154652781</v>
      </c>
      <c r="H1813" t="s">
        <v>2802</v>
      </c>
      <c r="I1813" t="s">
        <v>2719</v>
      </c>
      <c r="J1813" t="s">
        <v>2735</v>
      </c>
      <c r="L1813" t="s">
        <v>2408</v>
      </c>
      <c r="M1813">
        <v>11613361102</v>
      </c>
      <c r="N1813" t="s">
        <v>2746</v>
      </c>
      <c r="O1813" s="1">
        <v>45294</v>
      </c>
      <c r="T1813" t="s">
        <v>2662</v>
      </c>
      <c r="U1813" t="s">
        <v>6855</v>
      </c>
      <c r="V1813">
        <v>0</v>
      </c>
      <c r="W1813" t="s">
        <v>2743</v>
      </c>
      <c r="X1813">
        <v>1</v>
      </c>
      <c r="Y1813" t="s">
        <v>2721</v>
      </c>
      <c r="Z1813" t="s">
        <v>2684</v>
      </c>
      <c r="AA1813">
        <v>11613361102</v>
      </c>
      <c r="AB1813" t="s">
        <v>1880</v>
      </c>
      <c r="AC1813">
        <v>0</v>
      </c>
      <c r="AD1813">
        <v>47</v>
      </c>
      <c r="AE1813">
        <v>1161336110247</v>
      </c>
      <c r="AF1813" t="s">
        <v>6839</v>
      </c>
      <c r="AG1813">
        <v>1</v>
      </c>
      <c r="AH1813">
        <v>0</v>
      </c>
    </row>
    <row r="1814" spans="1:34">
      <c r="A1814">
        <v>2026</v>
      </c>
      <c r="B1814" s="1">
        <v>46054</v>
      </c>
      <c r="C1814" t="s">
        <v>2657</v>
      </c>
      <c r="D1814" t="s">
        <v>6856</v>
      </c>
      <c r="E1814" s="43">
        <v>46059.847657569444</v>
      </c>
      <c r="F1814" s="1">
        <v>46059</v>
      </c>
      <c r="G1814" s="43">
        <v>46062.616451261572</v>
      </c>
      <c r="H1814" t="s">
        <v>2725</v>
      </c>
      <c r="I1814" t="s">
        <v>2669</v>
      </c>
      <c r="J1814" t="s">
        <v>37</v>
      </c>
      <c r="L1814" t="s">
        <v>2344</v>
      </c>
      <c r="M1814">
        <v>572185491502</v>
      </c>
      <c r="N1814" t="s">
        <v>2661</v>
      </c>
      <c r="O1814" s="1">
        <v>46043</v>
      </c>
      <c r="T1814" t="s">
        <v>2662</v>
      </c>
      <c r="U1814" t="s">
        <v>6857</v>
      </c>
      <c r="V1814">
        <v>1</v>
      </c>
      <c r="W1814" t="s">
        <v>2743</v>
      </c>
      <c r="X1814">
        <v>1</v>
      </c>
      <c r="Y1814" t="s">
        <v>2931</v>
      </c>
      <c r="AA1814">
        <v>572185491502</v>
      </c>
      <c r="AB1814" t="s">
        <v>2514</v>
      </c>
      <c r="AC1814">
        <v>1</v>
      </c>
      <c r="AD1814">
        <v>6</v>
      </c>
      <c r="AE1814">
        <v>5721854915026</v>
      </c>
      <c r="AF1814" t="s">
        <v>6858</v>
      </c>
      <c r="AG1814">
        <v>1</v>
      </c>
      <c r="AH1814">
        <v>1</v>
      </c>
    </row>
    <row r="1815" spans="1:34">
      <c r="A1815">
        <v>2026</v>
      </c>
      <c r="B1815" s="1">
        <v>46054</v>
      </c>
      <c r="C1815" t="s">
        <v>2657</v>
      </c>
      <c r="D1815" t="s">
        <v>6859</v>
      </c>
      <c r="E1815" s="43">
        <v>46063.662184074077</v>
      </c>
      <c r="F1815" s="1">
        <v>46063</v>
      </c>
      <c r="G1815" s="43">
        <v>46065.761328564811</v>
      </c>
      <c r="H1815" t="s">
        <v>2725</v>
      </c>
      <c r="I1815" t="s">
        <v>2681</v>
      </c>
      <c r="J1815" t="s">
        <v>36</v>
      </c>
      <c r="L1815" t="s">
        <v>2421</v>
      </c>
      <c r="M1815">
        <v>97596278102</v>
      </c>
      <c r="N1815" t="s">
        <v>2661</v>
      </c>
      <c r="O1815" s="1">
        <v>45299</v>
      </c>
      <c r="T1815" t="s">
        <v>2662</v>
      </c>
      <c r="U1815" t="s">
        <v>6860</v>
      </c>
      <c r="V1815">
        <v>2</v>
      </c>
      <c r="W1815" t="s">
        <v>2677</v>
      </c>
      <c r="X1815">
        <v>1</v>
      </c>
      <c r="Y1815" t="s">
        <v>2807</v>
      </c>
      <c r="AA1815">
        <v>97596278102</v>
      </c>
      <c r="AB1815" t="s">
        <v>343</v>
      </c>
      <c r="AC1815">
        <v>0</v>
      </c>
      <c r="AD1815">
        <v>7</v>
      </c>
      <c r="AE1815">
        <v>975962781027</v>
      </c>
      <c r="AF1815" t="s">
        <v>6861</v>
      </c>
      <c r="AG1815">
        <v>1</v>
      </c>
      <c r="AH1815">
        <v>1</v>
      </c>
    </row>
    <row r="1816" spans="1:34">
      <c r="A1816">
        <v>2026</v>
      </c>
      <c r="B1816" s="1">
        <v>46054</v>
      </c>
      <c r="C1816" t="s">
        <v>2657</v>
      </c>
      <c r="D1816" t="s">
        <v>6862</v>
      </c>
      <c r="E1816" s="43">
        <v>46064.66018136574</v>
      </c>
      <c r="F1816" s="1">
        <v>46064</v>
      </c>
      <c r="G1816" s="43">
        <v>46073.502718912037</v>
      </c>
      <c r="H1816" t="s">
        <v>2725</v>
      </c>
      <c r="I1816" t="s">
        <v>2681</v>
      </c>
      <c r="J1816" t="s">
        <v>36</v>
      </c>
      <c r="L1816" t="s">
        <v>2421</v>
      </c>
      <c r="M1816">
        <v>97596278102</v>
      </c>
      <c r="N1816" t="s">
        <v>2661</v>
      </c>
      <c r="O1816" s="1">
        <v>45299</v>
      </c>
      <c r="T1816" t="s">
        <v>2662</v>
      </c>
      <c r="U1816" t="s">
        <v>6863</v>
      </c>
      <c r="V1816">
        <v>7</v>
      </c>
      <c r="W1816" t="s">
        <v>2677</v>
      </c>
      <c r="X1816">
        <v>1</v>
      </c>
      <c r="Y1816" t="s">
        <v>2807</v>
      </c>
      <c r="AA1816">
        <v>97596278102</v>
      </c>
      <c r="AB1816" t="s">
        <v>343</v>
      </c>
      <c r="AC1816">
        <v>0</v>
      </c>
      <c r="AD1816">
        <v>7</v>
      </c>
      <c r="AE1816">
        <v>975962781027</v>
      </c>
      <c r="AF1816" t="s">
        <v>6861</v>
      </c>
      <c r="AG1816">
        <v>0</v>
      </c>
      <c r="AH1816">
        <v>0</v>
      </c>
    </row>
    <row r="1817" spans="1:34">
      <c r="A1817">
        <v>2025</v>
      </c>
      <c r="B1817" s="1">
        <v>45931</v>
      </c>
      <c r="C1817" t="s">
        <v>2657</v>
      </c>
      <c r="D1817" t="s">
        <v>6864</v>
      </c>
      <c r="E1817" s="43">
        <v>45932.558643761571</v>
      </c>
      <c r="F1817" s="1">
        <v>45932</v>
      </c>
      <c r="G1817" s="43">
        <v>45932.785100000001</v>
      </c>
      <c r="H1817" t="s">
        <v>2659</v>
      </c>
      <c r="I1817" t="s">
        <v>2669</v>
      </c>
      <c r="J1817" t="s">
        <v>2735</v>
      </c>
      <c r="L1817" t="s">
        <v>2336</v>
      </c>
      <c r="M1817">
        <v>439493352402</v>
      </c>
      <c r="N1817" t="s">
        <v>2746</v>
      </c>
      <c r="O1817" s="1">
        <v>45680</v>
      </c>
      <c r="T1817" t="s">
        <v>2662</v>
      </c>
      <c r="U1817" t="s">
        <v>6865</v>
      </c>
      <c r="V1817">
        <v>0</v>
      </c>
      <c r="W1817" t="s">
        <v>2671</v>
      </c>
      <c r="X1817">
        <v>1</v>
      </c>
      <c r="Y1817" t="s">
        <v>2727</v>
      </c>
      <c r="Z1817" t="s">
        <v>2684</v>
      </c>
      <c r="AA1817">
        <v>11103651302</v>
      </c>
      <c r="AB1817" t="s">
        <v>1482</v>
      </c>
      <c r="AC1817">
        <v>0</v>
      </c>
      <c r="AD1817">
        <v>40</v>
      </c>
      <c r="AE1817">
        <v>1110365130240</v>
      </c>
      <c r="AF1817" t="s">
        <v>6866</v>
      </c>
      <c r="AG1817">
        <v>1</v>
      </c>
      <c r="AH1817">
        <v>1</v>
      </c>
    </row>
    <row r="1818" spans="1:34">
      <c r="A1818">
        <v>2025</v>
      </c>
      <c r="B1818" s="1">
        <v>45931</v>
      </c>
      <c r="C1818" t="s">
        <v>2657</v>
      </c>
      <c r="D1818" t="s">
        <v>6867</v>
      </c>
      <c r="E1818" s="43">
        <v>45946.803021215281</v>
      </c>
      <c r="F1818" s="1">
        <v>45946</v>
      </c>
      <c r="G1818" s="43">
        <v>45946.883346689814</v>
      </c>
      <c r="H1818" t="s">
        <v>2659</v>
      </c>
      <c r="I1818" t="s">
        <v>2719</v>
      </c>
      <c r="J1818" t="s">
        <v>2735</v>
      </c>
      <c r="L1818" t="s">
        <v>2336</v>
      </c>
      <c r="M1818">
        <v>161445746002</v>
      </c>
      <c r="N1818" t="s">
        <v>2746</v>
      </c>
      <c r="O1818" s="1">
        <v>45673</v>
      </c>
      <c r="T1818" t="s">
        <v>2662</v>
      </c>
      <c r="U1818" t="s">
        <v>6868</v>
      </c>
      <c r="V1818">
        <v>0</v>
      </c>
      <c r="W1818" t="s">
        <v>2671</v>
      </c>
      <c r="X1818">
        <v>1</v>
      </c>
      <c r="Y1818" t="s">
        <v>2683</v>
      </c>
      <c r="AA1818">
        <v>11103651302</v>
      </c>
      <c r="AB1818" t="s">
        <v>1482</v>
      </c>
      <c r="AC1818">
        <v>0</v>
      </c>
      <c r="AD1818">
        <v>42</v>
      </c>
      <c r="AE1818">
        <v>1110365130242</v>
      </c>
      <c r="AF1818" t="s">
        <v>6866</v>
      </c>
      <c r="AG1818">
        <v>1</v>
      </c>
      <c r="AH1818">
        <v>0</v>
      </c>
    </row>
    <row r="1819" spans="1:34">
      <c r="A1819">
        <v>2025</v>
      </c>
      <c r="B1819" s="1">
        <v>45931</v>
      </c>
      <c r="C1819" t="s">
        <v>2657</v>
      </c>
      <c r="D1819" t="s">
        <v>6869</v>
      </c>
      <c r="E1819" s="43">
        <v>45957.521294155093</v>
      </c>
      <c r="F1819" s="1">
        <v>45957</v>
      </c>
      <c r="G1819" s="43">
        <v>45961.514420277781</v>
      </c>
      <c r="H1819" t="s">
        <v>2659</v>
      </c>
      <c r="I1819" t="s">
        <v>2660</v>
      </c>
      <c r="J1819" t="s">
        <v>2735</v>
      </c>
      <c r="L1819" t="s">
        <v>2336</v>
      </c>
      <c r="M1819">
        <v>161445746002</v>
      </c>
      <c r="N1819" t="s">
        <v>2746</v>
      </c>
      <c r="O1819" s="1">
        <v>45673</v>
      </c>
      <c r="T1819" t="s">
        <v>2662</v>
      </c>
      <c r="U1819" t="s">
        <v>6870</v>
      </c>
      <c r="V1819">
        <v>4</v>
      </c>
      <c r="W1819" t="s">
        <v>2671</v>
      </c>
      <c r="X1819">
        <v>1</v>
      </c>
      <c r="Y1819" t="s">
        <v>2683</v>
      </c>
      <c r="AA1819">
        <v>11103651302</v>
      </c>
      <c r="AB1819" t="s">
        <v>1482</v>
      </c>
      <c r="AC1819">
        <v>0</v>
      </c>
      <c r="AD1819">
        <v>44</v>
      </c>
      <c r="AE1819">
        <v>1110365130244</v>
      </c>
      <c r="AF1819" t="s">
        <v>6866</v>
      </c>
      <c r="AG1819">
        <v>1</v>
      </c>
      <c r="AH1819">
        <v>0</v>
      </c>
    </row>
    <row r="1820" spans="1:34">
      <c r="A1820">
        <v>2025</v>
      </c>
      <c r="B1820" s="1">
        <v>45931</v>
      </c>
      <c r="C1820" t="s">
        <v>2657</v>
      </c>
      <c r="D1820" t="s">
        <v>6871</v>
      </c>
      <c r="E1820" s="43">
        <v>45958.768039456016</v>
      </c>
      <c r="F1820" s="1">
        <v>45958</v>
      </c>
      <c r="G1820" s="43">
        <v>45959.846321631943</v>
      </c>
      <c r="H1820" t="s">
        <v>2659</v>
      </c>
      <c r="I1820" t="s">
        <v>2660</v>
      </c>
      <c r="J1820" t="s">
        <v>2735</v>
      </c>
      <c r="L1820" t="s">
        <v>2336</v>
      </c>
      <c r="M1820">
        <v>439493352402</v>
      </c>
      <c r="N1820" t="s">
        <v>2746</v>
      </c>
      <c r="O1820" s="1">
        <v>45680</v>
      </c>
      <c r="T1820" t="s">
        <v>2662</v>
      </c>
      <c r="U1820" t="s">
        <v>6872</v>
      </c>
      <c r="V1820">
        <v>1</v>
      </c>
      <c r="W1820" t="s">
        <v>2677</v>
      </c>
      <c r="X1820">
        <v>1</v>
      </c>
      <c r="Y1820" t="s">
        <v>2678</v>
      </c>
      <c r="AA1820">
        <v>11103651302</v>
      </c>
      <c r="AB1820" t="s">
        <v>1482</v>
      </c>
      <c r="AC1820">
        <v>0</v>
      </c>
      <c r="AD1820">
        <v>44</v>
      </c>
      <c r="AE1820">
        <v>1110365130244</v>
      </c>
      <c r="AF1820" t="s">
        <v>6866</v>
      </c>
      <c r="AG1820">
        <v>0</v>
      </c>
      <c r="AH1820">
        <v>0</v>
      </c>
    </row>
    <row r="1821" spans="1:34">
      <c r="A1821">
        <v>2025</v>
      </c>
      <c r="B1821" s="1">
        <v>45931</v>
      </c>
      <c r="C1821" t="s">
        <v>2657</v>
      </c>
      <c r="D1821" t="s">
        <v>6873</v>
      </c>
      <c r="E1821" s="43">
        <v>45957.819867650462</v>
      </c>
      <c r="F1821" s="1">
        <v>45957</v>
      </c>
      <c r="G1821" s="43">
        <v>45959.612883495371</v>
      </c>
      <c r="H1821" t="s">
        <v>2659</v>
      </c>
      <c r="I1821" t="s">
        <v>2660</v>
      </c>
      <c r="J1821" t="s">
        <v>2735</v>
      </c>
      <c r="L1821" t="s">
        <v>2336</v>
      </c>
      <c r="M1821">
        <v>161445746002</v>
      </c>
      <c r="N1821" t="s">
        <v>2746</v>
      </c>
      <c r="O1821" s="1">
        <v>45673</v>
      </c>
      <c r="T1821" t="s">
        <v>2662</v>
      </c>
      <c r="U1821" t="s">
        <v>6874</v>
      </c>
      <c r="V1821">
        <v>2</v>
      </c>
      <c r="W1821" t="s">
        <v>2671</v>
      </c>
      <c r="X1821">
        <v>1</v>
      </c>
      <c r="Y1821" t="s">
        <v>2683</v>
      </c>
      <c r="AA1821">
        <v>11103651302</v>
      </c>
      <c r="AB1821" t="s">
        <v>1482</v>
      </c>
      <c r="AC1821">
        <v>0</v>
      </c>
      <c r="AD1821">
        <v>44</v>
      </c>
      <c r="AE1821">
        <v>1110365130244</v>
      </c>
      <c r="AF1821" t="s">
        <v>6866</v>
      </c>
      <c r="AG1821">
        <v>0</v>
      </c>
      <c r="AH1821">
        <v>0</v>
      </c>
    </row>
    <row r="1822" spans="1:34">
      <c r="A1822">
        <v>2026</v>
      </c>
      <c r="B1822" s="1">
        <v>46023</v>
      </c>
      <c r="C1822" t="s">
        <v>2657</v>
      </c>
      <c r="D1822" t="s">
        <v>6875</v>
      </c>
      <c r="E1822" s="43">
        <v>46029.514383344911</v>
      </c>
      <c r="F1822" s="1">
        <v>46029</v>
      </c>
      <c r="G1822" s="43">
        <v>46031.625438136572</v>
      </c>
      <c r="H1822" t="s">
        <v>2701</v>
      </c>
      <c r="I1822" t="s">
        <v>2669</v>
      </c>
      <c r="J1822" t="s">
        <v>39</v>
      </c>
      <c r="L1822" t="s">
        <v>2362</v>
      </c>
      <c r="M1822">
        <v>103928980802</v>
      </c>
      <c r="N1822" t="s">
        <v>2746</v>
      </c>
      <c r="O1822" s="1">
        <v>45661</v>
      </c>
      <c r="T1822" t="s">
        <v>2662</v>
      </c>
      <c r="U1822" t="s">
        <v>6876</v>
      </c>
      <c r="V1822">
        <v>2</v>
      </c>
      <c r="W1822" t="s">
        <v>2743</v>
      </c>
      <c r="X1822">
        <v>1</v>
      </c>
      <c r="Y1822" t="s">
        <v>2717</v>
      </c>
      <c r="AA1822">
        <v>103928980802</v>
      </c>
      <c r="AB1822" t="s">
        <v>1764</v>
      </c>
      <c r="AC1822">
        <v>0</v>
      </c>
      <c r="AD1822">
        <v>2</v>
      </c>
      <c r="AE1822">
        <v>1039289808022</v>
      </c>
      <c r="AF1822" t="s">
        <v>6877</v>
      </c>
      <c r="AG1822">
        <v>1</v>
      </c>
      <c r="AH1822">
        <v>1</v>
      </c>
    </row>
    <row r="1823" spans="1:34">
      <c r="A1823">
        <v>2026</v>
      </c>
      <c r="B1823" s="1">
        <v>46023</v>
      </c>
      <c r="C1823" t="s">
        <v>2657</v>
      </c>
      <c r="D1823" t="s">
        <v>6878</v>
      </c>
      <c r="E1823" s="43">
        <v>46036.807294293983</v>
      </c>
      <c r="F1823" s="1">
        <v>46036</v>
      </c>
      <c r="G1823" s="43">
        <v>46037.81709423611</v>
      </c>
      <c r="H1823" t="s">
        <v>2701</v>
      </c>
      <c r="I1823" t="s">
        <v>2681</v>
      </c>
      <c r="J1823" t="s">
        <v>39</v>
      </c>
      <c r="L1823" t="s">
        <v>2362</v>
      </c>
      <c r="M1823">
        <v>103928980802</v>
      </c>
      <c r="N1823" t="s">
        <v>2746</v>
      </c>
      <c r="O1823" s="1">
        <v>45661</v>
      </c>
      <c r="T1823" t="s">
        <v>2662</v>
      </c>
      <c r="U1823" t="s">
        <v>6879</v>
      </c>
      <c r="V1823">
        <v>1</v>
      </c>
      <c r="W1823" t="s">
        <v>2743</v>
      </c>
      <c r="X1823">
        <v>1</v>
      </c>
      <c r="Y1823" t="s">
        <v>2717</v>
      </c>
      <c r="AA1823">
        <v>103928980802</v>
      </c>
      <c r="AB1823" t="s">
        <v>1764</v>
      </c>
      <c r="AC1823">
        <v>0</v>
      </c>
      <c r="AD1823">
        <v>3</v>
      </c>
      <c r="AE1823">
        <v>1039289808023</v>
      </c>
      <c r="AF1823" t="s">
        <v>6877</v>
      </c>
      <c r="AG1823">
        <v>1</v>
      </c>
      <c r="AH1823">
        <v>0</v>
      </c>
    </row>
    <row r="1824" spans="1:34">
      <c r="A1824">
        <v>2026</v>
      </c>
      <c r="B1824" s="1">
        <v>46023</v>
      </c>
      <c r="C1824" t="s">
        <v>2657</v>
      </c>
      <c r="D1824" t="s">
        <v>6880</v>
      </c>
      <c r="E1824" s="43">
        <v>46038.598438680558</v>
      </c>
      <c r="F1824" s="1">
        <v>46038</v>
      </c>
      <c r="G1824" s="43">
        <v>46041.784720046293</v>
      </c>
      <c r="H1824" t="s">
        <v>2701</v>
      </c>
      <c r="I1824" t="s">
        <v>2719</v>
      </c>
      <c r="J1824" t="s">
        <v>39</v>
      </c>
      <c r="L1824" t="s">
        <v>2362</v>
      </c>
      <c r="M1824">
        <v>103928980802</v>
      </c>
      <c r="N1824" t="s">
        <v>2746</v>
      </c>
      <c r="O1824" s="1">
        <v>45661</v>
      </c>
      <c r="T1824" t="s">
        <v>2662</v>
      </c>
      <c r="U1824" t="s">
        <v>6881</v>
      </c>
      <c r="V1824">
        <v>1</v>
      </c>
      <c r="W1824" t="s">
        <v>2743</v>
      </c>
      <c r="X1824">
        <v>1</v>
      </c>
      <c r="Y1824" t="s">
        <v>2721</v>
      </c>
      <c r="AA1824">
        <v>103928980802</v>
      </c>
      <c r="AB1824" t="s">
        <v>1764</v>
      </c>
      <c r="AC1824">
        <v>0</v>
      </c>
      <c r="AD1824">
        <v>3</v>
      </c>
      <c r="AE1824">
        <v>1039289808023</v>
      </c>
      <c r="AF1824" t="s">
        <v>6877</v>
      </c>
      <c r="AG1824">
        <v>0</v>
      </c>
      <c r="AH1824">
        <v>0</v>
      </c>
    </row>
    <row r="1825" spans="1:34">
      <c r="A1825">
        <v>2026</v>
      </c>
      <c r="B1825" s="1">
        <v>46023</v>
      </c>
      <c r="C1825" t="s">
        <v>2657</v>
      </c>
      <c r="D1825" t="s">
        <v>6882</v>
      </c>
      <c r="E1825" s="43">
        <v>46042.49937135417</v>
      </c>
      <c r="F1825" s="1">
        <v>46042</v>
      </c>
      <c r="G1825" s="43">
        <v>46043.587277245373</v>
      </c>
      <c r="H1825" t="s">
        <v>2701</v>
      </c>
      <c r="I1825" t="s">
        <v>2719</v>
      </c>
      <c r="J1825" t="s">
        <v>39</v>
      </c>
      <c r="L1825" t="s">
        <v>2362</v>
      </c>
      <c r="M1825">
        <v>103928980802</v>
      </c>
      <c r="N1825" t="s">
        <v>2746</v>
      </c>
      <c r="O1825" s="1">
        <v>45661</v>
      </c>
      <c r="T1825" t="s">
        <v>2662</v>
      </c>
      <c r="U1825" t="s">
        <v>6883</v>
      </c>
      <c r="V1825">
        <v>1</v>
      </c>
      <c r="W1825" t="s">
        <v>2743</v>
      </c>
      <c r="X1825">
        <v>1</v>
      </c>
      <c r="Y1825" t="s">
        <v>2672</v>
      </c>
      <c r="Z1825" t="s">
        <v>2684</v>
      </c>
      <c r="AA1825">
        <v>103928980802</v>
      </c>
      <c r="AB1825" t="s">
        <v>1764</v>
      </c>
      <c r="AC1825">
        <v>0</v>
      </c>
      <c r="AD1825">
        <v>4</v>
      </c>
      <c r="AE1825">
        <v>1039289808024</v>
      </c>
      <c r="AF1825" t="s">
        <v>6877</v>
      </c>
      <c r="AG1825">
        <v>0</v>
      </c>
      <c r="AH1825">
        <v>0</v>
      </c>
    </row>
    <row r="1826" spans="1:34">
      <c r="A1826">
        <v>2026</v>
      </c>
      <c r="B1826" s="1">
        <v>46023</v>
      </c>
      <c r="C1826" t="s">
        <v>2657</v>
      </c>
      <c r="D1826" t="s">
        <v>6884</v>
      </c>
      <c r="E1826" s="43">
        <v>46041.564482314818</v>
      </c>
      <c r="F1826" s="1">
        <v>46041</v>
      </c>
      <c r="G1826" s="43">
        <v>46044.555398912038</v>
      </c>
      <c r="H1826" t="s">
        <v>2701</v>
      </c>
      <c r="I1826" t="s">
        <v>2719</v>
      </c>
      <c r="J1826" t="s">
        <v>39</v>
      </c>
      <c r="L1826" t="s">
        <v>2362</v>
      </c>
      <c r="M1826">
        <v>103928980802</v>
      </c>
      <c r="N1826" t="s">
        <v>2746</v>
      </c>
      <c r="O1826" s="1">
        <v>45661</v>
      </c>
      <c r="T1826" t="s">
        <v>2662</v>
      </c>
      <c r="U1826" t="s">
        <v>6885</v>
      </c>
      <c r="V1826">
        <v>3</v>
      </c>
      <c r="W1826" t="s">
        <v>2677</v>
      </c>
      <c r="X1826">
        <v>1</v>
      </c>
      <c r="Y1826" t="s">
        <v>2760</v>
      </c>
      <c r="AA1826">
        <v>103928980802</v>
      </c>
      <c r="AB1826" t="s">
        <v>1764</v>
      </c>
      <c r="AC1826">
        <v>0</v>
      </c>
      <c r="AD1826">
        <v>4</v>
      </c>
      <c r="AE1826">
        <v>1039289808024</v>
      </c>
      <c r="AF1826" t="s">
        <v>6877</v>
      </c>
      <c r="AG1826">
        <v>1</v>
      </c>
      <c r="AH1826">
        <v>0</v>
      </c>
    </row>
    <row r="1827" spans="1:34">
      <c r="A1827">
        <v>2026</v>
      </c>
      <c r="B1827" s="1">
        <v>46023</v>
      </c>
      <c r="C1827" t="s">
        <v>2657</v>
      </c>
      <c r="D1827" t="s">
        <v>6886</v>
      </c>
      <c r="E1827" s="43">
        <v>46048.801265694441</v>
      </c>
      <c r="F1827" s="1">
        <v>46048</v>
      </c>
      <c r="G1827" s="43">
        <v>46048.802204837964</v>
      </c>
      <c r="H1827" t="s">
        <v>2701</v>
      </c>
      <c r="I1827" t="s">
        <v>2660</v>
      </c>
      <c r="J1827" t="s">
        <v>39</v>
      </c>
      <c r="L1827" t="s">
        <v>2362</v>
      </c>
      <c r="M1827">
        <v>103928980802</v>
      </c>
      <c r="N1827" t="s">
        <v>2746</v>
      </c>
      <c r="O1827" s="1">
        <v>45661</v>
      </c>
      <c r="T1827" t="s">
        <v>2662</v>
      </c>
      <c r="U1827" t="s">
        <v>6887</v>
      </c>
      <c r="V1827">
        <v>0</v>
      </c>
      <c r="X1827">
        <v>1</v>
      </c>
      <c r="AA1827">
        <v>103928980802</v>
      </c>
      <c r="AB1827" t="s">
        <v>1764</v>
      </c>
      <c r="AC1827">
        <v>0</v>
      </c>
      <c r="AD1827">
        <v>5</v>
      </c>
      <c r="AE1827">
        <v>1039289808025</v>
      </c>
      <c r="AF1827" t="s">
        <v>6877</v>
      </c>
      <c r="AG1827">
        <v>1</v>
      </c>
      <c r="AH1827">
        <v>0</v>
      </c>
    </row>
    <row r="1828" spans="1:34">
      <c r="A1828">
        <v>2025</v>
      </c>
      <c r="B1828" s="1">
        <v>45962</v>
      </c>
      <c r="C1828" t="s">
        <v>2657</v>
      </c>
      <c r="D1828" t="s">
        <v>6888</v>
      </c>
      <c r="E1828" s="43">
        <v>45975.596289976849</v>
      </c>
      <c r="F1828" s="1">
        <v>45975</v>
      </c>
      <c r="G1828" s="43">
        <v>45975.596289976849</v>
      </c>
      <c r="H1828" t="s">
        <v>2802</v>
      </c>
      <c r="I1828" t="s">
        <v>2681</v>
      </c>
      <c r="J1828" t="s">
        <v>38</v>
      </c>
      <c r="L1828" t="s">
        <v>2342</v>
      </c>
      <c r="M1828">
        <v>256525648402</v>
      </c>
      <c r="N1828" t="s">
        <v>2702</v>
      </c>
      <c r="O1828" s="1">
        <v>45394</v>
      </c>
      <c r="T1828" t="s">
        <v>2662</v>
      </c>
      <c r="U1828" t="s">
        <v>6889</v>
      </c>
      <c r="V1828">
        <v>0</v>
      </c>
      <c r="W1828" t="s">
        <v>2664</v>
      </c>
      <c r="X1828">
        <v>1</v>
      </c>
      <c r="Y1828" t="s">
        <v>2779</v>
      </c>
      <c r="AA1828">
        <v>256525648402</v>
      </c>
      <c r="AB1828" t="s">
        <v>2307</v>
      </c>
      <c r="AC1828">
        <v>0</v>
      </c>
      <c r="AD1828">
        <v>46</v>
      </c>
      <c r="AE1828">
        <v>25652564840246</v>
      </c>
      <c r="AF1828" t="s">
        <v>6890</v>
      </c>
      <c r="AG1828">
        <v>1</v>
      </c>
      <c r="AH1828">
        <v>1</v>
      </c>
    </row>
    <row r="1829" spans="1:34">
      <c r="A1829">
        <v>2026</v>
      </c>
      <c r="B1829" s="1">
        <v>46082</v>
      </c>
      <c r="C1829" t="s">
        <v>2657</v>
      </c>
      <c r="D1829" t="s">
        <v>6891</v>
      </c>
      <c r="E1829" s="43">
        <v>46087.723039490738</v>
      </c>
      <c r="F1829" s="1">
        <v>46087</v>
      </c>
      <c r="G1829" s="43">
        <v>46091.883775694441</v>
      </c>
      <c r="H1829" t="s">
        <v>2668</v>
      </c>
      <c r="I1829" t="s">
        <v>2669</v>
      </c>
      <c r="J1829" t="s">
        <v>38</v>
      </c>
      <c r="L1829" t="s">
        <v>2393</v>
      </c>
      <c r="M1829">
        <v>128174680202</v>
      </c>
      <c r="N1829" t="s">
        <v>2702</v>
      </c>
      <c r="O1829" s="1">
        <v>44685</v>
      </c>
      <c r="T1829" t="s">
        <v>2798</v>
      </c>
      <c r="U1829" t="s">
        <v>6892</v>
      </c>
      <c r="V1829">
        <v>5</v>
      </c>
      <c r="W1829" t="s">
        <v>2677</v>
      </c>
      <c r="X1829">
        <v>0</v>
      </c>
      <c r="Y1829" t="s">
        <v>2760</v>
      </c>
      <c r="AA1829">
        <v>128174680202</v>
      </c>
      <c r="AB1829" t="s">
        <v>978</v>
      </c>
      <c r="AC1829">
        <v>1</v>
      </c>
      <c r="AD1829">
        <v>10</v>
      </c>
      <c r="AE1829">
        <v>12817468020210</v>
      </c>
      <c r="AF1829" t="s">
        <v>6893</v>
      </c>
      <c r="AG1829">
        <v>1</v>
      </c>
      <c r="AH1829">
        <v>1</v>
      </c>
    </row>
    <row r="1830" spans="1:34">
      <c r="A1830">
        <v>2026</v>
      </c>
      <c r="B1830" s="1">
        <v>46054</v>
      </c>
      <c r="C1830" t="s">
        <v>2657</v>
      </c>
      <c r="D1830" t="s">
        <v>6894</v>
      </c>
      <c r="E1830" s="43">
        <v>46055.525990243055</v>
      </c>
      <c r="F1830" s="1">
        <v>46055</v>
      </c>
      <c r="G1830" s="43">
        <v>46057.855015868059</v>
      </c>
      <c r="H1830" t="s">
        <v>2725</v>
      </c>
      <c r="I1830" t="s">
        <v>2669</v>
      </c>
      <c r="J1830" t="s">
        <v>39</v>
      </c>
      <c r="L1830" t="s">
        <v>2336</v>
      </c>
      <c r="M1830">
        <v>669516273102</v>
      </c>
      <c r="N1830" t="s">
        <v>2702</v>
      </c>
      <c r="O1830" s="1">
        <v>45994</v>
      </c>
      <c r="T1830" t="s">
        <v>2662</v>
      </c>
      <c r="U1830" t="s">
        <v>6895</v>
      </c>
      <c r="V1830">
        <v>2</v>
      </c>
      <c r="W1830" t="s">
        <v>2677</v>
      </c>
      <c r="X1830">
        <v>1</v>
      </c>
      <c r="Y1830" t="s">
        <v>3237</v>
      </c>
      <c r="Z1830" t="s">
        <v>2684</v>
      </c>
      <c r="AA1830">
        <v>669516273102</v>
      </c>
      <c r="AB1830" t="s">
        <v>2615</v>
      </c>
      <c r="AC1830">
        <v>0</v>
      </c>
      <c r="AD1830">
        <v>6</v>
      </c>
      <c r="AE1830">
        <v>6695162731026</v>
      </c>
      <c r="AF1830" t="s">
        <v>6896</v>
      </c>
      <c r="AG1830">
        <v>1</v>
      </c>
      <c r="AH1830">
        <v>1</v>
      </c>
    </row>
    <row r="1831" spans="1:34">
      <c r="A1831">
        <v>2026</v>
      </c>
      <c r="B1831" s="1">
        <v>46054</v>
      </c>
      <c r="C1831" t="s">
        <v>2657</v>
      </c>
      <c r="D1831" t="s">
        <v>6897</v>
      </c>
      <c r="E1831" s="43">
        <v>46055.538522256946</v>
      </c>
      <c r="F1831" s="1">
        <v>46055</v>
      </c>
      <c r="G1831" s="43">
        <v>46058.713403761576</v>
      </c>
      <c r="H1831" t="s">
        <v>2725</v>
      </c>
      <c r="I1831" t="s">
        <v>2669</v>
      </c>
      <c r="J1831" t="s">
        <v>39</v>
      </c>
      <c r="L1831" t="s">
        <v>2336</v>
      </c>
      <c r="M1831">
        <v>669516273102</v>
      </c>
      <c r="N1831" t="s">
        <v>2702</v>
      </c>
      <c r="O1831" s="1">
        <v>45994</v>
      </c>
      <c r="T1831" t="s">
        <v>2662</v>
      </c>
      <c r="U1831" t="s">
        <v>6898</v>
      </c>
      <c r="V1831">
        <v>3</v>
      </c>
      <c r="W1831" t="s">
        <v>2704</v>
      </c>
      <c r="X1831">
        <v>1</v>
      </c>
      <c r="Y1831" t="s">
        <v>2717</v>
      </c>
      <c r="Z1831" t="s">
        <v>2684</v>
      </c>
      <c r="AA1831">
        <v>669516273102</v>
      </c>
      <c r="AB1831" t="s">
        <v>2615</v>
      </c>
      <c r="AC1831">
        <v>0</v>
      </c>
      <c r="AD1831">
        <v>6</v>
      </c>
      <c r="AE1831">
        <v>6695162731026</v>
      </c>
      <c r="AF1831" t="s">
        <v>6896</v>
      </c>
      <c r="AG1831">
        <v>0</v>
      </c>
      <c r="AH1831">
        <v>0</v>
      </c>
    </row>
    <row r="1832" spans="1:34">
      <c r="A1832">
        <v>2026</v>
      </c>
      <c r="B1832" s="1">
        <v>46054</v>
      </c>
      <c r="C1832" t="s">
        <v>2657</v>
      </c>
      <c r="D1832" t="s">
        <v>6899</v>
      </c>
      <c r="E1832" s="43">
        <v>46064.597651180557</v>
      </c>
      <c r="F1832" s="1">
        <v>46064</v>
      </c>
      <c r="G1832" s="43">
        <v>46070.877079861108</v>
      </c>
      <c r="H1832" t="s">
        <v>2725</v>
      </c>
      <c r="I1832" t="s">
        <v>2681</v>
      </c>
      <c r="J1832" t="s">
        <v>39</v>
      </c>
      <c r="L1832" t="s">
        <v>2336</v>
      </c>
      <c r="M1832">
        <v>669516273102</v>
      </c>
      <c r="N1832" t="s">
        <v>2702</v>
      </c>
      <c r="O1832" s="1">
        <v>45994</v>
      </c>
      <c r="T1832" t="s">
        <v>2662</v>
      </c>
      <c r="U1832" t="s">
        <v>6900</v>
      </c>
      <c r="V1832">
        <v>4</v>
      </c>
      <c r="W1832" t="s">
        <v>2677</v>
      </c>
      <c r="X1832">
        <v>1</v>
      </c>
      <c r="Y1832" t="s">
        <v>2807</v>
      </c>
      <c r="AA1832">
        <v>669516273102</v>
      </c>
      <c r="AB1832" t="s">
        <v>2615</v>
      </c>
      <c r="AC1832">
        <v>0</v>
      </c>
      <c r="AD1832">
        <v>7</v>
      </c>
      <c r="AE1832">
        <v>6695162731027</v>
      </c>
      <c r="AF1832" t="s">
        <v>6896</v>
      </c>
      <c r="AG1832">
        <v>1</v>
      </c>
      <c r="AH1832">
        <v>0</v>
      </c>
    </row>
    <row r="1833" spans="1:34">
      <c r="A1833">
        <v>2026</v>
      </c>
      <c r="B1833" s="1">
        <v>46054</v>
      </c>
      <c r="C1833" t="s">
        <v>2657</v>
      </c>
      <c r="D1833" t="s">
        <v>6901</v>
      </c>
      <c r="E1833" s="43">
        <v>46076.802952048609</v>
      </c>
      <c r="F1833" s="1">
        <v>46076</v>
      </c>
      <c r="G1833" s="43">
        <v>46080.659831631943</v>
      </c>
      <c r="H1833" t="s">
        <v>2725</v>
      </c>
      <c r="I1833" t="s">
        <v>2660</v>
      </c>
      <c r="J1833" t="s">
        <v>39</v>
      </c>
      <c r="L1833" t="s">
        <v>2336</v>
      </c>
      <c r="M1833">
        <v>669516273102</v>
      </c>
      <c r="N1833" t="s">
        <v>2702</v>
      </c>
      <c r="O1833" s="1">
        <v>45994</v>
      </c>
      <c r="T1833" t="s">
        <v>2662</v>
      </c>
      <c r="U1833" t="s">
        <v>6902</v>
      </c>
      <c r="V1833">
        <v>4</v>
      </c>
      <c r="X1833">
        <v>1</v>
      </c>
      <c r="Y1833" t="s">
        <v>2688</v>
      </c>
      <c r="AA1833">
        <v>669516273102</v>
      </c>
      <c r="AB1833" t="s">
        <v>2615</v>
      </c>
      <c r="AC1833">
        <v>0</v>
      </c>
      <c r="AD1833">
        <v>9</v>
      </c>
      <c r="AE1833">
        <v>6695162731029</v>
      </c>
      <c r="AF1833" t="s">
        <v>6896</v>
      </c>
      <c r="AG1833">
        <v>1</v>
      </c>
      <c r="AH1833">
        <v>0</v>
      </c>
    </row>
    <row r="1834" spans="1:34">
      <c r="A1834">
        <v>2025</v>
      </c>
      <c r="B1834" s="1">
        <v>45901</v>
      </c>
      <c r="C1834" t="s">
        <v>2657</v>
      </c>
      <c r="D1834" t="s">
        <v>6903</v>
      </c>
      <c r="E1834" s="43">
        <v>45908.629767812497</v>
      </c>
      <c r="F1834" s="1">
        <v>45908</v>
      </c>
      <c r="G1834" s="43">
        <v>45916.773323506946</v>
      </c>
      <c r="H1834" t="s">
        <v>2734</v>
      </c>
      <c r="I1834" t="s">
        <v>2681</v>
      </c>
      <c r="J1834" t="s">
        <v>38</v>
      </c>
      <c r="L1834" t="s">
        <v>2381</v>
      </c>
      <c r="M1834">
        <v>809933053402</v>
      </c>
      <c r="N1834" t="s">
        <v>2702</v>
      </c>
      <c r="O1834" s="1">
        <v>45669</v>
      </c>
      <c r="T1834" t="s">
        <v>2662</v>
      </c>
      <c r="U1834" t="s">
        <v>6904</v>
      </c>
      <c r="V1834">
        <v>6</v>
      </c>
      <c r="W1834" t="s">
        <v>2704</v>
      </c>
      <c r="X1834">
        <v>1</v>
      </c>
      <c r="Y1834" t="s">
        <v>2717</v>
      </c>
      <c r="AA1834">
        <v>24558652202</v>
      </c>
      <c r="AB1834" t="s">
        <v>102</v>
      </c>
      <c r="AC1834">
        <v>0</v>
      </c>
      <c r="AD1834">
        <v>37</v>
      </c>
      <c r="AE1834">
        <v>2455865220237</v>
      </c>
      <c r="AF1834" t="s">
        <v>6905</v>
      </c>
      <c r="AG1834">
        <v>0</v>
      </c>
      <c r="AH1834">
        <v>0</v>
      </c>
    </row>
    <row r="1835" spans="1:34">
      <c r="A1835">
        <v>2025</v>
      </c>
      <c r="B1835" s="1">
        <v>45901</v>
      </c>
      <c r="C1835" t="s">
        <v>2657</v>
      </c>
      <c r="D1835" t="s">
        <v>6906</v>
      </c>
      <c r="E1835" s="43">
        <v>45908.62861994213</v>
      </c>
      <c r="F1835" s="1">
        <v>45908</v>
      </c>
      <c r="G1835" s="43">
        <v>45919.61030659722</v>
      </c>
      <c r="H1835" t="s">
        <v>2734</v>
      </c>
      <c r="I1835" t="s">
        <v>2681</v>
      </c>
      <c r="J1835" t="s">
        <v>38</v>
      </c>
      <c r="L1835" t="s">
        <v>2381</v>
      </c>
      <c r="M1835">
        <v>727234475902</v>
      </c>
      <c r="N1835" t="s">
        <v>2702</v>
      </c>
      <c r="O1835" s="1">
        <v>45669</v>
      </c>
      <c r="T1835" t="s">
        <v>2662</v>
      </c>
      <c r="U1835" t="s">
        <v>6907</v>
      </c>
      <c r="V1835">
        <v>9</v>
      </c>
      <c r="W1835" t="s">
        <v>2704</v>
      </c>
      <c r="X1835">
        <v>1</v>
      </c>
      <c r="Y1835" t="s">
        <v>2717</v>
      </c>
      <c r="AA1835">
        <v>24558652202</v>
      </c>
      <c r="AB1835" t="s">
        <v>102</v>
      </c>
      <c r="AC1835">
        <v>0</v>
      </c>
      <c r="AD1835">
        <v>37</v>
      </c>
      <c r="AE1835">
        <v>2455865220237</v>
      </c>
      <c r="AF1835" t="s">
        <v>6905</v>
      </c>
      <c r="AG1835">
        <v>1</v>
      </c>
      <c r="AH1835">
        <v>1</v>
      </c>
    </row>
    <row r="1836" spans="1:34">
      <c r="A1836">
        <v>2025</v>
      </c>
      <c r="B1836" s="1">
        <v>45839</v>
      </c>
      <c r="C1836" t="s">
        <v>2657</v>
      </c>
      <c r="D1836" t="s">
        <v>6908</v>
      </c>
      <c r="E1836" s="43">
        <v>45861.598201539353</v>
      </c>
      <c r="F1836" s="1">
        <v>45861</v>
      </c>
      <c r="G1836" s="43">
        <v>45887.583814270831</v>
      </c>
      <c r="H1836" t="s">
        <v>2869</v>
      </c>
      <c r="I1836" t="s">
        <v>2660</v>
      </c>
      <c r="J1836" t="s">
        <v>2735</v>
      </c>
      <c r="L1836" t="s">
        <v>2362</v>
      </c>
      <c r="M1836">
        <v>361885515402</v>
      </c>
      <c r="N1836" t="s">
        <v>2746</v>
      </c>
      <c r="O1836" s="1">
        <v>45669</v>
      </c>
      <c r="T1836" t="s">
        <v>2662</v>
      </c>
      <c r="U1836" t="s">
        <v>6909</v>
      </c>
      <c r="V1836">
        <v>18</v>
      </c>
      <c r="W1836" t="s">
        <v>2743</v>
      </c>
      <c r="X1836">
        <v>1</v>
      </c>
      <c r="Y1836" t="s">
        <v>2688</v>
      </c>
      <c r="AA1836">
        <v>361885515402</v>
      </c>
      <c r="AB1836" t="s">
        <v>1603</v>
      </c>
      <c r="AC1836">
        <v>0</v>
      </c>
      <c r="AD1836">
        <v>30</v>
      </c>
      <c r="AE1836">
        <v>36188551540230</v>
      </c>
      <c r="AF1836" t="s">
        <v>6910</v>
      </c>
      <c r="AG1836">
        <v>1</v>
      </c>
      <c r="AH1836">
        <v>1</v>
      </c>
    </row>
    <row r="1837" spans="1:34">
      <c r="A1837">
        <v>2025</v>
      </c>
      <c r="B1837" s="1">
        <v>45839</v>
      </c>
      <c r="C1837" t="s">
        <v>2657</v>
      </c>
      <c r="D1837" t="s">
        <v>6911</v>
      </c>
      <c r="E1837" s="43">
        <v>45862.633206828701</v>
      </c>
      <c r="F1837" s="1">
        <v>45862</v>
      </c>
      <c r="G1837" s="43">
        <v>45888.859011863424</v>
      </c>
      <c r="H1837" t="s">
        <v>2869</v>
      </c>
      <c r="I1837" t="s">
        <v>2660</v>
      </c>
      <c r="J1837" t="s">
        <v>2735</v>
      </c>
      <c r="L1837" t="s">
        <v>2362</v>
      </c>
      <c r="M1837">
        <v>361885515402</v>
      </c>
      <c r="N1837" t="s">
        <v>2746</v>
      </c>
      <c r="O1837" s="1">
        <v>45669</v>
      </c>
      <c r="T1837" t="s">
        <v>2662</v>
      </c>
      <c r="U1837" t="s">
        <v>6912</v>
      </c>
      <c r="V1837">
        <v>18</v>
      </c>
      <c r="W1837" t="s">
        <v>2743</v>
      </c>
      <c r="X1837">
        <v>1</v>
      </c>
      <c r="Y1837" t="s">
        <v>2717</v>
      </c>
      <c r="Z1837" t="s">
        <v>2834</v>
      </c>
      <c r="AA1837">
        <v>361885515402</v>
      </c>
      <c r="AB1837" t="s">
        <v>1603</v>
      </c>
      <c r="AC1837">
        <v>0</v>
      </c>
      <c r="AD1837">
        <v>30</v>
      </c>
      <c r="AE1837">
        <v>36188551540230</v>
      </c>
      <c r="AF1837" t="s">
        <v>6910</v>
      </c>
      <c r="AG1837">
        <v>0</v>
      </c>
      <c r="AH1837">
        <v>0</v>
      </c>
    </row>
    <row r="1838" spans="1:34">
      <c r="A1838">
        <v>2025</v>
      </c>
      <c r="B1838" s="1">
        <v>45839</v>
      </c>
      <c r="C1838" t="s">
        <v>2657</v>
      </c>
      <c r="D1838" s="44" t="s">
        <v>6913</v>
      </c>
      <c r="E1838" s="43">
        <v>45863.769344074077</v>
      </c>
      <c r="F1838" s="1">
        <v>45863</v>
      </c>
      <c r="G1838" s="43">
        <v>45888.854565462963</v>
      </c>
      <c r="H1838" t="s">
        <v>2869</v>
      </c>
      <c r="I1838" t="s">
        <v>2660</v>
      </c>
      <c r="J1838" t="s">
        <v>2735</v>
      </c>
      <c r="L1838" t="s">
        <v>2362</v>
      </c>
      <c r="M1838">
        <v>361885515402</v>
      </c>
      <c r="N1838" t="s">
        <v>2746</v>
      </c>
      <c r="O1838" s="1">
        <v>45669</v>
      </c>
      <c r="T1838" t="s">
        <v>2662</v>
      </c>
      <c r="U1838" t="s">
        <v>6914</v>
      </c>
      <c r="V1838">
        <v>17</v>
      </c>
      <c r="W1838" t="s">
        <v>2677</v>
      </c>
      <c r="X1838">
        <v>1</v>
      </c>
      <c r="Y1838" t="s">
        <v>2807</v>
      </c>
      <c r="AA1838">
        <v>361885515402</v>
      </c>
      <c r="AB1838" t="s">
        <v>1603</v>
      </c>
      <c r="AC1838">
        <v>0</v>
      </c>
      <c r="AD1838">
        <v>30</v>
      </c>
      <c r="AE1838">
        <v>36188551540230</v>
      </c>
      <c r="AF1838" t="s">
        <v>6910</v>
      </c>
      <c r="AG1838">
        <v>0</v>
      </c>
      <c r="AH1838">
        <v>0</v>
      </c>
    </row>
    <row r="1839" spans="1:34">
      <c r="A1839">
        <v>2025</v>
      </c>
      <c r="B1839" s="1">
        <v>45839</v>
      </c>
      <c r="C1839" t="s">
        <v>2657</v>
      </c>
      <c r="D1839" t="s">
        <v>6915</v>
      </c>
      <c r="E1839" s="43">
        <v>45869.812178715278</v>
      </c>
      <c r="F1839" s="1">
        <v>45869</v>
      </c>
      <c r="G1839" s="43">
        <v>45887.581380706019</v>
      </c>
      <c r="H1839" t="s">
        <v>2869</v>
      </c>
      <c r="I1839" t="s">
        <v>2697</v>
      </c>
      <c r="J1839" t="s">
        <v>2735</v>
      </c>
      <c r="L1839" t="s">
        <v>2362</v>
      </c>
      <c r="M1839">
        <v>361885515402</v>
      </c>
      <c r="N1839" t="s">
        <v>2746</v>
      </c>
      <c r="O1839" s="1">
        <v>45669</v>
      </c>
      <c r="T1839" t="s">
        <v>2662</v>
      </c>
      <c r="U1839" t="s">
        <v>6173</v>
      </c>
      <c r="V1839">
        <v>12</v>
      </c>
      <c r="W1839" t="s">
        <v>2743</v>
      </c>
      <c r="X1839">
        <v>1</v>
      </c>
      <c r="Y1839" t="s">
        <v>2688</v>
      </c>
      <c r="AA1839">
        <v>361885515402</v>
      </c>
      <c r="AB1839" t="s">
        <v>1603</v>
      </c>
      <c r="AC1839">
        <v>0</v>
      </c>
      <c r="AD1839">
        <v>31</v>
      </c>
      <c r="AE1839">
        <v>36188551540231</v>
      </c>
      <c r="AF1839" t="s">
        <v>6910</v>
      </c>
      <c r="AG1839">
        <v>0</v>
      </c>
      <c r="AH1839">
        <v>0</v>
      </c>
    </row>
    <row r="1840" spans="1:34">
      <c r="A1840">
        <v>2025</v>
      </c>
      <c r="B1840" s="1">
        <v>45839</v>
      </c>
      <c r="C1840" t="s">
        <v>2657</v>
      </c>
      <c r="D1840" t="s">
        <v>6916</v>
      </c>
      <c r="E1840" s="43">
        <v>45867.568982974539</v>
      </c>
      <c r="F1840" s="1">
        <v>45867</v>
      </c>
      <c r="G1840" s="43">
        <v>45887.582818020834</v>
      </c>
      <c r="H1840" t="s">
        <v>2869</v>
      </c>
      <c r="I1840" t="s">
        <v>2697</v>
      </c>
      <c r="J1840" t="s">
        <v>2735</v>
      </c>
      <c r="L1840" t="s">
        <v>2362</v>
      </c>
      <c r="M1840">
        <v>361885515402</v>
      </c>
      <c r="N1840" t="s">
        <v>2746</v>
      </c>
      <c r="O1840" s="1">
        <v>45669</v>
      </c>
      <c r="T1840" t="s">
        <v>2662</v>
      </c>
      <c r="U1840" t="s">
        <v>6917</v>
      </c>
      <c r="V1840">
        <v>14</v>
      </c>
      <c r="W1840" t="s">
        <v>2671</v>
      </c>
      <c r="X1840">
        <v>1</v>
      </c>
      <c r="Y1840" t="s">
        <v>2764</v>
      </c>
      <c r="AA1840">
        <v>361885515402</v>
      </c>
      <c r="AB1840" t="s">
        <v>1603</v>
      </c>
      <c r="AC1840">
        <v>0</v>
      </c>
      <c r="AD1840">
        <v>31</v>
      </c>
      <c r="AE1840">
        <v>36188551540231</v>
      </c>
      <c r="AF1840" t="s">
        <v>6910</v>
      </c>
      <c r="AG1840">
        <v>1</v>
      </c>
      <c r="AH1840">
        <v>0</v>
      </c>
    </row>
    <row r="1841" spans="1:34">
      <c r="A1841">
        <v>2025</v>
      </c>
      <c r="B1841" s="1">
        <v>45931</v>
      </c>
      <c r="C1841" t="s">
        <v>2657</v>
      </c>
      <c r="D1841" t="s">
        <v>6918</v>
      </c>
      <c r="E1841" s="43">
        <v>45938.836563067132</v>
      </c>
      <c r="F1841" s="1">
        <v>45938</v>
      </c>
      <c r="G1841" s="43">
        <v>45940.630920960648</v>
      </c>
      <c r="H1841" t="s">
        <v>2659</v>
      </c>
      <c r="I1841" t="s">
        <v>2681</v>
      </c>
      <c r="J1841" t="s">
        <v>2735</v>
      </c>
      <c r="L1841" t="s">
        <v>2421</v>
      </c>
      <c r="M1841">
        <v>472181389102</v>
      </c>
      <c r="N1841" t="s">
        <v>2661</v>
      </c>
      <c r="O1841" s="1">
        <v>45294</v>
      </c>
      <c r="T1841" t="s">
        <v>2662</v>
      </c>
      <c r="U1841" t="s">
        <v>6919</v>
      </c>
      <c r="V1841">
        <v>2</v>
      </c>
      <c r="W1841" t="s">
        <v>2743</v>
      </c>
      <c r="X1841">
        <v>1</v>
      </c>
      <c r="Y1841" t="s">
        <v>2695</v>
      </c>
      <c r="AA1841">
        <v>472181389102</v>
      </c>
      <c r="AB1841" t="s">
        <v>1914</v>
      </c>
      <c r="AC1841">
        <v>0</v>
      </c>
      <c r="AD1841">
        <v>41</v>
      </c>
      <c r="AE1841">
        <v>47218138910241</v>
      </c>
      <c r="AF1841" t="s">
        <v>6920</v>
      </c>
      <c r="AG1841">
        <v>1</v>
      </c>
      <c r="AH1841">
        <v>1</v>
      </c>
    </row>
    <row r="1842" spans="1:34">
      <c r="A1842">
        <v>2025</v>
      </c>
      <c r="B1842" s="1">
        <v>45931</v>
      </c>
      <c r="C1842" t="s">
        <v>2657</v>
      </c>
      <c r="D1842" t="s">
        <v>6921</v>
      </c>
      <c r="E1842" s="43">
        <v>45944.554497083336</v>
      </c>
      <c r="F1842" s="1">
        <v>45944</v>
      </c>
      <c r="G1842" s="43">
        <v>45947.721707592595</v>
      </c>
      <c r="H1842" t="s">
        <v>2659</v>
      </c>
      <c r="I1842" t="s">
        <v>2681</v>
      </c>
      <c r="J1842" t="s">
        <v>37</v>
      </c>
      <c r="L1842" t="s">
        <v>2421</v>
      </c>
      <c r="M1842">
        <v>472181389102</v>
      </c>
      <c r="N1842" t="s">
        <v>2661</v>
      </c>
      <c r="O1842" s="1">
        <v>45294</v>
      </c>
      <c r="T1842" t="s">
        <v>2662</v>
      </c>
      <c r="U1842" t="s">
        <v>6922</v>
      </c>
      <c r="V1842">
        <v>3</v>
      </c>
      <c r="W1842" t="s">
        <v>2743</v>
      </c>
      <c r="X1842">
        <v>1</v>
      </c>
      <c r="Y1842" t="s">
        <v>2717</v>
      </c>
      <c r="Z1842" t="s">
        <v>2834</v>
      </c>
      <c r="AA1842">
        <v>472181389102</v>
      </c>
      <c r="AB1842" t="s">
        <v>1914</v>
      </c>
      <c r="AC1842">
        <v>0</v>
      </c>
      <c r="AD1842">
        <v>42</v>
      </c>
      <c r="AE1842">
        <v>47218138910242</v>
      </c>
      <c r="AF1842" t="s">
        <v>6920</v>
      </c>
      <c r="AG1842">
        <v>1</v>
      </c>
      <c r="AH1842">
        <v>0</v>
      </c>
    </row>
    <row r="1843" spans="1:34">
      <c r="A1843">
        <v>2025</v>
      </c>
      <c r="B1843" s="1">
        <v>45931</v>
      </c>
      <c r="C1843" t="s">
        <v>2657</v>
      </c>
      <c r="D1843" t="s">
        <v>6923</v>
      </c>
      <c r="E1843" s="43">
        <v>45946.583942789352</v>
      </c>
      <c r="F1843" s="1">
        <v>45946</v>
      </c>
      <c r="G1843" s="43">
        <v>45957.587522199072</v>
      </c>
      <c r="H1843" t="s">
        <v>2659</v>
      </c>
      <c r="I1843" t="s">
        <v>2719</v>
      </c>
      <c r="J1843" t="s">
        <v>37</v>
      </c>
      <c r="L1843" t="s">
        <v>2421</v>
      </c>
      <c r="M1843">
        <v>472181389102</v>
      </c>
      <c r="N1843" t="s">
        <v>2661</v>
      </c>
      <c r="O1843" s="1">
        <v>45294</v>
      </c>
      <c r="T1843" t="s">
        <v>2662</v>
      </c>
      <c r="U1843" t="s">
        <v>6924</v>
      </c>
      <c r="V1843">
        <v>7</v>
      </c>
      <c r="W1843" t="s">
        <v>2743</v>
      </c>
      <c r="X1843">
        <v>1</v>
      </c>
      <c r="Y1843" t="s">
        <v>2764</v>
      </c>
      <c r="AA1843">
        <v>472181389102</v>
      </c>
      <c r="AB1843" t="s">
        <v>1914</v>
      </c>
      <c r="AC1843">
        <v>0</v>
      </c>
      <c r="AD1843">
        <v>42</v>
      </c>
      <c r="AE1843">
        <v>47218138910242</v>
      </c>
      <c r="AF1843" t="s">
        <v>6920</v>
      </c>
      <c r="AG1843">
        <v>0</v>
      </c>
      <c r="AH1843">
        <v>0</v>
      </c>
    </row>
    <row r="1844" spans="1:34">
      <c r="A1844">
        <v>2025</v>
      </c>
      <c r="B1844" s="1">
        <v>45931</v>
      </c>
      <c r="C1844" t="s">
        <v>2657</v>
      </c>
      <c r="D1844" t="s">
        <v>6925</v>
      </c>
      <c r="E1844" s="43">
        <v>45960.624309722225</v>
      </c>
      <c r="F1844" s="1">
        <v>45960</v>
      </c>
      <c r="G1844" s="43">
        <v>45966.544619814813</v>
      </c>
      <c r="H1844" t="s">
        <v>2659</v>
      </c>
      <c r="I1844" t="s">
        <v>2697</v>
      </c>
      <c r="J1844" t="s">
        <v>37</v>
      </c>
      <c r="L1844" t="s">
        <v>2421</v>
      </c>
      <c r="M1844">
        <v>472181389102</v>
      </c>
      <c r="N1844" t="s">
        <v>2661</v>
      </c>
      <c r="O1844" s="1">
        <v>45294</v>
      </c>
      <c r="T1844" t="s">
        <v>2662</v>
      </c>
      <c r="U1844" t="s">
        <v>6926</v>
      </c>
      <c r="V1844">
        <v>4</v>
      </c>
      <c r="W1844" t="s">
        <v>2743</v>
      </c>
      <c r="X1844">
        <v>1</v>
      </c>
      <c r="Y1844" t="s">
        <v>2717</v>
      </c>
      <c r="AA1844">
        <v>472181389102</v>
      </c>
      <c r="AB1844" t="s">
        <v>1914</v>
      </c>
      <c r="AC1844">
        <v>0</v>
      </c>
      <c r="AD1844">
        <v>44</v>
      </c>
      <c r="AE1844">
        <v>47218138910244</v>
      </c>
      <c r="AF1844" t="s">
        <v>6920</v>
      </c>
      <c r="AG1844">
        <v>1</v>
      </c>
      <c r="AH1844">
        <v>0</v>
      </c>
    </row>
    <row r="1845" spans="1:34">
      <c r="A1845">
        <v>2026</v>
      </c>
      <c r="B1845" s="1">
        <v>46023</v>
      </c>
      <c r="C1845" t="s">
        <v>2657</v>
      </c>
      <c r="D1845" t="s">
        <v>6927</v>
      </c>
      <c r="E1845" s="43">
        <v>46028.535064699077</v>
      </c>
      <c r="F1845" s="1">
        <v>46028</v>
      </c>
      <c r="G1845" s="43">
        <v>46038.699099363424</v>
      </c>
      <c r="H1845" t="s">
        <v>2701</v>
      </c>
      <c r="I1845" t="s">
        <v>2669</v>
      </c>
      <c r="J1845" t="s">
        <v>36</v>
      </c>
      <c r="L1845" t="s">
        <v>2355</v>
      </c>
      <c r="M1845">
        <v>530870446802</v>
      </c>
      <c r="N1845" t="s">
        <v>2702</v>
      </c>
      <c r="O1845" s="1">
        <v>45661</v>
      </c>
      <c r="T1845" t="s">
        <v>2662</v>
      </c>
      <c r="U1845" t="s">
        <v>6928</v>
      </c>
      <c r="V1845">
        <v>8</v>
      </c>
      <c r="W1845" t="s">
        <v>2677</v>
      </c>
      <c r="X1845">
        <v>1</v>
      </c>
      <c r="Y1845" t="s">
        <v>2772</v>
      </c>
      <c r="AA1845">
        <v>530870446802</v>
      </c>
      <c r="AB1845" t="s">
        <v>1288</v>
      </c>
      <c r="AC1845">
        <v>0</v>
      </c>
      <c r="AD1845">
        <v>2</v>
      </c>
      <c r="AE1845">
        <v>5308704468022</v>
      </c>
      <c r="AF1845" t="s">
        <v>6929</v>
      </c>
      <c r="AG1845">
        <v>1</v>
      </c>
      <c r="AH1845">
        <v>1</v>
      </c>
    </row>
    <row r="1846" spans="1:34">
      <c r="A1846">
        <v>2026</v>
      </c>
      <c r="B1846" s="1">
        <v>46023</v>
      </c>
      <c r="C1846" t="s">
        <v>2657</v>
      </c>
      <c r="D1846" t="s">
        <v>6930</v>
      </c>
      <c r="E1846" s="43">
        <v>46029.764610092592</v>
      </c>
      <c r="F1846" s="1">
        <v>46029</v>
      </c>
      <c r="G1846" s="43">
        <v>46043.701014062499</v>
      </c>
      <c r="H1846" t="s">
        <v>2701</v>
      </c>
      <c r="I1846" t="s">
        <v>2669</v>
      </c>
      <c r="J1846" t="s">
        <v>38</v>
      </c>
      <c r="L1846" t="s">
        <v>2393</v>
      </c>
      <c r="M1846">
        <v>380157072302</v>
      </c>
      <c r="N1846" t="s">
        <v>2702</v>
      </c>
      <c r="O1846" s="1">
        <v>45294</v>
      </c>
      <c r="T1846" t="s">
        <v>2662</v>
      </c>
      <c r="U1846" t="s">
        <v>6931</v>
      </c>
      <c r="V1846">
        <v>10</v>
      </c>
      <c r="W1846" t="s">
        <v>2677</v>
      </c>
      <c r="X1846">
        <v>1</v>
      </c>
      <c r="Y1846" t="s">
        <v>2807</v>
      </c>
      <c r="AA1846">
        <v>380157072302</v>
      </c>
      <c r="AB1846" t="s">
        <v>2293</v>
      </c>
      <c r="AC1846">
        <v>0</v>
      </c>
      <c r="AD1846">
        <v>2</v>
      </c>
      <c r="AE1846">
        <v>3801570723022</v>
      </c>
      <c r="AF1846" t="s">
        <v>6932</v>
      </c>
      <c r="AG1846">
        <v>1</v>
      </c>
      <c r="AH1846">
        <v>1</v>
      </c>
    </row>
    <row r="1847" spans="1:34">
      <c r="A1847">
        <v>2026</v>
      </c>
      <c r="B1847" s="1">
        <v>46023</v>
      </c>
      <c r="C1847" t="s">
        <v>2657</v>
      </c>
      <c r="D1847" t="s">
        <v>6933</v>
      </c>
      <c r="E1847" s="43">
        <v>46050.699913854165</v>
      </c>
      <c r="F1847" s="1">
        <v>46050</v>
      </c>
      <c r="G1847" s="43">
        <v>46057.688173553244</v>
      </c>
      <c r="H1847" t="s">
        <v>2701</v>
      </c>
      <c r="I1847" t="s">
        <v>2660</v>
      </c>
      <c r="J1847" t="s">
        <v>38</v>
      </c>
      <c r="L1847" t="s">
        <v>2393</v>
      </c>
      <c r="M1847">
        <v>380157072302</v>
      </c>
      <c r="N1847" t="s">
        <v>2702</v>
      </c>
      <c r="O1847" s="1">
        <v>45294</v>
      </c>
      <c r="T1847" t="s">
        <v>2662</v>
      </c>
      <c r="U1847" t="s">
        <v>6934</v>
      </c>
      <c r="V1847">
        <v>5</v>
      </c>
      <c r="W1847" t="s">
        <v>2677</v>
      </c>
      <c r="X1847">
        <v>1</v>
      </c>
      <c r="Y1847" t="s">
        <v>2807</v>
      </c>
      <c r="AA1847">
        <v>380157072302</v>
      </c>
      <c r="AB1847" t="s">
        <v>2293</v>
      </c>
      <c r="AC1847">
        <v>0</v>
      </c>
      <c r="AD1847">
        <v>5</v>
      </c>
      <c r="AE1847">
        <v>3801570723025</v>
      </c>
      <c r="AF1847" t="s">
        <v>6932</v>
      </c>
      <c r="AG1847">
        <v>1</v>
      </c>
      <c r="AH1847">
        <v>0</v>
      </c>
    </row>
    <row r="1848" spans="1:34">
      <c r="A1848">
        <v>2025</v>
      </c>
      <c r="B1848" s="1">
        <v>45962</v>
      </c>
      <c r="C1848" t="s">
        <v>2657</v>
      </c>
      <c r="D1848" t="s">
        <v>6935</v>
      </c>
      <c r="E1848" s="43">
        <v>45974.806602569442</v>
      </c>
      <c r="F1848" s="1">
        <v>45974</v>
      </c>
      <c r="G1848" s="43">
        <v>45982.680669340276</v>
      </c>
      <c r="H1848" t="s">
        <v>2802</v>
      </c>
      <c r="I1848" t="s">
        <v>2681</v>
      </c>
      <c r="J1848" t="s">
        <v>36</v>
      </c>
      <c r="L1848" t="s">
        <v>2393</v>
      </c>
      <c r="M1848">
        <v>1121498636702</v>
      </c>
      <c r="N1848" t="s">
        <v>2661</v>
      </c>
      <c r="O1848" s="1">
        <v>45880</v>
      </c>
      <c r="T1848" t="s">
        <v>2662</v>
      </c>
      <c r="U1848" t="s">
        <v>6936</v>
      </c>
      <c r="V1848">
        <v>6</v>
      </c>
      <c r="X1848">
        <v>1</v>
      </c>
      <c r="Y1848" t="s">
        <v>2717</v>
      </c>
      <c r="AA1848">
        <v>72695582302</v>
      </c>
      <c r="AB1848" t="s">
        <v>707</v>
      </c>
      <c r="AC1848">
        <v>0</v>
      </c>
      <c r="AD1848">
        <v>46</v>
      </c>
      <c r="AE1848">
        <v>7269558230246</v>
      </c>
      <c r="AF1848" t="s">
        <v>6937</v>
      </c>
      <c r="AG1848">
        <v>1</v>
      </c>
      <c r="AH1848">
        <v>1</v>
      </c>
    </row>
    <row r="1849" spans="1:34">
      <c r="A1849">
        <v>2025</v>
      </c>
      <c r="B1849" s="1">
        <v>45962</v>
      </c>
      <c r="C1849" t="s">
        <v>2657</v>
      </c>
      <c r="D1849" t="s">
        <v>6938</v>
      </c>
      <c r="E1849" s="43">
        <v>45978.783485300926</v>
      </c>
      <c r="F1849" s="1">
        <v>45978</v>
      </c>
      <c r="G1849" s="43">
        <v>45985.86382958333</v>
      </c>
      <c r="H1849" t="s">
        <v>2802</v>
      </c>
      <c r="I1849" t="s">
        <v>2719</v>
      </c>
      <c r="J1849" t="s">
        <v>36</v>
      </c>
      <c r="L1849" t="s">
        <v>2393</v>
      </c>
      <c r="M1849">
        <v>72695582302</v>
      </c>
      <c r="N1849" t="s">
        <v>2702</v>
      </c>
      <c r="O1849" s="1">
        <v>45669</v>
      </c>
      <c r="T1849" t="s">
        <v>2662</v>
      </c>
      <c r="U1849" t="s">
        <v>6939</v>
      </c>
      <c r="V1849">
        <v>5</v>
      </c>
      <c r="W1849" t="s">
        <v>2677</v>
      </c>
      <c r="X1849">
        <v>1</v>
      </c>
      <c r="Y1849" t="s">
        <v>2760</v>
      </c>
      <c r="Z1849" t="s">
        <v>2684</v>
      </c>
      <c r="AA1849">
        <v>72695582302</v>
      </c>
      <c r="AB1849" t="s">
        <v>707</v>
      </c>
      <c r="AC1849">
        <v>0</v>
      </c>
      <c r="AD1849">
        <v>47</v>
      </c>
      <c r="AE1849">
        <v>7269558230247</v>
      </c>
      <c r="AF1849" t="s">
        <v>6937</v>
      </c>
      <c r="AG1849">
        <v>1</v>
      </c>
      <c r="AH1849">
        <v>0</v>
      </c>
    </row>
    <row r="1850" spans="1:34">
      <c r="A1850">
        <v>2025</v>
      </c>
      <c r="B1850" s="1">
        <v>45962</v>
      </c>
      <c r="C1850" t="s">
        <v>2657</v>
      </c>
      <c r="D1850" t="s">
        <v>6940</v>
      </c>
      <c r="E1850" s="43">
        <v>45985.517503229166</v>
      </c>
      <c r="F1850" s="1">
        <v>45985</v>
      </c>
      <c r="G1850" s="43">
        <v>45986.579863645835</v>
      </c>
      <c r="H1850" t="s">
        <v>2802</v>
      </c>
      <c r="I1850" t="s">
        <v>2660</v>
      </c>
      <c r="J1850" t="s">
        <v>36</v>
      </c>
      <c r="L1850" t="s">
        <v>2393</v>
      </c>
      <c r="M1850">
        <v>1121498636702</v>
      </c>
      <c r="N1850" t="s">
        <v>2661</v>
      </c>
      <c r="O1850" s="1">
        <v>45880</v>
      </c>
      <c r="T1850" t="s">
        <v>2662</v>
      </c>
      <c r="U1850" t="s">
        <v>6941</v>
      </c>
      <c r="V1850">
        <v>1</v>
      </c>
      <c r="X1850">
        <v>1</v>
      </c>
      <c r="Y1850" t="s">
        <v>2688</v>
      </c>
      <c r="AA1850">
        <v>72695582302</v>
      </c>
      <c r="AB1850" t="s">
        <v>707</v>
      </c>
      <c r="AC1850">
        <v>0</v>
      </c>
      <c r="AD1850">
        <v>48</v>
      </c>
      <c r="AE1850">
        <v>7269558230248</v>
      </c>
      <c r="AF1850" t="s">
        <v>6937</v>
      </c>
      <c r="AG1850">
        <v>1</v>
      </c>
      <c r="AH1850">
        <v>0</v>
      </c>
    </row>
    <row r="1851" spans="1:34">
      <c r="A1851">
        <v>2026</v>
      </c>
      <c r="B1851" s="1">
        <v>46054</v>
      </c>
      <c r="C1851" t="s">
        <v>2657</v>
      </c>
      <c r="D1851" t="s">
        <v>6942</v>
      </c>
      <c r="E1851" s="43">
        <v>46056.657175173612</v>
      </c>
      <c r="F1851" s="1">
        <v>46056</v>
      </c>
      <c r="G1851" s="43">
        <v>46064.879303171299</v>
      </c>
      <c r="H1851" t="s">
        <v>2725</v>
      </c>
      <c r="I1851" t="s">
        <v>2669</v>
      </c>
      <c r="J1851" t="s">
        <v>39</v>
      </c>
      <c r="L1851" t="s">
        <v>2362</v>
      </c>
      <c r="M1851">
        <v>46733383915</v>
      </c>
      <c r="N1851" t="s">
        <v>2746</v>
      </c>
      <c r="O1851" s="1">
        <v>45145</v>
      </c>
      <c r="T1851" t="s">
        <v>2662</v>
      </c>
      <c r="U1851" t="s">
        <v>6943</v>
      </c>
      <c r="V1851">
        <v>6</v>
      </c>
      <c r="W1851" t="s">
        <v>2677</v>
      </c>
      <c r="X1851">
        <v>1</v>
      </c>
      <c r="Y1851" t="s">
        <v>2772</v>
      </c>
      <c r="AA1851">
        <v>46733383915</v>
      </c>
      <c r="AB1851" t="s">
        <v>839</v>
      </c>
      <c r="AC1851">
        <v>0</v>
      </c>
      <c r="AD1851">
        <v>6</v>
      </c>
      <c r="AE1851">
        <v>467333839156</v>
      </c>
      <c r="AF1851" t="s">
        <v>6944</v>
      </c>
      <c r="AG1851">
        <v>1</v>
      </c>
      <c r="AH1851">
        <v>1</v>
      </c>
    </row>
    <row r="1852" spans="1:34">
      <c r="A1852">
        <v>2026</v>
      </c>
      <c r="B1852" s="1">
        <v>46054</v>
      </c>
      <c r="C1852" t="s">
        <v>2657</v>
      </c>
      <c r="D1852" t="s">
        <v>6945</v>
      </c>
      <c r="E1852" s="43">
        <v>46066.561172511574</v>
      </c>
      <c r="F1852" s="1">
        <v>46066</v>
      </c>
      <c r="G1852" s="43">
        <v>46078.687664976853</v>
      </c>
      <c r="H1852" t="s">
        <v>2725</v>
      </c>
      <c r="I1852" t="s">
        <v>2681</v>
      </c>
      <c r="J1852" t="s">
        <v>39</v>
      </c>
      <c r="L1852" t="s">
        <v>2362</v>
      </c>
      <c r="M1852">
        <v>46733383915</v>
      </c>
      <c r="N1852" t="s">
        <v>2746</v>
      </c>
      <c r="O1852" s="1">
        <v>45145</v>
      </c>
      <c r="T1852" t="s">
        <v>2662</v>
      </c>
      <c r="U1852" t="s">
        <v>6946</v>
      </c>
      <c r="V1852">
        <v>8</v>
      </c>
      <c r="W1852" t="s">
        <v>2677</v>
      </c>
      <c r="X1852">
        <v>1</v>
      </c>
      <c r="Y1852" t="s">
        <v>2760</v>
      </c>
      <c r="AA1852">
        <v>46733383915</v>
      </c>
      <c r="AB1852" t="s">
        <v>839</v>
      </c>
      <c r="AC1852">
        <v>0</v>
      </c>
      <c r="AD1852">
        <v>7</v>
      </c>
      <c r="AE1852">
        <v>467333839157</v>
      </c>
      <c r="AF1852" t="s">
        <v>6944</v>
      </c>
      <c r="AG1852">
        <v>1</v>
      </c>
      <c r="AH1852">
        <v>0</v>
      </c>
    </row>
    <row r="1853" spans="1:34">
      <c r="A1853">
        <v>2026</v>
      </c>
      <c r="B1853" s="1">
        <v>46054</v>
      </c>
      <c r="C1853" t="s">
        <v>2657</v>
      </c>
      <c r="D1853" t="s">
        <v>6947</v>
      </c>
      <c r="E1853" s="43">
        <v>46077.742424606484</v>
      </c>
      <c r="F1853" s="1">
        <v>46077</v>
      </c>
      <c r="G1853" s="43">
        <v>46080.659902118059</v>
      </c>
      <c r="H1853" t="s">
        <v>2725</v>
      </c>
      <c r="I1853" t="s">
        <v>2660</v>
      </c>
      <c r="J1853" t="s">
        <v>39</v>
      </c>
      <c r="L1853" t="s">
        <v>2362</v>
      </c>
      <c r="M1853">
        <v>46733383915</v>
      </c>
      <c r="N1853" t="s">
        <v>2746</v>
      </c>
      <c r="O1853" s="1">
        <v>45145</v>
      </c>
      <c r="T1853" t="s">
        <v>2662</v>
      </c>
      <c r="U1853" t="s">
        <v>6948</v>
      </c>
      <c r="V1853">
        <v>3</v>
      </c>
      <c r="W1853" t="s">
        <v>2677</v>
      </c>
      <c r="X1853">
        <v>1</v>
      </c>
      <c r="Y1853" t="s">
        <v>2772</v>
      </c>
      <c r="AA1853">
        <v>46733383915</v>
      </c>
      <c r="AB1853" t="s">
        <v>839</v>
      </c>
      <c r="AC1853">
        <v>0</v>
      </c>
      <c r="AD1853">
        <v>9</v>
      </c>
      <c r="AE1853">
        <v>467333839159</v>
      </c>
      <c r="AF1853" t="s">
        <v>6944</v>
      </c>
      <c r="AG1853">
        <v>0</v>
      </c>
      <c r="AH1853">
        <v>0</v>
      </c>
    </row>
    <row r="1854" spans="1:34">
      <c r="A1854">
        <v>2026</v>
      </c>
      <c r="B1854" s="1">
        <v>46054</v>
      </c>
      <c r="C1854" t="s">
        <v>2657</v>
      </c>
      <c r="D1854" t="s">
        <v>6949</v>
      </c>
      <c r="E1854" s="43">
        <v>46077.829557557867</v>
      </c>
      <c r="F1854" s="1">
        <v>46077</v>
      </c>
      <c r="G1854" s="43">
        <v>46084.624564618054</v>
      </c>
      <c r="H1854" t="s">
        <v>2725</v>
      </c>
      <c r="I1854" t="s">
        <v>2660</v>
      </c>
      <c r="J1854" t="s">
        <v>39</v>
      </c>
      <c r="L1854" t="s">
        <v>2362</v>
      </c>
      <c r="M1854">
        <v>46733383915</v>
      </c>
      <c r="N1854" t="s">
        <v>2746</v>
      </c>
      <c r="O1854" s="1">
        <v>45145</v>
      </c>
      <c r="T1854" t="s">
        <v>2662</v>
      </c>
      <c r="U1854" t="s">
        <v>6950</v>
      </c>
      <c r="V1854">
        <v>5</v>
      </c>
      <c r="W1854" t="s">
        <v>2671</v>
      </c>
      <c r="X1854">
        <v>1</v>
      </c>
      <c r="Y1854" t="s">
        <v>2764</v>
      </c>
      <c r="AA1854">
        <v>46733383915</v>
      </c>
      <c r="AB1854" t="s">
        <v>839</v>
      </c>
      <c r="AC1854">
        <v>0</v>
      </c>
      <c r="AD1854">
        <v>9</v>
      </c>
      <c r="AE1854">
        <v>467333839159</v>
      </c>
      <c r="AF1854" t="s">
        <v>6944</v>
      </c>
      <c r="AG1854">
        <v>0</v>
      </c>
      <c r="AH1854">
        <v>0</v>
      </c>
    </row>
    <row r="1855" spans="1:34">
      <c r="A1855">
        <v>2026</v>
      </c>
      <c r="B1855" s="1">
        <v>46054</v>
      </c>
      <c r="C1855" t="s">
        <v>2657</v>
      </c>
      <c r="D1855" t="s">
        <v>6951</v>
      </c>
      <c r="E1855" s="43">
        <v>46077.518774722223</v>
      </c>
      <c r="F1855" s="1">
        <v>46077</v>
      </c>
      <c r="G1855" s="43">
        <v>46080.616306284719</v>
      </c>
      <c r="H1855" t="s">
        <v>2725</v>
      </c>
      <c r="I1855" t="s">
        <v>2660</v>
      </c>
      <c r="J1855" t="s">
        <v>39</v>
      </c>
      <c r="L1855" t="s">
        <v>2362</v>
      </c>
      <c r="M1855">
        <v>46733383915</v>
      </c>
      <c r="N1855" t="s">
        <v>2746</v>
      </c>
      <c r="O1855" s="1">
        <v>45145</v>
      </c>
      <c r="T1855" t="s">
        <v>2662</v>
      </c>
      <c r="U1855" t="s">
        <v>6952</v>
      </c>
      <c r="V1855">
        <v>3</v>
      </c>
      <c r="W1855" t="s">
        <v>2677</v>
      </c>
      <c r="X1855">
        <v>1</v>
      </c>
      <c r="Y1855" t="s">
        <v>2760</v>
      </c>
      <c r="AA1855">
        <v>46733383915</v>
      </c>
      <c r="AB1855" t="s">
        <v>839</v>
      </c>
      <c r="AC1855">
        <v>0</v>
      </c>
      <c r="AD1855">
        <v>9</v>
      </c>
      <c r="AE1855">
        <v>467333839159</v>
      </c>
      <c r="AF1855" t="s">
        <v>6944</v>
      </c>
      <c r="AG1855">
        <v>1</v>
      </c>
      <c r="AH1855">
        <v>0</v>
      </c>
    </row>
    <row r="1856" spans="1:34">
      <c r="A1856">
        <v>2026</v>
      </c>
      <c r="B1856" s="1">
        <v>46023</v>
      </c>
      <c r="C1856" t="s">
        <v>2657</v>
      </c>
      <c r="D1856" t="s">
        <v>6953</v>
      </c>
      <c r="E1856" s="43">
        <v>46029.628298298609</v>
      </c>
      <c r="F1856" s="1">
        <v>46029</v>
      </c>
      <c r="G1856" s="43">
        <v>46035.570556354163</v>
      </c>
      <c r="H1856" t="s">
        <v>2701</v>
      </c>
      <c r="I1856" t="s">
        <v>2669</v>
      </c>
      <c r="J1856" t="s">
        <v>100</v>
      </c>
      <c r="L1856" t="s">
        <v>2381</v>
      </c>
      <c r="M1856">
        <v>549848560202</v>
      </c>
      <c r="N1856" t="s">
        <v>2702</v>
      </c>
      <c r="O1856" s="1">
        <v>45669</v>
      </c>
      <c r="T1856" t="s">
        <v>2662</v>
      </c>
      <c r="U1856" t="s">
        <v>6954</v>
      </c>
      <c r="V1856">
        <v>4</v>
      </c>
      <c r="W1856" t="s">
        <v>2704</v>
      </c>
      <c r="X1856">
        <v>1</v>
      </c>
      <c r="Y1856" t="s">
        <v>2721</v>
      </c>
      <c r="AA1856">
        <v>549848560202</v>
      </c>
      <c r="AB1856" t="s">
        <v>437</v>
      </c>
      <c r="AC1856">
        <v>0</v>
      </c>
      <c r="AD1856">
        <v>2</v>
      </c>
      <c r="AE1856">
        <v>5498485602022</v>
      </c>
      <c r="AF1856" t="s">
        <v>6955</v>
      </c>
      <c r="AG1856">
        <v>1</v>
      </c>
      <c r="AH1856">
        <v>1</v>
      </c>
    </row>
    <row r="1857" spans="1:35">
      <c r="A1857">
        <v>2026</v>
      </c>
      <c r="B1857" s="1">
        <v>46054</v>
      </c>
      <c r="C1857" t="s">
        <v>2657</v>
      </c>
      <c r="D1857" t="s">
        <v>6956</v>
      </c>
      <c r="E1857" s="43">
        <v>46077.813952199074</v>
      </c>
      <c r="F1857" s="1">
        <v>46077</v>
      </c>
      <c r="G1857" s="43">
        <v>46080.859095729167</v>
      </c>
      <c r="H1857" t="s">
        <v>2725</v>
      </c>
      <c r="I1857" t="s">
        <v>2660</v>
      </c>
      <c r="J1857" t="s">
        <v>38</v>
      </c>
      <c r="L1857" t="s">
        <v>2472</v>
      </c>
      <c r="M1857">
        <v>596977542502</v>
      </c>
      <c r="N1857" t="s">
        <v>2702</v>
      </c>
      <c r="O1857" s="1">
        <v>45524</v>
      </c>
      <c r="T1857" t="s">
        <v>2662</v>
      </c>
      <c r="U1857" t="s">
        <v>6957</v>
      </c>
      <c r="V1857">
        <v>3</v>
      </c>
      <c r="W1857" t="s">
        <v>2671</v>
      </c>
      <c r="X1857">
        <v>1</v>
      </c>
      <c r="Y1857" t="s">
        <v>2721</v>
      </c>
      <c r="AA1857">
        <v>509224899302</v>
      </c>
      <c r="AB1857" t="s">
        <v>1857</v>
      </c>
      <c r="AC1857">
        <v>1</v>
      </c>
      <c r="AD1857">
        <v>9</v>
      </c>
      <c r="AE1857">
        <v>5092248993029</v>
      </c>
      <c r="AF1857" t="s">
        <v>6958</v>
      </c>
      <c r="AG1857">
        <v>1</v>
      </c>
      <c r="AH1857">
        <v>1</v>
      </c>
    </row>
    <row r="1858" spans="1:35">
      <c r="A1858">
        <v>2026</v>
      </c>
      <c r="B1858" s="1">
        <v>46082</v>
      </c>
      <c r="C1858" t="s">
        <v>2657</v>
      </c>
      <c r="D1858" t="s">
        <v>6959</v>
      </c>
      <c r="E1858" s="43">
        <v>46084.67915773148</v>
      </c>
      <c r="F1858" s="1">
        <v>46084</v>
      </c>
      <c r="G1858" s="43">
        <v>46085.628800312501</v>
      </c>
      <c r="H1858" t="s">
        <v>2668</v>
      </c>
      <c r="I1858" t="s">
        <v>2669</v>
      </c>
      <c r="J1858" t="s">
        <v>39</v>
      </c>
      <c r="L1858" t="s">
        <v>2336</v>
      </c>
      <c r="M1858">
        <v>16898656902</v>
      </c>
      <c r="N1858" t="s">
        <v>2746</v>
      </c>
      <c r="O1858" s="1">
        <v>45661</v>
      </c>
      <c r="T1858" t="s">
        <v>2662</v>
      </c>
      <c r="U1858" t="s">
        <v>6960</v>
      </c>
      <c r="V1858">
        <v>1</v>
      </c>
      <c r="W1858" t="s">
        <v>2671</v>
      </c>
      <c r="X1858">
        <v>1</v>
      </c>
      <c r="Y1858" t="s">
        <v>2672</v>
      </c>
      <c r="AA1858">
        <v>16898656902</v>
      </c>
      <c r="AB1858" t="s">
        <v>1078</v>
      </c>
      <c r="AC1858">
        <v>0</v>
      </c>
      <c r="AD1858">
        <v>10</v>
      </c>
      <c r="AE1858">
        <v>1689865690210</v>
      </c>
      <c r="AF1858" t="s">
        <v>6961</v>
      </c>
      <c r="AG1858">
        <v>1</v>
      </c>
      <c r="AH1858">
        <v>1</v>
      </c>
      <c r="AI1858" t="s">
        <v>3001</v>
      </c>
    </row>
    <row r="1859" spans="1:35">
      <c r="A1859">
        <v>2026</v>
      </c>
      <c r="B1859" s="1">
        <v>46082</v>
      </c>
      <c r="C1859" t="s">
        <v>2657</v>
      </c>
      <c r="D1859" t="s">
        <v>6962</v>
      </c>
      <c r="E1859" s="43">
        <v>46087.654649039352</v>
      </c>
      <c r="F1859" s="1">
        <v>46087</v>
      </c>
      <c r="G1859" s="43">
        <v>46092.523190416665</v>
      </c>
      <c r="H1859" t="s">
        <v>2668</v>
      </c>
      <c r="I1859" t="s">
        <v>2669</v>
      </c>
      <c r="J1859" t="s">
        <v>39</v>
      </c>
      <c r="L1859" t="s">
        <v>2336</v>
      </c>
      <c r="M1859">
        <v>16898656902</v>
      </c>
      <c r="N1859" t="s">
        <v>2746</v>
      </c>
      <c r="O1859" s="1">
        <v>45661</v>
      </c>
      <c r="T1859" t="s">
        <v>2662</v>
      </c>
      <c r="U1859" t="s">
        <v>6963</v>
      </c>
      <c r="V1859">
        <v>3</v>
      </c>
      <c r="W1859" t="s">
        <v>2677</v>
      </c>
      <c r="X1859">
        <v>1</v>
      </c>
      <c r="Y1859" t="s">
        <v>2760</v>
      </c>
      <c r="AA1859">
        <v>16898656902</v>
      </c>
      <c r="AB1859" t="s">
        <v>1078</v>
      </c>
      <c r="AC1859">
        <v>0</v>
      </c>
      <c r="AD1859">
        <v>10</v>
      </c>
      <c r="AE1859">
        <v>1689865690210</v>
      </c>
      <c r="AF1859" t="s">
        <v>6961</v>
      </c>
      <c r="AG1859">
        <v>0</v>
      </c>
      <c r="AH1859">
        <v>0</v>
      </c>
    </row>
    <row r="1860" spans="1:35">
      <c r="A1860">
        <v>2026</v>
      </c>
      <c r="B1860" s="1">
        <v>46082</v>
      </c>
      <c r="C1860" t="s">
        <v>2657</v>
      </c>
      <c r="D1860" t="s">
        <v>6964</v>
      </c>
      <c r="E1860" s="43">
        <v>46090.838075902779</v>
      </c>
      <c r="F1860" s="1">
        <v>46090</v>
      </c>
      <c r="G1860" s="43">
        <v>46091.676655173615</v>
      </c>
      <c r="H1860" t="s">
        <v>2668</v>
      </c>
      <c r="I1860" t="s">
        <v>2681</v>
      </c>
      <c r="J1860" t="s">
        <v>39</v>
      </c>
      <c r="L1860" t="s">
        <v>2336</v>
      </c>
      <c r="M1860">
        <v>818862028802</v>
      </c>
      <c r="N1860" t="s">
        <v>2702</v>
      </c>
      <c r="O1860" s="1">
        <v>45673</v>
      </c>
      <c r="T1860" t="s">
        <v>2662</v>
      </c>
      <c r="U1860" t="s">
        <v>6965</v>
      </c>
      <c r="V1860">
        <v>1</v>
      </c>
      <c r="W1860" t="s">
        <v>2677</v>
      </c>
      <c r="X1860">
        <v>1</v>
      </c>
      <c r="Y1860" t="s">
        <v>2760</v>
      </c>
      <c r="AA1860">
        <v>16898656902</v>
      </c>
      <c r="AB1860" t="s">
        <v>1078</v>
      </c>
      <c r="AC1860">
        <v>0</v>
      </c>
      <c r="AD1860">
        <v>11</v>
      </c>
      <c r="AE1860">
        <v>1689865690211</v>
      </c>
      <c r="AF1860" t="s">
        <v>6961</v>
      </c>
      <c r="AG1860">
        <v>1</v>
      </c>
      <c r="AH1860">
        <v>0</v>
      </c>
    </row>
    <row r="1861" spans="1:35">
      <c r="A1861">
        <v>2026</v>
      </c>
      <c r="B1861" s="1">
        <v>46082</v>
      </c>
      <c r="C1861" t="s">
        <v>2657</v>
      </c>
      <c r="D1861" t="s">
        <v>6966</v>
      </c>
      <c r="E1861" s="43">
        <v>46093.619079039352</v>
      </c>
      <c r="F1861" s="1">
        <v>46093</v>
      </c>
      <c r="G1861" s="43">
        <v>46093.619079039352</v>
      </c>
      <c r="H1861" t="s">
        <v>2668</v>
      </c>
      <c r="I1861" t="s">
        <v>2681</v>
      </c>
      <c r="J1861" t="s">
        <v>39</v>
      </c>
      <c r="L1861" t="s">
        <v>2336</v>
      </c>
      <c r="M1861">
        <v>818862028802</v>
      </c>
      <c r="N1861" t="s">
        <v>2702</v>
      </c>
      <c r="O1861" s="1">
        <v>45673</v>
      </c>
      <c r="T1861" t="s">
        <v>2798</v>
      </c>
      <c r="U1861" t="s">
        <v>6967</v>
      </c>
      <c r="V1861">
        <v>1</v>
      </c>
      <c r="W1861" t="s">
        <v>2677</v>
      </c>
      <c r="X1861">
        <v>0</v>
      </c>
      <c r="Y1861" t="s">
        <v>2767</v>
      </c>
      <c r="AA1861">
        <v>16898656902</v>
      </c>
      <c r="AB1861" t="s">
        <v>1078</v>
      </c>
      <c r="AC1861">
        <v>1</v>
      </c>
      <c r="AD1861">
        <v>11</v>
      </c>
      <c r="AE1861">
        <v>1689865690211</v>
      </c>
      <c r="AF1861" t="s">
        <v>6961</v>
      </c>
      <c r="AG1861">
        <v>0</v>
      </c>
      <c r="AH1861">
        <v>0</v>
      </c>
    </row>
    <row r="1862" spans="1:35">
      <c r="A1862">
        <v>2025</v>
      </c>
      <c r="B1862" s="1">
        <v>45870</v>
      </c>
      <c r="C1862" t="s">
        <v>2657</v>
      </c>
      <c r="D1862" t="s">
        <v>6968</v>
      </c>
      <c r="E1862" s="43">
        <v>45875.702339618052</v>
      </c>
      <c r="F1862" s="1">
        <v>45875</v>
      </c>
      <c r="G1862" s="43">
        <v>45883.766039004629</v>
      </c>
      <c r="H1862" t="s">
        <v>3088</v>
      </c>
      <c r="I1862" t="s">
        <v>2669</v>
      </c>
      <c r="J1862" t="s">
        <v>38</v>
      </c>
      <c r="L1862" t="s">
        <v>2364</v>
      </c>
      <c r="M1862">
        <v>625725137302</v>
      </c>
      <c r="N1862" t="s">
        <v>2661</v>
      </c>
      <c r="O1862" s="1">
        <v>45294</v>
      </c>
      <c r="T1862" t="s">
        <v>2662</v>
      </c>
      <c r="U1862" t="s">
        <v>6969</v>
      </c>
      <c r="V1862">
        <v>6</v>
      </c>
      <c r="W1862" t="s">
        <v>2671</v>
      </c>
      <c r="X1862">
        <v>1</v>
      </c>
      <c r="Y1862" t="s">
        <v>2692</v>
      </c>
      <c r="AA1862">
        <v>625725137302</v>
      </c>
      <c r="AB1862" t="s">
        <v>1537</v>
      </c>
      <c r="AC1862">
        <v>0</v>
      </c>
      <c r="AD1862">
        <v>32</v>
      </c>
      <c r="AE1862">
        <v>62572513730232</v>
      </c>
      <c r="AF1862" t="s">
        <v>6970</v>
      </c>
      <c r="AG1862">
        <v>1</v>
      </c>
      <c r="AH1862">
        <v>1</v>
      </c>
    </row>
    <row r="1863" spans="1:35">
      <c r="A1863">
        <v>2025</v>
      </c>
      <c r="B1863" s="1">
        <v>45870</v>
      </c>
      <c r="C1863" t="s">
        <v>2657</v>
      </c>
      <c r="D1863" t="s">
        <v>6971</v>
      </c>
      <c r="E1863" s="43">
        <v>45877.854817546293</v>
      </c>
      <c r="F1863" s="1">
        <v>45877</v>
      </c>
      <c r="G1863" s="43">
        <v>45890.787858275464</v>
      </c>
      <c r="H1863" t="s">
        <v>3088</v>
      </c>
      <c r="I1863" t="s">
        <v>2681</v>
      </c>
      <c r="J1863" t="s">
        <v>38</v>
      </c>
      <c r="L1863" t="s">
        <v>2364</v>
      </c>
      <c r="M1863">
        <v>625725137302</v>
      </c>
      <c r="N1863" t="s">
        <v>2661</v>
      </c>
      <c r="O1863" s="1">
        <v>45294</v>
      </c>
      <c r="T1863" t="s">
        <v>2662</v>
      </c>
      <c r="U1863" t="s">
        <v>6972</v>
      </c>
      <c r="V1863">
        <v>9</v>
      </c>
      <c r="W1863" t="s">
        <v>2671</v>
      </c>
      <c r="X1863">
        <v>1</v>
      </c>
      <c r="Y1863" t="s">
        <v>2764</v>
      </c>
      <c r="AA1863">
        <v>625725137302</v>
      </c>
      <c r="AB1863" t="s">
        <v>1537</v>
      </c>
      <c r="AC1863">
        <v>0</v>
      </c>
      <c r="AD1863">
        <v>32</v>
      </c>
      <c r="AE1863">
        <v>62572513730232</v>
      </c>
      <c r="AF1863" t="s">
        <v>6970</v>
      </c>
      <c r="AG1863">
        <v>0</v>
      </c>
      <c r="AH1863">
        <v>0</v>
      </c>
    </row>
    <row r="1864" spans="1:35">
      <c r="A1864">
        <v>2025</v>
      </c>
      <c r="B1864" s="1">
        <v>45870</v>
      </c>
      <c r="C1864" t="s">
        <v>2657</v>
      </c>
      <c r="D1864" t="s">
        <v>6973</v>
      </c>
      <c r="E1864" s="43">
        <v>45877.869194479164</v>
      </c>
      <c r="F1864" s="1">
        <v>45877</v>
      </c>
      <c r="G1864" s="43">
        <v>45891.559187037034</v>
      </c>
      <c r="H1864" t="s">
        <v>3088</v>
      </c>
      <c r="I1864" t="s">
        <v>2681</v>
      </c>
      <c r="J1864" t="s">
        <v>38</v>
      </c>
      <c r="L1864" t="s">
        <v>2364</v>
      </c>
      <c r="M1864">
        <v>810505986102</v>
      </c>
      <c r="N1864" t="s">
        <v>2661</v>
      </c>
      <c r="O1864" s="1">
        <v>45492</v>
      </c>
      <c r="T1864" t="s">
        <v>2662</v>
      </c>
      <c r="U1864" t="s">
        <v>6974</v>
      </c>
      <c r="V1864">
        <v>10</v>
      </c>
      <c r="W1864" t="s">
        <v>2671</v>
      </c>
      <c r="X1864">
        <v>1</v>
      </c>
      <c r="Y1864" t="s">
        <v>2699</v>
      </c>
      <c r="Z1864" t="s">
        <v>2684</v>
      </c>
      <c r="AA1864">
        <v>625725137302</v>
      </c>
      <c r="AB1864" t="s">
        <v>1537</v>
      </c>
      <c r="AC1864">
        <v>0</v>
      </c>
      <c r="AD1864">
        <v>32</v>
      </c>
      <c r="AE1864">
        <v>62572513730232</v>
      </c>
      <c r="AF1864" t="s">
        <v>6970</v>
      </c>
      <c r="AG1864">
        <v>0</v>
      </c>
      <c r="AH1864">
        <v>0</v>
      </c>
    </row>
    <row r="1865" spans="1:35">
      <c r="A1865">
        <v>2025</v>
      </c>
      <c r="B1865" s="1">
        <v>45870</v>
      </c>
      <c r="C1865" t="s">
        <v>2657</v>
      </c>
      <c r="D1865" t="s">
        <v>6975</v>
      </c>
      <c r="E1865" s="43">
        <v>45890.781995266203</v>
      </c>
      <c r="F1865" s="1">
        <v>45890</v>
      </c>
      <c r="G1865" s="43">
        <v>45901.54724190972</v>
      </c>
      <c r="H1865" t="s">
        <v>3088</v>
      </c>
      <c r="I1865" t="s">
        <v>2719</v>
      </c>
      <c r="J1865" t="s">
        <v>38</v>
      </c>
      <c r="L1865" t="s">
        <v>2364</v>
      </c>
      <c r="M1865">
        <v>625725137302</v>
      </c>
      <c r="N1865" t="s">
        <v>2661</v>
      </c>
      <c r="O1865" s="1">
        <v>45294</v>
      </c>
      <c r="T1865" t="s">
        <v>2662</v>
      </c>
      <c r="U1865" t="s">
        <v>6976</v>
      </c>
      <c r="V1865">
        <v>7</v>
      </c>
      <c r="W1865" t="s">
        <v>2671</v>
      </c>
      <c r="X1865">
        <v>1</v>
      </c>
      <c r="Y1865" t="s">
        <v>2764</v>
      </c>
      <c r="AA1865">
        <v>625725137302</v>
      </c>
      <c r="AB1865" t="s">
        <v>1537</v>
      </c>
      <c r="AC1865">
        <v>0</v>
      </c>
      <c r="AD1865">
        <v>34</v>
      </c>
      <c r="AE1865">
        <v>62572513730234</v>
      </c>
      <c r="AF1865" t="s">
        <v>6970</v>
      </c>
      <c r="AG1865">
        <v>1</v>
      </c>
      <c r="AH1865">
        <v>0</v>
      </c>
    </row>
    <row r="1866" spans="1:35">
      <c r="A1866">
        <v>2025</v>
      </c>
      <c r="B1866" s="1">
        <v>45870</v>
      </c>
      <c r="C1866" t="s">
        <v>2657</v>
      </c>
      <c r="D1866" t="s">
        <v>6977</v>
      </c>
      <c r="E1866" s="43">
        <v>45890.784114837959</v>
      </c>
      <c r="F1866" s="1">
        <v>45890</v>
      </c>
      <c r="G1866" s="43">
        <v>45897.605745335648</v>
      </c>
      <c r="H1866" t="s">
        <v>3088</v>
      </c>
      <c r="I1866" t="s">
        <v>2719</v>
      </c>
      <c r="J1866" t="s">
        <v>38</v>
      </c>
      <c r="L1866" t="s">
        <v>2364</v>
      </c>
      <c r="M1866">
        <v>625725137302</v>
      </c>
      <c r="N1866" t="s">
        <v>2661</v>
      </c>
      <c r="O1866" s="1">
        <v>45294</v>
      </c>
      <c r="T1866" t="s">
        <v>2662</v>
      </c>
      <c r="U1866" t="s">
        <v>6978</v>
      </c>
      <c r="V1866">
        <v>5</v>
      </c>
      <c r="W1866" t="s">
        <v>2671</v>
      </c>
      <c r="X1866">
        <v>1</v>
      </c>
      <c r="Y1866" t="s">
        <v>2683</v>
      </c>
      <c r="AA1866">
        <v>625725137302</v>
      </c>
      <c r="AB1866" t="s">
        <v>1537</v>
      </c>
      <c r="AC1866">
        <v>0</v>
      </c>
      <c r="AD1866">
        <v>34</v>
      </c>
      <c r="AE1866">
        <v>62572513730234</v>
      </c>
      <c r="AF1866" t="s">
        <v>6970</v>
      </c>
      <c r="AG1866">
        <v>0</v>
      </c>
      <c r="AH1866">
        <v>0</v>
      </c>
    </row>
    <row r="1867" spans="1:35">
      <c r="A1867">
        <v>2025</v>
      </c>
      <c r="B1867" s="1">
        <v>45870</v>
      </c>
      <c r="C1867" t="s">
        <v>2657</v>
      </c>
      <c r="D1867" t="s">
        <v>6979</v>
      </c>
      <c r="E1867" s="43">
        <v>45890.782634282405</v>
      </c>
      <c r="F1867" s="1">
        <v>45890</v>
      </c>
      <c r="G1867" s="43">
        <v>45897.687646157407</v>
      </c>
      <c r="H1867" t="s">
        <v>3088</v>
      </c>
      <c r="I1867" t="s">
        <v>2719</v>
      </c>
      <c r="J1867" t="s">
        <v>38</v>
      </c>
      <c r="L1867" t="s">
        <v>2364</v>
      </c>
      <c r="M1867">
        <v>625725137302</v>
      </c>
      <c r="N1867" t="s">
        <v>2661</v>
      </c>
      <c r="O1867" s="1">
        <v>45294</v>
      </c>
      <c r="T1867" t="s">
        <v>2662</v>
      </c>
      <c r="U1867" t="s">
        <v>6980</v>
      </c>
      <c r="V1867">
        <v>5</v>
      </c>
      <c r="W1867" t="s">
        <v>2671</v>
      </c>
      <c r="X1867">
        <v>1</v>
      </c>
      <c r="Y1867" t="s">
        <v>2692</v>
      </c>
      <c r="AA1867">
        <v>625725137302</v>
      </c>
      <c r="AB1867" t="s">
        <v>1537</v>
      </c>
      <c r="AC1867">
        <v>0</v>
      </c>
      <c r="AD1867">
        <v>34</v>
      </c>
      <c r="AE1867">
        <v>62572513730234</v>
      </c>
      <c r="AF1867" t="s">
        <v>6970</v>
      </c>
      <c r="AG1867">
        <v>0</v>
      </c>
      <c r="AH1867">
        <v>0</v>
      </c>
    </row>
    <row r="1868" spans="1:35">
      <c r="A1868">
        <v>2025</v>
      </c>
      <c r="B1868" s="1">
        <v>45962</v>
      </c>
      <c r="C1868" t="s">
        <v>2657</v>
      </c>
      <c r="D1868" t="s">
        <v>6981</v>
      </c>
      <c r="E1868" s="43">
        <v>45975.885474710645</v>
      </c>
      <c r="F1868" s="1">
        <v>45975</v>
      </c>
      <c r="G1868" s="43">
        <v>45979.536218796296</v>
      </c>
      <c r="H1868" t="s">
        <v>2802</v>
      </c>
      <c r="I1868" t="s">
        <v>2681</v>
      </c>
      <c r="J1868" t="s">
        <v>36</v>
      </c>
      <c r="L1868" t="s">
        <v>2421</v>
      </c>
      <c r="M1868">
        <v>187533500102</v>
      </c>
      <c r="N1868" t="s">
        <v>2661</v>
      </c>
      <c r="O1868" s="1">
        <v>44830</v>
      </c>
      <c r="T1868" t="s">
        <v>2662</v>
      </c>
      <c r="U1868" t="s">
        <v>6982</v>
      </c>
      <c r="V1868">
        <v>2</v>
      </c>
      <c r="W1868" t="s">
        <v>2743</v>
      </c>
      <c r="X1868">
        <v>1</v>
      </c>
      <c r="Y1868" t="s">
        <v>2931</v>
      </c>
      <c r="Z1868" t="s">
        <v>2684</v>
      </c>
      <c r="AA1868">
        <v>187533500102</v>
      </c>
      <c r="AB1868" t="s">
        <v>1717</v>
      </c>
      <c r="AC1868">
        <v>0</v>
      </c>
      <c r="AD1868">
        <v>46</v>
      </c>
      <c r="AE1868">
        <v>18753350010246</v>
      </c>
      <c r="AF1868" t="s">
        <v>6983</v>
      </c>
      <c r="AG1868">
        <v>1</v>
      </c>
      <c r="AH1868">
        <v>1</v>
      </c>
    </row>
    <row r="1869" spans="1:35">
      <c r="A1869">
        <v>2025</v>
      </c>
      <c r="B1869" s="1">
        <v>45962</v>
      </c>
      <c r="C1869" t="s">
        <v>2657</v>
      </c>
      <c r="D1869" t="s">
        <v>6984</v>
      </c>
      <c r="E1869" s="43">
        <v>45975.901394432869</v>
      </c>
      <c r="F1869" s="1">
        <v>45975</v>
      </c>
      <c r="G1869" s="43">
        <v>45985.756707824075</v>
      </c>
      <c r="H1869" t="s">
        <v>2802</v>
      </c>
      <c r="I1869" t="s">
        <v>2681</v>
      </c>
      <c r="J1869" t="s">
        <v>36</v>
      </c>
      <c r="L1869" t="s">
        <v>2421</v>
      </c>
      <c r="M1869">
        <v>911633271302</v>
      </c>
      <c r="N1869" t="s">
        <v>2661</v>
      </c>
      <c r="O1869" s="1">
        <v>45569</v>
      </c>
      <c r="T1869" t="s">
        <v>2662</v>
      </c>
      <c r="U1869" t="s">
        <v>6985</v>
      </c>
      <c r="V1869">
        <v>6</v>
      </c>
      <c r="W1869" t="s">
        <v>2671</v>
      </c>
      <c r="X1869">
        <v>1</v>
      </c>
      <c r="Y1869" t="s">
        <v>2683</v>
      </c>
      <c r="Z1869" t="s">
        <v>2684</v>
      </c>
      <c r="AA1869">
        <v>187533500102</v>
      </c>
      <c r="AB1869" t="s">
        <v>1717</v>
      </c>
      <c r="AC1869">
        <v>0</v>
      </c>
      <c r="AD1869">
        <v>46</v>
      </c>
      <c r="AE1869">
        <v>18753350010246</v>
      </c>
      <c r="AF1869" t="s">
        <v>6983</v>
      </c>
      <c r="AG1869">
        <v>0</v>
      </c>
      <c r="AH1869">
        <v>0</v>
      </c>
    </row>
    <row r="1870" spans="1:35">
      <c r="A1870">
        <v>2025</v>
      </c>
      <c r="B1870" s="1">
        <v>45962</v>
      </c>
      <c r="C1870" t="s">
        <v>2657</v>
      </c>
      <c r="D1870" t="s">
        <v>6986</v>
      </c>
      <c r="E1870" s="43">
        <v>45987.586555983798</v>
      </c>
      <c r="F1870" s="1">
        <v>45987</v>
      </c>
      <c r="G1870" s="43">
        <v>45989.740116608795</v>
      </c>
      <c r="H1870" t="s">
        <v>2802</v>
      </c>
      <c r="I1870" t="s">
        <v>2660</v>
      </c>
      <c r="J1870" t="s">
        <v>36</v>
      </c>
      <c r="L1870" t="s">
        <v>2421</v>
      </c>
      <c r="M1870">
        <v>911633271302</v>
      </c>
      <c r="N1870" t="s">
        <v>2661</v>
      </c>
      <c r="O1870" s="1">
        <v>45569</v>
      </c>
      <c r="T1870" t="s">
        <v>2662</v>
      </c>
      <c r="U1870" t="s">
        <v>6987</v>
      </c>
      <c r="V1870">
        <v>2</v>
      </c>
      <c r="W1870" t="s">
        <v>2671</v>
      </c>
      <c r="X1870">
        <v>1</v>
      </c>
      <c r="Y1870" t="s">
        <v>2672</v>
      </c>
      <c r="AA1870">
        <v>187533500102</v>
      </c>
      <c r="AB1870" t="s">
        <v>1717</v>
      </c>
      <c r="AC1870">
        <v>0</v>
      </c>
      <c r="AD1870">
        <v>48</v>
      </c>
      <c r="AE1870">
        <v>18753350010248</v>
      </c>
      <c r="AF1870" t="s">
        <v>6983</v>
      </c>
      <c r="AG1870">
        <v>1</v>
      </c>
      <c r="AH1870">
        <v>0</v>
      </c>
    </row>
    <row r="1871" spans="1:35">
      <c r="A1871">
        <v>2026</v>
      </c>
      <c r="B1871" s="1">
        <v>46023</v>
      </c>
      <c r="C1871" t="s">
        <v>2657</v>
      </c>
      <c r="D1871" t="s">
        <v>6988</v>
      </c>
      <c r="E1871" s="43">
        <v>46028.523270543985</v>
      </c>
      <c r="F1871" s="1">
        <v>46028</v>
      </c>
      <c r="G1871" s="43">
        <v>46043.947341354164</v>
      </c>
      <c r="H1871" t="s">
        <v>2701</v>
      </c>
      <c r="I1871" t="s">
        <v>2669</v>
      </c>
      <c r="J1871" t="s">
        <v>36</v>
      </c>
      <c r="L1871" t="s">
        <v>2421</v>
      </c>
      <c r="M1871">
        <v>124090551902</v>
      </c>
      <c r="N1871" t="s">
        <v>2661</v>
      </c>
      <c r="O1871" s="1">
        <v>45541</v>
      </c>
      <c r="T1871" t="s">
        <v>2662</v>
      </c>
      <c r="U1871" t="s">
        <v>6989</v>
      </c>
      <c r="V1871">
        <v>11</v>
      </c>
      <c r="W1871" t="s">
        <v>2677</v>
      </c>
      <c r="X1871">
        <v>1</v>
      </c>
      <c r="Y1871" t="s">
        <v>2772</v>
      </c>
      <c r="Z1871" t="s">
        <v>2684</v>
      </c>
      <c r="AA1871">
        <v>124090551902</v>
      </c>
      <c r="AB1871" t="s">
        <v>1956</v>
      </c>
      <c r="AC1871">
        <v>0</v>
      </c>
      <c r="AD1871">
        <v>2</v>
      </c>
      <c r="AE1871">
        <v>1240905519022</v>
      </c>
      <c r="AF1871" t="s">
        <v>6990</v>
      </c>
      <c r="AG1871">
        <v>1</v>
      </c>
      <c r="AH1871">
        <v>1</v>
      </c>
    </row>
    <row r="1872" spans="1:35">
      <c r="A1872">
        <v>2026</v>
      </c>
      <c r="B1872" s="1">
        <v>46023</v>
      </c>
      <c r="C1872" t="s">
        <v>2657</v>
      </c>
      <c r="D1872" t="s">
        <v>6991</v>
      </c>
      <c r="E1872" s="43">
        <v>46030.568306562498</v>
      </c>
      <c r="F1872" s="1">
        <v>46030</v>
      </c>
      <c r="G1872" s="43">
        <v>46073.758221041666</v>
      </c>
      <c r="H1872" t="s">
        <v>2701</v>
      </c>
      <c r="I1872" t="s">
        <v>2681</v>
      </c>
      <c r="J1872" t="s">
        <v>36</v>
      </c>
      <c r="L1872" t="s">
        <v>2421</v>
      </c>
      <c r="M1872">
        <v>124090551902</v>
      </c>
      <c r="N1872" t="s">
        <v>2661</v>
      </c>
      <c r="O1872" s="1">
        <v>45541</v>
      </c>
      <c r="T1872" t="s">
        <v>2662</v>
      </c>
      <c r="U1872" t="s">
        <v>6992</v>
      </c>
      <c r="V1872">
        <v>31</v>
      </c>
      <c r="W1872" t="s">
        <v>2677</v>
      </c>
      <c r="X1872">
        <v>1</v>
      </c>
      <c r="Y1872" t="s">
        <v>2772</v>
      </c>
      <c r="Z1872" t="s">
        <v>2684</v>
      </c>
      <c r="AA1872">
        <v>124090551902</v>
      </c>
      <c r="AB1872" t="s">
        <v>1956</v>
      </c>
      <c r="AC1872">
        <v>0</v>
      </c>
      <c r="AD1872">
        <v>2</v>
      </c>
      <c r="AE1872">
        <v>1240905519022</v>
      </c>
      <c r="AF1872" t="s">
        <v>6990</v>
      </c>
      <c r="AG1872">
        <v>0</v>
      </c>
      <c r="AH1872">
        <v>0</v>
      </c>
    </row>
    <row r="1873" spans="1:35">
      <c r="A1873">
        <v>2026</v>
      </c>
      <c r="B1873" s="1">
        <v>46023</v>
      </c>
      <c r="C1873" t="s">
        <v>2657</v>
      </c>
      <c r="D1873" t="s">
        <v>6993</v>
      </c>
      <c r="E1873" s="43">
        <v>46043.516971122684</v>
      </c>
      <c r="F1873" s="1">
        <v>46043</v>
      </c>
      <c r="G1873" s="43">
        <v>46048.576190613428</v>
      </c>
      <c r="H1873" t="s">
        <v>2701</v>
      </c>
      <c r="I1873" t="s">
        <v>2719</v>
      </c>
      <c r="J1873" t="s">
        <v>36</v>
      </c>
      <c r="L1873" t="s">
        <v>2421</v>
      </c>
      <c r="M1873">
        <v>124090551902</v>
      </c>
      <c r="N1873" t="s">
        <v>2661</v>
      </c>
      <c r="O1873" s="1">
        <v>45541</v>
      </c>
      <c r="T1873" t="s">
        <v>2662</v>
      </c>
      <c r="U1873" t="s">
        <v>6994</v>
      </c>
      <c r="V1873">
        <v>3</v>
      </c>
      <c r="W1873" t="s">
        <v>2664</v>
      </c>
      <c r="X1873">
        <v>1</v>
      </c>
      <c r="Y1873" t="s">
        <v>2757</v>
      </c>
      <c r="AA1873">
        <v>124090551902</v>
      </c>
      <c r="AB1873" t="s">
        <v>1956</v>
      </c>
      <c r="AC1873">
        <v>0</v>
      </c>
      <c r="AD1873">
        <v>4</v>
      </c>
      <c r="AE1873">
        <v>1240905519024</v>
      </c>
      <c r="AF1873" t="s">
        <v>6990</v>
      </c>
      <c r="AG1873">
        <v>1</v>
      </c>
      <c r="AH1873">
        <v>0</v>
      </c>
    </row>
    <row r="1874" spans="1:35">
      <c r="A1874">
        <v>2026</v>
      </c>
      <c r="B1874" s="1">
        <v>46082</v>
      </c>
      <c r="C1874" t="s">
        <v>2657</v>
      </c>
      <c r="D1874" t="s">
        <v>6995</v>
      </c>
      <c r="E1874" s="43">
        <v>46084.932220185183</v>
      </c>
      <c r="F1874" s="1">
        <v>46084</v>
      </c>
      <c r="G1874" s="43">
        <v>46085.623372476854</v>
      </c>
      <c r="H1874" t="s">
        <v>2668</v>
      </c>
      <c r="I1874" t="s">
        <v>2669</v>
      </c>
      <c r="J1874" t="s">
        <v>36</v>
      </c>
      <c r="L1874" t="s">
        <v>2393</v>
      </c>
      <c r="M1874">
        <v>1121498636702</v>
      </c>
      <c r="N1874" t="s">
        <v>2661</v>
      </c>
      <c r="O1874" s="1">
        <v>45880</v>
      </c>
      <c r="T1874" t="s">
        <v>2662</v>
      </c>
      <c r="U1874" t="s">
        <v>6996</v>
      </c>
      <c r="V1874">
        <v>1</v>
      </c>
      <c r="W1874" t="s">
        <v>2677</v>
      </c>
      <c r="X1874">
        <v>1</v>
      </c>
      <c r="Y1874" t="s">
        <v>2779</v>
      </c>
      <c r="AA1874">
        <v>72695582302</v>
      </c>
      <c r="AB1874" t="s">
        <v>707</v>
      </c>
      <c r="AC1874">
        <v>0</v>
      </c>
      <c r="AD1874">
        <v>10</v>
      </c>
      <c r="AE1874">
        <v>7269558230210</v>
      </c>
      <c r="AF1874" t="s">
        <v>6997</v>
      </c>
      <c r="AG1874">
        <v>0</v>
      </c>
      <c r="AH1874">
        <v>0</v>
      </c>
    </row>
    <row r="1875" spans="1:35">
      <c r="A1875">
        <v>2026</v>
      </c>
      <c r="B1875" s="1">
        <v>46082</v>
      </c>
      <c r="C1875" t="s">
        <v>2657</v>
      </c>
      <c r="D1875" t="s">
        <v>6998</v>
      </c>
      <c r="E1875" s="43">
        <v>46085.673657685184</v>
      </c>
      <c r="F1875" s="1">
        <v>46085</v>
      </c>
      <c r="G1875" s="43">
        <v>46094.721695532404</v>
      </c>
      <c r="H1875" t="s">
        <v>2668</v>
      </c>
      <c r="I1875" t="s">
        <v>2669</v>
      </c>
      <c r="J1875" t="s">
        <v>36</v>
      </c>
      <c r="L1875" t="s">
        <v>2393</v>
      </c>
      <c r="M1875">
        <v>72695582302</v>
      </c>
      <c r="N1875" t="s">
        <v>2702</v>
      </c>
      <c r="O1875" s="1">
        <v>45669</v>
      </c>
      <c r="T1875" t="s">
        <v>2662</v>
      </c>
      <c r="U1875" t="s">
        <v>6999</v>
      </c>
      <c r="V1875">
        <v>7</v>
      </c>
      <c r="W1875" t="s">
        <v>2677</v>
      </c>
      <c r="X1875">
        <v>1</v>
      </c>
      <c r="Y1875" t="s">
        <v>2760</v>
      </c>
      <c r="AA1875">
        <v>72695582302</v>
      </c>
      <c r="AB1875" t="s">
        <v>707</v>
      </c>
      <c r="AC1875">
        <v>1</v>
      </c>
      <c r="AD1875">
        <v>10</v>
      </c>
      <c r="AE1875">
        <v>7269558230210</v>
      </c>
      <c r="AF1875" t="s">
        <v>6997</v>
      </c>
      <c r="AG1875">
        <v>0</v>
      </c>
      <c r="AH1875">
        <v>0</v>
      </c>
    </row>
    <row r="1876" spans="1:35">
      <c r="A1876">
        <v>2026</v>
      </c>
      <c r="B1876" s="1">
        <v>46082</v>
      </c>
      <c r="C1876" t="s">
        <v>2657</v>
      </c>
      <c r="D1876" t="s">
        <v>7000</v>
      </c>
      <c r="E1876" s="43">
        <v>46083.786074537034</v>
      </c>
      <c r="F1876" s="1">
        <v>46083</v>
      </c>
      <c r="G1876" s="43">
        <v>46085.558568761575</v>
      </c>
      <c r="H1876" t="s">
        <v>2668</v>
      </c>
      <c r="I1876" t="s">
        <v>2669</v>
      </c>
      <c r="J1876" t="s">
        <v>36</v>
      </c>
      <c r="L1876" t="s">
        <v>2393</v>
      </c>
      <c r="M1876">
        <v>72695582302</v>
      </c>
      <c r="N1876" t="s">
        <v>2702</v>
      </c>
      <c r="O1876" s="1">
        <v>45669</v>
      </c>
      <c r="T1876" t="s">
        <v>2662</v>
      </c>
      <c r="U1876" t="s">
        <v>7001</v>
      </c>
      <c r="V1876">
        <v>2</v>
      </c>
      <c r="W1876" t="s">
        <v>2677</v>
      </c>
      <c r="X1876">
        <v>1</v>
      </c>
      <c r="Y1876" t="s">
        <v>2760</v>
      </c>
      <c r="AA1876">
        <v>72695582302</v>
      </c>
      <c r="AB1876" t="s">
        <v>707</v>
      </c>
      <c r="AC1876">
        <v>0</v>
      </c>
      <c r="AD1876">
        <v>10</v>
      </c>
      <c r="AE1876">
        <v>7269558230210</v>
      </c>
      <c r="AF1876" t="s">
        <v>6997</v>
      </c>
      <c r="AG1876">
        <v>1</v>
      </c>
      <c r="AH1876">
        <v>1</v>
      </c>
    </row>
    <row r="1877" spans="1:35">
      <c r="A1877">
        <v>2026</v>
      </c>
      <c r="B1877" s="1">
        <v>46054</v>
      </c>
      <c r="C1877" t="s">
        <v>2657</v>
      </c>
      <c r="D1877" t="s">
        <v>7002</v>
      </c>
      <c r="E1877" s="43">
        <v>46065.874182164349</v>
      </c>
      <c r="F1877" s="1">
        <v>46065</v>
      </c>
      <c r="G1877" s="43">
        <v>46080.858902534725</v>
      </c>
      <c r="H1877" t="s">
        <v>2725</v>
      </c>
      <c r="I1877" t="s">
        <v>2681</v>
      </c>
      <c r="J1877" t="s">
        <v>38</v>
      </c>
      <c r="L1877" t="s">
        <v>2379</v>
      </c>
      <c r="M1877">
        <v>704260037202</v>
      </c>
      <c r="N1877" t="s">
        <v>2675</v>
      </c>
      <c r="O1877" s="1">
        <v>45448</v>
      </c>
      <c r="T1877" t="s">
        <v>2662</v>
      </c>
      <c r="U1877" t="s">
        <v>7003</v>
      </c>
      <c r="V1877">
        <v>11</v>
      </c>
      <c r="W1877" t="s">
        <v>2664</v>
      </c>
      <c r="X1877">
        <v>1</v>
      </c>
      <c r="Y1877" t="s">
        <v>2779</v>
      </c>
      <c r="AA1877">
        <v>244366726002</v>
      </c>
      <c r="AB1877" t="s">
        <v>398</v>
      </c>
      <c r="AC1877">
        <v>0</v>
      </c>
      <c r="AD1877">
        <v>7</v>
      </c>
      <c r="AE1877">
        <v>2443667260027</v>
      </c>
      <c r="AF1877" t="s">
        <v>7004</v>
      </c>
      <c r="AG1877">
        <v>0</v>
      </c>
      <c r="AH1877">
        <v>0</v>
      </c>
      <c r="AI1877" t="s">
        <v>3001</v>
      </c>
    </row>
    <row r="1878" spans="1:35">
      <c r="A1878">
        <v>2026</v>
      </c>
      <c r="B1878" s="1">
        <v>46054</v>
      </c>
      <c r="C1878" t="s">
        <v>2657</v>
      </c>
      <c r="D1878" t="s">
        <v>7005</v>
      </c>
      <c r="E1878" s="43">
        <v>46066.53242570602</v>
      </c>
      <c r="F1878" s="1">
        <v>46066</v>
      </c>
      <c r="G1878" s="43">
        <v>46080.858931134258</v>
      </c>
      <c r="H1878" t="s">
        <v>2725</v>
      </c>
      <c r="I1878" t="s">
        <v>2681</v>
      </c>
      <c r="J1878" t="s">
        <v>38</v>
      </c>
      <c r="L1878" t="s">
        <v>2379</v>
      </c>
      <c r="M1878">
        <v>704260037202</v>
      </c>
      <c r="N1878" t="s">
        <v>2675</v>
      </c>
      <c r="O1878" s="1">
        <v>45448</v>
      </c>
      <c r="T1878" t="s">
        <v>2662</v>
      </c>
      <c r="U1878" t="s">
        <v>7003</v>
      </c>
      <c r="V1878">
        <v>10</v>
      </c>
      <c r="W1878" t="s">
        <v>2664</v>
      </c>
      <c r="X1878">
        <v>1</v>
      </c>
      <c r="Y1878" t="s">
        <v>2779</v>
      </c>
      <c r="AA1878">
        <v>244366726002</v>
      </c>
      <c r="AB1878" t="s">
        <v>398</v>
      </c>
      <c r="AC1878">
        <v>1</v>
      </c>
      <c r="AD1878">
        <v>7</v>
      </c>
      <c r="AE1878">
        <v>2443667260027</v>
      </c>
      <c r="AF1878" t="s">
        <v>7004</v>
      </c>
      <c r="AG1878">
        <v>0</v>
      </c>
      <c r="AH1878">
        <v>0</v>
      </c>
      <c r="AI1878" t="s">
        <v>3001</v>
      </c>
    </row>
    <row r="1879" spans="1:35">
      <c r="A1879">
        <v>2026</v>
      </c>
      <c r="B1879" s="1">
        <v>46054</v>
      </c>
      <c r="C1879" t="s">
        <v>2657</v>
      </c>
      <c r="D1879" t="s">
        <v>7006</v>
      </c>
      <c r="E1879" s="43">
        <v>46065.873568240742</v>
      </c>
      <c r="F1879" s="1">
        <v>46065</v>
      </c>
      <c r="G1879" s="43">
        <v>46080.858959305559</v>
      </c>
      <c r="H1879" t="s">
        <v>2725</v>
      </c>
      <c r="I1879" t="s">
        <v>2681</v>
      </c>
      <c r="J1879" t="s">
        <v>38</v>
      </c>
      <c r="L1879" t="s">
        <v>2379</v>
      </c>
      <c r="M1879">
        <v>704260037202</v>
      </c>
      <c r="N1879" t="s">
        <v>2675</v>
      </c>
      <c r="O1879" s="1">
        <v>45448</v>
      </c>
      <c r="T1879" t="s">
        <v>2662</v>
      </c>
      <c r="U1879" t="s">
        <v>7003</v>
      </c>
      <c r="V1879">
        <v>11</v>
      </c>
      <c r="W1879" t="s">
        <v>2664</v>
      </c>
      <c r="X1879">
        <v>1</v>
      </c>
      <c r="Y1879" t="s">
        <v>2779</v>
      </c>
      <c r="AA1879">
        <v>244366726002</v>
      </c>
      <c r="AB1879" t="s">
        <v>398</v>
      </c>
      <c r="AC1879">
        <v>0</v>
      </c>
      <c r="AD1879">
        <v>7</v>
      </c>
      <c r="AE1879">
        <v>2443667260027</v>
      </c>
      <c r="AF1879" t="s">
        <v>7004</v>
      </c>
      <c r="AG1879">
        <v>1</v>
      </c>
      <c r="AH1879">
        <v>1</v>
      </c>
      <c r="AI1879" t="s">
        <v>3001</v>
      </c>
    </row>
    <row r="1880" spans="1:35">
      <c r="A1880">
        <v>2026</v>
      </c>
      <c r="B1880" s="1">
        <v>46054</v>
      </c>
      <c r="C1880" t="s">
        <v>2657</v>
      </c>
      <c r="D1880" t="s">
        <v>7007</v>
      </c>
      <c r="E1880" s="43">
        <v>46072.605383738424</v>
      </c>
      <c r="F1880" s="1">
        <v>46072</v>
      </c>
      <c r="G1880" s="43">
        <v>46080.537810057867</v>
      </c>
      <c r="H1880" t="s">
        <v>2725</v>
      </c>
      <c r="I1880" t="s">
        <v>2719</v>
      </c>
      <c r="J1880" t="s">
        <v>36</v>
      </c>
      <c r="L1880" t="s">
        <v>2472</v>
      </c>
      <c r="M1880">
        <v>538060269402</v>
      </c>
      <c r="N1880" t="s">
        <v>2702</v>
      </c>
      <c r="O1880" s="1">
        <v>46052</v>
      </c>
      <c r="T1880" t="s">
        <v>2662</v>
      </c>
      <c r="U1880" t="s">
        <v>7008</v>
      </c>
      <c r="V1880">
        <v>6</v>
      </c>
      <c r="W1880" t="s">
        <v>2671</v>
      </c>
      <c r="X1880">
        <v>1</v>
      </c>
      <c r="Y1880" t="s">
        <v>2683</v>
      </c>
      <c r="Z1880" t="s">
        <v>2684</v>
      </c>
      <c r="AA1880">
        <v>758979444002</v>
      </c>
      <c r="AB1880" t="s">
        <v>2574</v>
      </c>
      <c r="AC1880">
        <v>1</v>
      </c>
      <c r="AD1880">
        <v>8</v>
      </c>
      <c r="AE1880">
        <v>7589794440028</v>
      </c>
      <c r="AF1880" t="s">
        <v>7009</v>
      </c>
      <c r="AG1880">
        <v>1</v>
      </c>
      <c r="AH1880">
        <v>1</v>
      </c>
    </row>
    <row r="1881" spans="1:35">
      <c r="A1881">
        <v>2025</v>
      </c>
      <c r="B1881" s="1">
        <v>45962</v>
      </c>
      <c r="C1881" t="s">
        <v>2657</v>
      </c>
      <c r="D1881" t="s">
        <v>7010</v>
      </c>
      <c r="E1881" s="43">
        <v>45966.569357210647</v>
      </c>
      <c r="F1881" s="1">
        <v>45966</v>
      </c>
      <c r="G1881" s="43">
        <v>45982.717696377316</v>
      </c>
      <c r="H1881" t="s">
        <v>2802</v>
      </c>
      <c r="I1881" t="s">
        <v>2669</v>
      </c>
      <c r="J1881" t="s">
        <v>38</v>
      </c>
      <c r="L1881" t="s">
        <v>2355</v>
      </c>
      <c r="M1881">
        <v>60238888002</v>
      </c>
      <c r="N1881" t="s">
        <v>2702</v>
      </c>
      <c r="O1881" s="1">
        <v>45324</v>
      </c>
      <c r="T1881" t="s">
        <v>2662</v>
      </c>
      <c r="U1881" t="s">
        <v>7011</v>
      </c>
      <c r="V1881">
        <v>12</v>
      </c>
      <c r="W1881" t="s">
        <v>2677</v>
      </c>
      <c r="X1881">
        <v>1</v>
      </c>
      <c r="Y1881" t="s">
        <v>2760</v>
      </c>
      <c r="AA1881">
        <v>60238888002</v>
      </c>
      <c r="AB1881" t="s">
        <v>1024</v>
      </c>
      <c r="AC1881">
        <v>0</v>
      </c>
      <c r="AD1881">
        <v>45</v>
      </c>
      <c r="AE1881">
        <v>6023888800245</v>
      </c>
      <c r="AF1881" t="s">
        <v>7012</v>
      </c>
      <c r="AG1881">
        <v>1</v>
      </c>
      <c r="AH1881">
        <v>1</v>
      </c>
    </row>
    <row r="1882" spans="1:35">
      <c r="A1882">
        <v>2025</v>
      </c>
      <c r="B1882" s="1">
        <v>45962</v>
      </c>
      <c r="C1882" t="s">
        <v>2657</v>
      </c>
      <c r="D1882" t="s">
        <v>7013</v>
      </c>
      <c r="E1882" s="43">
        <v>45966.691655208335</v>
      </c>
      <c r="F1882" s="1">
        <v>45966</v>
      </c>
      <c r="G1882" s="43">
        <v>45978.691947951389</v>
      </c>
      <c r="H1882" t="s">
        <v>2802</v>
      </c>
      <c r="I1882" t="s">
        <v>2669</v>
      </c>
      <c r="J1882" t="s">
        <v>38</v>
      </c>
      <c r="L1882" t="s">
        <v>2355</v>
      </c>
      <c r="M1882">
        <v>60238888002</v>
      </c>
      <c r="N1882" t="s">
        <v>2702</v>
      </c>
      <c r="O1882" s="1">
        <v>45324</v>
      </c>
      <c r="T1882" t="s">
        <v>2662</v>
      </c>
      <c r="U1882" t="s">
        <v>7014</v>
      </c>
      <c r="V1882">
        <v>8</v>
      </c>
      <c r="W1882" t="s">
        <v>2704</v>
      </c>
      <c r="X1882">
        <v>1</v>
      </c>
      <c r="Y1882" t="s">
        <v>2721</v>
      </c>
      <c r="AA1882">
        <v>60238888002</v>
      </c>
      <c r="AB1882" t="s">
        <v>1024</v>
      </c>
      <c r="AC1882">
        <v>0</v>
      </c>
      <c r="AD1882">
        <v>45</v>
      </c>
      <c r="AE1882">
        <v>6023888800245</v>
      </c>
      <c r="AF1882" t="s">
        <v>7012</v>
      </c>
      <c r="AG1882">
        <v>0</v>
      </c>
      <c r="AH1882">
        <v>0</v>
      </c>
    </row>
    <row r="1883" spans="1:35">
      <c r="A1883">
        <v>2025</v>
      </c>
      <c r="B1883" s="1">
        <v>45962</v>
      </c>
      <c r="C1883" t="s">
        <v>2657</v>
      </c>
      <c r="D1883" t="s">
        <v>7015</v>
      </c>
      <c r="E1883" s="43">
        <v>45980.584730949071</v>
      </c>
      <c r="F1883" s="1">
        <v>45980</v>
      </c>
      <c r="G1883" s="43">
        <v>45980.584730949071</v>
      </c>
      <c r="H1883" t="s">
        <v>2802</v>
      </c>
      <c r="I1883" t="s">
        <v>2719</v>
      </c>
      <c r="J1883" t="s">
        <v>38</v>
      </c>
      <c r="L1883" t="s">
        <v>2355</v>
      </c>
      <c r="M1883">
        <v>60238888002</v>
      </c>
      <c r="N1883" t="s">
        <v>2702</v>
      </c>
      <c r="O1883" s="1">
        <v>45324</v>
      </c>
      <c r="T1883" t="s">
        <v>2662</v>
      </c>
      <c r="U1883" t="s">
        <v>7016</v>
      </c>
      <c r="V1883">
        <v>0</v>
      </c>
      <c r="W1883" t="s">
        <v>2664</v>
      </c>
      <c r="X1883">
        <v>1</v>
      </c>
      <c r="Y1883" t="s">
        <v>2695</v>
      </c>
      <c r="AA1883">
        <v>60238888002</v>
      </c>
      <c r="AB1883" t="s">
        <v>1024</v>
      </c>
      <c r="AC1883">
        <v>0</v>
      </c>
      <c r="AD1883">
        <v>47</v>
      </c>
      <c r="AE1883">
        <v>6023888800247</v>
      </c>
      <c r="AF1883" t="s">
        <v>7012</v>
      </c>
      <c r="AG1883">
        <v>0</v>
      </c>
      <c r="AH1883">
        <v>0</v>
      </c>
    </row>
    <row r="1884" spans="1:35">
      <c r="A1884">
        <v>2025</v>
      </c>
      <c r="B1884" s="1">
        <v>45962</v>
      </c>
      <c r="C1884" t="s">
        <v>2657</v>
      </c>
      <c r="D1884" t="s">
        <v>7017</v>
      </c>
      <c r="E1884" s="43">
        <v>45978.88773584491</v>
      </c>
      <c r="F1884" s="1">
        <v>45978</v>
      </c>
      <c r="G1884" s="43">
        <v>45979.697809074074</v>
      </c>
      <c r="H1884" t="s">
        <v>2802</v>
      </c>
      <c r="I1884" t="s">
        <v>2719</v>
      </c>
      <c r="J1884" t="s">
        <v>38</v>
      </c>
      <c r="L1884" t="s">
        <v>2355</v>
      </c>
      <c r="M1884">
        <v>60238888002</v>
      </c>
      <c r="N1884" t="s">
        <v>2702</v>
      </c>
      <c r="O1884" s="1">
        <v>45324</v>
      </c>
      <c r="T1884" t="s">
        <v>2662</v>
      </c>
      <c r="U1884" t="s">
        <v>7018</v>
      </c>
      <c r="V1884">
        <v>1</v>
      </c>
      <c r="W1884" t="s">
        <v>2677</v>
      </c>
      <c r="X1884">
        <v>1</v>
      </c>
      <c r="Y1884" t="s">
        <v>2807</v>
      </c>
      <c r="AA1884">
        <v>60238888002</v>
      </c>
      <c r="AB1884" t="s">
        <v>1024</v>
      </c>
      <c r="AC1884">
        <v>0</v>
      </c>
      <c r="AD1884">
        <v>47</v>
      </c>
      <c r="AE1884">
        <v>6023888800247</v>
      </c>
      <c r="AF1884" t="s">
        <v>7012</v>
      </c>
      <c r="AG1884">
        <v>1</v>
      </c>
      <c r="AH1884">
        <v>0</v>
      </c>
    </row>
    <row r="1885" spans="1:35">
      <c r="A1885">
        <v>2025</v>
      </c>
      <c r="B1885" s="1">
        <v>45962</v>
      </c>
      <c r="C1885" t="s">
        <v>2657</v>
      </c>
      <c r="D1885" t="s">
        <v>7019</v>
      </c>
      <c r="E1885" s="43">
        <v>45980.600168321762</v>
      </c>
      <c r="F1885" s="1">
        <v>45980</v>
      </c>
      <c r="G1885" s="43">
        <v>45992.62609189815</v>
      </c>
      <c r="H1885" t="s">
        <v>2802</v>
      </c>
      <c r="I1885" t="s">
        <v>2719</v>
      </c>
      <c r="J1885" t="s">
        <v>38</v>
      </c>
      <c r="L1885" t="s">
        <v>2355</v>
      </c>
      <c r="M1885">
        <v>60238888002</v>
      </c>
      <c r="N1885" t="s">
        <v>2702</v>
      </c>
      <c r="O1885" s="1">
        <v>45324</v>
      </c>
      <c r="T1885" t="s">
        <v>2662</v>
      </c>
      <c r="U1885" t="s">
        <v>7020</v>
      </c>
      <c r="V1885">
        <v>8</v>
      </c>
      <c r="W1885" t="s">
        <v>2704</v>
      </c>
      <c r="X1885">
        <v>1</v>
      </c>
      <c r="Y1885" t="s">
        <v>2710</v>
      </c>
      <c r="AA1885">
        <v>60238888002</v>
      </c>
      <c r="AB1885" t="s">
        <v>1024</v>
      </c>
      <c r="AC1885">
        <v>0</v>
      </c>
      <c r="AD1885">
        <v>47</v>
      </c>
      <c r="AE1885">
        <v>6023888800247</v>
      </c>
      <c r="AF1885" t="s">
        <v>7012</v>
      </c>
      <c r="AG1885">
        <v>0</v>
      </c>
      <c r="AH1885">
        <v>0</v>
      </c>
    </row>
    <row r="1886" spans="1:35">
      <c r="A1886">
        <v>2025</v>
      </c>
      <c r="B1886" s="1">
        <v>45962</v>
      </c>
      <c r="C1886" t="s">
        <v>2657</v>
      </c>
      <c r="D1886" t="s">
        <v>7021</v>
      </c>
      <c r="E1886" s="43">
        <v>45978.888986226855</v>
      </c>
      <c r="F1886" s="1">
        <v>45978</v>
      </c>
      <c r="G1886" s="43">
        <v>45980.845170219909</v>
      </c>
      <c r="H1886" t="s">
        <v>2802</v>
      </c>
      <c r="I1886" t="s">
        <v>2719</v>
      </c>
      <c r="J1886" t="s">
        <v>38</v>
      </c>
      <c r="L1886" t="s">
        <v>2355</v>
      </c>
      <c r="M1886">
        <v>60238888002</v>
      </c>
      <c r="N1886" t="s">
        <v>2702</v>
      </c>
      <c r="O1886" s="1">
        <v>45324</v>
      </c>
      <c r="T1886" t="s">
        <v>2662</v>
      </c>
      <c r="U1886" t="s">
        <v>7022</v>
      </c>
      <c r="V1886">
        <v>2</v>
      </c>
      <c r="W1886" t="s">
        <v>2664</v>
      </c>
      <c r="X1886">
        <v>1</v>
      </c>
      <c r="Y1886" t="s">
        <v>2717</v>
      </c>
      <c r="AA1886">
        <v>60238888002</v>
      </c>
      <c r="AB1886" t="s">
        <v>1024</v>
      </c>
      <c r="AC1886">
        <v>0</v>
      </c>
      <c r="AD1886">
        <v>47</v>
      </c>
      <c r="AE1886">
        <v>6023888800247</v>
      </c>
      <c r="AF1886" t="s">
        <v>7012</v>
      </c>
      <c r="AG1886">
        <v>0</v>
      </c>
      <c r="AH1886">
        <v>0</v>
      </c>
    </row>
    <row r="1887" spans="1:35">
      <c r="A1887">
        <v>2025</v>
      </c>
      <c r="B1887" s="1">
        <v>45962</v>
      </c>
      <c r="C1887" t="s">
        <v>2657</v>
      </c>
      <c r="D1887" t="s">
        <v>7023</v>
      </c>
      <c r="E1887" s="43">
        <v>45982.692092199075</v>
      </c>
      <c r="F1887" s="1">
        <v>45982</v>
      </c>
      <c r="G1887" s="43">
        <v>45982.717946249999</v>
      </c>
      <c r="H1887" t="s">
        <v>2802</v>
      </c>
      <c r="I1887" t="s">
        <v>2719</v>
      </c>
      <c r="J1887" t="s">
        <v>38</v>
      </c>
      <c r="L1887" t="s">
        <v>2355</v>
      </c>
      <c r="M1887">
        <v>60238888002</v>
      </c>
      <c r="N1887" t="s">
        <v>2702</v>
      </c>
      <c r="O1887" s="1">
        <v>45324</v>
      </c>
      <c r="T1887" t="s">
        <v>2662</v>
      </c>
      <c r="V1887">
        <v>0</v>
      </c>
      <c r="W1887" t="s">
        <v>2704</v>
      </c>
      <c r="X1887">
        <v>1</v>
      </c>
      <c r="Y1887" t="s">
        <v>2710</v>
      </c>
      <c r="AA1887">
        <v>60238888002</v>
      </c>
      <c r="AB1887" t="s">
        <v>1024</v>
      </c>
      <c r="AC1887">
        <v>0</v>
      </c>
      <c r="AD1887">
        <v>47</v>
      </c>
      <c r="AE1887">
        <v>6023888800247</v>
      </c>
      <c r="AF1887" t="s">
        <v>7012</v>
      </c>
      <c r="AG1887">
        <v>0</v>
      </c>
      <c r="AH1887">
        <v>0</v>
      </c>
    </row>
    <row r="1888" spans="1:35">
      <c r="A1888">
        <v>2025</v>
      </c>
      <c r="B1888" s="1">
        <v>45962</v>
      </c>
      <c r="C1888" t="s">
        <v>2657</v>
      </c>
      <c r="D1888" t="s">
        <v>7024</v>
      </c>
      <c r="E1888" s="43">
        <v>45986.78199693287</v>
      </c>
      <c r="F1888" s="1">
        <v>45986</v>
      </c>
      <c r="G1888" s="43">
        <v>45988.913081840277</v>
      </c>
      <c r="H1888" t="s">
        <v>2802</v>
      </c>
      <c r="I1888" t="s">
        <v>2660</v>
      </c>
      <c r="J1888" t="s">
        <v>38</v>
      </c>
      <c r="L1888" t="s">
        <v>2355</v>
      </c>
      <c r="M1888">
        <v>60238888002</v>
      </c>
      <c r="N1888" t="s">
        <v>2702</v>
      </c>
      <c r="O1888" s="1">
        <v>45324</v>
      </c>
      <c r="T1888" t="s">
        <v>2662</v>
      </c>
      <c r="U1888" t="s">
        <v>7025</v>
      </c>
      <c r="V1888">
        <v>2</v>
      </c>
      <c r="W1888" t="s">
        <v>2677</v>
      </c>
      <c r="X1888">
        <v>1</v>
      </c>
      <c r="Y1888" t="s">
        <v>2807</v>
      </c>
      <c r="AA1888">
        <v>60238888002</v>
      </c>
      <c r="AB1888" t="s">
        <v>1024</v>
      </c>
      <c r="AC1888">
        <v>0</v>
      </c>
      <c r="AD1888">
        <v>48</v>
      </c>
      <c r="AE1888">
        <v>6023888800248</v>
      </c>
      <c r="AF1888" t="s">
        <v>7012</v>
      </c>
      <c r="AG1888">
        <v>1</v>
      </c>
      <c r="AH1888">
        <v>0</v>
      </c>
    </row>
    <row r="1889" spans="1:34">
      <c r="A1889">
        <v>2025</v>
      </c>
      <c r="B1889" s="1">
        <v>45870</v>
      </c>
      <c r="C1889" t="s">
        <v>2657</v>
      </c>
      <c r="D1889" t="s">
        <v>7026</v>
      </c>
      <c r="E1889" s="43">
        <v>45883.641493020834</v>
      </c>
      <c r="F1889" s="1">
        <v>45883</v>
      </c>
      <c r="G1889" s="43">
        <v>45890.61915564815</v>
      </c>
      <c r="H1889" t="s">
        <v>3088</v>
      </c>
      <c r="I1889" t="s">
        <v>2681</v>
      </c>
      <c r="J1889" t="s">
        <v>2735</v>
      </c>
      <c r="L1889" t="s">
        <v>2355</v>
      </c>
      <c r="M1889">
        <v>366327938802</v>
      </c>
      <c r="N1889" t="s">
        <v>2746</v>
      </c>
      <c r="O1889" s="1">
        <v>45197</v>
      </c>
      <c r="T1889" t="s">
        <v>2662</v>
      </c>
      <c r="U1889" t="s">
        <v>7027</v>
      </c>
      <c r="V1889">
        <v>5</v>
      </c>
      <c r="W1889" t="s">
        <v>2677</v>
      </c>
      <c r="X1889">
        <v>1</v>
      </c>
      <c r="Y1889" t="s">
        <v>2807</v>
      </c>
      <c r="AA1889">
        <v>366327938802</v>
      </c>
      <c r="AB1889" t="s">
        <v>1985</v>
      </c>
      <c r="AC1889">
        <v>0</v>
      </c>
      <c r="AD1889">
        <v>33</v>
      </c>
      <c r="AE1889">
        <v>36632793880233</v>
      </c>
      <c r="AF1889" t="s">
        <v>7028</v>
      </c>
      <c r="AG1889">
        <v>1</v>
      </c>
      <c r="AH1889">
        <v>1</v>
      </c>
    </row>
    <row r="1890" spans="1:34">
      <c r="A1890">
        <v>2025</v>
      </c>
      <c r="B1890" s="1">
        <v>45870</v>
      </c>
      <c r="C1890" t="s">
        <v>2657</v>
      </c>
      <c r="D1890" t="s">
        <v>7029</v>
      </c>
      <c r="E1890" s="43">
        <v>45888.613380810188</v>
      </c>
      <c r="F1890" s="1">
        <v>45888</v>
      </c>
      <c r="G1890" s="43">
        <v>45894.655773333332</v>
      </c>
      <c r="H1890" t="s">
        <v>3088</v>
      </c>
      <c r="I1890" t="s">
        <v>2719</v>
      </c>
      <c r="J1890" t="s">
        <v>2735</v>
      </c>
      <c r="L1890" t="s">
        <v>2355</v>
      </c>
      <c r="M1890">
        <v>6127997902</v>
      </c>
      <c r="N1890" t="s">
        <v>2702</v>
      </c>
      <c r="O1890" s="1">
        <v>44952</v>
      </c>
      <c r="T1890" t="s">
        <v>2662</v>
      </c>
      <c r="U1890" t="s">
        <v>7030</v>
      </c>
      <c r="V1890">
        <v>4</v>
      </c>
      <c r="W1890" t="s">
        <v>2677</v>
      </c>
      <c r="X1890">
        <v>1</v>
      </c>
      <c r="Y1890" t="s">
        <v>2807</v>
      </c>
      <c r="Z1890" t="s">
        <v>2684</v>
      </c>
      <c r="AA1890">
        <v>366327938802</v>
      </c>
      <c r="AB1890" t="s">
        <v>1985</v>
      </c>
      <c r="AC1890">
        <v>0</v>
      </c>
      <c r="AD1890">
        <v>34</v>
      </c>
      <c r="AE1890">
        <v>36632793880234</v>
      </c>
      <c r="AF1890" t="s">
        <v>7028</v>
      </c>
      <c r="AG1890">
        <v>1</v>
      </c>
      <c r="AH1890">
        <v>0</v>
      </c>
    </row>
    <row r="1891" spans="1:34">
      <c r="A1891">
        <v>2026</v>
      </c>
      <c r="B1891" s="1">
        <v>46082</v>
      </c>
      <c r="C1891" t="s">
        <v>2657</v>
      </c>
      <c r="D1891" t="s">
        <v>7031</v>
      </c>
      <c r="E1891" s="43">
        <v>46090.597369074072</v>
      </c>
      <c r="F1891" s="1">
        <v>46090</v>
      </c>
      <c r="G1891" s="43">
        <v>46094.48112099537</v>
      </c>
      <c r="H1891" t="s">
        <v>2668</v>
      </c>
      <c r="I1891" t="s">
        <v>2681</v>
      </c>
      <c r="J1891" t="s">
        <v>36</v>
      </c>
      <c r="L1891" t="s">
        <v>2355</v>
      </c>
      <c r="M1891">
        <v>6127997902</v>
      </c>
      <c r="N1891" t="s">
        <v>2702</v>
      </c>
      <c r="O1891" s="1">
        <v>44952</v>
      </c>
      <c r="T1891" t="s">
        <v>2662</v>
      </c>
      <c r="U1891" t="s">
        <v>7032</v>
      </c>
      <c r="V1891">
        <v>4</v>
      </c>
      <c r="W1891" t="s">
        <v>2677</v>
      </c>
      <c r="X1891">
        <v>1</v>
      </c>
      <c r="Y1891" t="s">
        <v>2678</v>
      </c>
      <c r="AA1891">
        <v>366327938802</v>
      </c>
      <c r="AB1891" t="s">
        <v>1985</v>
      </c>
      <c r="AC1891">
        <v>1</v>
      </c>
      <c r="AD1891">
        <v>11</v>
      </c>
      <c r="AE1891">
        <v>36632793880211</v>
      </c>
      <c r="AF1891" t="s">
        <v>7033</v>
      </c>
      <c r="AG1891">
        <v>1</v>
      </c>
      <c r="AH1891">
        <v>1</v>
      </c>
    </row>
    <row r="1892" spans="1:34">
      <c r="A1892">
        <v>2025</v>
      </c>
      <c r="B1892" s="1">
        <v>45962</v>
      </c>
      <c r="C1892" t="s">
        <v>2657</v>
      </c>
      <c r="D1892" t="s">
        <v>7034</v>
      </c>
      <c r="E1892" s="43">
        <v>45966.602132175925</v>
      </c>
      <c r="F1892" s="1">
        <v>45966</v>
      </c>
      <c r="G1892" s="43">
        <v>45979.693688900465</v>
      </c>
      <c r="H1892" t="s">
        <v>2802</v>
      </c>
      <c r="I1892" t="s">
        <v>2669</v>
      </c>
      <c r="J1892" t="s">
        <v>2735</v>
      </c>
      <c r="L1892" t="s">
        <v>2336</v>
      </c>
      <c r="M1892">
        <v>1041281178802</v>
      </c>
      <c r="N1892" t="s">
        <v>2746</v>
      </c>
      <c r="O1892" s="1">
        <v>45937</v>
      </c>
      <c r="T1892" t="s">
        <v>2662</v>
      </c>
      <c r="U1892" t="s">
        <v>7035</v>
      </c>
      <c r="V1892">
        <v>9</v>
      </c>
      <c r="W1892" t="s">
        <v>2677</v>
      </c>
      <c r="X1892">
        <v>1</v>
      </c>
      <c r="Y1892" t="s">
        <v>2767</v>
      </c>
      <c r="Z1892" t="s">
        <v>2684</v>
      </c>
      <c r="AA1892">
        <v>1041281178802</v>
      </c>
      <c r="AB1892" t="s">
        <v>726</v>
      </c>
      <c r="AC1892">
        <v>0</v>
      </c>
      <c r="AD1892">
        <v>45</v>
      </c>
      <c r="AE1892">
        <v>104128117880245</v>
      </c>
      <c r="AF1892" t="s">
        <v>7036</v>
      </c>
      <c r="AG1892">
        <v>0</v>
      </c>
      <c r="AH1892">
        <v>0</v>
      </c>
    </row>
    <row r="1893" spans="1:34">
      <c r="A1893">
        <v>2025</v>
      </c>
      <c r="B1893" s="1">
        <v>45962</v>
      </c>
      <c r="C1893" t="s">
        <v>2657</v>
      </c>
      <c r="D1893" t="s">
        <v>7037</v>
      </c>
      <c r="E1893" s="43">
        <v>45965.513531041666</v>
      </c>
      <c r="F1893" s="1">
        <v>45965</v>
      </c>
      <c r="G1893" s="43">
        <v>45978.551082881946</v>
      </c>
      <c r="H1893" t="s">
        <v>2802</v>
      </c>
      <c r="I1893" t="s">
        <v>2669</v>
      </c>
      <c r="J1893" t="s">
        <v>2735</v>
      </c>
      <c r="L1893" t="s">
        <v>2336</v>
      </c>
      <c r="M1893">
        <v>1106270355002</v>
      </c>
      <c r="N1893" t="s">
        <v>2746</v>
      </c>
      <c r="O1893" s="1">
        <v>45937</v>
      </c>
      <c r="T1893" t="s">
        <v>2662</v>
      </c>
      <c r="U1893" t="s">
        <v>7038</v>
      </c>
      <c r="V1893">
        <v>9</v>
      </c>
      <c r="W1893" t="s">
        <v>2664</v>
      </c>
      <c r="X1893">
        <v>1</v>
      </c>
      <c r="Y1893" t="s">
        <v>2744</v>
      </c>
      <c r="AA1893">
        <v>1041281178802</v>
      </c>
      <c r="AB1893" t="s">
        <v>726</v>
      </c>
      <c r="AC1893">
        <v>0</v>
      </c>
      <c r="AD1893">
        <v>45</v>
      </c>
      <c r="AE1893">
        <v>104128117880245</v>
      </c>
      <c r="AF1893" t="s">
        <v>7036</v>
      </c>
      <c r="AG1893">
        <v>1</v>
      </c>
      <c r="AH1893">
        <v>1</v>
      </c>
    </row>
    <row r="1894" spans="1:34">
      <c r="A1894">
        <v>2025</v>
      </c>
      <c r="B1894" s="1">
        <v>45962</v>
      </c>
      <c r="C1894" t="s">
        <v>2657</v>
      </c>
      <c r="D1894" s="44" t="s">
        <v>7039</v>
      </c>
      <c r="E1894" s="43">
        <v>45966.602657592593</v>
      </c>
      <c r="F1894" s="1">
        <v>45966</v>
      </c>
      <c r="G1894" s="43">
        <v>45968.653926851854</v>
      </c>
      <c r="H1894" t="s">
        <v>2802</v>
      </c>
      <c r="I1894" t="s">
        <v>2669</v>
      </c>
      <c r="J1894" t="s">
        <v>2735</v>
      </c>
      <c r="L1894" t="s">
        <v>2336</v>
      </c>
      <c r="M1894">
        <v>1041281178802</v>
      </c>
      <c r="N1894" t="s">
        <v>2746</v>
      </c>
      <c r="O1894" s="1">
        <v>45937</v>
      </c>
      <c r="T1894" t="s">
        <v>2662</v>
      </c>
      <c r="U1894" t="s">
        <v>7040</v>
      </c>
      <c r="V1894">
        <v>2</v>
      </c>
      <c r="W1894" t="s">
        <v>2985</v>
      </c>
      <c r="X1894">
        <v>1</v>
      </c>
      <c r="Y1894" t="s">
        <v>2985</v>
      </c>
      <c r="AA1894">
        <v>1041281178802</v>
      </c>
      <c r="AB1894" t="s">
        <v>726</v>
      </c>
      <c r="AC1894">
        <v>0</v>
      </c>
      <c r="AD1894">
        <v>45</v>
      </c>
      <c r="AE1894">
        <v>104128117880245</v>
      </c>
      <c r="AF1894" t="s">
        <v>7036</v>
      </c>
      <c r="AG1894">
        <v>0</v>
      </c>
      <c r="AH1894">
        <v>0</v>
      </c>
    </row>
    <row r="1895" spans="1:34">
      <c r="A1895">
        <v>2025</v>
      </c>
      <c r="B1895" s="1">
        <v>45962</v>
      </c>
      <c r="C1895" t="s">
        <v>2657</v>
      </c>
      <c r="D1895" t="s">
        <v>7041</v>
      </c>
      <c r="E1895" s="43">
        <v>45968.604222615744</v>
      </c>
      <c r="F1895" s="1">
        <v>45968</v>
      </c>
      <c r="G1895" s="43">
        <v>45968.654458113429</v>
      </c>
      <c r="H1895" t="s">
        <v>2802</v>
      </c>
      <c r="I1895" t="s">
        <v>2669</v>
      </c>
      <c r="J1895" t="s">
        <v>2735</v>
      </c>
      <c r="L1895" t="s">
        <v>2336</v>
      </c>
      <c r="M1895">
        <v>506559759302</v>
      </c>
      <c r="N1895" t="s">
        <v>2746</v>
      </c>
      <c r="O1895" s="1">
        <v>45324</v>
      </c>
      <c r="T1895" t="s">
        <v>2662</v>
      </c>
      <c r="U1895" t="s">
        <v>7042</v>
      </c>
      <c r="V1895">
        <v>0</v>
      </c>
      <c r="W1895" t="s">
        <v>2664</v>
      </c>
      <c r="X1895">
        <v>1</v>
      </c>
      <c r="Y1895" t="s">
        <v>2672</v>
      </c>
      <c r="AA1895">
        <v>1041281178802</v>
      </c>
      <c r="AB1895" t="s">
        <v>726</v>
      </c>
      <c r="AC1895">
        <v>0</v>
      </c>
      <c r="AD1895">
        <v>45</v>
      </c>
      <c r="AE1895">
        <v>104128117880245</v>
      </c>
      <c r="AF1895" t="s">
        <v>7036</v>
      </c>
      <c r="AG1895">
        <v>0</v>
      </c>
      <c r="AH1895">
        <v>0</v>
      </c>
    </row>
    <row r="1896" spans="1:34">
      <c r="A1896">
        <v>2025</v>
      </c>
      <c r="B1896" s="1">
        <v>45962</v>
      </c>
      <c r="C1896" t="s">
        <v>2657</v>
      </c>
      <c r="D1896" t="s">
        <v>7043</v>
      </c>
      <c r="E1896" s="43">
        <v>45975.543424918978</v>
      </c>
      <c r="F1896" s="1">
        <v>45975</v>
      </c>
      <c r="G1896" s="43">
        <v>45975.543424918978</v>
      </c>
      <c r="H1896" t="s">
        <v>2802</v>
      </c>
      <c r="I1896" t="s">
        <v>2681</v>
      </c>
      <c r="J1896" t="s">
        <v>2735</v>
      </c>
      <c r="L1896" t="s">
        <v>2336</v>
      </c>
      <c r="M1896">
        <v>1041281178802</v>
      </c>
      <c r="N1896" t="s">
        <v>2746</v>
      </c>
      <c r="O1896" s="1">
        <v>45937</v>
      </c>
      <c r="T1896" t="s">
        <v>2662</v>
      </c>
      <c r="U1896" t="s">
        <v>7044</v>
      </c>
      <c r="V1896">
        <v>0</v>
      </c>
      <c r="W1896" t="s">
        <v>2677</v>
      </c>
      <c r="X1896">
        <v>1</v>
      </c>
      <c r="Y1896" t="s">
        <v>2695</v>
      </c>
      <c r="AA1896">
        <v>1041281178802</v>
      </c>
      <c r="AB1896" t="s">
        <v>726</v>
      </c>
      <c r="AC1896">
        <v>0</v>
      </c>
      <c r="AD1896">
        <v>46</v>
      </c>
      <c r="AE1896">
        <v>104128117880246</v>
      </c>
      <c r="AF1896" t="s">
        <v>7036</v>
      </c>
      <c r="AG1896">
        <v>1</v>
      </c>
      <c r="AH1896">
        <v>0</v>
      </c>
    </row>
    <row r="1897" spans="1:34">
      <c r="A1897">
        <v>2026</v>
      </c>
      <c r="B1897" s="1">
        <v>46054</v>
      </c>
      <c r="C1897" t="s">
        <v>2657</v>
      </c>
      <c r="D1897" t="s">
        <v>7045</v>
      </c>
      <c r="E1897" s="43">
        <v>46055.593754016205</v>
      </c>
      <c r="F1897" s="1">
        <v>46055</v>
      </c>
      <c r="G1897" s="43">
        <v>46057.599735347219</v>
      </c>
      <c r="H1897" t="s">
        <v>2725</v>
      </c>
      <c r="I1897" t="s">
        <v>2669</v>
      </c>
      <c r="J1897" t="s">
        <v>39</v>
      </c>
      <c r="L1897" t="s">
        <v>2408</v>
      </c>
      <c r="M1897">
        <v>1069577391202</v>
      </c>
      <c r="N1897" t="s">
        <v>2746</v>
      </c>
      <c r="O1897" s="1">
        <v>46049</v>
      </c>
      <c r="T1897" t="s">
        <v>2662</v>
      </c>
      <c r="U1897" t="s">
        <v>7046</v>
      </c>
      <c r="V1897">
        <v>2</v>
      </c>
      <c r="W1897" t="s">
        <v>2677</v>
      </c>
      <c r="X1897">
        <v>1</v>
      </c>
      <c r="Y1897" t="s">
        <v>2760</v>
      </c>
      <c r="AA1897">
        <v>1069577391202</v>
      </c>
      <c r="AB1897" t="s">
        <v>2478</v>
      </c>
      <c r="AC1897">
        <v>0</v>
      </c>
      <c r="AD1897">
        <v>6</v>
      </c>
      <c r="AE1897">
        <v>10695773912026</v>
      </c>
      <c r="AF1897" t="s">
        <v>7047</v>
      </c>
      <c r="AG1897">
        <v>1</v>
      </c>
      <c r="AH1897">
        <v>1</v>
      </c>
    </row>
    <row r="1898" spans="1:34">
      <c r="A1898">
        <v>2026</v>
      </c>
      <c r="B1898" s="1">
        <v>46054</v>
      </c>
      <c r="C1898" t="s">
        <v>2657</v>
      </c>
      <c r="D1898" t="s">
        <v>7048</v>
      </c>
      <c r="E1898" s="43">
        <v>46058.547805439812</v>
      </c>
      <c r="F1898" s="1">
        <v>46058</v>
      </c>
      <c r="G1898" s="43">
        <v>46083.664011319444</v>
      </c>
      <c r="H1898" t="s">
        <v>2725</v>
      </c>
      <c r="I1898" t="s">
        <v>2669</v>
      </c>
      <c r="J1898" t="s">
        <v>39</v>
      </c>
      <c r="L1898" t="s">
        <v>2408</v>
      </c>
      <c r="M1898">
        <v>1069577391202</v>
      </c>
      <c r="N1898" t="s">
        <v>2746</v>
      </c>
      <c r="O1898" s="1">
        <v>46049</v>
      </c>
      <c r="T1898" t="s">
        <v>2662</v>
      </c>
      <c r="U1898" t="s">
        <v>7049</v>
      </c>
      <c r="V1898">
        <v>17</v>
      </c>
      <c r="W1898" t="s">
        <v>2671</v>
      </c>
      <c r="X1898">
        <v>1</v>
      </c>
      <c r="Y1898" t="s">
        <v>2692</v>
      </c>
      <c r="AA1898">
        <v>1069577391202</v>
      </c>
      <c r="AB1898" t="s">
        <v>2478</v>
      </c>
      <c r="AC1898">
        <v>0</v>
      </c>
      <c r="AD1898">
        <v>6</v>
      </c>
      <c r="AE1898">
        <v>10695773912026</v>
      </c>
      <c r="AF1898" t="s">
        <v>7047</v>
      </c>
      <c r="AG1898">
        <v>0</v>
      </c>
      <c r="AH1898">
        <v>0</v>
      </c>
    </row>
    <row r="1899" spans="1:34">
      <c r="A1899">
        <v>2026</v>
      </c>
      <c r="B1899" s="1">
        <v>46054</v>
      </c>
      <c r="C1899" t="s">
        <v>2657</v>
      </c>
      <c r="D1899" t="s">
        <v>7050</v>
      </c>
      <c r="E1899" s="43">
        <v>46057.659537685184</v>
      </c>
      <c r="F1899" s="1">
        <v>46057</v>
      </c>
      <c r="G1899" s="43">
        <v>46058.791695138891</v>
      </c>
      <c r="H1899" t="s">
        <v>2725</v>
      </c>
      <c r="I1899" t="s">
        <v>2669</v>
      </c>
      <c r="J1899" t="s">
        <v>39</v>
      </c>
      <c r="L1899" t="s">
        <v>2408</v>
      </c>
      <c r="M1899">
        <v>1069577391202</v>
      </c>
      <c r="N1899" t="s">
        <v>2746</v>
      </c>
      <c r="O1899" s="1">
        <v>46049</v>
      </c>
      <c r="T1899" t="s">
        <v>2662</v>
      </c>
      <c r="U1899" t="s">
        <v>7051</v>
      </c>
      <c r="V1899">
        <v>1</v>
      </c>
      <c r="W1899" t="s">
        <v>2671</v>
      </c>
      <c r="X1899">
        <v>1</v>
      </c>
      <c r="Y1899" t="s">
        <v>2683</v>
      </c>
      <c r="AA1899">
        <v>1069577391202</v>
      </c>
      <c r="AB1899" t="s">
        <v>2478</v>
      </c>
      <c r="AC1899">
        <v>0</v>
      </c>
      <c r="AD1899">
        <v>6</v>
      </c>
      <c r="AE1899">
        <v>10695773912026</v>
      </c>
      <c r="AF1899" t="s">
        <v>7047</v>
      </c>
      <c r="AG1899">
        <v>0</v>
      </c>
      <c r="AH1899">
        <v>0</v>
      </c>
    </row>
    <row r="1900" spans="1:34">
      <c r="A1900">
        <v>2026</v>
      </c>
      <c r="B1900" s="1">
        <v>46054</v>
      </c>
      <c r="C1900" t="s">
        <v>2657</v>
      </c>
      <c r="D1900" t="s">
        <v>7052</v>
      </c>
      <c r="E1900" s="43">
        <v>46058.563159895835</v>
      </c>
      <c r="F1900" s="1">
        <v>46058</v>
      </c>
      <c r="G1900" s="43">
        <v>46062.582164629632</v>
      </c>
      <c r="H1900" t="s">
        <v>2725</v>
      </c>
      <c r="I1900" t="s">
        <v>2669</v>
      </c>
      <c r="J1900" t="s">
        <v>39</v>
      </c>
      <c r="L1900" t="s">
        <v>2408</v>
      </c>
      <c r="M1900">
        <v>1069577391202</v>
      </c>
      <c r="N1900" t="s">
        <v>2746</v>
      </c>
      <c r="O1900" s="1">
        <v>46049</v>
      </c>
      <c r="T1900" t="s">
        <v>2662</v>
      </c>
      <c r="U1900" t="s">
        <v>7053</v>
      </c>
      <c r="V1900">
        <v>2</v>
      </c>
      <c r="W1900" t="s">
        <v>2671</v>
      </c>
      <c r="X1900">
        <v>1</v>
      </c>
      <c r="Y1900" t="s">
        <v>2931</v>
      </c>
      <c r="AA1900">
        <v>1069577391202</v>
      </c>
      <c r="AB1900" t="s">
        <v>2478</v>
      </c>
      <c r="AC1900">
        <v>0</v>
      </c>
      <c r="AD1900">
        <v>6</v>
      </c>
      <c r="AE1900">
        <v>10695773912026</v>
      </c>
      <c r="AF1900" t="s">
        <v>7047</v>
      </c>
      <c r="AG1900">
        <v>0</v>
      </c>
      <c r="AH1900">
        <v>0</v>
      </c>
    </row>
    <row r="1901" spans="1:34">
      <c r="A1901">
        <v>2026</v>
      </c>
      <c r="B1901" s="1">
        <v>46054</v>
      </c>
      <c r="C1901" t="s">
        <v>2657</v>
      </c>
      <c r="D1901" t="s">
        <v>7054</v>
      </c>
      <c r="E1901" s="43">
        <v>46066.608664675929</v>
      </c>
      <c r="F1901" s="1">
        <v>46066</v>
      </c>
      <c r="G1901" s="43">
        <v>46066.608664675929</v>
      </c>
      <c r="H1901" t="s">
        <v>2725</v>
      </c>
      <c r="I1901" t="s">
        <v>2681</v>
      </c>
      <c r="J1901" t="s">
        <v>39</v>
      </c>
      <c r="L1901" t="s">
        <v>2408</v>
      </c>
      <c r="M1901">
        <v>1069577391202</v>
      </c>
      <c r="N1901" t="s">
        <v>2746</v>
      </c>
      <c r="O1901" s="1">
        <v>46049</v>
      </c>
      <c r="T1901" t="s">
        <v>2662</v>
      </c>
      <c r="U1901" t="s">
        <v>7055</v>
      </c>
      <c r="V1901">
        <v>0</v>
      </c>
      <c r="W1901" t="s">
        <v>2677</v>
      </c>
      <c r="X1901">
        <v>1</v>
      </c>
      <c r="Y1901" t="s">
        <v>2807</v>
      </c>
      <c r="AA1901">
        <v>1069577391202</v>
      </c>
      <c r="AB1901" t="s">
        <v>2478</v>
      </c>
      <c r="AC1901">
        <v>0</v>
      </c>
      <c r="AD1901">
        <v>7</v>
      </c>
      <c r="AE1901">
        <v>10695773912027</v>
      </c>
      <c r="AF1901" t="s">
        <v>7047</v>
      </c>
      <c r="AG1901">
        <v>0</v>
      </c>
      <c r="AH1901">
        <v>0</v>
      </c>
    </row>
    <row r="1902" spans="1:34">
      <c r="A1902">
        <v>2026</v>
      </c>
      <c r="B1902" s="1">
        <v>46054</v>
      </c>
      <c r="C1902" t="s">
        <v>2657</v>
      </c>
      <c r="D1902" t="s">
        <v>7056</v>
      </c>
      <c r="E1902" s="43">
        <v>46063.602029490743</v>
      </c>
      <c r="F1902" s="1">
        <v>46063</v>
      </c>
      <c r="G1902" s="43">
        <v>46066.688158969904</v>
      </c>
      <c r="H1902" t="s">
        <v>2725</v>
      </c>
      <c r="I1902" t="s">
        <v>2681</v>
      </c>
      <c r="J1902" t="s">
        <v>39</v>
      </c>
      <c r="L1902" t="s">
        <v>2408</v>
      </c>
      <c r="M1902">
        <v>1069577391202</v>
      </c>
      <c r="N1902" t="s">
        <v>2746</v>
      </c>
      <c r="O1902" s="1">
        <v>46049</v>
      </c>
      <c r="T1902" t="s">
        <v>2662</v>
      </c>
      <c r="U1902" t="s">
        <v>7057</v>
      </c>
      <c r="V1902">
        <v>3</v>
      </c>
      <c r="W1902" t="s">
        <v>2677</v>
      </c>
      <c r="X1902">
        <v>1</v>
      </c>
      <c r="Y1902" t="s">
        <v>2807</v>
      </c>
      <c r="AA1902">
        <v>1069577391202</v>
      </c>
      <c r="AB1902" t="s">
        <v>2478</v>
      </c>
      <c r="AC1902">
        <v>0</v>
      </c>
      <c r="AD1902">
        <v>7</v>
      </c>
      <c r="AE1902">
        <v>10695773912027</v>
      </c>
      <c r="AF1902" t="s">
        <v>7047</v>
      </c>
      <c r="AG1902">
        <v>1</v>
      </c>
      <c r="AH1902">
        <v>0</v>
      </c>
    </row>
    <row r="1903" spans="1:34">
      <c r="A1903">
        <v>2026</v>
      </c>
      <c r="B1903" s="1">
        <v>46054</v>
      </c>
      <c r="C1903" t="s">
        <v>2657</v>
      </c>
      <c r="D1903" t="s">
        <v>7058</v>
      </c>
      <c r="E1903" s="43">
        <v>46063.602869363429</v>
      </c>
      <c r="F1903" s="1">
        <v>46063</v>
      </c>
      <c r="G1903" s="43">
        <v>46072.932141134261</v>
      </c>
      <c r="H1903" t="s">
        <v>2725</v>
      </c>
      <c r="I1903" t="s">
        <v>2681</v>
      </c>
      <c r="J1903" t="s">
        <v>39</v>
      </c>
      <c r="L1903" t="s">
        <v>2408</v>
      </c>
      <c r="M1903">
        <v>1069577391202</v>
      </c>
      <c r="N1903" t="s">
        <v>2746</v>
      </c>
      <c r="O1903" s="1">
        <v>46049</v>
      </c>
      <c r="T1903" t="s">
        <v>2662</v>
      </c>
      <c r="U1903" t="s">
        <v>7059</v>
      </c>
      <c r="V1903">
        <v>7</v>
      </c>
      <c r="W1903" t="s">
        <v>2677</v>
      </c>
      <c r="X1903">
        <v>1</v>
      </c>
      <c r="Y1903" t="s">
        <v>2807</v>
      </c>
      <c r="AA1903">
        <v>1069577391202</v>
      </c>
      <c r="AB1903" t="s">
        <v>2478</v>
      </c>
      <c r="AC1903">
        <v>0</v>
      </c>
      <c r="AD1903">
        <v>7</v>
      </c>
      <c r="AE1903">
        <v>10695773912027</v>
      </c>
      <c r="AF1903" t="s">
        <v>7047</v>
      </c>
      <c r="AG1903">
        <v>0</v>
      </c>
      <c r="AH1903">
        <v>0</v>
      </c>
    </row>
    <row r="1904" spans="1:34">
      <c r="A1904">
        <v>2026</v>
      </c>
      <c r="B1904" s="1">
        <v>46054</v>
      </c>
      <c r="C1904" t="s">
        <v>2657</v>
      </c>
      <c r="D1904" t="s">
        <v>7060</v>
      </c>
      <c r="E1904" s="43">
        <v>46064.577090671293</v>
      </c>
      <c r="F1904" s="1">
        <v>46064</v>
      </c>
      <c r="G1904" s="43">
        <v>46065.622566342594</v>
      </c>
      <c r="H1904" t="s">
        <v>2725</v>
      </c>
      <c r="I1904" t="s">
        <v>2681</v>
      </c>
      <c r="J1904" t="s">
        <v>39</v>
      </c>
      <c r="L1904" t="s">
        <v>2408</v>
      </c>
      <c r="M1904">
        <v>1069577391202</v>
      </c>
      <c r="N1904" t="s">
        <v>2746</v>
      </c>
      <c r="O1904" s="1">
        <v>46049</v>
      </c>
      <c r="T1904" t="s">
        <v>2662</v>
      </c>
      <c r="U1904" t="s">
        <v>7061</v>
      </c>
      <c r="V1904">
        <v>1</v>
      </c>
      <c r="W1904" t="s">
        <v>2671</v>
      </c>
      <c r="X1904">
        <v>1</v>
      </c>
      <c r="Y1904" t="s">
        <v>2683</v>
      </c>
      <c r="AA1904">
        <v>1069577391202</v>
      </c>
      <c r="AB1904" t="s">
        <v>2478</v>
      </c>
      <c r="AC1904">
        <v>0</v>
      </c>
      <c r="AD1904">
        <v>7</v>
      </c>
      <c r="AE1904">
        <v>10695773912027</v>
      </c>
      <c r="AF1904" t="s">
        <v>7047</v>
      </c>
      <c r="AG1904">
        <v>0</v>
      </c>
      <c r="AH1904">
        <v>0</v>
      </c>
    </row>
    <row r="1905" spans="1:34">
      <c r="A1905">
        <v>2026</v>
      </c>
      <c r="B1905" s="1">
        <v>46054</v>
      </c>
      <c r="C1905" t="s">
        <v>2657</v>
      </c>
      <c r="D1905" t="s">
        <v>7062</v>
      </c>
      <c r="E1905" s="43">
        <v>46072.562945034719</v>
      </c>
      <c r="F1905" s="1">
        <v>46072</v>
      </c>
      <c r="G1905" s="43">
        <v>46072.56327849537</v>
      </c>
      <c r="H1905" t="s">
        <v>2725</v>
      </c>
      <c r="I1905" t="s">
        <v>2719</v>
      </c>
      <c r="J1905" t="s">
        <v>39</v>
      </c>
      <c r="L1905" t="s">
        <v>2408</v>
      </c>
      <c r="M1905">
        <v>1069577391202</v>
      </c>
      <c r="N1905" t="s">
        <v>2746</v>
      </c>
      <c r="O1905" s="1">
        <v>46049</v>
      </c>
      <c r="T1905" t="s">
        <v>2662</v>
      </c>
      <c r="U1905" t="s">
        <v>7063</v>
      </c>
      <c r="V1905">
        <v>0</v>
      </c>
      <c r="W1905" t="s">
        <v>2671</v>
      </c>
      <c r="X1905">
        <v>1</v>
      </c>
      <c r="Y1905" t="s">
        <v>2683</v>
      </c>
      <c r="AA1905">
        <v>1069577391202</v>
      </c>
      <c r="AB1905" t="s">
        <v>2478</v>
      </c>
      <c r="AC1905">
        <v>0</v>
      </c>
      <c r="AD1905">
        <v>8</v>
      </c>
      <c r="AE1905">
        <v>10695773912028</v>
      </c>
      <c r="AF1905" t="s">
        <v>7047</v>
      </c>
      <c r="AG1905">
        <v>1</v>
      </c>
      <c r="AH1905">
        <v>0</v>
      </c>
    </row>
    <row r="1906" spans="1:34">
      <c r="A1906">
        <v>2026</v>
      </c>
      <c r="B1906" s="1">
        <v>46054</v>
      </c>
      <c r="C1906" t="s">
        <v>2657</v>
      </c>
      <c r="D1906" t="s">
        <v>7064</v>
      </c>
      <c r="E1906" s="43">
        <v>46080.652062858797</v>
      </c>
      <c r="F1906" s="1">
        <v>46080</v>
      </c>
      <c r="G1906" s="43">
        <v>46093.696143194444</v>
      </c>
      <c r="H1906" t="s">
        <v>2725</v>
      </c>
      <c r="I1906" t="s">
        <v>2660</v>
      </c>
      <c r="J1906" t="s">
        <v>39</v>
      </c>
      <c r="L1906" t="s">
        <v>2408</v>
      </c>
      <c r="M1906">
        <v>1069577391202</v>
      </c>
      <c r="N1906" t="s">
        <v>2746</v>
      </c>
      <c r="O1906" s="1">
        <v>46049</v>
      </c>
      <c r="T1906" t="s">
        <v>2798</v>
      </c>
      <c r="U1906" t="s">
        <v>7065</v>
      </c>
      <c r="V1906">
        <v>10</v>
      </c>
      <c r="W1906" t="s">
        <v>2671</v>
      </c>
      <c r="X1906">
        <v>0</v>
      </c>
      <c r="Y1906" t="s">
        <v>2683</v>
      </c>
      <c r="Z1906" t="s">
        <v>2834</v>
      </c>
      <c r="AA1906">
        <v>1069577391202</v>
      </c>
      <c r="AB1906" t="s">
        <v>2478</v>
      </c>
      <c r="AC1906">
        <v>0</v>
      </c>
      <c r="AD1906">
        <v>9</v>
      </c>
      <c r="AE1906">
        <v>10695773912029</v>
      </c>
      <c r="AF1906" t="s">
        <v>7047</v>
      </c>
      <c r="AG1906">
        <v>0</v>
      </c>
      <c r="AH1906">
        <v>0</v>
      </c>
    </row>
    <row r="1907" spans="1:34">
      <c r="A1907">
        <v>2026</v>
      </c>
      <c r="B1907" s="1">
        <v>46054</v>
      </c>
      <c r="C1907" t="s">
        <v>2657</v>
      </c>
      <c r="D1907" t="s">
        <v>7066</v>
      </c>
      <c r="E1907" s="43">
        <v>46080.651667662038</v>
      </c>
      <c r="F1907" s="1">
        <v>46080</v>
      </c>
      <c r="G1907" s="43">
        <v>46083.733499016205</v>
      </c>
      <c r="H1907" t="s">
        <v>2725</v>
      </c>
      <c r="I1907" t="s">
        <v>2660</v>
      </c>
      <c r="J1907" t="s">
        <v>39</v>
      </c>
      <c r="L1907" t="s">
        <v>2408</v>
      </c>
      <c r="M1907">
        <v>1069577391202</v>
      </c>
      <c r="N1907" t="s">
        <v>2746</v>
      </c>
      <c r="O1907" s="1">
        <v>46049</v>
      </c>
      <c r="T1907" t="s">
        <v>2662</v>
      </c>
      <c r="U1907" t="s">
        <v>7067</v>
      </c>
      <c r="V1907">
        <v>1</v>
      </c>
      <c r="W1907" t="s">
        <v>2671</v>
      </c>
      <c r="X1907">
        <v>1</v>
      </c>
      <c r="Y1907" t="s">
        <v>2692</v>
      </c>
      <c r="AA1907">
        <v>1069577391202</v>
      </c>
      <c r="AB1907" t="s">
        <v>2478</v>
      </c>
      <c r="AC1907">
        <v>0</v>
      </c>
      <c r="AD1907">
        <v>9</v>
      </c>
      <c r="AE1907">
        <v>10695773912029</v>
      </c>
      <c r="AF1907" t="s">
        <v>7047</v>
      </c>
      <c r="AG1907">
        <v>1</v>
      </c>
      <c r="AH1907">
        <v>0</v>
      </c>
    </row>
    <row r="1908" spans="1:34">
      <c r="A1908">
        <v>2025</v>
      </c>
      <c r="B1908" s="1">
        <v>45962</v>
      </c>
      <c r="C1908" t="s">
        <v>2657</v>
      </c>
      <c r="D1908" t="s">
        <v>7068</v>
      </c>
      <c r="E1908" s="43">
        <v>45980.819363819443</v>
      </c>
      <c r="F1908" s="1">
        <v>45980</v>
      </c>
      <c r="G1908" s="43">
        <v>45989.004384687498</v>
      </c>
      <c r="H1908" t="s">
        <v>2802</v>
      </c>
      <c r="I1908" t="s">
        <v>2719</v>
      </c>
      <c r="J1908" t="s">
        <v>36</v>
      </c>
      <c r="L1908" t="s">
        <v>2355</v>
      </c>
      <c r="M1908">
        <v>59283260402</v>
      </c>
      <c r="N1908" t="s">
        <v>2702</v>
      </c>
      <c r="O1908" s="1">
        <v>45294</v>
      </c>
      <c r="T1908" t="s">
        <v>2662</v>
      </c>
      <c r="U1908" t="s">
        <v>7069</v>
      </c>
      <c r="V1908">
        <v>7</v>
      </c>
      <c r="W1908" t="s">
        <v>2704</v>
      </c>
      <c r="X1908">
        <v>1</v>
      </c>
      <c r="Y1908" t="s">
        <v>2710</v>
      </c>
      <c r="AA1908">
        <v>59283260402</v>
      </c>
      <c r="AB1908" t="s">
        <v>905</v>
      </c>
      <c r="AC1908">
        <v>0</v>
      </c>
      <c r="AD1908">
        <v>47</v>
      </c>
      <c r="AE1908">
        <v>5928326040247</v>
      </c>
      <c r="AF1908" t="s">
        <v>7070</v>
      </c>
      <c r="AG1908">
        <v>1</v>
      </c>
      <c r="AH1908">
        <v>1</v>
      </c>
    </row>
    <row r="1909" spans="1:34">
      <c r="A1909">
        <v>2025</v>
      </c>
      <c r="B1909" s="1">
        <v>45962</v>
      </c>
      <c r="C1909" t="s">
        <v>2657</v>
      </c>
      <c r="D1909" t="s">
        <v>7071</v>
      </c>
      <c r="E1909" s="43">
        <v>45967.76342358796</v>
      </c>
      <c r="F1909" s="1">
        <v>45967</v>
      </c>
      <c r="G1909" s="43">
        <v>45975.865925648148</v>
      </c>
      <c r="H1909" t="s">
        <v>2802</v>
      </c>
      <c r="I1909" t="s">
        <v>2669</v>
      </c>
      <c r="J1909" t="s">
        <v>36</v>
      </c>
      <c r="L1909" t="s">
        <v>2355</v>
      </c>
      <c r="M1909">
        <v>542325043802</v>
      </c>
      <c r="N1909" t="s">
        <v>2702</v>
      </c>
      <c r="O1909" s="1">
        <v>45661</v>
      </c>
      <c r="T1909" t="s">
        <v>2662</v>
      </c>
      <c r="U1909" t="s">
        <v>7072</v>
      </c>
      <c r="V1909">
        <v>6</v>
      </c>
      <c r="W1909" t="s">
        <v>2664</v>
      </c>
      <c r="X1909">
        <v>1</v>
      </c>
      <c r="Y1909" t="s">
        <v>2757</v>
      </c>
      <c r="AA1909">
        <v>542325043802</v>
      </c>
      <c r="AB1909" t="s">
        <v>448</v>
      </c>
      <c r="AC1909">
        <v>0</v>
      </c>
      <c r="AD1909">
        <v>45</v>
      </c>
      <c r="AE1909">
        <v>54232504380245</v>
      </c>
      <c r="AF1909" t="s">
        <v>7073</v>
      </c>
      <c r="AG1909">
        <v>1</v>
      </c>
      <c r="AH1909">
        <v>1</v>
      </c>
    </row>
    <row r="1910" spans="1:34">
      <c r="A1910">
        <v>2025</v>
      </c>
      <c r="B1910" s="1">
        <v>45962</v>
      </c>
      <c r="C1910" t="s">
        <v>2657</v>
      </c>
      <c r="D1910" t="s">
        <v>7074</v>
      </c>
      <c r="E1910" s="43">
        <v>45980.816577187499</v>
      </c>
      <c r="F1910" s="1">
        <v>45980</v>
      </c>
      <c r="G1910" s="43">
        <v>46001.6284771875</v>
      </c>
      <c r="H1910" t="s">
        <v>2802</v>
      </c>
      <c r="I1910" t="s">
        <v>2719</v>
      </c>
      <c r="J1910" t="s">
        <v>36</v>
      </c>
      <c r="L1910" t="s">
        <v>2355</v>
      </c>
      <c r="M1910">
        <v>542325043802</v>
      </c>
      <c r="N1910" t="s">
        <v>2702</v>
      </c>
      <c r="O1910" s="1">
        <v>45661</v>
      </c>
      <c r="T1910" t="s">
        <v>2662</v>
      </c>
      <c r="U1910" t="s">
        <v>7075</v>
      </c>
      <c r="V1910">
        <v>15</v>
      </c>
      <c r="X1910">
        <v>1</v>
      </c>
      <c r="Y1910" t="s">
        <v>2688</v>
      </c>
      <c r="AA1910">
        <v>542325043802</v>
      </c>
      <c r="AB1910" t="s">
        <v>448</v>
      </c>
      <c r="AC1910">
        <v>0</v>
      </c>
      <c r="AD1910">
        <v>47</v>
      </c>
      <c r="AE1910">
        <v>54232504380247</v>
      </c>
      <c r="AF1910" t="s">
        <v>7073</v>
      </c>
      <c r="AG1910">
        <v>1</v>
      </c>
      <c r="AH1910">
        <v>0</v>
      </c>
    </row>
    <row r="1911" spans="1:34">
      <c r="A1911">
        <v>2026</v>
      </c>
      <c r="B1911" s="1">
        <v>46023</v>
      </c>
      <c r="C1911" t="s">
        <v>2657</v>
      </c>
      <c r="D1911" t="s">
        <v>7076</v>
      </c>
      <c r="E1911" s="43">
        <v>46043.891697812498</v>
      </c>
      <c r="F1911" s="1">
        <v>46043</v>
      </c>
      <c r="G1911" s="43">
        <v>46049.549976319446</v>
      </c>
      <c r="H1911" t="s">
        <v>2701</v>
      </c>
      <c r="I1911" t="s">
        <v>2719</v>
      </c>
      <c r="J1911" t="s">
        <v>38</v>
      </c>
      <c r="L1911" t="s">
        <v>2342</v>
      </c>
      <c r="M1911">
        <v>276705576602</v>
      </c>
      <c r="N1911" t="s">
        <v>2702</v>
      </c>
      <c r="O1911" s="1">
        <v>45294</v>
      </c>
      <c r="T1911" t="s">
        <v>2662</v>
      </c>
      <c r="U1911" t="s">
        <v>7077</v>
      </c>
      <c r="V1911">
        <v>4</v>
      </c>
      <c r="X1911">
        <v>1</v>
      </c>
      <c r="Y1911" t="s">
        <v>2710</v>
      </c>
      <c r="AA1911">
        <v>276705576602</v>
      </c>
      <c r="AB1911" t="s">
        <v>1694</v>
      </c>
      <c r="AC1911">
        <v>0</v>
      </c>
      <c r="AD1911">
        <v>4</v>
      </c>
      <c r="AE1911">
        <v>2767055766024</v>
      </c>
      <c r="AF1911" t="s">
        <v>7078</v>
      </c>
      <c r="AG1911">
        <v>1</v>
      </c>
      <c r="AH1911">
        <v>1</v>
      </c>
    </row>
    <row r="1912" spans="1:34">
      <c r="A1912">
        <v>2026</v>
      </c>
      <c r="B1912" s="1">
        <v>46023</v>
      </c>
      <c r="C1912" t="s">
        <v>2657</v>
      </c>
      <c r="D1912" t="s">
        <v>7079</v>
      </c>
      <c r="E1912" s="43">
        <v>46044.596623194448</v>
      </c>
      <c r="F1912" s="1">
        <v>46044</v>
      </c>
      <c r="G1912" s="43">
        <v>46049.54991519676</v>
      </c>
      <c r="H1912" t="s">
        <v>2701</v>
      </c>
      <c r="I1912" t="s">
        <v>2660</v>
      </c>
      <c r="J1912" t="s">
        <v>38</v>
      </c>
      <c r="L1912" t="s">
        <v>2342</v>
      </c>
      <c r="M1912">
        <v>276705576602</v>
      </c>
      <c r="N1912" t="s">
        <v>2702</v>
      </c>
      <c r="O1912" s="1">
        <v>45294</v>
      </c>
      <c r="T1912" t="s">
        <v>2662</v>
      </c>
      <c r="U1912" t="s">
        <v>7080</v>
      </c>
      <c r="V1912">
        <v>3</v>
      </c>
      <c r="W1912" t="s">
        <v>2704</v>
      </c>
      <c r="X1912">
        <v>1</v>
      </c>
      <c r="Y1912" t="s">
        <v>2710</v>
      </c>
      <c r="AA1912">
        <v>276705576602</v>
      </c>
      <c r="AB1912" t="s">
        <v>1694</v>
      </c>
      <c r="AC1912">
        <v>0</v>
      </c>
      <c r="AD1912">
        <v>4</v>
      </c>
      <c r="AE1912">
        <v>2767055766024</v>
      </c>
      <c r="AF1912" t="s">
        <v>7078</v>
      </c>
      <c r="AG1912">
        <v>0</v>
      </c>
      <c r="AH1912">
        <v>0</v>
      </c>
    </row>
    <row r="1913" spans="1:34">
      <c r="A1913">
        <v>2026</v>
      </c>
      <c r="B1913" s="1">
        <v>46023</v>
      </c>
      <c r="C1913" t="s">
        <v>2657</v>
      </c>
      <c r="D1913" t="s">
        <v>7081</v>
      </c>
      <c r="E1913" s="43">
        <v>46044.624470949071</v>
      </c>
      <c r="F1913" s="1">
        <v>46044</v>
      </c>
      <c r="G1913" s="43">
        <v>46049.549820185188</v>
      </c>
      <c r="H1913" t="s">
        <v>2701</v>
      </c>
      <c r="I1913" t="s">
        <v>2660</v>
      </c>
      <c r="J1913" t="s">
        <v>38</v>
      </c>
      <c r="L1913" t="s">
        <v>2342</v>
      </c>
      <c r="M1913">
        <v>276705576602</v>
      </c>
      <c r="N1913" t="s">
        <v>2702</v>
      </c>
      <c r="O1913" s="1">
        <v>45294</v>
      </c>
      <c r="T1913" t="s">
        <v>2662</v>
      </c>
      <c r="U1913" t="s">
        <v>7082</v>
      </c>
      <c r="V1913">
        <v>3</v>
      </c>
      <c r="W1913" t="s">
        <v>2704</v>
      </c>
      <c r="X1913">
        <v>1</v>
      </c>
      <c r="Y1913" t="s">
        <v>2710</v>
      </c>
      <c r="AA1913">
        <v>276705576602</v>
      </c>
      <c r="AB1913" t="s">
        <v>1694</v>
      </c>
      <c r="AC1913">
        <v>0</v>
      </c>
      <c r="AD1913">
        <v>4</v>
      </c>
      <c r="AE1913">
        <v>2767055766024</v>
      </c>
      <c r="AF1913" t="s">
        <v>7078</v>
      </c>
      <c r="AG1913">
        <v>0</v>
      </c>
      <c r="AH1913">
        <v>0</v>
      </c>
    </row>
    <row r="1914" spans="1:34">
      <c r="A1914">
        <v>2026</v>
      </c>
      <c r="B1914" s="1">
        <v>46023</v>
      </c>
      <c r="C1914" t="s">
        <v>2657</v>
      </c>
      <c r="D1914" t="s">
        <v>7083</v>
      </c>
      <c r="E1914" s="43">
        <v>46044.588871990738</v>
      </c>
      <c r="F1914" s="1">
        <v>46044</v>
      </c>
      <c r="G1914" s="43">
        <v>46049.549791064812</v>
      </c>
      <c r="H1914" t="s">
        <v>2701</v>
      </c>
      <c r="I1914" t="s">
        <v>2660</v>
      </c>
      <c r="J1914" t="s">
        <v>38</v>
      </c>
      <c r="L1914" t="s">
        <v>2342</v>
      </c>
      <c r="M1914">
        <v>276705576602</v>
      </c>
      <c r="N1914" t="s">
        <v>2702</v>
      </c>
      <c r="O1914" s="1">
        <v>45294</v>
      </c>
      <c r="T1914" t="s">
        <v>2662</v>
      </c>
      <c r="U1914" t="s">
        <v>7084</v>
      </c>
      <c r="V1914">
        <v>3</v>
      </c>
      <c r="W1914" t="s">
        <v>2704</v>
      </c>
      <c r="X1914">
        <v>1</v>
      </c>
      <c r="Y1914" t="s">
        <v>2710</v>
      </c>
      <c r="AA1914">
        <v>276705576602</v>
      </c>
      <c r="AB1914" t="s">
        <v>1694</v>
      </c>
      <c r="AC1914">
        <v>0</v>
      </c>
      <c r="AD1914">
        <v>4</v>
      </c>
      <c r="AE1914">
        <v>2767055766024</v>
      </c>
      <c r="AF1914" t="s">
        <v>7078</v>
      </c>
      <c r="AG1914">
        <v>0</v>
      </c>
      <c r="AH1914">
        <v>0</v>
      </c>
    </row>
    <row r="1915" spans="1:34">
      <c r="A1915">
        <v>2026</v>
      </c>
      <c r="B1915" s="1">
        <v>46023</v>
      </c>
      <c r="C1915" t="s">
        <v>2657</v>
      </c>
      <c r="D1915" t="s">
        <v>7085</v>
      </c>
      <c r="E1915" s="43">
        <v>46044.867122326388</v>
      </c>
      <c r="F1915" s="1">
        <v>46044</v>
      </c>
      <c r="G1915" s="43">
        <v>46049.549849328701</v>
      </c>
      <c r="H1915" t="s">
        <v>2701</v>
      </c>
      <c r="I1915" t="s">
        <v>2660</v>
      </c>
      <c r="J1915" t="s">
        <v>38</v>
      </c>
      <c r="L1915" t="s">
        <v>2342</v>
      </c>
      <c r="M1915">
        <v>276705576602</v>
      </c>
      <c r="N1915" t="s">
        <v>2702</v>
      </c>
      <c r="O1915" s="1">
        <v>45294</v>
      </c>
      <c r="T1915" t="s">
        <v>2662</v>
      </c>
      <c r="U1915" t="s">
        <v>7086</v>
      </c>
      <c r="V1915">
        <v>3</v>
      </c>
      <c r="W1915" t="s">
        <v>2704</v>
      </c>
      <c r="X1915">
        <v>1</v>
      </c>
      <c r="Y1915" t="s">
        <v>2710</v>
      </c>
      <c r="AA1915">
        <v>276705576602</v>
      </c>
      <c r="AB1915" t="s">
        <v>1694</v>
      </c>
      <c r="AC1915">
        <v>1</v>
      </c>
      <c r="AD1915">
        <v>4</v>
      </c>
      <c r="AE1915">
        <v>2767055766024</v>
      </c>
      <c r="AF1915" t="s">
        <v>7078</v>
      </c>
      <c r="AG1915">
        <v>0</v>
      </c>
      <c r="AH1915">
        <v>0</v>
      </c>
    </row>
    <row r="1916" spans="1:34">
      <c r="A1916">
        <v>2026</v>
      </c>
      <c r="B1916" s="1">
        <v>46023</v>
      </c>
      <c r="C1916" t="s">
        <v>2657</v>
      </c>
      <c r="D1916" t="s">
        <v>7087</v>
      </c>
      <c r="E1916" s="43">
        <v>46044.83891958333</v>
      </c>
      <c r="F1916" s="1">
        <v>46044</v>
      </c>
      <c r="G1916" s="43">
        <v>46049.549879710648</v>
      </c>
      <c r="H1916" t="s">
        <v>2701</v>
      </c>
      <c r="I1916" t="s">
        <v>2660</v>
      </c>
      <c r="J1916" t="s">
        <v>38</v>
      </c>
      <c r="L1916" t="s">
        <v>2342</v>
      </c>
      <c r="M1916">
        <v>276705576602</v>
      </c>
      <c r="N1916" t="s">
        <v>2702</v>
      </c>
      <c r="O1916" s="1">
        <v>45294</v>
      </c>
      <c r="T1916" t="s">
        <v>2662</v>
      </c>
      <c r="U1916" t="s">
        <v>7088</v>
      </c>
      <c r="V1916">
        <v>3</v>
      </c>
      <c r="W1916" t="s">
        <v>2704</v>
      </c>
      <c r="X1916">
        <v>1</v>
      </c>
      <c r="Y1916" t="s">
        <v>2710</v>
      </c>
      <c r="AA1916">
        <v>276705576602</v>
      </c>
      <c r="AB1916" t="s">
        <v>1694</v>
      </c>
      <c r="AC1916">
        <v>0</v>
      </c>
      <c r="AD1916">
        <v>4</v>
      </c>
      <c r="AE1916">
        <v>2767055766024</v>
      </c>
      <c r="AF1916" t="s">
        <v>7078</v>
      </c>
      <c r="AG1916">
        <v>0</v>
      </c>
      <c r="AH1916">
        <v>0</v>
      </c>
    </row>
    <row r="1917" spans="1:34">
      <c r="A1917">
        <v>2026</v>
      </c>
      <c r="B1917" s="1">
        <v>46023</v>
      </c>
      <c r="C1917" t="s">
        <v>2657</v>
      </c>
      <c r="D1917" t="s">
        <v>7089</v>
      </c>
      <c r="E1917" s="43">
        <v>46044.84953861111</v>
      </c>
      <c r="F1917" s="1">
        <v>46044</v>
      </c>
      <c r="G1917" s="43">
        <v>46049.549949548615</v>
      </c>
      <c r="H1917" t="s">
        <v>2701</v>
      </c>
      <c r="I1917" t="s">
        <v>2660</v>
      </c>
      <c r="J1917" t="s">
        <v>38</v>
      </c>
      <c r="L1917" t="s">
        <v>2342</v>
      </c>
      <c r="M1917">
        <v>276705576602</v>
      </c>
      <c r="N1917" t="s">
        <v>2702</v>
      </c>
      <c r="O1917" s="1">
        <v>45294</v>
      </c>
      <c r="T1917" t="s">
        <v>2662</v>
      </c>
      <c r="U1917" t="s">
        <v>7090</v>
      </c>
      <c r="V1917">
        <v>3</v>
      </c>
      <c r="W1917" t="s">
        <v>2704</v>
      </c>
      <c r="X1917">
        <v>1</v>
      </c>
      <c r="Y1917" t="s">
        <v>2710</v>
      </c>
      <c r="AA1917">
        <v>276705576602</v>
      </c>
      <c r="AB1917" t="s">
        <v>1694</v>
      </c>
      <c r="AC1917">
        <v>0</v>
      </c>
      <c r="AD1917">
        <v>4</v>
      </c>
      <c r="AE1917">
        <v>2767055766024</v>
      </c>
      <c r="AF1917" t="s">
        <v>7078</v>
      </c>
      <c r="AG1917">
        <v>0</v>
      </c>
      <c r="AH1917">
        <v>0</v>
      </c>
    </row>
    <row r="1918" spans="1:34">
      <c r="A1918">
        <v>2026</v>
      </c>
      <c r="B1918" s="1">
        <v>46082</v>
      </c>
      <c r="C1918" t="s">
        <v>2657</v>
      </c>
      <c r="D1918" t="s">
        <v>7091</v>
      </c>
      <c r="E1918" s="43">
        <v>46087.759894305556</v>
      </c>
      <c r="F1918" s="1">
        <v>46087</v>
      </c>
      <c r="G1918" s="43">
        <v>46087.759894305556</v>
      </c>
      <c r="H1918" t="s">
        <v>2668</v>
      </c>
      <c r="I1918" t="s">
        <v>2669</v>
      </c>
      <c r="J1918" t="s">
        <v>36</v>
      </c>
      <c r="L1918" t="s">
        <v>2472</v>
      </c>
      <c r="M1918">
        <v>296844067602</v>
      </c>
      <c r="N1918" t="s">
        <v>2702</v>
      </c>
      <c r="O1918" s="1">
        <v>46050</v>
      </c>
      <c r="T1918" t="s">
        <v>2662</v>
      </c>
      <c r="U1918" t="s">
        <v>7092</v>
      </c>
      <c r="V1918">
        <v>0</v>
      </c>
      <c r="W1918" t="s">
        <v>2677</v>
      </c>
      <c r="X1918">
        <v>1</v>
      </c>
      <c r="Y1918" t="s">
        <v>2695</v>
      </c>
      <c r="AA1918">
        <v>296844067602</v>
      </c>
      <c r="AB1918" t="s">
        <v>2581</v>
      </c>
      <c r="AC1918">
        <v>1</v>
      </c>
      <c r="AD1918">
        <v>10</v>
      </c>
      <c r="AE1918">
        <v>29684406760210</v>
      </c>
      <c r="AF1918" t="s">
        <v>7093</v>
      </c>
      <c r="AG1918">
        <v>1</v>
      </c>
      <c r="AH1918">
        <v>1</v>
      </c>
    </row>
    <row r="1919" spans="1:34">
      <c r="A1919">
        <v>2025</v>
      </c>
      <c r="B1919" s="1">
        <v>45931</v>
      </c>
      <c r="C1919" t="s">
        <v>2657</v>
      </c>
      <c r="D1919" t="s">
        <v>7094</v>
      </c>
      <c r="E1919" s="43">
        <v>45933.492136724541</v>
      </c>
      <c r="F1919" s="1">
        <v>45933</v>
      </c>
      <c r="G1919" s="43">
        <v>45936.60158383102</v>
      </c>
      <c r="H1919" t="s">
        <v>2659</v>
      </c>
      <c r="I1919" t="s">
        <v>2669</v>
      </c>
      <c r="J1919" t="s">
        <v>2735</v>
      </c>
      <c r="L1919" t="s">
        <v>2408</v>
      </c>
      <c r="M1919">
        <v>861076042402</v>
      </c>
      <c r="N1919" t="s">
        <v>2746</v>
      </c>
      <c r="O1919" s="1">
        <v>45669</v>
      </c>
      <c r="T1919" t="s">
        <v>2662</v>
      </c>
      <c r="U1919" t="s">
        <v>7095</v>
      </c>
      <c r="V1919">
        <v>1</v>
      </c>
      <c r="W1919" t="s">
        <v>2671</v>
      </c>
      <c r="X1919">
        <v>1</v>
      </c>
      <c r="Y1919" t="s">
        <v>2692</v>
      </c>
      <c r="AA1919">
        <v>508996769902</v>
      </c>
      <c r="AB1919" t="s">
        <v>2193</v>
      </c>
      <c r="AC1919">
        <v>0</v>
      </c>
      <c r="AD1919">
        <v>40</v>
      </c>
      <c r="AE1919">
        <v>50899676990240</v>
      </c>
      <c r="AF1919" t="s">
        <v>7096</v>
      </c>
      <c r="AG1919">
        <v>1</v>
      </c>
      <c r="AH1919">
        <v>1</v>
      </c>
    </row>
    <row r="1920" spans="1:34">
      <c r="A1920">
        <v>2025</v>
      </c>
      <c r="B1920" s="1">
        <v>45931</v>
      </c>
      <c r="C1920" t="s">
        <v>2657</v>
      </c>
      <c r="D1920" t="s">
        <v>7097</v>
      </c>
      <c r="E1920" s="43">
        <v>45933.909703923608</v>
      </c>
      <c r="F1920" s="1">
        <v>45933</v>
      </c>
      <c r="G1920" s="43">
        <v>45940.633730474539</v>
      </c>
      <c r="H1920" t="s">
        <v>2659</v>
      </c>
      <c r="I1920" t="s">
        <v>2669</v>
      </c>
      <c r="J1920" t="s">
        <v>2735</v>
      </c>
      <c r="L1920" t="s">
        <v>2408</v>
      </c>
      <c r="M1920">
        <v>861076042402</v>
      </c>
      <c r="N1920" t="s">
        <v>2746</v>
      </c>
      <c r="O1920" s="1">
        <v>45669</v>
      </c>
      <c r="T1920" t="s">
        <v>2662</v>
      </c>
      <c r="U1920" t="s">
        <v>7098</v>
      </c>
      <c r="V1920">
        <v>5</v>
      </c>
      <c r="W1920" t="s">
        <v>2677</v>
      </c>
      <c r="X1920">
        <v>1</v>
      </c>
      <c r="Y1920" t="s">
        <v>2772</v>
      </c>
      <c r="Z1920" t="s">
        <v>2684</v>
      </c>
      <c r="AA1920">
        <v>508996769902</v>
      </c>
      <c r="AB1920" t="s">
        <v>2193</v>
      </c>
      <c r="AC1920">
        <v>0</v>
      </c>
      <c r="AD1920">
        <v>40</v>
      </c>
      <c r="AE1920">
        <v>50899676990240</v>
      </c>
      <c r="AF1920" t="s">
        <v>7096</v>
      </c>
      <c r="AG1920">
        <v>0</v>
      </c>
      <c r="AH1920">
        <v>0</v>
      </c>
    </row>
    <row r="1921" spans="1:34">
      <c r="A1921">
        <v>2025</v>
      </c>
      <c r="B1921" s="1">
        <v>45931</v>
      </c>
      <c r="C1921" t="s">
        <v>2657</v>
      </c>
      <c r="D1921" t="s">
        <v>7099</v>
      </c>
      <c r="E1921" s="43">
        <v>45933.912257349541</v>
      </c>
      <c r="F1921" s="1">
        <v>45933</v>
      </c>
      <c r="G1921" s="43">
        <v>45945.492407650461</v>
      </c>
      <c r="H1921" t="s">
        <v>2659</v>
      </c>
      <c r="I1921" t="s">
        <v>2669</v>
      </c>
      <c r="J1921" t="s">
        <v>2735</v>
      </c>
      <c r="L1921" t="s">
        <v>2408</v>
      </c>
      <c r="M1921">
        <v>861076042402</v>
      </c>
      <c r="N1921" t="s">
        <v>2746</v>
      </c>
      <c r="O1921" s="1">
        <v>45669</v>
      </c>
      <c r="T1921" t="s">
        <v>2662</v>
      </c>
      <c r="U1921" t="s">
        <v>7100</v>
      </c>
      <c r="V1921">
        <v>8</v>
      </c>
      <c r="W1921" t="s">
        <v>2677</v>
      </c>
      <c r="X1921">
        <v>1</v>
      </c>
      <c r="Y1921" t="s">
        <v>2767</v>
      </c>
      <c r="AA1921">
        <v>508996769902</v>
      </c>
      <c r="AB1921" t="s">
        <v>2193</v>
      </c>
      <c r="AC1921">
        <v>0</v>
      </c>
      <c r="AD1921">
        <v>40</v>
      </c>
      <c r="AE1921">
        <v>50899676990240</v>
      </c>
      <c r="AF1921" t="s">
        <v>7096</v>
      </c>
      <c r="AG1921">
        <v>0</v>
      </c>
      <c r="AH1921">
        <v>0</v>
      </c>
    </row>
    <row r="1922" spans="1:34">
      <c r="A1922">
        <v>2025</v>
      </c>
      <c r="B1922" s="1">
        <v>45931</v>
      </c>
      <c r="C1922" t="s">
        <v>2657</v>
      </c>
      <c r="D1922" t="s">
        <v>7101</v>
      </c>
      <c r="E1922" s="43">
        <v>45933.907724641205</v>
      </c>
      <c r="F1922" s="1">
        <v>45933</v>
      </c>
      <c r="G1922" s="43">
        <v>45938.724289907404</v>
      </c>
      <c r="H1922" t="s">
        <v>2659</v>
      </c>
      <c r="I1922" t="s">
        <v>2669</v>
      </c>
      <c r="J1922" t="s">
        <v>2735</v>
      </c>
      <c r="L1922" t="s">
        <v>2408</v>
      </c>
      <c r="M1922">
        <v>861076042402</v>
      </c>
      <c r="N1922" t="s">
        <v>2746</v>
      </c>
      <c r="O1922" s="1">
        <v>45669</v>
      </c>
      <c r="T1922" t="s">
        <v>2662</v>
      </c>
      <c r="U1922" t="s">
        <v>2760</v>
      </c>
      <c r="V1922">
        <v>3</v>
      </c>
      <c r="W1922" t="s">
        <v>2677</v>
      </c>
      <c r="X1922">
        <v>1</v>
      </c>
      <c r="Y1922" t="s">
        <v>2760</v>
      </c>
      <c r="AA1922">
        <v>508996769902</v>
      </c>
      <c r="AB1922" t="s">
        <v>2193</v>
      </c>
      <c r="AC1922">
        <v>0</v>
      </c>
      <c r="AD1922">
        <v>40</v>
      </c>
      <c r="AE1922">
        <v>50899676990240</v>
      </c>
      <c r="AF1922" t="s">
        <v>7096</v>
      </c>
      <c r="AG1922">
        <v>0</v>
      </c>
      <c r="AH1922">
        <v>0</v>
      </c>
    </row>
    <row r="1923" spans="1:34">
      <c r="A1923">
        <v>2025</v>
      </c>
      <c r="B1923" s="1">
        <v>45931</v>
      </c>
      <c r="C1923" t="s">
        <v>2657</v>
      </c>
      <c r="D1923" t="s">
        <v>7102</v>
      </c>
      <c r="E1923" s="43">
        <v>45938.556913460649</v>
      </c>
      <c r="F1923" s="1">
        <v>45938</v>
      </c>
      <c r="G1923" s="43">
        <v>45993.488634467591</v>
      </c>
      <c r="H1923" t="s">
        <v>2659</v>
      </c>
      <c r="I1923" t="s">
        <v>2681</v>
      </c>
      <c r="J1923" t="s">
        <v>2735</v>
      </c>
      <c r="L1923" t="s">
        <v>2408</v>
      </c>
      <c r="M1923">
        <v>861076042402</v>
      </c>
      <c r="N1923" t="s">
        <v>2746</v>
      </c>
      <c r="O1923" s="1">
        <v>45669</v>
      </c>
      <c r="T1923" t="s">
        <v>2662</v>
      </c>
      <c r="U1923" t="s">
        <v>7103</v>
      </c>
      <c r="V1923">
        <v>39</v>
      </c>
      <c r="W1923" t="s">
        <v>2677</v>
      </c>
      <c r="X1923">
        <v>1</v>
      </c>
      <c r="Y1923" t="s">
        <v>2772</v>
      </c>
      <c r="Z1923" t="s">
        <v>2834</v>
      </c>
      <c r="AA1923">
        <v>508996769902</v>
      </c>
      <c r="AB1923" t="s">
        <v>2193</v>
      </c>
      <c r="AC1923">
        <v>0</v>
      </c>
      <c r="AD1923">
        <v>41</v>
      </c>
      <c r="AE1923">
        <v>50899676990241</v>
      </c>
      <c r="AF1923" t="s">
        <v>7096</v>
      </c>
      <c r="AG1923">
        <v>1</v>
      </c>
      <c r="AH1923">
        <v>0</v>
      </c>
    </row>
    <row r="1924" spans="1:34">
      <c r="A1924">
        <v>2025</v>
      </c>
      <c r="B1924" s="1">
        <v>45931</v>
      </c>
      <c r="C1924" t="s">
        <v>2657</v>
      </c>
      <c r="D1924" t="s">
        <v>7104</v>
      </c>
      <c r="E1924" s="43">
        <v>45938.719624444442</v>
      </c>
      <c r="F1924" s="1">
        <v>45938</v>
      </c>
      <c r="G1924" s="43">
        <v>45938.719624444442</v>
      </c>
      <c r="H1924" t="s">
        <v>2659</v>
      </c>
      <c r="I1924" t="s">
        <v>2681</v>
      </c>
      <c r="J1924" t="s">
        <v>2735</v>
      </c>
      <c r="L1924" t="s">
        <v>2408</v>
      </c>
      <c r="M1924">
        <v>861076042402</v>
      </c>
      <c r="N1924" t="s">
        <v>2746</v>
      </c>
      <c r="O1924" s="1">
        <v>45669</v>
      </c>
      <c r="T1924" t="s">
        <v>2662</v>
      </c>
      <c r="U1924" t="s">
        <v>7105</v>
      </c>
      <c r="V1924">
        <v>0</v>
      </c>
      <c r="W1924" t="s">
        <v>2671</v>
      </c>
      <c r="X1924">
        <v>1</v>
      </c>
      <c r="Y1924" t="s">
        <v>2695</v>
      </c>
      <c r="AA1924">
        <v>508996769902</v>
      </c>
      <c r="AB1924" t="s">
        <v>2193</v>
      </c>
      <c r="AC1924">
        <v>0</v>
      </c>
      <c r="AD1924">
        <v>41</v>
      </c>
      <c r="AE1924">
        <v>50899676990241</v>
      </c>
      <c r="AF1924" t="s">
        <v>7096</v>
      </c>
      <c r="AG1924">
        <v>0</v>
      </c>
      <c r="AH1924">
        <v>0</v>
      </c>
    </row>
    <row r="1925" spans="1:34">
      <c r="A1925">
        <v>2025</v>
      </c>
      <c r="B1925" s="1">
        <v>45931</v>
      </c>
      <c r="C1925" t="s">
        <v>2657</v>
      </c>
      <c r="D1925" t="s">
        <v>7106</v>
      </c>
      <c r="E1925" s="43">
        <v>45943.490444768519</v>
      </c>
      <c r="F1925" s="1">
        <v>45943</v>
      </c>
      <c r="G1925" s="43">
        <v>45952.868538726849</v>
      </c>
      <c r="H1925" t="s">
        <v>2659</v>
      </c>
      <c r="I1925" t="s">
        <v>2681</v>
      </c>
      <c r="J1925" t="s">
        <v>2735</v>
      </c>
      <c r="L1925" t="s">
        <v>2408</v>
      </c>
      <c r="M1925">
        <v>861076042402</v>
      </c>
      <c r="N1925" t="s">
        <v>2746</v>
      </c>
      <c r="O1925" s="1">
        <v>45669</v>
      </c>
      <c r="T1925" t="s">
        <v>2662</v>
      </c>
      <c r="U1925" t="s">
        <v>7107</v>
      </c>
      <c r="V1925">
        <v>7</v>
      </c>
      <c r="W1925" t="s">
        <v>2671</v>
      </c>
      <c r="X1925">
        <v>1</v>
      </c>
      <c r="Y1925" t="s">
        <v>2692</v>
      </c>
      <c r="AA1925">
        <v>508996769902</v>
      </c>
      <c r="AB1925" t="s">
        <v>2193</v>
      </c>
      <c r="AC1925">
        <v>0</v>
      </c>
      <c r="AD1925">
        <v>42</v>
      </c>
      <c r="AE1925">
        <v>50899676990242</v>
      </c>
      <c r="AF1925" t="s">
        <v>7096</v>
      </c>
      <c r="AG1925">
        <v>1</v>
      </c>
      <c r="AH1925">
        <v>0</v>
      </c>
    </row>
    <row r="1926" spans="1:34">
      <c r="A1926">
        <v>2025</v>
      </c>
      <c r="B1926" s="1">
        <v>45931</v>
      </c>
      <c r="C1926" t="s">
        <v>2657</v>
      </c>
      <c r="D1926" t="s">
        <v>7108</v>
      </c>
      <c r="E1926" s="43">
        <v>45944.663981319442</v>
      </c>
      <c r="F1926" s="1">
        <v>45944</v>
      </c>
      <c r="G1926" s="43">
        <v>45968.62851678241</v>
      </c>
      <c r="H1926" t="s">
        <v>2659</v>
      </c>
      <c r="I1926" t="s">
        <v>2681</v>
      </c>
      <c r="J1926" t="s">
        <v>36</v>
      </c>
      <c r="L1926" t="s">
        <v>2408</v>
      </c>
      <c r="M1926">
        <v>861076042402</v>
      </c>
      <c r="N1926" t="s">
        <v>2746</v>
      </c>
      <c r="O1926" s="1">
        <v>45669</v>
      </c>
      <c r="T1926" t="s">
        <v>2662</v>
      </c>
      <c r="U1926" t="s">
        <v>7109</v>
      </c>
      <c r="V1926">
        <v>18</v>
      </c>
      <c r="W1926" t="s">
        <v>2677</v>
      </c>
      <c r="X1926">
        <v>1</v>
      </c>
      <c r="Y1926" t="s">
        <v>2767</v>
      </c>
      <c r="AA1926">
        <v>508996769902</v>
      </c>
      <c r="AB1926" t="s">
        <v>2193</v>
      </c>
      <c r="AC1926">
        <v>0</v>
      </c>
      <c r="AD1926">
        <v>42</v>
      </c>
      <c r="AE1926">
        <v>50899676990242</v>
      </c>
      <c r="AF1926" t="s">
        <v>7096</v>
      </c>
      <c r="AG1926">
        <v>0</v>
      </c>
      <c r="AH1926">
        <v>0</v>
      </c>
    </row>
    <row r="1927" spans="1:34">
      <c r="A1927">
        <v>2025</v>
      </c>
      <c r="B1927" s="1">
        <v>45931</v>
      </c>
      <c r="C1927" t="s">
        <v>2657</v>
      </c>
      <c r="D1927" t="s">
        <v>7110</v>
      </c>
      <c r="E1927" s="43">
        <v>45951.765376793985</v>
      </c>
      <c r="F1927" s="1">
        <v>45951</v>
      </c>
      <c r="G1927" s="43">
        <v>45953.812529976851</v>
      </c>
      <c r="H1927" t="s">
        <v>2659</v>
      </c>
      <c r="I1927" t="s">
        <v>2719</v>
      </c>
      <c r="J1927" t="s">
        <v>36</v>
      </c>
      <c r="L1927" t="s">
        <v>2408</v>
      </c>
      <c r="M1927">
        <v>861076042402</v>
      </c>
      <c r="N1927" t="s">
        <v>2746</v>
      </c>
      <c r="O1927" s="1">
        <v>45669</v>
      </c>
      <c r="T1927" t="s">
        <v>2662</v>
      </c>
      <c r="U1927" t="s">
        <v>7111</v>
      </c>
      <c r="V1927">
        <v>2</v>
      </c>
      <c r="W1927" t="s">
        <v>2671</v>
      </c>
      <c r="X1927">
        <v>1</v>
      </c>
      <c r="Y1927" t="s">
        <v>2695</v>
      </c>
      <c r="AA1927">
        <v>508996769902</v>
      </c>
      <c r="AB1927" t="s">
        <v>2193</v>
      </c>
      <c r="AC1927">
        <v>0</v>
      </c>
      <c r="AD1927">
        <v>43</v>
      </c>
      <c r="AE1927">
        <v>50899676990243</v>
      </c>
      <c r="AF1927" t="s">
        <v>7096</v>
      </c>
      <c r="AG1927">
        <v>1</v>
      </c>
      <c r="AH1927">
        <v>0</v>
      </c>
    </row>
    <row r="1928" spans="1:34">
      <c r="A1928">
        <v>2025</v>
      </c>
      <c r="B1928" s="1">
        <v>45931</v>
      </c>
      <c r="C1928" t="s">
        <v>2657</v>
      </c>
      <c r="D1928" t="s">
        <v>7112</v>
      </c>
      <c r="E1928" s="43">
        <v>45947.65470890046</v>
      </c>
      <c r="F1928" s="1">
        <v>45947</v>
      </c>
      <c r="G1928" s="43">
        <v>45965.514195393516</v>
      </c>
      <c r="H1928" t="s">
        <v>2659</v>
      </c>
      <c r="I1928" t="s">
        <v>2719</v>
      </c>
      <c r="J1928" t="s">
        <v>36</v>
      </c>
      <c r="L1928" t="s">
        <v>2408</v>
      </c>
      <c r="M1928">
        <v>861076042402</v>
      </c>
      <c r="N1928" t="s">
        <v>2746</v>
      </c>
      <c r="O1928" s="1">
        <v>45669</v>
      </c>
      <c r="T1928" t="s">
        <v>2662</v>
      </c>
      <c r="U1928" t="s">
        <v>7113</v>
      </c>
      <c r="V1928">
        <v>12</v>
      </c>
      <c r="W1928" t="s">
        <v>2677</v>
      </c>
      <c r="X1928">
        <v>1</v>
      </c>
      <c r="Y1928" t="s">
        <v>2807</v>
      </c>
      <c r="AA1928">
        <v>508996769902</v>
      </c>
      <c r="AB1928" t="s">
        <v>2193</v>
      </c>
      <c r="AC1928">
        <v>0</v>
      </c>
      <c r="AD1928">
        <v>42</v>
      </c>
      <c r="AE1928">
        <v>50899676990242</v>
      </c>
      <c r="AF1928" t="s">
        <v>7096</v>
      </c>
      <c r="AG1928">
        <v>0</v>
      </c>
      <c r="AH1928">
        <v>0</v>
      </c>
    </row>
    <row r="1929" spans="1:34">
      <c r="A1929">
        <v>2025</v>
      </c>
      <c r="B1929" s="1">
        <v>45931</v>
      </c>
      <c r="C1929" t="s">
        <v>2657</v>
      </c>
      <c r="D1929" t="s">
        <v>7114</v>
      </c>
      <c r="E1929" s="43">
        <v>45947.656414687503</v>
      </c>
      <c r="F1929" s="1">
        <v>45947</v>
      </c>
      <c r="G1929" s="43">
        <v>45975.872309525461</v>
      </c>
      <c r="H1929" t="s">
        <v>2659</v>
      </c>
      <c r="I1929" t="s">
        <v>2719</v>
      </c>
      <c r="J1929" t="s">
        <v>36</v>
      </c>
      <c r="L1929" t="s">
        <v>2408</v>
      </c>
      <c r="M1929">
        <v>861076042402</v>
      </c>
      <c r="N1929" t="s">
        <v>2746</v>
      </c>
      <c r="O1929" s="1">
        <v>45669</v>
      </c>
      <c r="T1929" t="s">
        <v>2662</v>
      </c>
      <c r="U1929" t="s">
        <v>7115</v>
      </c>
      <c r="V1929">
        <v>20</v>
      </c>
      <c r="W1929" t="s">
        <v>2677</v>
      </c>
      <c r="X1929">
        <v>1</v>
      </c>
      <c r="Y1929" t="s">
        <v>2807</v>
      </c>
      <c r="AA1929">
        <v>508996769902</v>
      </c>
      <c r="AB1929" t="s">
        <v>2193</v>
      </c>
      <c r="AC1929">
        <v>0</v>
      </c>
      <c r="AD1929">
        <v>42</v>
      </c>
      <c r="AE1929">
        <v>50899676990242</v>
      </c>
      <c r="AF1929" t="s">
        <v>7096</v>
      </c>
      <c r="AG1929">
        <v>0</v>
      </c>
      <c r="AH1929">
        <v>0</v>
      </c>
    </row>
    <row r="1930" spans="1:34">
      <c r="A1930">
        <v>2025</v>
      </c>
      <c r="B1930" s="1">
        <v>45931</v>
      </c>
      <c r="C1930" t="s">
        <v>2657</v>
      </c>
      <c r="D1930" t="s">
        <v>7116</v>
      </c>
      <c r="E1930" s="43">
        <v>45945.610467280094</v>
      </c>
      <c r="F1930" s="1">
        <v>45945</v>
      </c>
      <c r="G1930" s="43">
        <v>45945.610467280094</v>
      </c>
      <c r="H1930" t="s">
        <v>2659</v>
      </c>
      <c r="I1930" t="s">
        <v>2719</v>
      </c>
      <c r="J1930" t="s">
        <v>36</v>
      </c>
      <c r="L1930" t="s">
        <v>2408</v>
      </c>
      <c r="M1930">
        <v>861076042402</v>
      </c>
      <c r="N1930" t="s">
        <v>2746</v>
      </c>
      <c r="O1930" s="1">
        <v>45669</v>
      </c>
      <c r="T1930" t="s">
        <v>2662</v>
      </c>
      <c r="U1930" t="s">
        <v>7117</v>
      </c>
      <c r="V1930">
        <v>0</v>
      </c>
      <c r="W1930" t="s">
        <v>2671</v>
      </c>
      <c r="X1930">
        <v>1</v>
      </c>
      <c r="Y1930" t="s">
        <v>2695</v>
      </c>
      <c r="AA1930">
        <v>508996769902</v>
      </c>
      <c r="AB1930" t="s">
        <v>2193</v>
      </c>
      <c r="AC1930">
        <v>0</v>
      </c>
      <c r="AD1930">
        <v>42</v>
      </c>
      <c r="AE1930">
        <v>50899676990242</v>
      </c>
      <c r="AF1930" t="s">
        <v>7096</v>
      </c>
      <c r="AG1930">
        <v>0</v>
      </c>
      <c r="AH1930">
        <v>0</v>
      </c>
    </row>
    <row r="1931" spans="1:34">
      <c r="A1931">
        <v>2025</v>
      </c>
      <c r="B1931" s="1">
        <v>45931</v>
      </c>
      <c r="C1931" t="s">
        <v>2657</v>
      </c>
      <c r="D1931" t="s">
        <v>7118</v>
      </c>
      <c r="E1931" s="43">
        <v>45945.516682673609</v>
      </c>
      <c r="F1931" s="1">
        <v>45945</v>
      </c>
      <c r="G1931" s="43">
        <v>45945.877187627317</v>
      </c>
      <c r="H1931" t="s">
        <v>2659</v>
      </c>
      <c r="I1931" t="s">
        <v>2719</v>
      </c>
      <c r="J1931" t="s">
        <v>36</v>
      </c>
      <c r="L1931" t="s">
        <v>2408</v>
      </c>
      <c r="M1931">
        <v>861076042402</v>
      </c>
      <c r="N1931" t="s">
        <v>2746</v>
      </c>
      <c r="O1931" s="1">
        <v>45669</v>
      </c>
      <c r="T1931" t="s">
        <v>2662</v>
      </c>
      <c r="U1931" t="s">
        <v>7119</v>
      </c>
      <c r="V1931">
        <v>0</v>
      </c>
      <c r="W1931" t="s">
        <v>2677</v>
      </c>
      <c r="X1931">
        <v>1</v>
      </c>
      <c r="Y1931" t="s">
        <v>2767</v>
      </c>
      <c r="AA1931">
        <v>508996769902</v>
      </c>
      <c r="AB1931" t="s">
        <v>2193</v>
      </c>
      <c r="AC1931">
        <v>0</v>
      </c>
      <c r="AD1931">
        <v>42</v>
      </c>
      <c r="AE1931">
        <v>50899676990242</v>
      </c>
      <c r="AF1931" t="s">
        <v>7096</v>
      </c>
      <c r="AG1931">
        <v>0</v>
      </c>
      <c r="AH1931">
        <v>0</v>
      </c>
    </row>
    <row r="1932" spans="1:34">
      <c r="A1932">
        <v>2025</v>
      </c>
      <c r="B1932" s="1">
        <v>45931</v>
      </c>
      <c r="C1932" t="s">
        <v>2657</v>
      </c>
      <c r="D1932" t="s">
        <v>7120</v>
      </c>
      <c r="E1932" s="43">
        <v>45945.586765949076</v>
      </c>
      <c r="F1932" s="1">
        <v>45945</v>
      </c>
      <c r="G1932" s="43">
        <v>45946.466009166666</v>
      </c>
      <c r="H1932" t="s">
        <v>2659</v>
      </c>
      <c r="I1932" t="s">
        <v>2719</v>
      </c>
      <c r="J1932" t="s">
        <v>36</v>
      </c>
      <c r="L1932" t="s">
        <v>2408</v>
      </c>
      <c r="M1932">
        <v>861076042402</v>
      </c>
      <c r="N1932" t="s">
        <v>2746</v>
      </c>
      <c r="O1932" s="1">
        <v>45669</v>
      </c>
      <c r="T1932" t="s">
        <v>2662</v>
      </c>
      <c r="U1932" t="s">
        <v>7121</v>
      </c>
      <c r="V1932">
        <v>1</v>
      </c>
      <c r="W1932" t="s">
        <v>2677</v>
      </c>
      <c r="X1932">
        <v>1</v>
      </c>
      <c r="Y1932" t="s">
        <v>2807</v>
      </c>
      <c r="AA1932">
        <v>508996769902</v>
      </c>
      <c r="AB1932" t="s">
        <v>2193</v>
      </c>
      <c r="AC1932">
        <v>0</v>
      </c>
      <c r="AD1932">
        <v>42</v>
      </c>
      <c r="AE1932">
        <v>50899676990242</v>
      </c>
      <c r="AF1932" t="s">
        <v>7096</v>
      </c>
      <c r="AG1932">
        <v>0</v>
      </c>
      <c r="AH1932">
        <v>0</v>
      </c>
    </row>
    <row r="1933" spans="1:34">
      <c r="A1933">
        <v>2025</v>
      </c>
      <c r="B1933" s="1">
        <v>45931</v>
      </c>
      <c r="C1933" t="s">
        <v>2657</v>
      </c>
      <c r="D1933" t="s">
        <v>7122</v>
      </c>
      <c r="E1933" s="43">
        <v>45953.810872395836</v>
      </c>
      <c r="F1933" s="1">
        <v>45953</v>
      </c>
      <c r="G1933" s="43">
        <v>45966.541650555555</v>
      </c>
      <c r="H1933" t="s">
        <v>2659</v>
      </c>
      <c r="I1933" t="s">
        <v>2660</v>
      </c>
      <c r="J1933" t="s">
        <v>36</v>
      </c>
      <c r="L1933" t="s">
        <v>2408</v>
      </c>
      <c r="M1933">
        <v>861076042402</v>
      </c>
      <c r="N1933" t="s">
        <v>2746</v>
      </c>
      <c r="O1933" s="1">
        <v>45669</v>
      </c>
      <c r="T1933" t="s">
        <v>2662</v>
      </c>
      <c r="U1933" t="s">
        <v>7123</v>
      </c>
      <c r="V1933">
        <v>9</v>
      </c>
      <c r="W1933" t="s">
        <v>2671</v>
      </c>
      <c r="X1933">
        <v>1</v>
      </c>
      <c r="Y1933" t="s">
        <v>2683</v>
      </c>
      <c r="AA1933">
        <v>508996769902</v>
      </c>
      <c r="AB1933" t="s">
        <v>2193</v>
      </c>
      <c r="AC1933">
        <v>0</v>
      </c>
      <c r="AD1933">
        <v>43</v>
      </c>
      <c r="AE1933">
        <v>50899676990243</v>
      </c>
      <c r="AF1933" t="s">
        <v>7096</v>
      </c>
      <c r="AG1933">
        <v>0</v>
      </c>
      <c r="AH1933">
        <v>0</v>
      </c>
    </row>
    <row r="1934" spans="1:34">
      <c r="A1934">
        <v>2025</v>
      </c>
      <c r="B1934" s="1">
        <v>45931</v>
      </c>
      <c r="C1934" t="s">
        <v>2657</v>
      </c>
      <c r="D1934" t="s">
        <v>7124</v>
      </c>
      <c r="E1934" s="43">
        <v>45959.820813587961</v>
      </c>
      <c r="F1934" s="1">
        <v>45959</v>
      </c>
      <c r="G1934" s="43">
        <v>45980.876295520837</v>
      </c>
      <c r="H1934" t="s">
        <v>2659</v>
      </c>
      <c r="I1934" t="s">
        <v>2697</v>
      </c>
      <c r="J1934" t="s">
        <v>36</v>
      </c>
      <c r="L1934" t="s">
        <v>2408</v>
      </c>
      <c r="M1934">
        <v>508996769902</v>
      </c>
      <c r="N1934" t="s">
        <v>2746</v>
      </c>
      <c r="O1934" s="1">
        <v>45669</v>
      </c>
      <c r="T1934" t="s">
        <v>2662</v>
      </c>
      <c r="U1934" t="s">
        <v>7125</v>
      </c>
      <c r="V1934">
        <v>15</v>
      </c>
      <c r="W1934" t="s">
        <v>2677</v>
      </c>
      <c r="X1934">
        <v>1</v>
      </c>
      <c r="Y1934" t="s">
        <v>2760</v>
      </c>
      <c r="Z1934" t="s">
        <v>2684</v>
      </c>
      <c r="AA1934">
        <v>508996769902</v>
      </c>
      <c r="AB1934" t="s">
        <v>2193</v>
      </c>
      <c r="AC1934">
        <v>0</v>
      </c>
      <c r="AD1934">
        <v>44</v>
      </c>
      <c r="AE1934">
        <v>50899676990244</v>
      </c>
      <c r="AF1934" t="s">
        <v>7096</v>
      </c>
      <c r="AG1934">
        <v>0</v>
      </c>
      <c r="AH1934">
        <v>0</v>
      </c>
    </row>
    <row r="1935" spans="1:34">
      <c r="A1935">
        <v>2025</v>
      </c>
      <c r="B1935" s="1">
        <v>45931</v>
      </c>
      <c r="C1935" t="s">
        <v>2657</v>
      </c>
      <c r="D1935" t="s">
        <v>7126</v>
      </c>
      <c r="E1935" s="43">
        <v>45960.806947673613</v>
      </c>
      <c r="F1935" s="1">
        <v>45960</v>
      </c>
      <c r="G1935" s="43">
        <v>45982.695460185183</v>
      </c>
      <c r="H1935" t="s">
        <v>2659</v>
      </c>
      <c r="I1935" t="s">
        <v>2697</v>
      </c>
      <c r="J1935" t="s">
        <v>36</v>
      </c>
      <c r="L1935" t="s">
        <v>2408</v>
      </c>
      <c r="M1935">
        <v>508996769902</v>
      </c>
      <c r="N1935" t="s">
        <v>2746</v>
      </c>
      <c r="O1935" s="1">
        <v>45669</v>
      </c>
      <c r="T1935" t="s">
        <v>2662</v>
      </c>
      <c r="U1935" t="s">
        <v>7127</v>
      </c>
      <c r="V1935">
        <v>16</v>
      </c>
      <c r="W1935" t="s">
        <v>2677</v>
      </c>
      <c r="X1935">
        <v>1</v>
      </c>
      <c r="Y1935" t="s">
        <v>2678</v>
      </c>
      <c r="AA1935">
        <v>508996769902</v>
      </c>
      <c r="AB1935" t="s">
        <v>2193</v>
      </c>
      <c r="AC1935">
        <v>0</v>
      </c>
      <c r="AD1935">
        <v>44</v>
      </c>
      <c r="AE1935">
        <v>50899676990244</v>
      </c>
      <c r="AF1935" t="s">
        <v>7096</v>
      </c>
      <c r="AG1935">
        <v>0</v>
      </c>
      <c r="AH1935">
        <v>0</v>
      </c>
    </row>
    <row r="1936" spans="1:34">
      <c r="A1936">
        <v>2025</v>
      </c>
      <c r="B1936" s="1">
        <v>45931</v>
      </c>
      <c r="C1936" t="s">
        <v>2657</v>
      </c>
      <c r="D1936" t="s">
        <v>7128</v>
      </c>
      <c r="E1936" s="43">
        <v>45959.522291168978</v>
      </c>
      <c r="F1936" s="1">
        <v>45959</v>
      </c>
      <c r="G1936" s="43">
        <v>45979.753419074077</v>
      </c>
      <c r="H1936" t="s">
        <v>2659</v>
      </c>
      <c r="I1936" t="s">
        <v>2697</v>
      </c>
      <c r="J1936" t="s">
        <v>36</v>
      </c>
      <c r="L1936" t="s">
        <v>2408</v>
      </c>
      <c r="M1936">
        <v>861076042402</v>
      </c>
      <c r="N1936" t="s">
        <v>2746</v>
      </c>
      <c r="O1936" s="1">
        <v>45669</v>
      </c>
      <c r="T1936" t="s">
        <v>2662</v>
      </c>
      <c r="U1936" t="s">
        <v>7129</v>
      </c>
      <c r="V1936">
        <v>14</v>
      </c>
      <c r="W1936" t="s">
        <v>2671</v>
      </c>
      <c r="X1936">
        <v>1</v>
      </c>
      <c r="Y1936" t="s">
        <v>2760</v>
      </c>
      <c r="AA1936">
        <v>508996769902</v>
      </c>
      <c r="AB1936" t="s">
        <v>2193</v>
      </c>
      <c r="AC1936">
        <v>0</v>
      </c>
      <c r="AD1936">
        <v>44</v>
      </c>
      <c r="AE1936">
        <v>50899676990244</v>
      </c>
      <c r="AF1936" t="s">
        <v>7096</v>
      </c>
      <c r="AG1936">
        <v>1</v>
      </c>
      <c r="AH1936">
        <v>0</v>
      </c>
    </row>
    <row r="1937" spans="1:34">
      <c r="A1937">
        <v>2026</v>
      </c>
      <c r="B1937" s="1">
        <v>46023</v>
      </c>
      <c r="C1937" t="s">
        <v>2657</v>
      </c>
      <c r="D1937" t="s">
        <v>7130</v>
      </c>
      <c r="E1937" s="43">
        <v>46037.754149722219</v>
      </c>
      <c r="F1937" s="1">
        <v>46037</v>
      </c>
      <c r="G1937" s="43">
        <v>46043.702785254631</v>
      </c>
      <c r="H1937" t="s">
        <v>2701</v>
      </c>
      <c r="I1937" t="s">
        <v>2719</v>
      </c>
      <c r="J1937" t="s">
        <v>38</v>
      </c>
      <c r="L1937" t="s">
        <v>2379</v>
      </c>
      <c r="M1937">
        <v>430279805602</v>
      </c>
      <c r="N1937" t="s">
        <v>2675</v>
      </c>
      <c r="O1937" s="1">
        <v>45680</v>
      </c>
      <c r="T1937" t="s">
        <v>2662</v>
      </c>
      <c r="U1937" t="s">
        <v>7131</v>
      </c>
      <c r="V1937">
        <v>4</v>
      </c>
      <c r="W1937" t="s">
        <v>2664</v>
      </c>
      <c r="X1937">
        <v>1</v>
      </c>
      <c r="Y1937" t="s">
        <v>2779</v>
      </c>
      <c r="AA1937">
        <v>430279805602</v>
      </c>
      <c r="AB1937" t="s">
        <v>1049</v>
      </c>
      <c r="AC1937">
        <v>0</v>
      </c>
      <c r="AD1937">
        <v>3</v>
      </c>
      <c r="AE1937">
        <v>4302798056023</v>
      </c>
      <c r="AF1937" t="s">
        <v>7132</v>
      </c>
      <c r="AG1937">
        <v>1</v>
      </c>
      <c r="AH1937">
        <v>1</v>
      </c>
    </row>
    <row r="1938" spans="1:34">
      <c r="A1938">
        <v>2026</v>
      </c>
      <c r="B1938" s="1">
        <v>46023</v>
      </c>
      <c r="C1938" t="s">
        <v>2657</v>
      </c>
      <c r="D1938" t="s">
        <v>7133</v>
      </c>
      <c r="E1938" s="43">
        <v>46050.614940925923</v>
      </c>
      <c r="F1938" s="1">
        <v>46050</v>
      </c>
      <c r="G1938" s="43">
        <v>46070.998631828705</v>
      </c>
      <c r="H1938" t="s">
        <v>2701</v>
      </c>
      <c r="I1938" t="s">
        <v>2660</v>
      </c>
      <c r="J1938" t="s">
        <v>39</v>
      </c>
      <c r="L1938" t="s">
        <v>2362</v>
      </c>
      <c r="M1938">
        <v>803520752602</v>
      </c>
      <c r="N1938" t="s">
        <v>2746</v>
      </c>
      <c r="O1938" s="1">
        <v>45366</v>
      </c>
      <c r="T1938" t="s">
        <v>2662</v>
      </c>
      <c r="U1938" t="s">
        <v>7134</v>
      </c>
      <c r="V1938">
        <v>14</v>
      </c>
      <c r="W1938" t="s">
        <v>2677</v>
      </c>
      <c r="X1938">
        <v>1</v>
      </c>
      <c r="Y1938" t="s">
        <v>2760</v>
      </c>
      <c r="AA1938">
        <v>589580604602</v>
      </c>
      <c r="AB1938" t="s">
        <v>2070</v>
      </c>
      <c r="AC1938">
        <v>0</v>
      </c>
      <c r="AD1938">
        <v>5</v>
      </c>
      <c r="AE1938">
        <v>5895806046025</v>
      </c>
      <c r="AF1938" t="s">
        <v>7135</v>
      </c>
      <c r="AG1938">
        <v>1</v>
      </c>
      <c r="AH1938">
        <v>1</v>
      </c>
    </row>
    <row r="1939" spans="1:34">
      <c r="A1939">
        <v>2026</v>
      </c>
      <c r="B1939" s="1">
        <v>46023</v>
      </c>
      <c r="C1939" t="s">
        <v>2657</v>
      </c>
      <c r="D1939" t="s">
        <v>7136</v>
      </c>
      <c r="E1939" s="43">
        <v>46051.680539224537</v>
      </c>
      <c r="F1939" s="1">
        <v>46051</v>
      </c>
      <c r="G1939" s="43">
        <v>46057.852655173614</v>
      </c>
      <c r="H1939" t="s">
        <v>2701</v>
      </c>
      <c r="I1939" t="s">
        <v>2697</v>
      </c>
      <c r="J1939" t="s">
        <v>39</v>
      </c>
      <c r="L1939" t="s">
        <v>2362</v>
      </c>
      <c r="M1939">
        <v>547494309302</v>
      </c>
      <c r="N1939" t="s">
        <v>2746</v>
      </c>
      <c r="O1939" s="1">
        <v>44837</v>
      </c>
      <c r="T1939" t="s">
        <v>2662</v>
      </c>
      <c r="U1939" t="s">
        <v>7137</v>
      </c>
      <c r="V1939">
        <v>4</v>
      </c>
      <c r="W1939" t="s">
        <v>2677</v>
      </c>
      <c r="X1939">
        <v>1</v>
      </c>
      <c r="Y1939" t="s">
        <v>2760</v>
      </c>
      <c r="AA1939">
        <v>589580604602</v>
      </c>
      <c r="AB1939" t="s">
        <v>2070</v>
      </c>
      <c r="AC1939">
        <v>0</v>
      </c>
      <c r="AD1939">
        <v>5</v>
      </c>
      <c r="AE1939">
        <v>5895806046025</v>
      </c>
      <c r="AF1939" t="s">
        <v>7135</v>
      </c>
      <c r="AG1939">
        <v>0</v>
      </c>
      <c r="AH1939">
        <v>0</v>
      </c>
    </row>
    <row r="1940" spans="1:34">
      <c r="A1940">
        <v>2025</v>
      </c>
      <c r="B1940" s="1">
        <v>45992</v>
      </c>
      <c r="C1940" t="s">
        <v>2657</v>
      </c>
      <c r="D1940" t="s">
        <v>7138</v>
      </c>
      <c r="E1940" s="43">
        <v>46001.517373969909</v>
      </c>
      <c r="F1940" s="1">
        <v>46001</v>
      </c>
      <c r="G1940" s="43">
        <v>46001.517373969909</v>
      </c>
      <c r="H1940" t="s">
        <v>2686</v>
      </c>
      <c r="I1940" t="s">
        <v>2681</v>
      </c>
      <c r="J1940" t="s">
        <v>2735</v>
      </c>
      <c r="L1940" t="s">
        <v>2336</v>
      </c>
      <c r="M1940">
        <v>127737463602</v>
      </c>
      <c r="N1940" t="s">
        <v>2746</v>
      </c>
      <c r="O1940" s="1">
        <v>45661</v>
      </c>
      <c r="T1940" t="s">
        <v>2662</v>
      </c>
      <c r="U1940" t="s">
        <v>7139</v>
      </c>
      <c r="V1940">
        <v>0</v>
      </c>
      <c r="W1940" t="s">
        <v>2743</v>
      </c>
      <c r="X1940">
        <v>1</v>
      </c>
      <c r="Y1940" t="s">
        <v>2688</v>
      </c>
      <c r="AA1940">
        <v>127737463602</v>
      </c>
      <c r="AB1940" t="s">
        <v>1066</v>
      </c>
      <c r="AC1940">
        <v>0</v>
      </c>
      <c r="AD1940">
        <v>50</v>
      </c>
      <c r="AE1940">
        <v>12773746360250</v>
      </c>
      <c r="AF1940" t="s">
        <v>7140</v>
      </c>
      <c r="AG1940">
        <v>1</v>
      </c>
      <c r="AH1940">
        <v>1</v>
      </c>
    </row>
    <row r="1941" spans="1:34">
      <c r="A1941">
        <v>2025</v>
      </c>
      <c r="B1941" s="1">
        <v>45992</v>
      </c>
      <c r="C1941" t="s">
        <v>2657</v>
      </c>
      <c r="D1941" t="s">
        <v>7141</v>
      </c>
      <c r="E1941" s="43">
        <v>46006.608576886574</v>
      </c>
      <c r="F1941" s="1">
        <v>46006</v>
      </c>
      <c r="G1941" s="43">
        <v>46007.876264247687</v>
      </c>
      <c r="H1941" t="s">
        <v>2686</v>
      </c>
      <c r="I1941" t="s">
        <v>2719</v>
      </c>
      <c r="J1941" t="s">
        <v>2735</v>
      </c>
      <c r="L1941" t="s">
        <v>2336</v>
      </c>
      <c r="M1941">
        <v>127737463602</v>
      </c>
      <c r="N1941" t="s">
        <v>2746</v>
      </c>
      <c r="O1941" s="1">
        <v>45661</v>
      </c>
      <c r="T1941" t="s">
        <v>2662</v>
      </c>
      <c r="U1941" t="s">
        <v>7142</v>
      </c>
      <c r="V1941">
        <v>1</v>
      </c>
      <c r="W1941" t="s">
        <v>2743</v>
      </c>
      <c r="X1941">
        <v>1</v>
      </c>
      <c r="Y1941" t="s">
        <v>2717</v>
      </c>
      <c r="AA1941">
        <v>127737463602</v>
      </c>
      <c r="AB1941" t="s">
        <v>1066</v>
      </c>
      <c r="AC1941">
        <v>0</v>
      </c>
      <c r="AD1941">
        <v>51</v>
      </c>
      <c r="AE1941">
        <v>12773746360251</v>
      </c>
      <c r="AF1941" t="s">
        <v>7140</v>
      </c>
      <c r="AG1941">
        <v>1</v>
      </c>
      <c r="AH1941">
        <v>0</v>
      </c>
    </row>
    <row r="1942" spans="1:34">
      <c r="A1942">
        <v>2025</v>
      </c>
      <c r="B1942" s="1">
        <v>45992</v>
      </c>
      <c r="C1942" t="s">
        <v>2657</v>
      </c>
      <c r="D1942" t="s">
        <v>7143</v>
      </c>
      <c r="E1942" s="43">
        <v>46013.603581527779</v>
      </c>
      <c r="F1942" s="1">
        <v>46013</v>
      </c>
      <c r="G1942" s="43">
        <v>46014.589569143522</v>
      </c>
      <c r="H1942" t="s">
        <v>2686</v>
      </c>
      <c r="I1942" t="s">
        <v>2660</v>
      </c>
      <c r="J1942" t="s">
        <v>38</v>
      </c>
      <c r="L1942" t="s">
        <v>2379</v>
      </c>
      <c r="M1942">
        <v>365217284302</v>
      </c>
      <c r="N1942" t="s">
        <v>2675</v>
      </c>
      <c r="O1942" s="1">
        <v>45680</v>
      </c>
      <c r="T1942" t="s">
        <v>2662</v>
      </c>
      <c r="U1942" t="s">
        <v>7144</v>
      </c>
      <c r="V1942">
        <v>1</v>
      </c>
      <c r="W1942" t="s">
        <v>2677</v>
      </c>
      <c r="X1942">
        <v>1</v>
      </c>
      <c r="Y1942" t="s">
        <v>2807</v>
      </c>
      <c r="AA1942">
        <v>130065728702</v>
      </c>
      <c r="AB1942" t="s">
        <v>1303</v>
      </c>
      <c r="AC1942">
        <v>0</v>
      </c>
      <c r="AD1942">
        <v>52</v>
      </c>
      <c r="AE1942">
        <v>13006572870252</v>
      </c>
      <c r="AF1942" t="s">
        <v>7145</v>
      </c>
      <c r="AG1942">
        <v>1</v>
      </c>
      <c r="AH1942">
        <v>1</v>
      </c>
    </row>
    <row r="1943" spans="1:34">
      <c r="A1943">
        <v>2026</v>
      </c>
      <c r="B1943" s="1">
        <v>46023</v>
      </c>
      <c r="C1943" t="s">
        <v>2657</v>
      </c>
      <c r="D1943" t="s">
        <v>7146</v>
      </c>
      <c r="E1943" s="43">
        <v>46045.785944212963</v>
      </c>
      <c r="F1943" s="1">
        <v>46045</v>
      </c>
      <c r="G1943" s="43">
        <v>46045.785944212963</v>
      </c>
      <c r="H1943" t="s">
        <v>2701</v>
      </c>
      <c r="I1943" t="s">
        <v>2660</v>
      </c>
      <c r="J1943" t="s">
        <v>37</v>
      </c>
      <c r="L1943" t="s">
        <v>2351</v>
      </c>
      <c r="M1943">
        <v>1045128782102</v>
      </c>
      <c r="N1943" t="s">
        <v>2661</v>
      </c>
      <c r="O1943" s="1">
        <v>45737</v>
      </c>
      <c r="T1943" t="s">
        <v>2662</v>
      </c>
      <c r="U1943" t="s">
        <v>7147</v>
      </c>
      <c r="V1943">
        <v>0</v>
      </c>
      <c r="W1943" t="s">
        <v>2664</v>
      </c>
      <c r="X1943">
        <v>1</v>
      </c>
      <c r="Y1943" t="s">
        <v>2695</v>
      </c>
      <c r="AA1943">
        <v>1045128782102</v>
      </c>
      <c r="AB1943" t="s">
        <v>474</v>
      </c>
      <c r="AC1943">
        <v>0</v>
      </c>
      <c r="AD1943">
        <v>4</v>
      </c>
      <c r="AE1943">
        <v>10451287821024</v>
      </c>
      <c r="AF1943" t="s">
        <v>7148</v>
      </c>
      <c r="AG1943">
        <v>1</v>
      </c>
      <c r="AH1943">
        <v>1</v>
      </c>
    </row>
    <row r="1944" spans="1:34">
      <c r="A1944">
        <v>2026</v>
      </c>
      <c r="B1944" s="1">
        <v>46023</v>
      </c>
      <c r="C1944" t="s">
        <v>2657</v>
      </c>
      <c r="D1944" t="s">
        <v>7149</v>
      </c>
      <c r="E1944" s="43">
        <v>46048.827808935188</v>
      </c>
      <c r="F1944" s="1">
        <v>46048</v>
      </c>
      <c r="G1944" s="43">
        <v>46048.827808935188</v>
      </c>
      <c r="H1944" t="s">
        <v>2701</v>
      </c>
      <c r="I1944" t="s">
        <v>2660</v>
      </c>
      <c r="J1944" t="s">
        <v>37</v>
      </c>
      <c r="L1944" t="s">
        <v>2351</v>
      </c>
      <c r="M1944">
        <v>1045128782102</v>
      </c>
      <c r="N1944" t="s">
        <v>2661</v>
      </c>
      <c r="O1944" s="1">
        <v>45737</v>
      </c>
      <c r="T1944" t="s">
        <v>2662</v>
      </c>
      <c r="U1944" t="s">
        <v>7150</v>
      </c>
      <c r="V1944">
        <v>0</v>
      </c>
      <c r="W1944" t="s">
        <v>2671</v>
      </c>
      <c r="X1944">
        <v>1</v>
      </c>
      <c r="Y1944" t="s">
        <v>2695</v>
      </c>
      <c r="AA1944">
        <v>1045128782102</v>
      </c>
      <c r="AB1944" t="s">
        <v>474</v>
      </c>
      <c r="AC1944">
        <v>0</v>
      </c>
      <c r="AD1944">
        <v>5</v>
      </c>
      <c r="AE1944">
        <v>10451287821025</v>
      </c>
      <c r="AF1944" t="s">
        <v>7148</v>
      </c>
      <c r="AG1944">
        <v>1</v>
      </c>
      <c r="AH1944">
        <v>0</v>
      </c>
    </row>
    <row r="1945" spans="1:34">
      <c r="A1945">
        <v>2026</v>
      </c>
      <c r="B1945" s="1">
        <v>46082</v>
      </c>
      <c r="C1945" t="s">
        <v>2657</v>
      </c>
      <c r="D1945" t="s">
        <v>7151</v>
      </c>
      <c r="E1945" s="43">
        <v>46086.638618657409</v>
      </c>
      <c r="F1945" s="1">
        <v>46086</v>
      </c>
      <c r="G1945" s="43">
        <v>46091.517351909722</v>
      </c>
      <c r="H1945" t="s">
        <v>2668</v>
      </c>
      <c r="I1945" t="s">
        <v>2669</v>
      </c>
      <c r="J1945" t="s">
        <v>36</v>
      </c>
      <c r="L1945" t="s">
        <v>2355</v>
      </c>
      <c r="M1945">
        <v>1026263719202</v>
      </c>
      <c r="N1945" t="s">
        <v>2661</v>
      </c>
      <c r="O1945" s="1">
        <v>45730</v>
      </c>
      <c r="T1945" t="s">
        <v>2662</v>
      </c>
      <c r="U1945" t="s">
        <v>7152</v>
      </c>
      <c r="V1945">
        <v>3</v>
      </c>
      <c r="X1945">
        <v>1</v>
      </c>
      <c r="Y1945" t="s">
        <v>2699</v>
      </c>
      <c r="AA1945">
        <v>1026263719202</v>
      </c>
      <c r="AB1945" t="s">
        <v>616</v>
      </c>
      <c r="AC1945">
        <v>1</v>
      </c>
      <c r="AD1945">
        <v>10</v>
      </c>
      <c r="AE1945">
        <v>102626371920210</v>
      </c>
      <c r="AF1945" t="s">
        <v>7153</v>
      </c>
      <c r="AG1945">
        <v>1</v>
      </c>
      <c r="AH1945">
        <v>1</v>
      </c>
    </row>
    <row r="1946" spans="1:34">
      <c r="A1946">
        <v>2026</v>
      </c>
      <c r="B1946" s="1">
        <v>46054</v>
      </c>
      <c r="C1946" t="s">
        <v>2657</v>
      </c>
      <c r="D1946" t="s">
        <v>7154</v>
      </c>
      <c r="E1946" s="43">
        <v>46058.623223402778</v>
      </c>
      <c r="F1946" s="1">
        <v>46058</v>
      </c>
      <c r="G1946" s="43">
        <v>46062.57348486111</v>
      </c>
      <c r="H1946" t="s">
        <v>2725</v>
      </c>
      <c r="I1946" t="s">
        <v>2669</v>
      </c>
      <c r="J1946" t="s">
        <v>38</v>
      </c>
      <c r="L1946" t="s">
        <v>2347</v>
      </c>
      <c r="M1946">
        <v>655945459902</v>
      </c>
      <c r="N1946" t="s">
        <v>2675</v>
      </c>
      <c r="O1946" s="1">
        <v>45947</v>
      </c>
      <c r="T1946" t="s">
        <v>2662</v>
      </c>
      <c r="U1946" t="s">
        <v>7155</v>
      </c>
      <c r="V1946">
        <v>2</v>
      </c>
      <c r="W1946" t="s">
        <v>2985</v>
      </c>
      <c r="X1946">
        <v>1</v>
      </c>
      <c r="Y1946" t="s">
        <v>2985</v>
      </c>
      <c r="AA1946">
        <v>655945459902</v>
      </c>
      <c r="AB1946" t="s">
        <v>312</v>
      </c>
      <c r="AC1946">
        <v>0</v>
      </c>
      <c r="AD1946">
        <v>6</v>
      </c>
      <c r="AE1946">
        <v>6559454599026</v>
      </c>
      <c r="AF1946" t="s">
        <v>7156</v>
      </c>
      <c r="AG1946">
        <v>0</v>
      </c>
      <c r="AH1946">
        <v>0</v>
      </c>
    </row>
    <row r="1947" spans="1:34">
      <c r="A1947">
        <v>2026</v>
      </c>
      <c r="B1947" s="1">
        <v>46054</v>
      </c>
      <c r="C1947" t="s">
        <v>2657</v>
      </c>
      <c r="D1947" t="s">
        <v>7157</v>
      </c>
      <c r="E1947" s="43">
        <v>46056.613071134256</v>
      </c>
      <c r="F1947" s="1">
        <v>46056</v>
      </c>
      <c r="G1947" s="43">
        <v>46056.613071134256</v>
      </c>
      <c r="H1947" t="s">
        <v>2725</v>
      </c>
      <c r="I1947" t="s">
        <v>2669</v>
      </c>
      <c r="J1947" t="s">
        <v>38</v>
      </c>
      <c r="L1947" t="s">
        <v>2347</v>
      </c>
      <c r="M1947">
        <v>655945459902</v>
      </c>
      <c r="N1947" t="s">
        <v>2675</v>
      </c>
      <c r="O1947" s="1">
        <v>45947</v>
      </c>
      <c r="T1947" t="s">
        <v>2662</v>
      </c>
      <c r="U1947" t="s">
        <v>7158</v>
      </c>
      <c r="V1947">
        <v>0</v>
      </c>
      <c r="W1947" t="s">
        <v>2664</v>
      </c>
      <c r="X1947">
        <v>1</v>
      </c>
      <c r="Y1947" t="s">
        <v>2695</v>
      </c>
      <c r="AA1947">
        <v>655945459902</v>
      </c>
      <c r="AB1947" t="s">
        <v>312</v>
      </c>
      <c r="AC1947">
        <v>0</v>
      </c>
      <c r="AD1947">
        <v>6</v>
      </c>
      <c r="AE1947">
        <v>6559454599026</v>
      </c>
      <c r="AF1947" t="s">
        <v>7156</v>
      </c>
      <c r="AG1947">
        <v>1</v>
      </c>
      <c r="AH1947">
        <v>1</v>
      </c>
    </row>
    <row r="1948" spans="1:34">
      <c r="A1948">
        <v>2026</v>
      </c>
      <c r="B1948" s="1">
        <v>46054</v>
      </c>
      <c r="C1948" t="s">
        <v>2657</v>
      </c>
      <c r="D1948" t="s">
        <v>7159</v>
      </c>
      <c r="E1948" s="43">
        <v>46064.837914421296</v>
      </c>
      <c r="F1948" s="1">
        <v>46064</v>
      </c>
      <c r="G1948" s="43">
        <v>46078.703117962963</v>
      </c>
      <c r="H1948" t="s">
        <v>2725</v>
      </c>
      <c r="I1948" t="s">
        <v>2681</v>
      </c>
      <c r="J1948" t="s">
        <v>38</v>
      </c>
      <c r="L1948" t="s">
        <v>2347</v>
      </c>
      <c r="M1948">
        <v>655945459902</v>
      </c>
      <c r="N1948" t="s">
        <v>2675</v>
      </c>
      <c r="O1948" s="1">
        <v>45947</v>
      </c>
      <c r="T1948" t="s">
        <v>2662</v>
      </c>
      <c r="U1948" t="s">
        <v>7160</v>
      </c>
      <c r="V1948">
        <v>10</v>
      </c>
      <c r="W1948" t="s">
        <v>2671</v>
      </c>
      <c r="X1948">
        <v>1</v>
      </c>
      <c r="Y1948" t="s">
        <v>2683</v>
      </c>
      <c r="AA1948">
        <v>655945459902</v>
      </c>
      <c r="AB1948" t="s">
        <v>312</v>
      </c>
      <c r="AC1948">
        <v>0</v>
      </c>
      <c r="AD1948">
        <v>7</v>
      </c>
      <c r="AE1948">
        <v>6559454599027</v>
      </c>
      <c r="AF1948" t="s">
        <v>7156</v>
      </c>
      <c r="AG1948">
        <v>1</v>
      </c>
      <c r="AH1948">
        <v>0</v>
      </c>
    </row>
    <row r="1949" spans="1:34">
      <c r="A1949">
        <v>2026</v>
      </c>
      <c r="B1949" s="1">
        <v>46054</v>
      </c>
      <c r="C1949" t="s">
        <v>2657</v>
      </c>
      <c r="D1949" t="s">
        <v>7161</v>
      </c>
      <c r="E1949" s="43">
        <v>46072.699191539352</v>
      </c>
      <c r="F1949" s="1">
        <v>46072</v>
      </c>
      <c r="G1949" s="43">
        <v>46083.550840000004</v>
      </c>
      <c r="H1949" t="s">
        <v>2725</v>
      </c>
      <c r="I1949" t="s">
        <v>2719</v>
      </c>
      <c r="J1949" t="s">
        <v>38</v>
      </c>
      <c r="L1949" t="s">
        <v>2347</v>
      </c>
      <c r="M1949">
        <v>655945459902</v>
      </c>
      <c r="N1949" t="s">
        <v>2675</v>
      </c>
      <c r="O1949" s="1">
        <v>45947</v>
      </c>
      <c r="T1949" t="s">
        <v>2662</v>
      </c>
      <c r="U1949" t="s">
        <v>7162</v>
      </c>
      <c r="V1949">
        <v>7</v>
      </c>
      <c r="W1949" t="s">
        <v>2671</v>
      </c>
      <c r="X1949">
        <v>1</v>
      </c>
      <c r="Y1949" t="s">
        <v>2764</v>
      </c>
      <c r="AA1949">
        <v>655945459902</v>
      </c>
      <c r="AB1949" t="s">
        <v>312</v>
      </c>
      <c r="AC1949">
        <v>0</v>
      </c>
      <c r="AD1949">
        <v>8</v>
      </c>
      <c r="AE1949">
        <v>6559454599028</v>
      </c>
      <c r="AF1949" t="s">
        <v>7156</v>
      </c>
      <c r="AG1949">
        <v>0</v>
      </c>
      <c r="AH1949">
        <v>0</v>
      </c>
    </row>
    <row r="1950" spans="1:34">
      <c r="A1950">
        <v>2026</v>
      </c>
      <c r="B1950" s="1">
        <v>46054</v>
      </c>
      <c r="C1950" t="s">
        <v>2657</v>
      </c>
      <c r="D1950" s="44" t="s">
        <v>7163</v>
      </c>
      <c r="E1950" s="43">
        <v>46072.572659166668</v>
      </c>
      <c r="F1950" s="1">
        <v>46072</v>
      </c>
      <c r="G1950" s="43">
        <v>46072.572659166668</v>
      </c>
      <c r="H1950" t="s">
        <v>2725</v>
      </c>
      <c r="I1950" t="s">
        <v>2719</v>
      </c>
      <c r="J1950" t="s">
        <v>38</v>
      </c>
      <c r="L1950" t="s">
        <v>2347</v>
      </c>
      <c r="M1950">
        <v>655945459902</v>
      </c>
      <c r="N1950" t="s">
        <v>2675</v>
      </c>
      <c r="O1950" s="1">
        <v>45947</v>
      </c>
      <c r="T1950" t="s">
        <v>2662</v>
      </c>
      <c r="U1950" t="s">
        <v>7164</v>
      </c>
      <c r="V1950">
        <v>0</v>
      </c>
      <c r="W1950" t="s">
        <v>2671</v>
      </c>
      <c r="X1950">
        <v>1</v>
      </c>
      <c r="Y1950" t="s">
        <v>2760</v>
      </c>
      <c r="AA1950">
        <v>655945459902</v>
      </c>
      <c r="AB1950" t="s">
        <v>312</v>
      </c>
      <c r="AC1950">
        <v>0</v>
      </c>
      <c r="AD1950">
        <v>8</v>
      </c>
      <c r="AE1950">
        <v>6559454599028</v>
      </c>
      <c r="AF1950" t="s">
        <v>7156</v>
      </c>
      <c r="AG1950">
        <v>1</v>
      </c>
      <c r="AH1950">
        <v>0</v>
      </c>
    </row>
    <row r="1951" spans="1:34">
      <c r="A1951">
        <v>2026</v>
      </c>
      <c r="B1951" s="1">
        <v>46023</v>
      </c>
      <c r="C1951" t="s">
        <v>2657</v>
      </c>
      <c r="D1951" t="s">
        <v>7165</v>
      </c>
      <c r="E1951" s="43">
        <v>46028.602688159721</v>
      </c>
      <c r="F1951" s="1">
        <v>46028</v>
      </c>
      <c r="G1951" s="43">
        <v>46029.494430601851</v>
      </c>
      <c r="H1951" t="s">
        <v>2701</v>
      </c>
      <c r="I1951" t="s">
        <v>2669</v>
      </c>
      <c r="J1951" t="s">
        <v>36</v>
      </c>
      <c r="L1951" t="s">
        <v>2355</v>
      </c>
      <c r="M1951">
        <v>195492390002</v>
      </c>
      <c r="N1951" t="s">
        <v>2702</v>
      </c>
      <c r="O1951" s="1">
        <v>45673</v>
      </c>
      <c r="T1951" t="s">
        <v>2662</v>
      </c>
      <c r="U1951" t="s">
        <v>7166</v>
      </c>
      <c r="V1951">
        <v>1</v>
      </c>
      <c r="W1951" t="s">
        <v>2671</v>
      </c>
      <c r="X1951">
        <v>1</v>
      </c>
      <c r="Y1951" t="s">
        <v>2683</v>
      </c>
      <c r="AA1951">
        <v>153775969402</v>
      </c>
      <c r="AB1951" t="s">
        <v>1002</v>
      </c>
      <c r="AC1951">
        <v>0</v>
      </c>
      <c r="AD1951">
        <v>2</v>
      </c>
      <c r="AE1951">
        <v>1537759694022</v>
      </c>
      <c r="AF1951" t="s">
        <v>7167</v>
      </c>
      <c r="AG1951">
        <v>0</v>
      </c>
      <c r="AH1951">
        <v>0</v>
      </c>
    </row>
    <row r="1952" spans="1:34">
      <c r="A1952">
        <v>2026</v>
      </c>
      <c r="B1952" s="1">
        <v>46023</v>
      </c>
      <c r="C1952" t="s">
        <v>2657</v>
      </c>
      <c r="D1952" t="s">
        <v>7168</v>
      </c>
      <c r="E1952" s="43">
        <v>46028.672760196758</v>
      </c>
      <c r="F1952" s="1">
        <v>46028</v>
      </c>
      <c r="G1952" s="43">
        <v>46029.494473645835</v>
      </c>
      <c r="H1952" t="s">
        <v>2701</v>
      </c>
      <c r="I1952" t="s">
        <v>2669</v>
      </c>
      <c r="J1952" t="s">
        <v>36</v>
      </c>
      <c r="L1952" t="s">
        <v>2355</v>
      </c>
      <c r="M1952">
        <v>195492390002</v>
      </c>
      <c r="N1952" t="s">
        <v>2702</v>
      </c>
      <c r="O1952" s="1">
        <v>45673</v>
      </c>
      <c r="T1952" t="s">
        <v>2662</v>
      </c>
      <c r="U1952" t="s">
        <v>7169</v>
      </c>
      <c r="V1952">
        <v>1</v>
      </c>
      <c r="W1952" t="s">
        <v>2671</v>
      </c>
      <c r="X1952">
        <v>1</v>
      </c>
      <c r="Y1952" t="s">
        <v>2683</v>
      </c>
      <c r="AA1952">
        <v>153775969402</v>
      </c>
      <c r="AB1952" t="s">
        <v>1002</v>
      </c>
      <c r="AC1952">
        <v>0</v>
      </c>
      <c r="AD1952">
        <v>2</v>
      </c>
      <c r="AE1952">
        <v>1537759694022</v>
      </c>
      <c r="AF1952" t="s">
        <v>7167</v>
      </c>
      <c r="AG1952">
        <v>0</v>
      </c>
      <c r="AH1952">
        <v>0</v>
      </c>
    </row>
    <row r="1953" spans="1:34">
      <c r="A1953">
        <v>2026</v>
      </c>
      <c r="B1953" s="1">
        <v>46023</v>
      </c>
      <c r="C1953" t="s">
        <v>2657</v>
      </c>
      <c r="D1953" t="s">
        <v>7170</v>
      </c>
      <c r="E1953" s="43">
        <v>46028.601830208332</v>
      </c>
      <c r="F1953" s="1">
        <v>46028</v>
      </c>
      <c r="G1953" s="43">
        <v>46029.494448773148</v>
      </c>
      <c r="H1953" t="s">
        <v>2701</v>
      </c>
      <c r="I1953" t="s">
        <v>2669</v>
      </c>
      <c r="J1953" t="s">
        <v>36</v>
      </c>
      <c r="L1953" t="s">
        <v>2355</v>
      </c>
      <c r="M1953">
        <v>195492390002</v>
      </c>
      <c r="N1953" t="s">
        <v>2702</v>
      </c>
      <c r="O1953" s="1">
        <v>45673</v>
      </c>
      <c r="T1953" t="s">
        <v>2662</v>
      </c>
      <c r="U1953" t="s">
        <v>7171</v>
      </c>
      <c r="V1953">
        <v>1</v>
      </c>
      <c r="W1953" t="s">
        <v>2671</v>
      </c>
      <c r="X1953">
        <v>1</v>
      </c>
      <c r="Y1953" t="s">
        <v>2683</v>
      </c>
      <c r="AA1953">
        <v>153775969402</v>
      </c>
      <c r="AB1953" t="s">
        <v>1002</v>
      </c>
      <c r="AC1953">
        <v>0</v>
      </c>
      <c r="AD1953">
        <v>2</v>
      </c>
      <c r="AE1953">
        <v>1537759694022</v>
      </c>
      <c r="AF1953" t="s">
        <v>7167</v>
      </c>
      <c r="AG1953">
        <v>1</v>
      </c>
      <c r="AH1953">
        <v>1</v>
      </c>
    </row>
    <row r="1954" spans="1:34">
      <c r="A1954">
        <v>2026</v>
      </c>
      <c r="B1954" s="1">
        <v>46023</v>
      </c>
      <c r="C1954" t="s">
        <v>2657</v>
      </c>
      <c r="D1954" t="s">
        <v>7172</v>
      </c>
      <c r="E1954" s="43">
        <v>46035.793907511572</v>
      </c>
      <c r="F1954" s="1">
        <v>46035</v>
      </c>
      <c r="G1954" s="43">
        <v>46041.711321446761</v>
      </c>
      <c r="H1954" t="s">
        <v>2701</v>
      </c>
      <c r="I1954" t="s">
        <v>2681</v>
      </c>
      <c r="J1954" t="s">
        <v>36</v>
      </c>
      <c r="L1954" t="s">
        <v>2355</v>
      </c>
      <c r="M1954">
        <v>195492390002</v>
      </c>
      <c r="N1954" t="s">
        <v>2702</v>
      </c>
      <c r="O1954" s="1">
        <v>45673</v>
      </c>
      <c r="T1954" t="s">
        <v>2662</v>
      </c>
      <c r="U1954" t="s">
        <v>7173</v>
      </c>
      <c r="V1954">
        <v>4</v>
      </c>
      <c r="W1954" t="s">
        <v>2671</v>
      </c>
      <c r="X1954">
        <v>1</v>
      </c>
      <c r="Y1954" t="s">
        <v>2683</v>
      </c>
      <c r="AA1954">
        <v>153775969402</v>
      </c>
      <c r="AB1954" t="s">
        <v>1002</v>
      </c>
      <c r="AC1954">
        <v>0</v>
      </c>
      <c r="AD1954">
        <v>3</v>
      </c>
      <c r="AE1954">
        <v>1537759694023</v>
      </c>
      <c r="AF1954" t="s">
        <v>7167</v>
      </c>
      <c r="AG1954">
        <v>1</v>
      </c>
      <c r="AH1954">
        <v>0</v>
      </c>
    </row>
    <row r="1955" spans="1:34">
      <c r="A1955">
        <v>2026</v>
      </c>
      <c r="B1955" s="1">
        <v>46054</v>
      </c>
      <c r="C1955" t="s">
        <v>2657</v>
      </c>
      <c r="D1955" t="s">
        <v>7174</v>
      </c>
      <c r="E1955" s="43">
        <v>46055.828307951386</v>
      </c>
      <c r="F1955" s="1">
        <v>46055</v>
      </c>
      <c r="G1955" s="43">
        <v>46056.596285833337</v>
      </c>
      <c r="H1955" t="s">
        <v>2725</v>
      </c>
      <c r="I1955" t="s">
        <v>2669</v>
      </c>
      <c r="J1955" t="s">
        <v>38</v>
      </c>
      <c r="L1955" t="s">
        <v>2342</v>
      </c>
      <c r="M1955">
        <v>660765584502</v>
      </c>
      <c r="N1955" t="s">
        <v>2702</v>
      </c>
      <c r="O1955" s="1">
        <v>45324</v>
      </c>
      <c r="T1955" t="s">
        <v>2662</v>
      </c>
      <c r="U1955" t="s">
        <v>7175</v>
      </c>
      <c r="V1955">
        <v>1</v>
      </c>
      <c r="W1955" t="s">
        <v>2677</v>
      </c>
      <c r="X1955">
        <v>1</v>
      </c>
      <c r="Y1955" t="s">
        <v>2807</v>
      </c>
      <c r="AA1955">
        <v>690138852002</v>
      </c>
      <c r="AB1955" t="s">
        <v>2341</v>
      </c>
      <c r="AC1955">
        <v>0</v>
      </c>
      <c r="AD1955">
        <v>6</v>
      </c>
      <c r="AE1955">
        <v>6901388520026</v>
      </c>
      <c r="AF1955" t="s">
        <v>7176</v>
      </c>
      <c r="AG1955">
        <v>1</v>
      </c>
      <c r="AH1955">
        <v>1</v>
      </c>
    </row>
    <row r="1956" spans="1:34">
      <c r="A1956">
        <v>2026</v>
      </c>
      <c r="B1956" s="1">
        <v>46054</v>
      </c>
      <c r="C1956" t="s">
        <v>2657</v>
      </c>
      <c r="D1956" t="s">
        <v>7177</v>
      </c>
      <c r="E1956" s="43">
        <v>46058.749264976854</v>
      </c>
      <c r="F1956" s="1">
        <v>46058</v>
      </c>
      <c r="G1956" s="43">
        <v>46064.577601423611</v>
      </c>
      <c r="H1956" t="s">
        <v>2725</v>
      </c>
      <c r="I1956" t="s">
        <v>2669</v>
      </c>
      <c r="J1956" t="s">
        <v>38</v>
      </c>
      <c r="L1956" t="s">
        <v>2342</v>
      </c>
      <c r="M1956">
        <v>12218349602</v>
      </c>
      <c r="N1956" t="s">
        <v>2702</v>
      </c>
      <c r="O1956" s="1">
        <v>45324</v>
      </c>
      <c r="T1956" t="s">
        <v>2662</v>
      </c>
      <c r="U1956" t="s">
        <v>7178</v>
      </c>
      <c r="V1956">
        <v>4</v>
      </c>
      <c r="W1956" t="s">
        <v>2677</v>
      </c>
      <c r="X1956">
        <v>1</v>
      </c>
      <c r="Y1956" t="s">
        <v>2807</v>
      </c>
      <c r="AA1956">
        <v>690138852002</v>
      </c>
      <c r="AB1956" t="s">
        <v>2341</v>
      </c>
      <c r="AC1956">
        <v>0</v>
      </c>
      <c r="AD1956">
        <v>6</v>
      </c>
      <c r="AE1956">
        <v>6901388520026</v>
      </c>
      <c r="AF1956" t="s">
        <v>7176</v>
      </c>
      <c r="AG1956">
        <v>0</v>
      </c>
      <c r="AH1956">
        <v>0</v>
      </c>
    </row>
    <row r="1957" spans="1:34">
      <c r="A1957">
        <v>2026</v>
      </c>
      <c r="B1957" s="1">
        <v>46054</v>
      </c>
      <c r="C1957" t="s">
        <v>2657</v>
      </c>
      <c r="D1957" t="s">
        <v>7179</v>
      </c>
      <c r="E1957" s="43">
        <v>46058.74560224537</v>
      </c>
      <c r="F1957" s="1">
        <v>46058</v>
      </c>
      <c r="G1957" s="43">
        <v>46065.68962646991</v>
      </c>
      <c r="H1957" t="s">
        <v>2725</v>
      </c>
      <c r="I1957" t="s">
        <v>2669</v>
      </c>
      <c r="J1957" t="s">
        <v>38</v>
      </c>
      <c r="L1957" t="s">
        <v>2342</v>
      </c>
      <c r="M1957">
        <v>12218349602</v>
      </c>
      <c r="N1957" t="s">
        <v>2702</v>
      </c>
      <c r="O1957" s="1">
        <v>45324</v>
      </c>
      <c r="T1957" t="s">
        <v>2662</v>
      </c>
      <c r="U1957" t="s">
        <v>7180</v>
      </c>
      <c r="V1957">
        <v>5</v>
      </c>
      <c r="W1957" t="s">
        <v>2677</v>
      </c>
      <c r="X1957">
        <v>1</v>
      </c>
      <c r="Y1957" t="s">
        <v>2807</v>
      </c>
      <c r="AA1957">
        <v>690138852002</v>
      </c>
      <c r="AB1957" t="s">
        <v>2341</v>
      </c>
      <c r="AC1957">
        <v>0</v>
      </c>
      <c r="AD1957">
        <v>6</v>
      </c>
      <c r="AE1957">
        <v>6901388520026</v>
      </c>
      <c r="AF1957" t="s">
        <v>7176</v>
      </c>
      <c r="AG1957">
        <v>0</v>
      </c>
      <c r="AH1957">
        <v>0</v>
      </c>
    </row>
    <row r="1958" spans="1:34">
      <c r="A1958">
        <v>2026</v>
      </c>
      <c r="B1958" s="1">
        <v>46054</v>
      </c>
      <c r="C1958" t="s">
        <v>2657</v>
      </c>
      <c r="D1958" t="s">
        <v>7181</v>
      </c>
      <c r="E1958" s="43">
        <v>46066.686475555558</v>
      </c>
      <c r="F1958" s="1">
        <v>46066</v>
      </c>
      <c r="G1958" s="43">
        <v>46072.560044537036</v>
      </c>
      <c r="H1958" t="s">
        <v>2725</v>
      </c>
      <c r="I1958" t="s">
        <v>2681</v>
      </c>
      <c r="J1958" t="s">
        <v>38</v>
      </c>
      <c r="L1958" t="s">
        <v>2342</v>
      </c>
      <c r="M1958">
        <v>660765584502</v>
      </c>
      <c r="N1958" t="s">
        <v>2702</v>
      </c>
      <c r="O1958" s="1">
        <v>45324</v>
      </c>
      <c r="T1958" t="s">
        <v>2662</v>
      </c>
      <c r="U1958" t="s">
        <v>7182</v>
      </c>
      <c r="V1958">
        <v>4</v>
      </c>
      <c r="W1958" t="s">
        <v>2677</v>
      </c>
      <c r="X1958">
        <v>1</v>
      </c>
      <c r="Y1958" t="s">
        <v>2678</v>
      </c>
      <c r="AA1958">
        <v>690138852002</v>
      </c>
      <c r="AB1958" t="s">
        <v>2341</v>
      </c>
      <c r="AC1958">
        <v>0</v>
      </c>
      <c r="AD1958">
        <v>7</v>
      </c>
      <c r="AE1958">
        <v>6901388520027</v>
      </c>
      <c r="AF1958" t="s">
        <v>7176</v>
      </c>
      <c r="AG1958">
        <v>1</v>
      </c>
      <c r="AH1958">
        <v>0</v>
      </c>
    </row>
    <row r="1959" spans="1:34">
      <c r="A1959">
        <v>2026</v>
      </c>
      <c r="B1959" s="1">
        <v>46054</v>
      </c>
      <c r="C1959" t="s">
        <v>2657</v>
      </c>
      <c r="D1959" t="s">
        <v>7183</v>
      </c>
      <c r="E1959" s="43">
        <v>46073.690792118054</v>
      </c>
      <c r="F1959" s="1">
        <v>46073</v>
      </c>
      <c r="G1959" s="43">
        <v>46077.60413511574</v>
      </c>
      <c r="H1959" t="s">
        <v>2725</v>
      </c>
      <c r="I1959" t="s">
        <v>2719</v>
      </c>
      <c r="J1959" t="s">
        <v>38</v>
      </c>
      <c r="L1959" t="s">
        <v>2342</v>
      </c>
      <c r="M1959">
        <v>660765584502</v>
      </c>
      <c r="N1959" t="s">
        <v>2702</v>
      </c>
      <c r="O1959" s="1">
        <v>45324</v>
      </c>
      <c r="T1959" t="s">
        <v>2662</v>
      </c>
      <c r="U1959" t="s">
        <v>7184</v>
      </c>
      <c r="V1959">
        <v>2</v>
      </c>
      <c r="W1959" t="s">
        <v>2677</v>
      </c>
      <c r="X1959">
        <v>1</v>
      </c>
      <c r="Y1959" t="s">
        <v>2807</v>
      </c>
      <c r="Z1959" t="s">
        <v>2684</v>
      </c>
      <c r="AA1959">
        <v>690138852002</v>
      </c>
      <c r="AB1959" t="s">
        <v>2341</v>
      </c>
      <c r="AC1959">
        <v>0</v>
      </c>
      <c r="AD1959">
        <v>8</v>
      </c>
      <c r="AE1959">
        <v>6901388520028</v>
      </c>
      <c r="AF1959" t="s">
        <v>7176</v>
      </c>
      <c r="AG1959">
        <v>1</v>
      </c>
      <c r="AH1959">
        <v>0</v>
      </c>
    </row>
    <row r="1960" spans="1:34">
      <c r="A1960">
        <v>2026</v>
      </c>
      <c r="B1960" s="1">
        <v>46054</v>
      </c>
      <c r="C1960" t="s">
        <v>2657</v>
      </c>
      <c r="D1960" t="s">
        <v>7185</v>
      </c>
      <c r="E1960" s="43">
        <v>46073.731672812501</v>
      </c>
      <c r="F1960" s="1">
        <v>46073</v>
      </c>
      <c r="G1960" s="43">
        <v>46073.731672812501</v>
      </c>
      <c r="H1960" t="s">
        <v>2725</v>
      </c>
      <c r="I1960" t="s">
        <v>2719</v>
      </c>
      <c r="J1960" t="s">
        <v>38</v>
      </c>
      <c r="L1960" t="s">
        <v>2342</v>
      </c>
      <c r="M1960">
        <v>12218349602</v>
      </c>
      <c r="N1960" t="s">
        <v>2702</v>
      </c>
      <c r="O1960" s="1">
        <v>45324</v>
      </c>
      <c r="T1960" t="s">
        <v>2662</v>
      </c>
      <c r="U1960" t="s">
        <v>7186</v>
      </c>
      <c r="V1960">
        <v>0</v>
      </c>
      <c r="W1960" t="s">
        <v>2677</v>
      </c>
      <c r="X1960">
        <v>1</v>
      </c>
      <c r="Y1960" t="s">
        <v>2760</v>
      </c>
      <c r="AA1960">
        <v>690138852002</v>
      </c>
      <c r="AB1960" t="s">
        <v>2341</v>
      </c>
      <c r="AC1960">
        <v>0</v>
      </c>
      <c r="AD1960">
        <v>8</v>
      </c>
      <c r="AE1960">
        <v>6901388520028</v>
      </c>
      <c r="AF1960" t="s">
        <v>7176</v>
      </c>
      <c r="AG1960">
        <v>0</v>
      </c>
      <c r="AH1960">
        <v>0</v>
      </c>
    </row>
    <row r="1961" spans="1:34">
      <c r="A1961">
        <v>2026</v>
      </c>
      <c r="B1961" s="1">
        <v>46054</v>
      </c>
      <c r="C1961" t="s">
        <v>2657</v>
      </c>
      <c r="D1961" t="s">
        <v>7187</v>
      </c>
      <c r="E1961" s="43">
        <v>46073.730670740741</v>
      </c>
      <c r="F1961" s="1">
        <v>46073</v>
      </c>
      <c r="G1961" s="43">
        <v>46077.597986076391</v>
      </c>
      <c r="H1961" t="s">
        <v>2725</v>
      </c>
      <c r="I1961" t="s">
        <v>2719</v>
      </c>
      <c r="J1961" t="s">
        <v>38</v>
      </c>
      <c r="L1961" t="s">
        <v>2342</v>
      </c>
      <c r="M1961">
        <v>12218349602</v>
      </c>
      <c r="N1961" t="s">
        <v>2702</v>
      </c>
      <c r="O1961" s="1">
        <v>45324</v>
      </c>
      <c r="T1961" t="s">
        <v>2662</v>
      </c>
      <c r="U1961" t="s">
        <v>7188</v>
      </c>
      <c r="V1961">
        <v>2</v>
      </c>
      <c r="W1961" t="s">
        <v>2677</v>
      </c>
      <c r="X1961">
        <v>1</v>
      </c>
      <c r="Y1961" t="s">
        <v>2678</v>
      </c>
      <c r="AA1961">
        <v>690138852002</v>
      </c>
      <c r="AB1961" t="s">
        <v>2341</v>
      </c>
      <c r="AC1961">
        <v>0</v>
      </c>
      <c r="AD1961">
        <v>8</v>
      </c>
      <c r="AE1961">
        <v>6901388520028</v>
      </c>
      <c r="AF1961" t="s">
        <v>7176</v>
      </c>
      <c r="AG1961">
        <v>0</v>
      </c>
      <c r="AH1961">
        <v>0</v>
      </c>
    </row>
    <row r="1962" spans="1:34">
      <c r="A1962">
        <v>2026</v>
      </c>
      <c r="B1962" s="1">
        <v>46054</v>
      </c>
      <c r="C1962" t="s">
        <v>2657</v>
      </c>
      <c r="D1962" t="s">
        <v>7189</v>
      </c>
      <c r="E1962" s="43">
        <v>46078.783099201391</v>
      </c>
      <c r="F1962" s="1">
        <v>46078</v>
      </c>
      <c r="G1962" s="43">
        <v>46084.886856261575</v>
      </c>
      <c r="H1962" t="s">
        <v>2725</v>
      </c>
      <c r="I1962" t="s">
        <v>2660</v>
      </c>
      <c r="J1962" t="s">
        <v>38</v>
      </c>
      <c r="L1962" t="s">
        <v>2342</v>
      </c>
      <c r="M1962">
        <v>12218349602</v>
      </c>
      <c r="N1962" t="s">
        <v>2702</v>
      </c>
      <c r="O1962" s="1">
        <v>45324</v>
      </c>
      <c r="T1962" t="s">
        <v>2662</v>
      </c>
      <c r="U1962" t="s">
        <v>7190</v>
      </c>
      <c r="V1962">
        <v>4</v>
      </c>
      <c r="W1962" t="s">
        <v>2677</v>
      </c>
      <c r="X1962">
        <v>1</v>
      </c>
      <c r="Y1962" t="s">
        <v>2678</v>
      </c>
      <c r="AA1962">
        <v>690138852002</v>
      </c>
      <c r="AB1962" t="s">
        <v>2341</v>
      </c>
      <c r="AC1962">
        <v>0</v>
      </c>
      <c r="AD1962">
        <v>9</v>
      </c>
      <c r="AE1962">
        <v>6901388520029</v>
      </c>
      <c r="AF1962" t="s">
        <v>7176</v>
      </c>
      <c r="AG1962">
        <v>1</v>
      </c>
      <c r="AH1962">
        <v>0</v>
      </c>
    </row>
    <row r="1963" spans="1:34">
      <c r="A1963">
        <v>2025</v>
      </c>
      <c r="B1963" s="1">
        <v>45901</v>
      </c>
      <c r="C1963" t="s">
        <v>2657</v>
      </c>
      <c r="D1963" t="s">
        <v>7191</v>
      </c>
      <c r="E1963" s="43">
        <v>45903.581089791667</v>
      </c>
      <c r="F1963" s="1">
        <v>45903</v>
      </c>
      <c r="G1963" s="43">
        <v>45905.61863153935</v>
      </c>
      <c r="H1963" t="s">
        <v>2734</v>
      </c>
      <c r="I1963" t="s">
        <v>2669</v>
      </c>
      <c r="J1963" t="s">
        <v>2735</v>
      </c>
      <c r="L1963" t="s">
        <v>2355</v>
      </c>
      <c r="M1963">
        <v>6127997902</v>
      </c>
      <c r="N1963" t="s">
        <v>2702</v>
      </c>
      <c r="O1963" s="1">
        <v>44952</v>
      </c>
      <c r="T1963" t="s">
        <v>2662</v>
      </c>
      <c r="U1963" t="s">
        <v>7192</v>
      </c>
      <c r="V1963">
        <v>2</v>
      </c>
      <c r="W1963" t="s">
        <v>2677</v>
      </c>
      <c r="X1963">
        <v>1</v>
      </c>
      <c r="Y1963" t="s">
        <v>2807</v>
      </c>
      <c r="AA1963">
        <v>366327938802</v>
      </c>
      <c r="AB1963" t="s">
        <v>1985</v>
      </c>
      <c r="AC1963">
        <v>0</v>
      </c>
      <c r="AD1963">
        <v>36</v>
      </c>
      <c r="AE1963">
        <v>36632793880236</v>
      </c>
      <c r="AF1963" t="s">
        <v>7193</v>
      </c>
      <c r="AG1963">
        <v>1</v>
      </c>
      <c r="AH1963">
        <v>1</v>
      </c>
    </row>
    <row r="1964" spans="1:34">
      <c r="A1964">
        <v>2025</v>
      </c>
      <c r="B1964" s="1">
        <v>45901</v>
      </c>
      <c r="C1964" t="s">
        <v>2657</v>
      </c>
      <c r="D1964" t="s">
        <v>7194</v>
      </c>
      <c r="E1964" s="43">
        <v>45903.833541516207</v>
      </c>
      <c r="F1964" s="1">
        <v>45903</v>
      </c>
      <c r="G1964" s="43">
        <v>45905.618650914352</v>
      </c>
      <c r="H1964" t="s">
        <v>2734</v>
      </c>
      <c r="I1964" t="s">
        <v>2669</v>
      </c>
      <c r="J1964" t="s">
        <v>2735</v>
      </c>
      <c r="L1964" t="s">
        <v>2355</v>
      </c>
      <c r="M1964">
        <v>6127997902</v>
      </c>
      <c r="N1964" t="s">
        <v>2702</v>
      </c>
      <c r="O1964" s="1">
        <v>44952</v>
      </c>
      <c r="T1964" t="s">
        <v>2662</v>
      </c>
      <c r="U1964" t="s">
        <v>7195</v>
      </c>
      <c r="V1964">
        <v>2</v>
      </c>
      <c r="W1964" t="s">
        <v>2677</v>
      </c>
      <c r="X1964">
        <v>1</v>
      </c>
      <c r="Y1964" t="s">
        <v>2807</v>
      </c>
      <c r="AA1964">
        <v>366327938802</v>
      </c>
      <c r="AB1964" t="s">
        <v>1985</v>
      </c>
      <c r="AC1964">
        <v>0</v>
      </c>
      <c r="AD1964">
        <v>36</v>
      </c>
      <c r="AE1964">
        <v>36632793880236</v>
      </c>
      <c r="AF1964" t="s">
        <v>7193</v>
      </c>
      <c r="AG1964">
        <v>0</v>
      </c>
      <c r="AH1964">
        <v>0</v>
      </c>
    </row>
    <row r="1965" spans="1:34">
      <c r="A1965">
        <v>2025</v>
      </c>
      <c r="B1965" s="1">
        <v>45931</v>
      </c>
      <c r="C1965" t="s">
        <v>2657</v>
      </c>
      <c r="D1965" t="s">
        <v>7196</v>
      </c>
      <c r="E1965" s="43">
        <v>45936.550793645831</v>
      </c>
      <c r="F1965" s="1">
        <v>45936</v>
      </c>
      <c r="G1965" s="43">
        <v>45938.630085312499</v>
      </c>
      <c r="H1965" t="s">
        <v>2659</v>
      </c>
      <c r="I1965" t="s">
        <v>2669</v>
      </c>
      <c r="J1965" t="s">
        <v>2735</v>
      </c>
      <c r="L1965" t="s">
        <v>2421</v>
      </c>
      <c r="M1965">
        <v>55427353102</v>
      </c>
      <c r="N1965" t="s">
        <v>2661</v>
      </c>
      <c r="O1965" s="1">
        <v>45294</v>
      </c>
      <c r="T1965" t="s">
        <v>2662</v>
      </c>
      <c r="U1965" t="s">
        <v>7197</v>
      </c>
      <c r="V1965">
        <v>2</v>
      </c>
      <c r="W1965" t="s">
        <v>2677</v>
      </c>
      <c r="X1965">
        <v>1</v>
      </c>
      <c r="Y1965" t="s">
        <v>2779</v>
      </c>
      <c r="AA1965">
        <v>55427353102</v>
      </c>
      <c r="AB1965" t="s">
        <v>1972</v>
      </c>
      <c r="AC1965">
        <v>0</v>
      </c>
      <c r="AD1965">
        <v>41</v>
      </c>
      <c r="AE1965">
        <v>5542735310241</v>
      </c>
      <c r="AF1965" t="s">
        <v>7198</v>
      </c>
      <c r="AG1965">
        <v>0</v>
      </c>
      <c r="AH1965">
        <v>0</v>
      </c>
    </row>
    <row r="1966" spans="1:34">
      <c r="A1966">
        <v>2025</v>
      </c>
      <c r="B1966" s="1">
        <v>45931</v>
      </c>
      <c r="C1966" t="s">
        <v>2657</v>
      </c>
      <c r="D1966" s="44" t="s">
        <v>7199</v>
      </c>
      <c r="E1966" s="43">
        <v>45936.543389178238</v>
      </c>
      <c r="F1966" s="1">
        <v>45936</v>
      </c>
      <c r="G1966" s="43">
        <v>45937.679576319446</v>
      </c>
      <c r="H1966" t="s">
        <v>2659</v>
      </c>
      <c r="I1966" t="s">
        <v>2669</v>
      </c>
      <c r="J1966" t="s">
        <v>2735</v>
      </c>
      <c r="L1966" t="s">
        <v>2421</v>
      </c>
      <c r="M1966">
        <v>55427353102</v>
      </c>
      <c r="N1966" t="s">
        <v>2661</v>
      </c>
      <c r="O1966" s="1">
        <v>45294</v>
      </c>
      <c r="T1966" t="s">
        <v>2662</v>
      </c>
      <c r="U1966" t="s">
        <v>7200</v>
      </c>
      <c r="V1966">
        <v>1</v>
      </c>
      <c r="W1966" t="s">
        <v>2671</v>
      </c>
      <c r="X1966">
        <v>1</v>
      </c>
      <c r="Y1966" t="s">
        <v>2683</v>
      </c>
      <c r="AA1966">
        <v>55427353102</v>
      </c>
      <c r="AB1966" t="s">
        <v>1972</v>
      </c>
      <c r="AC1966">
        <v>0</v>
      </c>
      <c r="AD1966">
        <v>41</v>
      </c>
      <c r="AE1966">
        <v>5542735310241</v>
      </c>
      <c r="AF1966" t="s">
        <v>7198</v>
      </c>
      <c r="AG1966">
        <v>1</v>
      </c>
      <c r="AH1966">
        <v>1</v>
      </c>
    </row>
    <row r="1967" spans="1:34">
      <c r="A1967">
        <v>2025</v>
      </c>
      <c r="B1967" s="1">
        <v>45931</v>
      </c>
      <c r="C1967" t="s">
        <v>2657</v>
      </c>
      <c r="D1967" t="s">
        <v>7201</v>
      </c>
      <c r="E1967" s="43">
        <v>45939.731634074073</v>
      </c>
      <c r="F1967" s="1">
        <v>45939</v>
      </c>
      <c r="G1967" s="43">
        <v>45940.634299363424</v>
      </c>
      <c r="H1967" t="s">
        <v>2659</v>
      </c>
      <c r="I1967" t="s">
        <v>2681</v>
      </c>
      <c r="J1967" t="s">
        <v>2735</v>
      </c>
      <c r="L1967" t="s">
        <v>2421</v>
      </c>
      <c r="M1967">
        <v>55427353102</v>
      </c>
      <c r="N1967" t="s">
        <v>2661</v>
      </c>
      <c r="O1967" s="1">
        <v>45294</v>
      </c>
      <c r="T1967" t="s">
        <v>2662</v>
      </c>
      <c r="U1967" t="s">
        <v>3921</v>
      </c>
      <c r="V1967">
        <v>1</v>
      </c>
      <c r="W1967" t="s">
        <v>2671</v>
      </c>
      <c r="X1967">
        <v>1</v>
      </c>
      <c r="Y1967" t="s">
        <v>3237</v>
      </c>
      <c r="AA1967">
        <v>55427353102</v>
      </c>
      <c r="AB1967" t="s">
        <v>1972</v>
      </c>
      <c r="AC1967">
        <v>0</v>
      </c>
      <c r="AD1967">
        <v>41</v>
      </c>
      <c r="AE1967">
        <v>5542735310241</v>
      </c>
      <c r="AF1967" t="s">
        <v>7198</v>
      </c>
      <c r="AG1967">
        <v>0</v>
      </c>
      <c r="AH1967">
        <v>0</v>
      </c>
    </row>
    <row r="1968" spans="1:34">
      <c r="A1968">
        <v>2025</v>
      </c>
      <c r="B1968" s="1">
        <v>45931</v>
      </c>
      <c r="C1968" t="s">
        <v>2657</v>
      </c>
      <c r="D1968" t="s">
        <v>7202</v>
      </c>
      <c r="E1968" s="43">
        <v>45938.517508611112</v>
      </c>
      <c r="F1968" s="1">
        <v>45938</v>
      </c>
      <c r="G1968" s="43">
        <v>45945.508320057874</v>
      </c>
      <c r="H1968" t="s">
        <v>2659</v>
      </c>
      <c r="I1968" t="s">
        <v>2681</v>
      </c>
      <c r="J1968" t="s">
        <v>2735</v>
      </c>
      <c r="L1968" t="s">
        <v>2421</v>
      </c>
      <c r="M1968">
        <v>55427353102</v>
      </c>
      <c r="N1968" t="s">
        <v>2661</v>
      </c>
      <c r="O1968" s="1">
        <v>45294</v>
      </c>
      <c r="T1968" t="s">
        <v>2662</v>
      </c>
      <c r="U1968" t="s">
        <v>7203</v>
      </c>
      <c r="V1968">
        <v>5</v>
      </c>
      <c r="W1968" t="s">
        <v>2677</v>
      </c>
      <c r="X1968">
        <v>1</v>
      </c>
      <c r="Y1968" t="s">
        <v>2772</v>
      </c>
      <c r="AA1968">
        <v>55427353102</v>
      </c>
      <c r="AB1968" t="s">
        <v>1972</v>
      </c>
      <c r="AC1968">
        <v>0</v>
      </c>
      <c r="AD1968">
        <v>41</v>
      </c>
      <c r="AE1968">
        <v>5542735310241</v>
      </c>
      <c r="AF1968" t="s">
        <v>7198</v>
      </c>
      <c r="AG1968">
        <v>0</v>
      </c>
      <c r="AH1968">
        <v>0</v>
      </c>
    </row>
    <row r="1969" spans="1:34">
      <c r="A1969">
        <v>2025</v>
      </c>
      <c r="B1969" s="1">
        <v>45931</v>
      </c>
      <c r="C1969" t="s">
        <v>2657</v>
      </c>
      <c r="D1969" t="s">
        <v>7204</v>
      </c>
      <c r="E1969" s="43">
        <v>45953.71002309028</v>
      </c>
      <c r="F1969" s="1">
        <v>45953</v>
      </c>
      <c r="G1969" s="43">
        <v>45957.605323935182</v>
      </c>
      <c r="H1969" t="s">
        <v>2659</v>
      </c>
      <c r="I1969" t="s">
        <v>2660</v>
      </c>
      <c r="J1969" t="s">
        <v>37</v>
      </c>
      <c r="L1969" t="s">
        <v>2421</v>
      </c>
      <c r="M1969">
        <v>55427353102</v>
      </c>
      <c r="N1969" t="s">
        <v>2661</v>
      </c>
      <c r="O1969" s="1">
        <v>45294</v>
      </c>
      <c r="T1969" t="s">
        <v>2662</v>
      </c>
      <c r="U1969" t="s">
        <v>7205</v>
      </c>
      <c r="V1969">
        <v>2</v>
      </c>
      <c r="W1969" t="s">
        <v>2677</v>
      </c>
      <c r="X1969">
        <v>1</v>
      </c>
      <c r="Y1969" t="s">
        <v>2807</v>
      </c>
      <c r="AA1969">
        <v>55427353102</v>
      </c>
      <c r="AB1969" t="s">
        <v>1972</v>
      </c>
      <c r="AC1969">
        <v>0</v>
      </c>
      <c r="AD1969">
        <v>43</v>
      </c>
      <c r="AE1969">
        <v>5542735310243</v>
      </c>
      <c r="AF1969" t="s">
        <v>7198</v>
      </c>
      <c r="AG1969">
        <v>1</v>
      </c>
      <c r="AH1969">
        <v>0</v>
      </c>
    </row>
    <row r="1970" spans="1:34">
      <c r="A1970">
        <v>2025</v>
      </c>
      <c r="B1970" s="1">
        <v>45931</v>
      </c>
      <c r="C1970" t="s">
        <v>2657</v>
      </c>
      <c r="D1970" t="s">
        <v>7206</v>
      </c>
      <c r="E1970" s="43">
        <v>45961.631529224534</v>
      </c>
      <c r="F1970" s="1">
        <v>45961</v>
      </c>
      <c r="G1970" s="43">
        <v>45972.805486550926</v>
      </c>
      <c r="H1970" t="s">
        <v>2659</v>
      </c>
      <c r="I1970" t="s">
        <v>2697</v>
      </c>
      <c r="J1970" t="s">
        <v>37</v>
      </c>
      <c r="L1970" t="s">
        <v>2421</v>
      </c>
      <c r="M1970">
        <v>55427353102</v>
      </c>
      <c r="N1970" t="s">
        <v>2661</v>
      </c>
      <c r="O1970" s="1">
        <v>45294</v>
      </c>
      <c r="T1970" t="s">
        <v>2662</v>
      </c>
      <c r="U1970" t="s">
        <v>7207</v>
      </c>
      <c r="V1970">
        <v>7</v>
      </c>
      <c r="W1970" t="s">
        <v>2671</v>
      </c>
      <c r="X1970">
        <v>1</v>
      </c>
      <c r="Y1970" t="s">
        <v>2678</v>
      </c>
      <c r="AA1970">
        <v>55427353102</v>
      </c>
      <c r="AB1970" t="s">
        <v>1972</v>
      </c>
      <c r="AC1970">
        <v>0</v>
      </c>
      <c r="AD1970">
        <v>44</v>
      </c>
      <c r="AE1970">
        <v>5542735310244</v>
      </c>
      <c r="AF1970" t="s">
        <v>7198</v>
      </c>
      <c r="AG1970">
        <v>1</v>
      </c>
      <c r="AH1970">
        <v>0</v>
      </c>
    </row>
    <row r="1971" spans="1:34">
      <c r="A1971">
        <v>2025</v>
      </c>
      <c r="B1971" s="1">
        <v>45931</v>
      </c>
      <c r="C1971" t="s">
        <v>2657</v>
      </c>
      <c r="D1971" t="s">
        <v>7208</v>
      </c>
      <c r="E1971" s="43">
        <v>45961.769255555555</v>
      </c>
      <c r="F1971" s="1">
        <v>45961</v>
      </c>
      <c r="G1971" s="43">
        <v>45966.533633344909</v>
      </c>
      <c r="H1971" t="s">
        <v>2659</v>
      </c>
      <c r="I1971" t="s">
        <v>2697</v>
      </c>
      <c r="J1971" t="s">
        <v>37</v>
      </c>
      <c r="L1971" t="s">
        <v>2421</v>
      </c>
      <c r="M1971">
        <v>55427353102</v>
      </c>
      <c r="N1971" t="s">
        <v>2661</v>
      </c>
      <c r="O1971" s="1">
        <v>45294</v>
      </c>
      <c r="T1971" t="s">
        <v>2662</v>
      </c>
      <c r="U1971" t="s">
        <v>7209</v>
      </c>
      <c r="V1971">
        <v>3</v>
      </c>
      <c r="W1971" t="s">
        <v>2671</v>
      </c>
      <c r="X1971">
        <v>1</v>
      </c>
      <c r="Y1971" t="s">
        <v>2807</v>
      </c>
      <c r="AA1971">
        <v>55427353102</v>
      </c>
      <c r="AB1971" t="s">
        <v>1972</v>
      </c>
      <c r="AC1971">
        <v>0</v>
      </c>
      <c r="AD1971">
        <v>44</v>
      </c>
      <c r="AE1971">
        <v>5542735310244</v>
      </c>
      <c r="AF1971" t="s">
        <v>7198</v>
      </c>
      <c r="AG1971">
        <v>0</v>
      </c>
      <c r="AH1971">
        <v>0</v>
      </c>
    </row>
    <row r="1972" spans="1:34">
      <c r="A1972">
        <v>2025</v>
      </c>
      <c r="B1972" s="1">
        <v>45931</v>
      </c>
      <c r="C1972" t="s">
        <v>2657</v>
      </c>
      <c r="D1972" t="s">
        <v>7210</v>
      </c>
      <c r="E1972" s="43">
        <v>45933.510828506944</v>
      </c>
      <c r="F1972" s="1">
        <v>45933</v>
      </c>
      <c r="G1972" s="43">
        <v>45933.513076493058</v>
      </c>
      <c r="H1972" t="s">
        <v>2659</v>
      </c>
      <c r="I1972" t="s">
        <v>2669</v>
      </c>
      <c r="J1972" t="s">
        <v>2735</v>
      </c>
      <c r="L1972" t="s">
        <v>2362</v>
      </c>
      <c r="M1972">
        <v>46733383915</v>
      </c>
      <c r="N1972" t="s">
        <v>2746</v>
      </c>
      <c r="O1972" s="1">
        <v>45145</v>
      </c>
      <c r="T1972" t="s">
        <v>2662</v>
      </c>
      <c r="U1972" t="s">
        <v>7211</v>
      </c>
      <c r="V1972">
        <v>0</v>
      </c>
      <c r="W1972" t="s">
        <v>2671</v>
      </c>
      <c r="X1972">
        <v>1</v>
      </c>
      <c r="Y1972" t="s">
        <v>2683</v>
      </c>
      <c r="Z1972" t="s">
        <v>2684</v>
      </c>
      <c r="AA1972">
        <v>46733383915</v>
      </c>
      <c r="AB1972" t="s">
        <v>839</v>
      </c>
      <c r="AC1972">
        <v>0</v>
      </c>
      <c r="AD1972">
        <v>40</v>
      </c>
      <c r="AE1972">
        <v>4673338391540</v>
      </c>
      <c r="AF1972" t="s">
        <v>7212</v>
      </c>
      <c r="AG1972">
        <v>0</v>
      </c>
      <c r="AH1972">
        <v>1</v>
      </c>
    </row>
    <row r="1973" spans="1:34">
      <c r="A1973">
        <v>2025</v>
      </c>
      <c r="B1973" s="1">
        <v>45931</v>
      </c>
      <c r="C1973" t="s">
        <v>2657</v>
      </c>
      <c r="D1973" t="s">
        <v>7213</v>
      </c>
      <c r="E1973" s="43">
        <v>45960.676333530093</v>
      </c>
      <c r="F1973" s="1">
        <v>45960</v>
      </c>
      <c r="G1973" s="43">
        <v>45961.706497395833</v>
      </c>
      <c r="H1973" t="s">
        <v>2659</v>
      </c>
      <c r="I1973" t="s">
        <v>2697</v>
      </c>
      <c r="J1973" t="s">
        <v>2735</v>
      </c>
      <c r="L1973" t="s">
        <v>2362</v>
      </c>
      <c r="M1973">
        <v>46733383915</v>
      </c>
      <c r="N1973" t="s">
        <v>2746</v>
      </c>
      <c r="O1973" s="1">
        <v>45145</v>
      </c>
      <c r="T1973" t="s">
        <v>2662</v>
      </c>
      <c r="U1973" t="s">
        <v>7214</v>
      </c>
      <c r="V1973">
        <v>1</v>
      </c>
      <c r="W1973" t="s">
        <v>2677</v>
      </c>
      <c r="X1973">
        <v>1</v>
      </c>
      <c r="Y1973" t="s">
        <v>2760</v>
      </c>
      <c r="Z1973" t="s">
        <v>2684</v>
      </c>
      <c r="AA1973">
        <v>46733383915</v>
      </c>
      <c r="AB1973" t="s">
        <v>839</v>
      </c>
      <c r="AC1973">
        <v>0</v>
      </c>
      <c r="AD1973">
        <v>44</v>
      </c>
      <c r="AE1973">
        <v>4673338391544</v>
      </c>
      <c r="AF1973" t="s">
        <v>7212</v>
      </c>
      <c r="AG1973">
        <v>1</v>
      </c>
      <c r="AH1973">
        <v>0</v>
      </c>
    </row>
    <row r="1974" spans="1:34">
      <c r="A1974">
        <v>2025</v>
      </c>
      <c r="B1974" s="1">
        <v>45962</v>
      </c>
      <c r="C1974" t="s">
        <v>2657</v>
      </c>
      <c r="D1974" t="s">
        <v>7215</v>
      </c>
      <c r="E1974" s="43">
        <v>45973.86982699074</v>
      </c>
      <c r="F1974" s="1">
        <v>45973</v>
      </c>
      <c r="G1974" s="43">
        <v>45988.874345277778</v>
      </c>
      <c r="H1974" t="s">
        <v>2802</v>
      </c>
      <c r="I1974" t="s">
        <v>2681</v>
      </c>
      <c r="J1974" t="s">
        <v>37</v>
      </c>
      <c r="L1974" t="s">
        <v>2352</v>
      </c>
      <c r="M1974">
        <v>117086860802</v>
      </c>
      <c r="N1974" t="s">
        <v>2702</v>
      </c>
      <c r="O1974" s="1">
        <v>45294</v>
      </c>
      <c r="T1974" t="s">
        <v>2662</v>
      </c>
      <c r="U1974" t="s">
        <v>7216</v>
      </c>
      <c r="V1974">
        <v>11</v>
      </c>
      <c r="W1974" t="s">
        <v>2671</v>
      </c>
      <c r="X1974">
        <v>1</v>
      </c>
      <c r="Y1974" t="s">
        <v>2683</v>
      </c>
      <c r="AA1974">
        <v>117086860802</v>
      </c>
      <c r="AB1974" t="s">
        <v>876</v>
      </c>
      <c r="AC1974">
        <v>0</v>
      </c>
      <c r="AD1974">
        <v>46</v>
      </c>
      <c r="AE1974">
        <v>11708686080246</v>
      </c>
      <c r="AF1974" t="s">
        <v>7217</v>
      </c>
      <c r="AG1974">
        <v>0</v>
      </c>
      <c r="AH1974">
        <v>0</v>
      </c>
    </row>
    <row r="1975" spans="1:34">
      <c r="A1975">
        <v>2025</v>
      </c>
      <c r="B1975" s="1">
        <v>45962</v>
      </c>
      <c r="C1975" t="s">
        <v>2657</v>
      </c>
      <c r="D1975" t="s">
        <v>7218</v>
      </c>
      <c r="E1975" s="43">
        <v>45972.895892523149</v>
      </c>
      <c r="F1975" s="1">
        <v>45972</v>
      </c>
      <c r="G1975" s="43">
        <v>45973.668361041666</v>
      </c>
      <c r="H1975" t="s">
        <v>2802</v>
      </c>
      <c r="I1975" t="s">
        <v>2681</v>
      </c>
      <c r="J1975" t="s">
        <v>37</v>
      </c>
      <c r="L1975" t="s">
        <v>2352</v>
      </c>
      <c r="M1975">
        <v>117086860802</v>
      </c>
      <c r="N1975" t="s">
        <v>2702</v>
      </c>
      <c r="O1975" s="1">
        <v>45294</v>
      </c>
      <c r="T1975" t="s">
        <v>2662</v>
      </c>
      <c r="U1975" t="s">
        <v>7219</v>
      </c>
      <c r="V1975">
        <v>1</v>
      </c>
      <c r="W1975" t="s">
        <v>2671</v>
      </c>
      <c r="X1975">
        <v>1</v>
      </c>
      <c r="Y1975" t="s">
        <v>2683</v>
      </c>
      <c r="AA1975">
        <v>117086860802</v>
      </c>
      <c r="AB1975" t="s">
        <v>876</v>
      </c>
      <c r="AC1975">
        <v>0</v>
      </c>
      <c r="AD1975">
        <v>46</v>
      </c>
      <c r="AE1975">
        <v>11708686080246</v>
      </c>
      <c r="AF1975" t="s">
        <v>7217</v>
      </c>
      <c r="AG1975">
        <v>1</v>
      </c>
      <c r="AH1975">
        <v>1</v>
      </c>
    </row>
    <row r="1976" spans="1:34">
      <c r="A1976">
        <v>2025</v>
      </c>
      <c r="B1976" s="1">
        <v>45962</v>
      </c>
      <c r="C1976" t="s">
        <v>2657</v>
      </c>
      <c r="D1976" t="s">
        <v>7220</v>
      </c>
      <c r="E1976" s="43">
        <v>45987.665927094909</v>
      </c>
      <c r="F1976" s="1">
        <v>45987</v>
      </c>
      <c r="G1976" s="43">
        <v>45988.569145532405</v>
      </c>
      <c r="H1976" t="s">
        <v>2802</v>
      </c>
      <c r="I1976" t="s">
        <v>2660</v>
      </c>
      <c r="J1976" t="s">
        <v>37</v>
      </c>
      <c r="L1976" t="s">
        <v>2352</v>
      </c>
      <c r="M1976">
        <v>117086860802</v>
      </c>
      <c r="N1976" t="s">
        <v>2702</v>
      </c>
      <c r="O1976" s="1">
        <v>45294</v>
      </c>
      <c r="T1976" t="s">
        <v>2662</v>
      </c>
      <c r="U1976" t="s">
        <v>7221</v>
      </c>
      <c r="V1976">
        <v>1</v>
      </c>
      <c r="W1976" t="s">
        <v>2671</v>
      </c>
      <c r="X1976">
        <v>1</v>
      </c>
      <c r="Y1976" t="s">
        <v>2721</v>
      </c>
      <c r="AA1976">
        <v>117086860802</v>
      </c>
      <c r="AB1976" t="s">
        <v>876</v>
      </c>
      <c r="AC1976">
        <v>0</v>
      </c>
      <c r="AD1976">
        <v>48</v>
      </c>
      <c r="AE1976">
        <v>11708686080248</v>
      </c>
      <c r="AF1976" t="s">
        <v>7217</v>
      </c>
      <c r="AG1976">
        <v>1</v>
      </c>
      <c r="AH1976">
        <v>0</v>
      </c>
    </row>
    <row r="1977" spans="1:34">
      <c r="A1977">
        <v>2026</v>
      </c>
      <c r="B1977" s="1">
        <v>46054</v>
      </c>
      <c r="C1977" t="s">
        <v>2657</v>
      </c>
      <c r="D1977" s="44" t="s">
        <v>7222</v>
      </c>
      <c r="E1977" s="43">
        <v>46062.599336307867</v>
      </c>
      <c r="F1977" s="1">
        <v>46062</v>
      </c>
      <c r="G1977" s="43">
        <v>46063.545082581019</v>
      </c>
      <c r="H1977" t="s">
        <v>2725</v>
      </c>
      <c r="I1977" t="s">
        <v>2681</v>
      </c>
      <c r="J1977" t="s">
        <v>100</v>
      </c>
      <c r="L1977" t="s">
        <v>2393</v>
      </c>
      <c r="M1977">
        <v>475112640202</v>
      </c>
      <c r="N1977" t="s">
        <v>2702</v>
      </c>
      <c r="O1977" s="1">
        <v>45520</v>
      </c>
      <c r="T1977" t="s">
        <v>2662</v>
      </c>
      <c r="U1977" t="s">
        <v>7223</v>
      </c>
      <c r="V1977">
        <v>1</v>
      </c>
      <c r="W1977" t="s">
        <v>2671</v>
      </c>
      <c r="X1977">
        <v>1</v>
      </c>
      <c r="Y1977" t="s">
        <v>2672</v>
      </c>
      <c r="AA1977">
        <v>475112640202</v>
      </c>
      <c r="AB1977" t="s">
        <v>884</v>
      </c>
      <c r="AC1977">
        <v>1</v>
      </c>
      <c r="AD1977">
        <v>7</v>
      </c>
      <c r="AE1977">
        <v>4751126402027</v>
      </c>
      <c r="AF1977" t="s">
        <v>7224</v>
      </c>
      <c r="AG1977">
        <v>1</v>
      </c>
      <c r="AH1977">
        <v>1</v>
      </c>
    </row>
    <row r="1978" spans="1:34">
      <c r="A1978">
        <v>2025</v>
      </c>
      <c r="B1978" s="1">
        <v>45931</v>
      </c>
      <c r="C1978" t="s">
        <v>2657</v>
      </c>
      <c r="D1978" t="s">
        <v>7225</v>
      </c>
      <c r="E1978" s="43">
        <v>45946.888310925926</v>
      </c>
      <c r="F1978" s="1">
        <v>45946</v>
      </c>
      <c r="G1978" s="43">
        <v>45961.688989849536</v>
      </c>
      <c r="H1978" t="s">
        <v>2659</v>
      </c>
      <c r="I1978" t="s">
        <v>2719</v>
      </c>
      <c r="J1978" t="s">
        <v>36</v>
      </c>
      <c r="L1978" t="s">
        <v>6038</v>
      </c>
      <c r="M1978">
        <v>19309418302</v>
      </c>
      <c r="N1978" t="s">
        <v>2746</v>
      </c>
      <c r="O1978" s="1">
        <v>45842</v>
      </c>
      <c r="T1978" t="s">
        <v>2662</v>
      </c>
      <c r="U1978" t="s">
        <v>7226</v>
      </c>
      <c r="V1978">
        <v>11</v>
      </c>
      <c r="W1978" t="s">
        <v>2677</v>
      </c>
      <c r="X1978">
        <v>1</v>
      </c>
      <c r="Y1978" t="s">
        <v>2807</v>
      </c>
      <c r="AA1978">
        <v>19309418302</v>
      </c>
      <c r="AB1978" t="s">
        <v>2291</v>
      </c>
      <c r="AC1978">
        <v>0</v>
      </c>
      <c r="AD1978">
        <v>42</v>
      </c>
      <c r="AE1978">
        <v>1930941830242</v>
      </c>
      <c r="AF1978" t="s">
        <v>7227</v>
      </c>
      <c r="AG1978">
        <v>0</v>
      </c>
      <c r="AH1978">
        <v>0</v>
      </c>
    </row>
    <row r="1979" spans="1:34">
      <c r="A1979">
        <v>2025</v>
      </c>
      <c r="B1979" s="1">
        <v>45931</v>
      </c>
      <c r="C1979" t="s">
        <v>2657</v>
      </c>
      <c r="D1979" t="s">
        <v>7228</v>
      </c>
      <c r="E1979" s="43">
        <v>45946.786736400463</v>
      </c>
      <c r="F1979" s="1">
        <v>45946</v>
      </c>
      <c r="G1979" s="43">
        <v>45961.688365034723</v>
      </c>
      <c r="H1979" t="s">
        <v>2659</v>
      </c>
      <c r="I1979" t="s">
        <v>2719</v>
      </c>
      <c r="J1979" t="s">
        <v>36</v>
      </c>
      <c r="L1979" t="s">
        <v>6038</v>
      </c>
      <c r="M1979">
        <v>19309418302</v>
      </c>
      <c r="N1979" t="s">
        <v>2746</v>
      </c>
      <c r="O1979" s="1">
        <v>45842</v>
      </c>
      <c r="T1979" t="s">
        <v>2662</v>
      </c>
      <c r="U1979" t="s">
        <v>7229</v>
      </c>
      <c r="V1979">
        <v>11</v>
      </c>
      <c r="W1979" t="s">
        <v>2677</v>
      </c>
      <c r="X1979">
        <v>1</v>
      </c>
      <c r="Y1979" t="s">
        <v>2678</v>
      </c>
      <c r="AA1979">
        <v>19309418302</v>
      </c>
      <c r="AB1979" t="s">
        <v>2291</v>
      </c>
      <c r="AC1979">
        <v>0</v>
      </c>
      <c r="AD1979">
        <v>42</v>
      </c>
      <c r="AE1979">
        <v>1930941830242</v>
      </c>
      <c r="AF1979" t="s">
        <v>7227</v>
      </c>
      <c r="AG1979">
        <v>1</v>
      </c>
      <c r="AH1979">
        <v>1</v>
      </c>
    </row>
    <row r="1980" spans="1:34">
      <c r="A1980">
        <v>2025</v>
      </c>
      <c r="B1980" s="1">
        <v>45931</v>
      </c>
      <c r="C1980" t="s">
        <v>2657</v>
      </c>
      <c r="D1980" t="s">
        <v>7230</v>
      </c>
      <c r="E1980" s="43">
        <v>45946.885444884261</v>
      </c>
      <c r="F1980" s="1">
        <v>45946</v>
      </c>
      <c r="G1980" s="43">
        <v>45961.694917766203</v>
      </c>
      <c r="H1980" t="s">
        <v>2659</v>
      </c>
      <c r="I1980" t="s">
        <v>2719</v>
      </c>
      <c r="J1980" t="s">
        <v>36</v>
      </c>
      <c r="L1980" t="s">
        <v>6038</v>
      </c>
      <c r="M1980">
        <v>19309418302</v>
      </c>
      <c r="N1980" t="s">
        <v>2746</v>
      </c>
      <c r="O1980" s="1">
        <v>45842</v>
      </c>
      <c r="T1980" t="s">
        <v>2662</v>
      </c>
      <c r="U1980" t="s">
        <v>7231</v>
      </c>
      <c r="V1980">
        <v>11</v>
      </c>
      <c r="W1980" t="s">
        <v>2677</v>
      </c>
      <c r="X1980">
        <v>1</v>
      </c>
      <c r="Y1980" t="s">
        <v>2779</v>
      </c>
      <c r="AA1980">
        <v>19309418302</v>
      </c>
      <c r="AB1980" t="s">
        <v>2291</v>
      </c>
      <c r="AC1980">
        <v>0</v>
      </c>
      <c r="AD1980">
        <v>42</v>
      </c>
      <c r="AE1980">
        <v>1930941830242</v>
      </c>
      <c r="AF1980" t="s">
        <v>7227</v>
      </c>
      <c r="AG1980">
        <v>0</v>
      </c>
      <c r="AH1980">
        <v>0</v>
      </c>
    </row>
    <row r="1981" spans="1:34">
      <c r="A1981">
        <v>2025</v>
      </c>
      <c r="B1981" s="1">
        <v>45931</v>
      </c>
      <c r="C1981" t="s">
        <v>2657</v>
      </c>
      <c r="D1981" t="s">
        <v>7232</v>
      </c>
      <c r="E1981" s="43">
        <v>45958.817246307874</v>
      </c>
      <c r="F1981" s="1">
        <v>45958</v>
      </c>
      <c r="G1981" s="43">
        <v>45967.862213263892</v>
      </c>
      <c r="H1981" t="s">
        <v>2659</v>
      </c>
      <c r="I1981" t="s">
        <v>2660</v>
      </c>
      <c r="J1981" t="s">
        <v>36</v>
      </c>
      <c r="L1981" t="s">
        <v>6038</v>
      </c>
      <c r="M1981">
        <v>19309418302</v>
      </c>
      <c r="N1981" t="s">
        <v>2746</v>
      </c>
      <c r="O1981" s="1">
        <v>45842</v>
      </c>
      <c r="T1981" t="s">
        <v>2662</v>
      </c>
      <c r="U1981" t="s">
        <v>7233</v>
      </c>
      <c r="V1981">
        <v>7</v>
      </c>
      <c r="W1981" t="s">
        <v>2677</v>
      </c>
      <c r="X1981">
        <v>1</v>
      </c>
      <c r="Y1981" t="s">
        <v>2760</v>
      </c>
      <c r="AA1981">
        <v>19309418302</v>
      </c>
      <c r="AB1981" t="s">
        <v>2291</v>
      </c>
      <c r="AC1981">
        <v>0</v>
      </c>
      <c r="AD1981">
        <v>44</v>
      </c>
      <c r="AE1981">
        <v>1930941830244</v>
      </c>
      <c r="AF1981" t="s">
        <v>7227</v>
      </c>
      <c r="AG1981">
        <v>1</v>
      </c>
      <c r="AH1981">
        <v>0</v>
      </c>
    </row>
    <row r="1982" spans="1:34">
      <c r="A1982">
        <v>2025</v>
      </c>
      <c r="B1982" s="1">
        <v>45931</v>
      </c>
      <c r="C1982" t="s">
        <v>2657</v>
      </c>
      <c r="D1982" t="s">
        <v>7234</v>
      </c>
      <c r="E1982" s="43">
        <v>45961.829114837965</v>
      </c>
      <c r="F1982" s="1">
        <v>45961</v>
      </c>
      <c r="G1982" s="43">
        <v>45965.814106400459</v>
      </c>
      <c r="H1982" t="s">
        <v>2659</v>
      </c>
      <c r="I1982" t="s">
        <v>2697</v>
      </c>
      <c r="J1982" t="s">
        <v>36</v>
      </c>
      <c r="L1982" t="s">
        <v>6038</v>
      </c>
      <c r="M1982">
        <v>19309418302</v>
      </c>
      <c r="N1982" t="s">
        <v>2746</v>
      </c>
      <c r="O1982" s="1">
        <v>45842</v>
      </c>
      <c r="T1982" t="s">
        <v>2662</v>
      </c>
      <c r="U1982" t="s">
        <v>7235</v>
      </c>
      <c r="V1982">
        <v>2</v>
      </c>
      <c r="W1982" t="s">
        <v>2677</v>
      </c>
      <c r="X1982">
        <v>1</v>
      </c>
      <c r="Y1982" t="s">
        <v>2807</v>
      </c>
      <c r="AA1982">
        <v>19309418302</v>
      </c>
      <c r="AB1982" t="s">
        <v>2291</v>
      </c>
      <c r="AC1982">
        <v>0</v>
      </c>
      <c r="AD1982">
        <v>44</v>
      </c>
      <c r="AE1982">
        <v>1930941830244</v>
      </c>
      <c r="AF1982" t="s">
        <v>7227</v>
      </c>
      <c r="AG1982">
        <v>0</v>
      </c>
      <c r="AH1982">
        <v>0</v>
      </c>
    </row>
    <row r="1983" spans="1:34">
      <c r="A1983">
        <v>2026</v>
      </c>
      <c r="B1983" s="1">
        <v>46054</v>
      </c>
      <c r="C1983" t="s">
        <v>2657</v>
      </c>
      <c r="D1983" t="s">
        <v>7236</v>
      </c>
      <c r="E1983" s="43">
        <v>46059.867334097224</v>
      </c>
      <c r="F1983" s="1">
        <v>46059</v>
      </c>
      <c r="G1983" s="43">
        <v>46059.867334097224</v>
      </c>
      <c r="H1983" t="s">
        <v>2725</v>
      </c>
      <c r="I1983" t="s">
        <v>2669</v>
      </c>
      <c r="J1983" t="s">
        <v>36</v>
      </c>
      <c r="L1983" t="s">
        <v>2421</v>
      </c>
      <c r="M1983">
        <v>435346364602</v>
      </c>
      <c r="N1983" t="s">
        <v>2661</v>
      </c>
      <c r="O1983" s="1">
        <v>45349</v>
      </c>
      <c r="T1983" t="s">
        <v>2662</v>
      </c>
      <c r="U1983" t="s">
        <v>7237</v>
      </c>
      <c r="V1983">
        <v>0</v>
      </c>
      <c r="W1983" t="s">
        <v>2677</v>
      </c>
      <c r="X1983">
        <v>1</v>
      </c>
      <c r="Y1983" t="s">
        <v>2695</v>
      </c>
      <c r="AA1983">
        <v>435346364602</v>
      </c>
      <c r="AB1983" t="s">
        <v>1636</v>
      </c>
      <c r="AC1983">
        <v>0</v>
      </c>
      <c r="AD1983">
        <v>6</v>
      </c>
      <c r="AE1983">
        <v>4353463646026</v>
      </c>
      <c r="AF1983" t="s">
        <v>7238</v>
      </c>
      <c r="AG1983">
        <v>0</v>
      </c>
      <c r="AH1983">
        <v>0</v>
      </c>
    </row>
    <row r="1984" spans="1:34">
      <c r="A1984">
        <v>2026</v>
      </c>
      <c r="B1984" s="1">
        <v>46054</v>
      </c>
      <c r="C1984" t="s">
        <v>2657</v>
      </c>
      <c r="D1984" t="s">
        <v>7239</v>
      </c>
      <c r="E1984" s="43">
        <v>46056.581659780095</v>
      </c>
      <c r="F1984" s="1">
        <v>46056</v>
      </c>
      <c r="G1984" s="43">
        <v>46057.86296914352</v>
      </c>
      <c r="H1984" t="s">
        <v>2725</v>
      </c>
      <c r="I1984" t="s">
        <v>2669</v>
      </c>
      <c r="J1984" t="s">
        <v>36</v>
      </c>
      <c r="L1984" t="s">
        <v>2421</v>
      </c>
      <c r="M1984">
        <v>435346364602</v>
      </c>
      <c r="N1984" t="s">
        <v>2661</v>
      </c>
      <c r="O1984" s="1">
        <v>45349</v>
      </c>
      <c r="T1984" t="s">
        <v>2662</v>
      </c>
      <c r="U1984" t="s">
        <v>7240</v>
      </c>
      <c r="V1984">
        <v>1</v>
      </c>
      <c r="W1984" t="s">
        <v>2743</v>
      </c>
      <c r="X1984">
        <v>1</v>
      </c>
      <c r="Y1984" t="s">
        <v>2727</v>
      </c>
      <c r="AA1984">
        <v>435346364602</v>
      </c>
      <c r="AB1984" t="s">
        <v>1636</v>
      </c>
      <c r="AC1984">
        <v>0</v>
      </c>
      <c r="AD1984">
        <v>6</v>
      </c>
      <c r="AE1984">
        <v>4353463646026</v>
      </c>
      <c r="AF1984" t="s">
        <v>7238</v>
      </c>
      <c r="AG1984">
        <v>1</v>
      </c>
      <c r="AH1984">
        <v>1</v>
      </c>
    </row>
    <row r="1985" spans="1:34">
      <c r="A1985">
        <v>2026</v>
      </c>
      <c r="B1985" s="1">
        <v>46054</v>
      </c>
      <c r="C1985" t="s">
        <v>2657</v>
      </c>
      <c r="D1985" t="s">
        <v>7241</v>
      </c>
      <c r="E1985" s="43">
        <v>46056.587082152779</v>
      </c>
      <c r="F1985" s="1">
        <v>46056</v>
      </c>
      <c r="G1985" s="43">
        <v>46056.587082152779</v>
      </c>
      <c r="H1985" t="s">
        <v>2725</v>
      </c>
      <c r="I1985" t="s">
        <v>2669</v>
      </c>
      <c r="J1985" t="s">
        <v>36</v>
      </c>
      <c r="L1985" t="s">
        <v>2421</v>
      </c>
      <c r="M1985">
        <v>435346364602</v>
      </c>
      <c r="N1985" t="s">
        <v>2661</v>
      </c>
      <c r="O1985" s="1">
        <v>45349</v>
      </c>
      <c r="T1985" t="s">
        <v>2662</v>
      </c>
      <c r="U1985" t="s">
        <v>7242</v>
      </c>
      <c r="V1985">
        <v>0</v>
      </c>
      <c r="W1985" t="s">
        <v>2677</v>
      </c>
      <c r="X1985">
        <v>1</v>
      </c>
      <c r="Y1985" t="s">
        <v>3237</v>
      </c>
      <c r="AA1985">
        <v>435346364602</v>
      </c>
      <c r="AB1985" t="s">
        <v>1636</v>
      </c>
      <c r="AC1985">
        <v>0</v>
      </c>
      <c r="AD1985">
        <v>6</v>
      </c>
      <c r="AE1985">
        <v>4353463646026</v>
      </c>
      <c r="AF1985" t="s">
        <v>7238</v>
      </c>
      <c r="AG1985">
        <v>0</v>
      </c>
      <c r="AH1985">
        <v>0</v>
      </c>
    </row>
    <row r="1986" spans="1:34">
      <c r="A1986">
        <v>2026</v>
      </c>
      <c r="B1986" s="1">
        <v>46054</v>
      </c>
      <c r="C1986" t="s">
        <v>2657</v>
      </c>
      <c r="D1986" t="s">
        <v>7243</v>
      </c>
      <c r="E1986" s="43">
        <v>46065.869231759258</v>
      </c>
      <c r="F1986" s="1">
        <v>46065</v>
      </c>
      <c r="G1986" s="43">
        <v>46072.794736342592</v>
      </c>
      <c r="H1986" t="s">
        <v>2725</v>
      </c>
      <c r="I1986" t="s">
        <v>2681</v>
      </c>
      <c r="J1986" t="s">
        <v>36</v>
      </c>
      <c r="L1986" t="s">
        <v>2421</v>
      </c>
      <c r="M1986">
        <v>435346364602</v>
      </c>
      <c r="N1986" t="s">
        <v>2661</v>
      </c>
      <c r="O1986" s="1">
        <v>45349</v>
      </c>
      <c r="T1986" t="s">
        <v>2662</v>
      </c>
      <c r="U1986" t="s">
        <v>7244</v>
      </c>
      <c r="V1986">
        <v>5</v>
      </c>
      <c r="W1986" t="s">
        <v>2743</v>
      </c>
      <c r="X1986">
        <v>1</v>
      </c>
      <c r="Y1986" t="s">
        <v>2931</v>
      </c>
      <c r="AA1986">
        <v>435346364602</v>
      </c>
      <c r="AB1986" t="s">
        <v>1636</v>
      </c>
      <c r="AC1986">
        <v>0</v>
      </c>
      <c r="AD1986">
        <v>7</v>
      </c>
      <c r="AE1986">
        <v>4353463646027</v>
      </c>
      <c r="AF1986" t="s">
        <v>7238</v>
      </c>
      <c r="AG1986">
        <v>1</v>
      </c>
      <c r="AH1986">
        <v>0</v>
      </c>
    </row>
    <row r="1987" spans="1:34">
      <c r="A1987">
        <v>2026</v>
      </c>
      <c r="B1987" s="1">
        <v>46054</v>
      </c>
      <c r="C1987" t="s">
        <v>2657</v>
      </c>
      <c r="D1987" t="s">
        <v>7245</v>
      </c>
      <c r="E1987" s="43">
        <v>46073.822798078705</v>
      </c>
      <c r="F1987" s="1">
        <v>46073</v>
      </c>
      <c r="G1987" s="43">
        <v>46079.89111895833</v>
      </c>
      <c r="H1987" t="s">
        <v>2725</v>
      </c>
      <c r="I1987" t="s">
        <v>2719</v>
      </c>
      <c r="J1987" t="s">
        <v>36</v>
      </c>
      <c r="L1987" t="s">
        <v>2421</v>
      </c>
      <c r="M1987">
        <v>435346364602</v>
      </c>
      <c r="N1987" t="s">
        <v>2661</v>
      </c>
      <c r="O1987" s="1">
        <v>45349</v>
      </c>
      <c r="T1987" t="s">
        <v>2662</v>
      </c>
      <c r="U1987" t="s">
        <v>7246</v>
      </c>
      <c r="V1987">
        <v>4</v>
      </c>
      <c r="W1987" t="s">
        <v>2671</v>
      </c>
      <c r="X1987">
        <v>1</v>
      </c>
      <c r="Y1987" t="s">
        <v>2683</v>
      </c>
      <c r="AA1987">
        <v>435346364602</v>
      </c>
      <c r="AB1987" t="s">
        <v>1636</v>
      </c>
      <c r="AC1987">
        <v>0</v>
      </c>
      <c r="AD1987">
        <v>8</v>
      </c>
      <c r="AE1987">
        <v>4353463646028</v>
      </c>
      <c r="AF1987" t="s">
        <v>7238</v>
      </c>
      <c r="AG1987">
        <v>1</v>
      </c>
      <c r="AH1987">
        <v>0</v>
      </c>
    </row>
    <row r="1988" spans="1:34">
      <c r="A1988">
        <v>2026</v>
      </c>
      <c r="B1988" s="1">
        <v>46054</v>
      </c>
      <c r="C1988" t="s">
        <v>2657</v>
      </c>
      <c r="D1988" t="s">
        <v>7247</v>
      </c>
      <c r="E1988" s="43">
        <v>46079.686311805555</v>
      </c>
      <c r="F1988" s="1">
        <v>46079</v>
      </c>
      <c r="G1988" s="43">
        <v>46084.502175486108</v>
      </c>
      <c r="H1988" t="s">
        <v>2725</v>
      </c>
      <c r="I1988" t="s">
        <v>2660</v>
      </c>
      <c r="J1988" t="s">
        <v>36</v>
      </c>
      <c r="L1988" t="s">
        <v>2421</v>
      </c>
      <c r="M1988">
        <v>435346364602</v>
      </c>
      <c r="N1988" t="s">
        <v>2661</v>
      </c>
      <c r="O1988" s="1">
        <v>45349</v>
      </c>
      <c r="T1988" t="s">
        <v>2662</v>
      </c>
      <c r="U1988" t="s">
        <v>7248</v>
      </c>
      <c r="V1988">
        <v>3</v>
      </c>
      <c r="W1988" t="s">
        <v>2743</v>
      </c>
      <c r="X1988">
        <v>1</v>
      </c>
      <c r="Y1988" t="s">
        <v>2721</v>
      </c>
      <c r="AA1988">
        <v>435346364602</v>
      </c>
      <c r="AB1988" t="s">
        <v>1636</v>
      </c>
      <c r="AC1988">
        <v>1</v>
      </c>
      <c r="AD1988">
        <v>9</v>
      </c>
      <c r="AE1988">
        <v>4353463646029</v>
      </c>
      <c r="AF1988" t="s">
        <v>7238</v>
      </c>
      <c r="AG1988">
        <v>1</v>
      </c>
      <c r="AH1988">
        <v>0</v>
      </c>
    </row>
    <row r="1989" spans="1:34">
      <c r="A1989">
        <v>2025</v>
      </c>
      <c r="B1989" s="1">
        <v>45962</v>
      </c>
      <c r="C1989" t="s">
        <v>2657</v>
      </c>
      <c r="D1989" t="s">
        <v>7249</v>
      </c>
      <c r="E1989" s="43">
        <v>45968.668704085649</v>
      </c>
      <c r="F1989" s="1">
        <v>45968</v>
      </c>
      <c r="G1989" s="43">
        <v>46027.589578854167</v>
      </c>
      <c r="H1989" t="s">
        <v>2802</v>
      </c>
      <c r="I1989" t="s">
        <v>2669</v>
      </c>
      <c r="J1989" t="s">
        <v>100</v>
      </c>
      <c r="L1989" t="s">
        <v>2347</v>
      </c>
      <c r="M1989">
        <v>795323312102</v>
      </c>
      <c r="N1989" t="s">
        <v>2675</v>
      </c>
      <c r="O1989" s="1">
        <v>45503</v>
      </c>
      <c r="T1989" t="s">
        <v>2662</v>
      </c>
      <c r="U1989" t="s">
        <v>7250</v>
      </c>
      <c r="V1989">
        <v>41</v>
      </c>
      <c r="W1989" t="s">
        <v>2743</v>
      </c>
      <c r="X1989">
        <v>1</v>
      </c>
      <c r="Y1989" t="s">
        <v>2695</v>
      </c>
      <c r="AA1989">
        <v>795323312102</v>
      </c>
      <c r="AB1989" t="s">
        <v>357</v>
      </c>
      <c r="AC1989">
        <v>0</v>
      </c>
      <c r="AD1989">
        <v>45</v>
      </c>
      <c r="AE1989">
        <v>79532331210245</v>
      </c>
      <c r="AF1989" t="s">
        <v>7251</v>
      </c>
      <c r="AG1989">
        <v>1</v>
      </c>
      <c r="AH1989">
        <v>1</v>
      </c>
    </row>
    <row r="1990" spans="1:34">
      <c r="A1990">
        <v>2025</v>
      </c>
      <c r="B1990" s="1">
        <v>45962</v>
      </c>
      <c r="C1990" t="s">
        <v>2657</v>
      </c>
      <c r="D1990" t="s">
        <v>7252</v>
      </c>
      <c r="E1990" s="43">
        <v>45974.536404004626</v>
      </c>
      <c r="F1990" s="1">
        <v>45974</v>
      </c>
      <c r="G1990" s="43">
        <v>46001.728982870372</v>
      </c>
      <c r="H1990" t="s">
        <v>2802</v>
      </c>
      <c r="I1990" t="s">
        <v>2681</v>
      </c>
      <c r="J1990" t="s">
        <v>100</v>
      </c>
      <c r="L1990" t="s">
        <v>2347</v>
      </c>
      <c r="M1990">
        <v>795323312102</v>
      </c>
      <c r="N1990" t="s">
        <v>2675</v>
      </c>
      <c r="O1990" s="1">
        <v>45503</v>
      </c>
      <c r="T1990" t="s">
        <v>2662</v>
      </c>
      <c r="U1990" t="s">
        <v>7253</v>
      </c>
      <c r="V1990">
        <v>19</v>
      </c>
      <c r="W1990" t="s">
        <v>2743</v>
      </c>
      <c r="X1990">
        <v>1</v>
      </c>
      <c r="Y1990" t="s">
        <v>2931</v>
      </c>
      <c r="AA1990">
        <v>795323312102</v>
      </c>
      <c r="AB1990" t="s">
        <v>357</v>
      </c>
      <c r="AC1990">
        <v>0</v>
      </c>
      <c r="AD1990">
        <v>46</v>
      </c>
      <c r="AE1990">
        <v>79532331210246</v>
      </c>
      <c r="AF1990" t="s">
        <v>7251</v>
      </c>
      <c r="AG1990">
        <v>1</v>
      </c>
      <c r="AH1990">
        <v>0</v>
      </c>
    </row>
    <row r="1991" spans="1:34">
      <c r="A1991">
        <v>2026</v>
      </c>
      <c r="B1991" s="1">
        <v>46082</v>
      </c>
      <c r="C1991" t="s">
        <v>2657</v>
      </c>
      <c r="D1991" t="s">
        <v>7254</v>
      </c>
      <c r="E1991" s="43">
        <v>46086.679349467595</v>
      </c>
      <c r="F1991" s="1">
        <v>46086</v>
      </c>
      <c r="G1991" s="43">
        <v>46090.669633368052</v>
      </c>
      <c r="H1991" t="s">
        <v>2668</v>
      </c>
      <c r="I1991" t="s">
        <v>2669</v>
      </c>
      <c r="J1991" t="s">
        <v>36</v>
      </c>
      <c r="L1991" t="s">
        <v>2421</v>
      </c>
      <c r="M1991">
        <v>816067318102</v>
      </c>
      <c r="N1991" t="s">
        <v>2661</v>
      </c>
      <c r="O1991" s="1">
        <v>45448</v>
      </c>
      <c r="T1991" t="s">
        <v>2662</v>
      </c>
      <c r="U1991" t="s">
        <v>7255</v>
      </c>
      <c r="V1991">
        <v>2</v>
      </c>
      <c r="W1991" t="s">
        <v>2664</v>
      </c>
      <c r="X1991">
        <v>1</v>
      </c>
      <c r="Y1991" t="s">
        <v>2757</v>
      </c>
      <c r="AA1991">
        <v>816067318102</v>
      </c>
      <c r="AB1991" t="s">
        <v>1643</v>
      </c>
      <c r="AC1991">
        <v>0</v>
      </c>
      <c r="AD1991">
        <v>10</v>
      </c>
      <c r="AE1991">
        <v>81606731810210</v>
      </c>
      <c r="AF1991" t="s">
        <v>7256</v>
      </c>
      <c r="AG1991">
        <v>1</v>
      </c>
      <c r="AH1991">
        <v>1</v>
      </c>
    </row>
    <row r="1992" spans="1:34">
      <c r="A1992">
        <v>2026</v>
      </c>
      <c r="B1992" s="1">
        <v>46082</v>
      </c>
      <c r="C1992" t="s">
        <v>2657</v>
      </c>
      <c r="D1992" t="s">
        <v>7257</v>
      </c>
      <c r="E1992" s="43">
        <v>46090.677917534726</v>
      </c>
      <c r="F1992" s="1">
        <v>46090</v>
      </c>
      <c r="G1992" s="43">
        <v>46091.832072488425</v>
      </c>
      <c r="H1992" t="s">
        <v>2668</v>
      </c>
      <c r="I1992" t="s">
        <v>2681</v>
      </c>
      <c r="J1992" t="s">
        <v>36</v>
      </c>
      <c r="L1992" t="s">
        <v>2421</v>
      </c>
      <c r="M1992">
        <v>816067318102</v>
      </c>
      <c r="N1992" t="s">
        <v>2661</v>
      </c>
      <c r="O1992" s="1">
        <v>45448</v>
      </c>
      <c r="T1992" t="s">
        <v>2662</v>
      </c>
      <c r="U1992" t="s">
        <v>7258</v>
      </c>
      <c r="V1992">
        <v>1</v>
      </c>
      <c r="W1992" t="s">
        <v>2671</v>
      </c>
      <c r="X1992">
        <v>1</v>
      </c>
      <c r="Y1992" t="s">
        <v>2672</v>
      </c>
      <c r="AA1992">
        <v>816067318102</v>
      </c>
      <c r="AB1992" t="s">
        <v>1643</v>
      </c>
      <c r="AC1992">
        <v>1</v>
      </c>
      <c r="AD1992">
        <v>11</v>
      </c>
      <c r="AE1992">
        <v>81606731810211</v>
      </c>
      <c r="AF1992" t="s">
        <v>7256</v>
      </c>
      <c r="AG1992">
        <v>1</v>
      </c>
      <c r="AH1992">
        <v>0</v>
      </c>
    </row>
    <row r="1993" spans="1:34">
      <c r="A1993">
        <v>2025</v>
      </c>
      <c r="B1993" s="1">
        <v>45992</v>
      </c>
      <c r="C1993" t="s">
        <v>2657</v>
      </c>
      <c r="D1993" t="s">
        <v>7259</v>
      </c>
      <c r="E1993" s="43">
        <v>46003.530659201388</v>
      </c>
      <c r="F1993" s="1">
        <v>46003</v>
      </c>
      <c r="G1993" s="43">
        <v>46003.582970358795</v>
      </c>
      <c r="H1993" t="s">
        <v>2686</v>
      </c>
      <c r="I1993" t="s">
        <v>2681</v>
      </c>
      <c r="J1993" t="s">
        <v>2735</v>
      </c>
      <c r="L1993" t="s">
        <v>2336</v>
      </c>
      <c r="M1993">
        <v>902277407302</v>
      </c>
      <c r="N1993" t="s">
        <v>2746</v>
      </c>
      <c r="O1993" s="1">
        <v>45661</v>
      </c>
      <c r="T1993" t="s">
        <v>2662</v>
      </c>
      <c r="U1993" t="s">
        <v>7260</v>
      </c>
      <c r="V1993">
        <v>0</v>
      </c>
      <c r="W1993" t="s">
        <v>2671</v>
      </c>
      <c r="X1993">
        <v>1</v>
      </c>
      <c r="Y1993" t="s">
        <v>2764</v>
      </c>
      <c r="AA1993">
        <v>92771955402</v>
      </c>
      <c r="AB1993" t="s">
        <v>645</v>
      </c>
      <c r="AC1993">
        <v>0</v>
      </c>
      <c r="AD1993">
        <v>50</v>
      </c>
      <c r="AE1993">
        <v>9277195540250</v>
      </c>
      <c r="AF1993" t="s">
        <v>7261</v>
      </c>
      <c r="AG1993">
        <v>1</v>
      </c>
      <c r="AH1993">
        <v>1</v>
      </c>
    </row>
    <row r="1994" spans="1:34">
      <c r="A1994">
        <v>2025</v>
      </c>
      <c r="B1994" s="1">
        <v>45962</v>
      </c>
      <c r="C1994" t="s">
        <v>2657</v>
      </c>
      <c r="D1994" t="s">
        <v>7262</v>
      </c>
      <c r="E1994" s="43">
        <v>45966.83867488426</v>
      </c>
      <c r="F1994" s="1">
        <v>45966</v>
      </c>
      <c r="G1994" s="43">
        <v>45971.899115775464</v>
      </c>
      <c r="H1994" t="s">
        <v>2802</v>
      </c>
      <c r="I1994" t="s">
        <v>2669</v>
      </c>
      <c r="J1994" t="s">
        <v>100</v>
      </c>
      <c r="L1994" t="s">
        <v>2363</v>
      </c>
      <c r="M1994">
        <v>20025747402</v>
      </c>
      <c r="N1994" t="s">
        <v>2702</v>
      </c>
      <c r="O1994" s="1">
        <v>45294</v>
      </c>
      <c r="T1994" t="s">
        <v>2662</v>
      </c>
      <c r="U1994" t="s">
        <v>7263</v>
      </c>
      <c r="V1994">
        <v>3</v>
      </c>
      <c r="W1994" t="s">
        <v>2664</v>
      </c>
      <c r="X1994">
        <v>1</v>
      </c>
      <c r="Y1994" t="s">
        <v>2665</v>
      </c>
      <c r="AA1994">
        <v>20025747402</v>
      </c>
      <c r="AB1994" t="s">
        <v>524</v>
      </c>
      <c r="AC1994">
        <v>0</v>
      </c>
      <c r="AD1994">
        <v>45</v>
      </c>
      <c r="AE1994">
        <v>2002574740245</v>
      </c>
      <c r="AF1994" t="s">
        <v>7264</v>
      </c>
      <c r="AG1994">
        <v>1</v>
      </c>
      <c r="AH1994">
        <v>1</v>
      </c>
    </row>
    <row r="1995" spans="1:34">
      <c r="A1995">
        <v>2025</v>
      </c>
      <c r="B1995" s="1">
        <v>45962</v>
      </c>
      <c r="C1995" t="s">
        <v>2657</v>
      </c>
      <c r="D1995" t="s">
        <v>7265</v>
      </c>
      <c r="E1995" s="43">
        <v>45974.801451261577</v>
      </c>
      <c r="F1995" s="1">
        <v>45974</v>
      </c>
      <c r="G1995" s="43">
        <v>46055.790465057871</v>
      </c>
      <c r="H1995" t="s">
        <v>2802</v>
      </c>
      <c r="I1995" t="s">
        <v>2681</v>
      </c>
      <c r="J1995" t="s">
        <v>100</v>
      </c>
      <c r="L1995" t="s">
        <v>2363</v>
      </c>
      <c r="M1995">
        <v>20025747402</v>
      </c>
      <c r="N1995" t="s">
        <v>2702</v>
      </c>
      <c r="O1995" s="1">
        <v>45294</v>
      </c>
      <c r="T1995" t="s">
        <v>2662</v>
      </c>
      <c r="U1995" t="s">
        <v>3026</v>
      </c>
      <c r="V1995">
        <v>57</v>
      </c>
      <c r="W1995" t="s">
        <v>2664</v>
      </c>
      <c r="X1995">
        <v>1</v>
      </c>
      <c r="Y1995" t="s">
        <v>2665</v>
      </c>
      <c r="AA1995">
        <v>20025747402</v>
      </c>
      <c r="AB1995" t="s">
        <v>524</v>
      </c>
      <c r="AC1995">
        <v>0</v>
      </c>
      <c r="AD1995">
        <v>46</v>
      </c>
      <c r="AE1995">
        <v>2002574740246</v>
      </c>
      <c r="AF1995" t="s">
        <v>7264</v>
      </c>
      <c r="AG1995">
        <v>1</v>
      </c>
      <c r="AH1995">
        <v>0</v>
      </c>
    </row>
    <row r="1996" spans="1:34">
      <c r="A1996">
        <v>2026</v>
      </c>
      <c r="B1996" s="1">
        <v>46023</v>
      </c>
      <c r="C1996" t="s">
        <v>2657</v>
      </c>
      <c r="D1996" t="s">
        <v>7266</v>
      </c>
      <c r="E1996" s="43">
        <v>46034.587401423611</v>
      </c>
      <c r="F1996" s="1">
        <v>46034</v>
      </c>
      <c r="G1996" s="43">
        <v>46035.618884340278</v>
      </c>
      <c r="H1996" t="s">
        <v>2701</v>
      </c>
      <c r="I1996" t="s">
        <v>2681</v>
      </c>
      <c r="J1996" t="s">
        <v>39</v>
      </c>
      <c r="L1996" t="s">
        <v>2336</v>
      </c>
      <c r="M1996">
        <v>818862028802</v>
      </c>
      <c r="N1996" t="s">
        <v>2702</v>
      </c>
      <c r="O1996" s="1">
        <v>45673</v>
      </c>
      <c r="T1996" t="s">
        <v>2662</v>
      </c>
      <c r="U1996" t="s">
        <v>7267</v>
      </c>
      <c r="V1996">
        <v>1</v>
      </c>
      <c r="W1996" t="s">
        <v>2704</v>
      </c>
      <c r="X1996">
        <v>1</v>
      </c>
      <c r="Y1996" t="s">
        <v>2721</v>
      </c>
      <c r="Z1996" t="s">
        <v>2684</v>
      </c>
      <c r="AA1996">
        <v>16898656902</v>
      </c>
      <c r="AB1996" t="s">
        <v>1078</v>
      </c>
      <c r="AC1996">
        <v>0</v>
      </c>
      <c r="AD1996">
        <v>3</v>
      </c>
      <c r="AE1996">
        <v>168986569023</v>
      </c>
      <c r="AF1996" t="s">
        <v>7268</v>
      </c>
      <c r="AG1996">
        <v>1</v>
      </c>
      <c r="AH1996">
        <v>1</v>
      </c>
    </row>
    <row r="1997" spans="1:34">
      <c r="A1997">
        <v>2026</v>
      </c>
      <c r="B1997" s="1">
        <v>46023</v>
      </c>
      <c r="C1997" t="s">
        <v>2657</v>
      </c>
      <c r="D1997" t="s">
        <v>7269</v>
      </c>
      <c r="E1997" s="43">
        <v>46036.49909578704</v>
      </c>
      <c r="F1997" s="1">
        <v>46036</v>
      </c>
      <c r="G1997" s="43">
        <v>46038.795536574071</v>
      </c>
      <c r="H1997" t="s">
        <v>2701</v>
      </c>
      <c r="I1997" t="s">
        <v>2681</v>
      </c>
      <c r="J1997" t="s">
        <v>39</v>
      </c>
      <c r="L1997" t="s">
        <v>2336</v>
      </c>
      <c r="M1997">
        <v>818862028802</v>
      </c>
      <c r="N1997" t="s">
        <v>2702</v>
      </c>
      <c r="O1997" s="1">
        <v>45673</v>
      </c>
      <c r="T1997" t="s">
        <v>2662</v>
      </c>
      <c r="U1997" t="s">
        <v>7270</v>
      </c>
      <c r="V1997">
        <v>2</v>
      </c>
      <c r="W1997" t="s">
        <v>2677</v>
      </c>
      <c r="X1997">
        <v>1</v>
      </c>
      <c r="Y1997" t="s">
        <v>2760</v>
      </c>
      <c r="AA1997">
        <v>16898656902</v>
      </c>
      <c r="AB1997" t="s">
        <v>1078</v>
      </c>
      <c r="AC1997">
        <v>0</v>
      </c>
      <c r="AD1997">
        <v>3</v>
      </c>
      <c r="AE1997">
        <v>168986569023</v>
      </c>
      <c r="AF1997" t="s">
        <v>7268</v>
      </c>
      <c r="AG1997">
        <v>0</v>
      </c>
      <c r="AH1997">
        <v>0</v>
      </c>
    </row>
    <row r="1998" spans="1:34">
      <c r="A1998">
        <v>2026</v>
      </c>
      <c r="B1998" s="1">
        <v>46023</v>
      </c>
      <c r="C1998" t="s">
        <v>2657</v>
      </c>
      <c r="D1998" t="s">
        <v>7271</v>
      </c>
      <c r="E1998" s="43">
        <v>46034.672264745372</v>
      </c>
      <c r="F1998" s="1">
        <v>46034</v>
      </c>
      <c r="G1998" s="43">
        <v>46042.696579814816</v>
      </c>
      <c r="H1998" t="s">
        <v>2701</v>
      </c>
      <c r="I1998" t="s">
        <v>2681</v>
      </c>
      <c r="J1998" t="s">
        <v>39</v>
      </c>
      <c r="L1998" t="s">
        <v>2336</v>
      </c>
      <c r="M1998">
        <v>16898656902</v>
      </c>
      <c r="N1998" t="s">
        <v>2746</v>
      </c>
      <c r="O1998" s="1">
        <v>45661</v>
      </c>
      <c r="T1998" t="s">
        <v>2662</v>
      </c>
      <c r="U1998" t="s">
        <v>7272</v>
      </c>
      <c r="V1998">
        <v>6</v>
      </c>
      <c r="W1998" t="s">
        <v>2677</v>
      </c>
      <c r="X1998">
        <v>1</v>
      </c>
      <c r="Y1998" t="s">
        <v>2760</v>
      </c>
      <c r="Z1998" t="s">
        <v>2684</v>
      </c>
      <c r="AA1998">
        <v>16898656902</v>
      </c>
      <c r="AB1998" t="s">
        <v>1078</v>
      </c>
      <c r="AC1998">
        <v>0</v>
      </c>
      <c r="AD1998">
        <v>3</v>
      </c>
      <c r="AE1998">
        <v>168986569023</v>
      </c>
      <c r="AF1998" t="s">
        <v>7268</v>
      </c>
      <c r="AG1998">
        <v>0</v>
      </c>
      <c r="AH1998">
        <v>0</v>
      </c>
    </row>
    <row r="1999" spans="1:34">
      <c r="A1999">
        <v>2026</v>
      </c>
      <c r="B1999" s="1">
        <v>46023</v>
      </c>
      <c r="C1999" t="s">
        <v>2657</v>
      </c>
      <c r="D1999" t="s">
        <v>7273</v>
      </c>
      <c r="E1999" s="43">
        <v>46042.82692428241</v>
      </c>
      <c r="F1999" s="1">
        <v>46042</v>
      </c>
      <c r="G1999" s="43">
        <v>46042.82692428241</v>
      </c>
      <c r="H1999" t="s">
        <v>2701</v>
      </c>
      <c r="I1999" t="s">
        <v>2719</v>
      </c>
      <c r="J1999" t="s">
        <v>39</v>
      </c>
      <c r="L1999" t="s">
        <v>2336</v>
      </c>
      <c r="M1999">
        <v>818862028802</v>
      </c>
      <c r="N1999" t="s">
        <v>2702</v>
      </c>
      <c r="O1999" s="1">
        <v>45673</v>
      </c>
      <c r="T1999" t="s">
        <v>2662</v>
      </c>
      <c r="U1999" t="s">
        <v>7274</v>
      </c>
      <c r="V1999">
        <v>0</v>
      </c>
      <c r="W1999" t="s">
        <v>2671</v>
      </c>
      <c r="X1999">
        <v>1</v>
      </c>
      <c r="Y1999" t="s">
        <v>2764</v>
      </c>
      <c r="AA1999">
        <v>16898656902</v>
      </c>
      <c r="AB1999" t="s">
        <v>1078</v>
      </c>
      <c r="AC1999">
        <v>0</v>
      </c>
      <c r="AD1999">
        <v>4</v>
      </c>
      <c r="AE1999">
        <v>168986569024</v>
      </c>
      <c r="AF1999" t="s">
        <v>7268</v>
      </c>
      <c r="AG1999">
        <v>0</v>
      </c>
      <c r="AH1999">
        <v>0</v>
      </c>
    </row>
    <row r="2000" spans="1:34">
      <c r="A2000">
        <v>2026</v>
      </c>
      <c r="B2000" s="1">
        <v>46023</v>
      </c>
      <c r="C2000" t="s">
        <v>2657</v>
      </c>
      <c r="D2000" t="s">
        <v>7275</v>
      </c>
      <c r="E2000" s="43">
        <v>46042.831589108799</v>
      </c>
      <c r="F2000" s="1">
        <v>46042</v>
      </c>
      <c r="G2000" s="43">
        <v>46045.673852881948</v>
      </c>
      <c r="H2000" t="s">
        <v>2701</v>
      </c>
      <c r="I2000" t="s">
        <v>2719</v>
      </c>
      <c r="J2000" t="s">
        <v>39</v>
      </c>
      <c r="L2000" t="s">
        <v>2336</v>
      </c>
      <c r="M2000">
        <v>16898656902</v>
      </c>
      <c r="N2000" t="s">
        <v>2746</v>
      </c>
      <c r="O2000" s="1">
        <v>45661</v>
      </c>
      <c r="T2000" t="s">
        <v>2662</v>
      </c>
      <c r="U2000" t="s">
        <v>7276</v>
      </c>
      <c r="V2000">
        <v>3</v>
      </c>
      <c r="W2000" t="s">
        <v>2704</v>
      </c>
      <c r="X2000">
        <v>1</v>
      </c>
      <c r="Y2000" t="s">
        <v>2717</v>
      </c>
      <c r="AA2000">
        <v>16898656902</v>
      </c>
      <c r="AB2000" t="s">
        <v>1078</v>
      </c>
      <c r="AC2000">
        <v>0</v>
      </c>
      <c r="AD2000">
        <v>4</v>
      </c>
      <c r="AE2000">
        <v>168986569024</v>
      </c>
      <c r="AF2000" t="s">
        <v>7268</v>
      </c>
      <c r="AG2000">
        <v>0</v>
      </c>
      <c r="AH2000">
        <v>0</v>
      </c>
    </row>
    <row r="2001" spans="1:35">
      <c r="A2001">
        <v>2026</v>
      </c>
      <c r="B2001" s="1">
        <v>46023</v>
      </c>
      <c r="C2001" t="s">
        <v>2657</v>
      </c>
      <c r="D2001" t="s">
        <v>7277</v>
      </c>
      <c r="E2001" s="43">
        <v>46042.762966273149</v>
      </c>
      <c r="F2001" s="1">
        <v>46042</v>
      </c>
      <c r="G2001" s="43">
        <v>46043.807854062499</v>
      </c>
      <c r="H2001" t="s">
        <v>2701</v>
      </c>
      <c r="I2001" t="s">
        <v>2719</v>
      </c>
      <c r="J2001" t="s">
        <v>39</v>
      </c>
      <c r="L2001" t="s">
        <v>2336</v>
      </c>
      <c r="M2001">
        <v>16898656902</v>
      </c>
      <c r="N2001" t="s">
        <v>2746</v>
      </c>
      <c r="O2001" s="1">
        <v>45661</v>
      </c>
      <c r="T2001" t="s">
        <v>2662</v>
      </c>
      <c r="U2001" t="s">
        <v>7278</v>
      </c>
      <c r="V2001">
        <v>1</v>
      </c>
      <c r="W2001" t="s">
        <v>2677</v>
      </c>
      <c r="X2001">
        <v>1</v>
      </c>
      <c r="Y2001" t="s">
        <v>3237</v>
      </c>
      <c r="AA2001">
        <v>16898656902</v>
      </c>
      <c r="AB2001" t="s">
        <v>1078</v>
      </c>
      <c r="AC2001">
        <v>0</v>
      </c>
      <c r="AD2001">
        <v>4</v>
      </c>
      <c r="AE2001">
        <v>168986569024</v>
      </c>
      <c r="AF2001" t="s">
        <v>7268</v>
      </c>
      <c r="AG2001">
        <v>1</v>
      </c>
      <c r="AH2001">
        <v>0</v>
      </c>
    </row>
    <row r="2002" spans="1:35">
      <c r="A2002">
        <v>2026</v>
      </c>
      <c r="B2002" s="1">
        <v>46023</v>
      </c>
      <c r="C2002" t="s">
        <v>2657</v>
      </c>
      <c r="D2002" t="s">
        <v>7279</v>
      </c>
      <c r="E2002" s="43">
        <v>46045.705754444447</v>
      </c>
      <c r="F2002" s="1">
        <v>46045</v>
      </c>
      <c r="G2002" s="43">
        <v>46045.705754444447</v>
      </c>
      <c r="H2002" t="s">
        <v>2701</v>
      </c>
      <c r="I2002" t="s">
        <v>2660</v>
      </c>
      <c r="J2002" t="s">
        <v>39</v>
      </c>
      <c r="L2002" t="s">
        <v>2336</v>
      </c>
      <c r="M2002">
        <v>818862028802</v>
      </c>
      <c r="N2002" t="s">
        <v>2702</v>
      </c>
      <c r="O2002" s="1">
        <v>45673</v>
      </c>
      <c r="T2002" t="s">
        <v>2662</v>
      </c>
      <c r="U2002" t="s">
        <v>7280</v>
      </c>
      <c r="V2002">
        <v>0</v>
      </c>
      <c r="W2002" t="s">
        <v>2671</v>
      </c>
      <c r="X2002">
        <v>1</v>
      </c>
      <c r="AA2002">
        <v>16898656902</v>
      </c>
      <c r="AB2002" t="s">
        <v>1078</v>
      </c>
      <c r="AC2002">
        <v>0</v>
      </c>
      <c r="AD2002">
        <v>4</v>
      </c>
      <c r="AE2002">
        <v>168986569024</v>
      </c>
      <c r="AF2002" t="s">
        <v>7268</v>
      </c>
      <c r="AG2002">
        <v>0</v>
      </c>
      <c r="AH2002">
        <v>0</v>
      </c>
    </row>
    <row r="2003" spans="1:35">
      <c r="A2003">
        <v>2026</v>
      </c>
      <c r="B2003" s="1">
        <v>46023</v>
      </c>
      <c r="C2003" t="s">
        <v>2657</v>
      </c>
      <c r="D2003" t="s">
        <v>7281</v>
      </c>
      <c r="E2003" s="43">
        <v>46044.816649259257</v>
      </c>
      <c r="F2003" s="1">
        <v>46044</v>
      </c>
      <c r="G2003" s="43">
        <v>46072.779910034726</v>
      </c>
      <c r="H2003" t="s">
        <v>2701</v>
      </c>
      <c r="I2003" t="s">
        <v>2660</v>
      </c>
      <c r="J2003" t="s">
        <v>39</v>
      </c>
      <c r="L2003" t="s">
        <v>2336</v>
      </c>
      <c r="M2003">
        <v>16898656902</v>
      </c>
      <c r="N2003" t="s">
        <v>2746</v>
      </c>
      <c r="O2003" s="1">
        <v>45661</v>
      </c>
      <c r="T2003" t="s">
        <v>2662</v>
      </c>
      <c r="U2003" t="s">
        <v>7282</v>
      </c>
      <c r="V2003">
        <v>20</v>
      </c>
      <c r="W2003" t="s">
        <v>2671</v>
      </c>
      <c r="X2003">
        <v>1</v>
      </c>
      <c r="Y2003" t="s">
        <v>2692</v>
      </c>
      <c r="AA2003">
        <v>16898656902</v>
      </c>
      <c r="AB2003" t="s">
        <v>1078</v>
      </c>
      <c r="AC2003">
        <v>0</v>
      </c>
      <c r="AD2003">
        <v>4</v>
      </c>
      <c r="AE2003">
        <v>168986569024</v>
      </c>
      <c r="AF2003" t="s">
        <v>7268</v>
      </c>
      <c r="AG2003">
        <v>0</v>
      </c>
      <c r="AH2003">
        <v>0</v>
      </c>
    </row>
    <row r="2004" spans="1:35">
      <c r="A2004">
        <v>2026</v>
      </c>
      <c r="B2004" s="1">
        <v>46054</v>
      </c>
      <c r="C2004" t="s">
        <v>2657</v>
      </c>
      <c r="D2004" t="s">
        <v>7283</v>
      </c>
      <c r="E2004" s="43">
        <v>46055.827560659724</v>
      </c>
      <c r="F2004" s="1">
        <v>46055</v>
      </c>
      <c r="G2004" s="43">
        <v>46076.541329259257</v>
      </c>
      <c r="H2004" t="s">
        <v>2725</v>
      </c>
      <c r="I2004" t="s">
        <v>2669</v>
      </c>
      <c r="J2004" t="s">
        <v>36</v>
      </c>
      <c r="L2004" t="s">
        <v>2421</v>
      </c>
      <c r="M2004">
        <v>358205651902</v>
      </c>
      <c r="N2004" t="s">
        <v>2661</v>
      </c>
      <c r="O2004" s="1">
        <v>45294</v>
      </c>
      <c r="T2004" t="s">
        <v>2662</v>
      </c>
      <c r="U2004" t="s">
        <v>7284</v>
      </c>
      <c r="V2004">
        <v>15</v>
      </c>
      <c r="W2004" t="s">
        <v>2677</v>
      </c>
      <c r="X2004">
        <v>1</v>
      </c>
      <c r="Y2004" t="s">
        <v>2760</v>
      </c>
      <c r="Z2004" t="s">
        <v>2684</v>
      </c>
      <c r="AA2004">
        <v>358205651902</v>
      </c>
      <c r="AB2004" t="s">
        <v>1408</v>
      </c>
      <c r="AC2004">
        <v>0</v>
      </c>
      <c r="AD2004">
        <v>6</v>
      </c>
      <c r="AE2004">
        <v>3582056519026</v>
      </c>
      <c r="AF2004" t="s">
        <v>7285</v>
      </c>
      <c r="AG2004">
        <v>1</v>
      </c>
      <c r="AH2004">
        <v>1</v>
      </c>
      <c r="AI2004" t="s">
        <v>3001</v>
      </c>
    </row>
    <row r="2005" spans="1:35">
      <c r="A2005">
        <v>2026</v>
      </c>
      <c r="B2005" s="1">
        <v>46054</v>
      </c>
      <c r="C2005" t="s">
        <v>2657</v>
      </c>
      <c r="D2005" t="s">
        <v>7286</v>
      </c>
      <c r="E2005" s="43">
        <v>46064.609987465279</v>
      </c>
      <c r="F2005" s="1">
        <v>46064</v>
      </c>
      <c r="G2005" s="43">
        <v>46083.741724444444</v>
      </c>
      <c r="H2005" t="s">
        <v>2725</v>
      </c>
      <c r="I2005" t="s">
        <v>2681</v>
      </c>
      <c r="J2005" t="s">
        <v>36</v>
      </c>
      <c r="L2005" t="s">
        <v>2421</v>
      </c>
      <c r="M2005">
        <v>358205651902</v>
      </c>
      <c r="N2005" t="s">
        <v>2661</v>
      </c>
      <c r="O2005" s="1">
        <v>45294</v>
      </c>
      <c r="T2005" t="s">
        <v>2798</v>
      </c>
      <c r="U2005" t="s">
        <v>7287</v>
      </c>
      <c r="V2005">
        <v>22</v>
      </c>
      <c r="X2005">
        <v>0</v>
      </c>
      <c r="Y2005" t="s">
        <v>2721</v>
      </c>
      <c r="Z2005" t="s">
        <v>2834</v>
      </c>
      <c r="AA2005">
        <v>358205651902</v>
      </c>
      <c r="AB2005" t="s">
        <v>1408</v>
      </c>
      <c r="AC2005">
        <v>0</v>
      </c>
      <c r="AD2005">
        <v>7</v>
      </c>
      <c r="AE2005">
        <v>3582056519027</v>
      </c>
      <c r="AF2005" t="s">
        <v>7285</v>
      </c>
      <c r="AG2005">
        <v>1</v>
      </c>
      <c r="AH2005">
        <v>0</v>
      </c>
    </row>
    <row r="2006" spans="1:35">
      <c r="A2006">
        <v>2026</v>
      </c>
      <c r="B2006" s="1">
        <v>46054</v>
      </c>
      <c r="C2006" t="s">
        <v>2657</v>
      </c>
      <c r="D2006" t="s">
        <v>7288</v>
      </c>
      <c r="E2006" s="43">
        <v>46066.496796273146</v>
      </c>
      <c r="F2006" s="1">
        <v>46066</v>
      </c>
      <c r="G2006" s="43">
        <v>46085.770111909726</v>
      </c>
      <c r="H2006" t="s">
        <v>2725</v>
      </c>
      <c r="I2006" t="s">
        <v>2681</v>
      </c>
      <c r="J2006" t="s">
        <v>36</v>
      </c>
      <c r="L2006" t="s">
        <v>2421</v>
      </c>
      <c r="M2006">
        <v>358205651902</v>
      </c>
      <c r="N2006" t="s">
        <v>2661</v>
      </c>
      <c r="O2006" s="1">
        <v>45294</v>
      </c>
      <c r="T2006" t="s">
        <v>2662</v>
      </c>
      <c r="U2006" t="s">
        <v>7289</v>
      </c>
      <c r="V2006">
        <v>13</v>
      </c>
      <c r="W2006" t="s">
        <v>2743</v>
      </c>
      <c r="X2006">
        <v>1</v>
      </c>
      <c r="Y2006" t="s">
        <v>2764</v>
      </c>
      <c r="AA2006">
        <v>358205651902</v>
      </c>
      <c r="AB2006" t="s">
        <v>1408</v>
      </c>
      <c r="AC2006">
        <v>0</v>
      </c>
      <c r="AD2006">
        <v>7</v>
      </c>
      <c r="AE2006">
        <v>3582056519027</v>
      </c>
      <c r="AF2006" t="s">
        <v>7285</v>
      </c>
      <c r="AG2006">
        <v>0</v>
      </c>
      <c r="AH2006">
        <v>0</v>
      </c>
    </row>
    <row r="2007" spans="1:35">
      <c r="A2007">
        <v>2026</v>
      </c>
      <c r="B2007" s="1">
        <v>46054</v>
      </c>
      <c r="C2007" t="s">
        <v>2657</v>
      </c>
      <c r="D2007" t="s">
        <v>7290</v>
      </c>
      <c r="E2007" s="43">
        <v>46076.786962708335</v>
      </c>
      <c r="F2007" s="1">
        <v>46076</v>
      </c>
      <c r="G2007" s="43">
        <v>46090.728901840281</v>
      </c>
      <c r="H2007" t="s">
        <v>2725</v>
      </c>
      <c r="I2007" t="s">
        <v>2660</v>
      </c>
      <c r="J2007" t="s">
        <v>36</v>
      </c>
      <c r="L2007" t="s">
        <v>2421</v>
      </c>
      <c r="M2007">
        <v>587254988202</v>
      </c>
      <c r="N2007" t="s">
        <v>2661</v>
      </c>
      <c r="O2007" s="1">
        <v>45349</v>
      </c>
      <c r="T2007" t="s">
        <v>2662</v>
      </c>
      <c r="U2007" t="s">
        <v>7291</v>
      </c>
      <c r="V2007">
        <v>10</v>
      </c>
      <c r="W2007" t="s">
        <v>2677</v>
      </c>
      <c r="X2007">
        <v>1</v>
      </c>
      <c r="Y2007" t="s">
        <v>2779</v>
      </c>
      <c r="AA2007">
        <v>358205651902</v>
      </c>
      <c r="AB2007" t="s">
        <v>1408</v>
      </c>
      <c r="AC2007">
        <v>1</v>
      </c>
      <c r="AD2007">
        <v>9</v>
      </c>
      <c r="AE2007">
        <v>3582056519029</v>
      </c>
      <c r="AF2007" t="s">
        <v>7285</v>
      </c>
      <c r="AG2007">
        <v>1</v>
      </c>
      <c r="AH2007">
        <v>0</v>
      </c>
    </row>
    <row r="2008" spans="1:35">
      <c r="A2008">
        <v>2026</v>
      </c>
      <c r="B2008" s="1">
        <v>46082</v>
      </c>
      <c r="C2008" t="s">
        <v>2657</v>
      </c>
      <c r="D2008" t="s">
        <v>7292</v>
      </c>
      <c r="E2008" s="43">
        <v>46087.832238055555</v>
      </c>
      <c r="F2008" s="1">
        <v>46087</v>
      </c>
      <c r="G2008" s="43">
        <v>46087.832238055555</v>
      </c>
      <c r="H2008" t="s">
        <v>2668</v>
      </c>
      <c r="I2008" t="s">
        <v>2669</v>
      </c>
      <c r="J2008" t="s">
        <v>36</v>
      </c>
      <c r="L2008" t="s">
        <v>2355</v>
      </c>
      <c r="M2008">
        <v>195492390002</v>
      </c>
      <c r="N2008" t="s">
        <v>2702</v>
      </c>
      <c r="O2008" s="1">
        <v>45673</v>
      </c>
      <c r="T2008" t="s">
        <v>2798</v>
      </c>
      <c r="U2008" t="s">
        <v>7293</v>
      </c>
      <c r="V2008">
        <v>5</v>
      </c>
      <c r="W2008" t="s">
        <v>2677</v>
      </c>
      <c r="X2008">
        <v>0</v>
      </c>
      <c r="Y2008" t="s">
        <v>2767</v>
      </c>
      <c r="AA2008">
        <v>153775969402</v>
      </c>
      <c r="AB2008" t="s">
        <v>1002</v>
      </c>
      <c r="AC2008">
        <v>0</v>
      </c>
      <c r="AD2008">
        <v>10</v>
      </c>
      <c r="AE2008">
        <v>15377596940210</v>
      </c>
      <c r="AF2008" t="s">
        <v>7294</v>
      </c>
      <c r="AG2008">
        <v>1</v>
      </c>
      <c r="AH2008">
        <v>1</v>
      </c>
    </row>
    <row r="2009" spans="1:35">
      <c r="A2009">
        <v>2026</v>
      </c>
      <c r="B2009" s="1">
        <v>46082</v>
      </c>
      <c r="C2009" t="s">
        <v>2657</v>
      </c>
      <c r="D2009" t="s">
        <v>7295</v>
      </c>
      <c r="E2009" s="43">
        <v>46094.888443055555</v>
      </c>
      <c r="F2009" s="1">
        <v>46094</v>
      </c>
      <c r="G2009" s="43">
        <v>46094.888443055555</v>
      </c>
      <c r="H2009" t="s">
        <v>2668</v>
      </c>
      <c r="I2009" t="s">
        <v>2681</v>
      </c>
      <c r="J2009" t="s">
        <v>36</v>
      </c>
      <c r="L2009" t="s">
        <v>2355</v>
      </c>
      <c r="M2009">
        <v>195492390002</v>
      </c>
      <c r="N2009" t="s">
        <v>2702</v>
      </c>
      <c r="O2009" s="1">
        <v>45673</v>
      </c>
      <c r="T2009" t="s">
        <v>2798</v>
      </c>
      <c r="U2009" t="s">
        <v>7296</v>
      </c>
      <c r="V2009">
        <v>0</v>
      </c>
      <c r="W2009" t="s">
        <v>2671</v>
      </c>
      <c r="X2009">
        <v>0</v>
      </c>
      <c r="Y2009" t="s">
        <v>3471</v>
      </c>
      <c r="AA2009">
        <v>153775969402</v>
      </c>
      <c r="AB2009" t="s">
        <v>1002</v>
      </c>
      <c r="AC2009">
        <v>0</v>
      </c>
      <c r="AD2009">
        <v>11</v>
      </c>
      <c r="AE2009">
        <v>15377596940211</v>
      </c>
      <c r="AF2009" t="s">
        <v>7294</v>
      </c>
      <c r="AG2009">
        <v>1</v>
      </c>
      <c r="AH2009">
        <v>0</v>
      </c>
    </row>
    <row r="2010" spans="1:35">
      <c r="A2010">
        <v>2026</v>
      </c>
      <c r="B2010" s="1">
        <v>46082</v>
      </c>
      <c r="C2010" t="s">
        <v>2657</v>
      </c>
      <c r="D2010" t="s">
        <v>7297</v>
      </c>
      <c r="E2010" s="43">
        <v>46094.889496504627</v>
      </c>
      <c r="F2010" s="1">
        <v>46094</v>
      </c>
      <c r="G2010" s="43">
        <v>46094.889496504627</v>
      </c>
      <c r="H2010" t="s">
        <v>2668</v>
      </c>
      <c r="I2010" t="s">
        <v>2681</v>
      </c>
      <c r="J2010" t="s">
        <v>36</v>
      </c>
      <c r="L2010" t="s">
        <v>2355</v>
      </c>
      <c r="M2010">
        <v>195492390002</v>
      </c>
      <c r="N2010" t="s">
        <v>2702</v>
      </c>
      <c r="O2010" s="1">
        <v>45673</v>
      </c>
      <c r="T2010" t="s">
        <v>2798</v>
      </c>
      <c r="U2010" t="s">
        <v>7298</v>
      </c>
      <c r="V2010">
        <v>0</v>
      </c>
      <c r="W2010" t="s">
        <v>2671</v>
      </c>
      <c r="X2010">
        <v>0</v>
      </c>
      <c r="Y2010" t="s">
        <v>3471</v>
      </c>
      <c r="AA2010">
        <v>153775969402</v>
      </c>
      <c r="AB2010" t="s">
        <v>1002</v>
      </c>
      <c r="AC2010">
        <v>1</v>
      </c>
      <c r="AD2010">
        <v>11</v>
      </c>
      <c r="AE2010">
        <v>15377596940211</v>
      </c>
      <c r="AF2010" t="s">
        <v>7294</v>
      </c>
      <c r="AG2010">
        <v>0</v>
      </c>
      <c r="AH2010">
        <v>0</v>
      </c>
    </row>
    <row r="2011" spans="1:35">
      <c r="A2011">
        <v>2026</v>
      </c>
      <c r="B2011" s="1">
        <v>46054</v>
      </c>
      <c r="C2011" t="s">
        <v>2657</v>
      </c>
      <c r="D2011" t="s">
        <v>7299</v>
      </c>
      <c r="E2011" s="43">
        <v>46057.762673564815</v>
      </c>
      <c r="F2011" s="1">
        <v>46057</v>
      </c>
      <c r="G2011" s="43">
        <v>46059.530355509261</v>
      </c>
      <c r="H2011" t="s">
        <v>2725</v>
      </c>
      <c r="I2011" t="s">
        <v>2669</v>
      </c>
      <c r="J2011" t="s">
        <v>38</v>
      </c>
      <c r="L2011" t="s">
        <v>2347</v>
      </c>
      <c r="M2011">
        <v>795323312102</v>
      </c>
      <c r="N2011" t="s">
        <v>2675</v>
      </c>
      <c r="O2011" s="1">
        <v>45503</v>
      </c>
      <c r="T2011" t="s">
        <v>2662</v>
      </c>
      <c r="U2011" t="s">
        <v>7300</v>
      </c>
      <c r="V2011">
        <v>2</v>
      </c>
      <c r="X2011">
        <v>1</v>
      </c>
      <c r="Y2011" t="s">
        <v>2717</v>
      </c>
      <c r="AA2011">
        <v>795323312102</v>
      </c>
      <c r="AB2011" t="s">
        <v>357</v>
      </c>
      <c r="AC2011">
        <v>1</v>
      </c>
      <c r="AD2011">
        <v>6</v>
      </c>
      <c r="AE2011">
        <v>7953233121026</v>
      </c>
      <c r="AF2011" t="s">
        <v>7301</v>
      </c>
      <c r="AG2011">
        <v>1</v>
      </c>
      <c r="AH2011">
        <v>1</v>
      </c>
    </row>
    <row r="2012" spans="1:35">
      <c r="A2012">
        <v>2025</v>
      </c>
      <c r="B2012" s="1">
        <v>45992</v>
      </c>
      <c r="C2012" t="s">
        <v>2657</v>
      </c>
      <c r="D2012" t="s">
        <v>7302</v>
      </c>
      <c r="E2012" s="43">
        <v>46001.52041621528</v>
      </c>
      <c r="F2012" s="1">
        <v>46001</v>
      </c>
      <c r="G2012" s="43">
        <v>46001.52041621528</v>
      </c>
      <c r="H2012" t="s">
        <v>2686</v>
      </c>
      <c r="I2012" t="s">
        <v>2681</v>
      </c>
      <c r="J2012" t="s">
        <v>2735</v>
      </c>
      <c r="L2012" t="s">
        <v>2408</v>
      </c>
      <c r="M2012">
        <v>933459575402</v>
      </c>
      <c r="N2012" t="s">
        <v>2746</v>
      </c>
      <c r="O2012" s="1">
        <v>45595</v>
      </c>
      <c r="T2012" t="s">
        <v>2662</v>
      </c>
      <c r="U2012" t="s">
        <v>7303</v>
      </c>
      <c r="V2012">
        <v>0</v>
      </c>
      <c r="W2012" t="s">
        <v>2671</v>
      </c>
      <c r="X2012">
        <v>1</v>
      </c>
      <c r="Y2012" t="s">
        <v>2695</v>
      </c>
      <c r="AA2012">
        <v>438747217402</v>
      </c>
      <c r="AB2012" t="s">
        <v>1377</v>
      </c>
      <c r="AC2012">
        <v>0</v>
      </c>
      <c r="AD2012">
        <v>50</v>
      </c>
      <c r="AE2012">
        <v>43874721740250</v>
      </c>
      <c r="AF2012" t="s">
        <v>7304</v>
      </c>
      <c r="AG2012">
        <v>1</v>
      </c>
      <c r="AH2012">
        <v>1</v>
      </c>
    </row>
    <row r="2013" spans="1:35">
      <c r="A2013">
        <v>2025</v>
      </c>
      <c r="B2013" s="1">
        <v>45992</v>
      </c>
      <c r="C2013" t="s">
        <v>2657</v>
      </c>
      <c r="D2013" t="s">
        <v>7305</v>
      </c>
      <c r="E2013" s="43">
        <v>46008.785926759258</v>
      </c>
      <c r="F2013" s="1">
        <v>46008</v>
      </c>
      <c r="G2013" s="43">
        <v>46013.695849328702</v>
      </c>
      <c r="H2013" t="s">
        <v>2686</v>
      </c>
      <c r="I2013" t="s">
        <v>2719</v>
      </c>
      <c r="J2013" t="s">
        <v>2735</v>
      </c>
      <c r="L2013" t="s">
        <v>2408</v>
      </c>
      <c r="M2013">
        <v>933459575402</v>
      </c>
      <c r="N2013" t="s">
        <v>2746</v>
      </c>
      <c r="O2013" s="1">
        <v>45595</v>
      </c>
      <c r="T2013" t="s">
        <v>2662</v>
      </c>
      <c r="U2013" t="s">
        <v>7306</v>
      </c>
      <c r="V2013">
        <v>3</v>
      </c>
      <c r="W2013" t="s">
        <v>2671</v>
      </c>
      <c r="X2013">
        <v>1</v>
      </c>
      <c r="Y2013" t="s">
        <v>2683</v>
      </c>
      <c r="AA2013">
        <v>438747217402</v>
      </c>
      <c r="AB2013" t="s">
        <v>1377</v>
      </c>
      <c r="AC2013">
        <v>0</v>
      </c>
      <c r="AD2013">
        <v>51</v>
      </c>
      <c r="AE2013">
        <v>43874721740251</v>
      </c>
      <c r="AF2013" t="s">
        <v>7304</v>
      </c>
      <c r="AG2013">
        <v>0</v>
      </c>
      <c r="AH2013">
        <v>0</v>
      </c>
    </row>
    <row r="2014" spans="1:35">
      <c r="A2014">
        <v>2025</v>
      </c>
      <c r="B2014" s="1">
        <v>45992</v>
      </c>
      <c r="C2014" t="s">
        <v>2657</v>
      </c>
      <c r="D2014" t="s">
        <v>7307</v>
      </c>
      <c r="E2014" s="43">
        <v>46007.822203240743</v>
      </c>
      <c r="F2014" s="1">
        <v>46007</v>
      </c>
      <c r="G2014" s="43">
        <v>46007.822203240743</v>
      </c>
      <c r="H2014" t="s">
        <v>2686</v>
      </c>
      <c r="I2014" t="s">
        <v>2719</v>
      </c>
      <c r="J2014" t="s">
        <v>2735</v>
      </c>
      <c r="L2014" t="s">
        <v>2408</v>
      </c>
      <c r="M2014">
        <v>438747217402</v>
      </c>
      <c r="N2014" t="s">
        <v>2746</v>
      </c>
      <c r="O2014" s="1">
        <v>45294</v>
      </c>
      <c r="T2014" t="s">
        <v>2662</v>
      </c>
      <c r="U2014" t="s">
        <v>7308</v>
      </c>
      <c r="V2014">
        <v>0</v>
      </c>
      <c r="W2014" t="s">
        <v>2704</v>
      </c>
      <c r="X2014">
        <v>1</v>
      </c>
      <c r="Y2014" t="s">
        <v>2695</v>
      </c>
      <c r="AA2014">
        <v>438747217402</v>
      </c>
      <c r="AB2014" t="s">
        <v>1377</v>
      </c>
      <c r="AC2014">
        <v>0</v>
      </c>
      <c r="AD2014">
        <v>51</v>
      </c>
      <c r="AE2014">
        <v>43874721740251</v>
      </c>
      <c r="AF2014" t="s">
        <v>7304</v>
      </c>
      <c r="AG2014">
        <v>1</v>
      </c>
      <c r="AH2014">
        <v>0</v>
      </c>
    </row>
    <row r="2015" spans="1:35">
      <c r="A2015">
        <v>2026</v>
      </c>
      <c r="B2015" s="1">
        <v>46082</v>
      </c>
      <c r="C2015" t="s">
        <v>2657</v>
      </c>
      <c r="D2015" t="s">
        <v>7309</v>
      </c>
      <c r="E2015" s="43">
        <v>46084.563851851854</v>
      </c>
      <c r="F2015" s="1">
        <v>46084</v>
      </c>
      <c r="G2015" s="43">
        <v>46085.628842025464</v>
      </c>
      <c r="H2015" t="s">
        <v>2668</v>
      </c>
      <c r="I2015" t="s">
        <v>2669</v>
      </c>
      <c r="J2015" t="s">
        <v>39</v>
      </c>
      <c r="L2015" t="s">
        <v>2362</v>
      </c>
      <c r="M2015">
        <v>46733383915</v>
      </c>
      <c r="N2015" t="s">
        <v>2746</v>
      </c>
      <c r="O2015" s="1">
        <v>45145</v>
      </c>
      <c r="T2015" t="s">
        <v>2662</v>
      </c>
      <c r="U2015" t="s">
        <v>7310</v>
      </c>
      <c r="V2015">
        <v>1</v>
      </c>
      <c r="W2015" t="s">
        <v>2671</v>
      </c>
      <c r="X2015">
        <v>1</v>
      </c>
      <c r="Y2015" t="s">
        <v>2672</v>
      </c>
      <c r="AA2015">
        <v>46733383915</v>
      </c>
      <c r="AB2015" t="s">
        <v>839</v>
      </c>
      <c r="AC2015">
        <v>0</v>
      </c>
      <c r="AD2015">
        <v>10</v>
      </c>
      <c r="AE2015">
        <v>4673338391510</v>
      </c>
      <c r="AF2015" t="s">
        <v>7311</v>
      </c>
      <c r="AG2015">
        <v>1</v>
      </c>
      <c r="AH2015">
        <v>1</v>
      </c>
      <c r="AI2015" t="s">
        <v>3001</v>
      </c>
    </row>
    <row r="2016" spans="1:35">
      <c r="A2016">
        <v>2026</v>
      </c>
      <c r="B2016" s="1">
        <v>46082</v>
      </c>
      <c r="C2016" t="s">
        <v>2657</v>
      </c>
      <c r="D2016" t="s">
        <v>7312</v>
      </c>
      <c r="E2016" s="43">
        <v>46091.672844525463</v>
      </c>
      <c r="F2016" s="1">
        <v>46091</v>
      </c>
      <c r="G2016" s="43">
        <v>46091.675221666665</v>
      </c>
      <c r="H2016" t="s">
        <v>2668</v>
      </c>
      <c r="I2016" t="s">
        <v>2681</v>
      </c>
      <c r="J2016" t="s">
        <v>39</v>
      </c>
      <c r="L2016" t="s">
        <v>2362</v>
      </c>
      <c r="M2016">
        <v>46733383915</v>
      </c>
      <c r="N2016" t="s">
        <v>2746</v>
      </c>
      <c r="O2016" s="1">
        <v>45145</v>
      </c>
      <c r="T2016" t="s">
        <v>2662</v>
      </c>
      <c r="U2016" t="s">
        <v>7313</v>
      </c>
      <c r="V2016">
        <v>0</v>
      </c>
      <c r="W2016" t="s">
        <v>2671</v>
      </c>
      <c r="X2016">
        <v>1</v>
      </c>
      <c r="Y2016" t="s">
        <v>2764</v>
      </c>
      <c r="AA2016">
        <v>46733383915</v>
      </c>
      <c r="AB2016" t="s">
        <v>839</v>
      </c>
      <c r="AC2016">
        <v>1</v>
      </c>
      <c r="AD2016">
        <v>11</v>
      </c>
      <c r="AE2016">
        <v>4673338391511</v>
      </c>
      <c r="AF2016" t="s">
        <v>7311</v>
      </c>
      <c r="AG2016">
        <v>1</v>
      </c>
      <c r="AH2016">
        <v>0</v>
      </c>
    </row>
    <row r="2017" spans="1:34">
      <c r="A2017">
        <v>2025</v>
      </c>
      <c r="B2017" s="1">
        <v>45992</v>
      </c>
      <c r="C2017" t="s">
        <v>2657</v>
      </c>
      <c r="D2017" t="s">
        <v>7314</v>
      </c>
      <c r="E2017" s="43">
        <v>46021.805905462963</v>
      </c>
      <c r="F2017" s="1">
        <v>46021</v>
      </c>
      <c r="G2017" s="43">
        <v>46037.576731319445</v>
      </c>
      <c r="H2017" t="s">
        <v>2686</v>
      </c>
      <c r="I2017" t="s">
        <v>2697</v>
      </c>
      <c r="J2017" t="s">
        <v>100</v>
      </c>
      <c r="L2017" t="s">
        <v>2381</v>
      </c>
      <c r="M2017">
        <v>549848560202</v>
      </c>
      <c r="N2017" t="s">
        <v>2702</v>
      </c>
      <c r="O2017" s="1">
        <v>45669</v>
      </c>
      <c r="T2017" t="s">
        <v>2662</v>
      </c>
      <c r="U2017" t="s">
        <v>7315</v>
      </c>
      <c r="V2017">
        <v>12</v>
      </c>
      <c r="W2017" t="s">
        <v>2704</v>
      </c>
      <c r="X2017">
        <v>1</v>
      </c>
      <c r="Y2017" t="s">
        <v>2744</v>
      </c>
      <c r="AA2017">
        <v>549848560202</v>
      </c>
      <c r="AB2017" t="s">
        <v>437</v>
      </c>
      <c r="AC2017">
        <v>0</v>
      </c>
      <c r="AD2017">
        <v>1</v>
      </c>
      <c r="AE2017">
        <v>5498485602021</v>
      </c>
      <c r="AF2017" t="s">
        <v>7316</v>
      </c>
      <c r="AG2017">
        <v>1</v>
      </c>
      <c r="AH2017">
        <v>1</v>
      </c>
    </row>
    <row r="2018" spans="1:34">
      <c r="A2018">
        <v>2026</v>
      </c>
      <c r="B2018" s="1">
        <v>46023</v>
      </c>
      <c r="C2018" t="s">
        <v>2657</v>
      </c>
      <c r="D2018" t="s">
        <v>7317</v>
      </c>
      <c r="E2018" s="43">
        <v>46037.894835081017</v>
      </c>
      <c r="F2018" s="1">
        <v>46037</v>
      </c>
      <c r="G2018" s="43">
        <v>46048.550782106482</v>
      </c>
      <c r="H2018" t="s">
        <v>2701</v>
      </c>
      <c r="I2018" t="s">
        <v>2719</v>
      </c>
      <c r="J2018" t="s">
        <v>38</v>
      </c>
      <c r="L2018" t="s">
        <v>2379</v>
      </c>
      <c r="M2018">
        <v>627010921602</v>
      </c>
      <c r="N2018" t="s">
        <v>2675</v>
      </c>
      <c r="O2018" s="1">
        <v>45503</v>
      </c>
      <c r="T2018" t="s">
        <v>2662</v>
      </c>
      <c r="U2018" t="s">
        <v>7318</v>
      </c>
      <c r="V2018">
        <v>7</v>
      </c>
      <c r="X2018">
        <v>1</v>
      </c>
      <c r="Y2018" t="s">
        <v>2717</v>
      </c>
      <c r="AA2018">
        <v>627010921602</v>
      </c>
      <c r="AB2018" t="s">
        <v>1204</v>
      </c>
      <c r="AC2018">
        <v>0</v>
      </c>
      <c r="AD2018">
        <v>3</v>
      </c>
      <c r="AE2018">
        <v>6270109216023</v>
      </c>
      <c r="AF2018" t="s">
        <v>7319</v>
      </c>
      <c r="AG2018">
        <v>1</v>
      </c>
      <c r="AH2018">
        <v>1</v>
      </c>
    </row>
    <row r="2019" spans="1:34">
      <c r="A2019">
        <v>2026</v>
      </c>
      <c r="B2019" s="1">
        <v>46023</v>
      </c>
      <c r="C2019" t="s">
        <v>2657</v>
      </c>
      <c r="D2019" s="44" t="s">
        <v>7320</v>
      </c>
      <c r="E2019" s="43">
        <v>46044.749371574071</v>
      </c>
      <c r="F2019" s="1">
        <v>46044</v>
      </c>
      <c r="G2019" s="43">
        <v>46048.780937800926</v>
      </c>
      <c r="H2019" t="s">
        <v>2701</v>
      </c>
      <c r="I2019" t="s">
        <v>2660</v>
      </c>
      <c r="J2019" t="s">
        <v>38</v>
      </c>
      <c r="L2019" t="s">
        <v>2379</v>
      </c>
      <c r="M2019">
        <v>627010921602</v>
      </c>
      <c r="N2019" t="s">
        <v>2675</v>
      </c>
      <c r="O2019" s="1">
        <v>45503</v>
      </c>
      <c r="T2019" t="s">
        <v>2662</v>
      </c>
      <c r="U2019" t="s">
        <v>7321</v>
      </c>
      <c r="V2019">
        <v>2</v>
      </c>
      <c r="W2019" t="s">
        <v>2671</v>
      </c>
      <c r="X2019">
        <v>1</v>
      </c>
      <c r="Y2019" t="s">
        <v>2688</v>
      </c>
      <c r="AA2019">
        <v>627010921602</v>
      </c>
      <c r="AB2019" t="s">
        <v>1204</v>
      </c>
      <c r="AC2019">
        <v>0</v>
      </c>
      <c r="AD2019">
        <v>4</v>
      </c>
      <c r="AE2019">
        <v>6270109216024</v>
      </c>
      <c r="AF2019" t="s">
        <v>7319</v>
      </c>
      <c r="AG2019">
        <v>1</v>
      </c>
      <c r="AH2019">
        <v>0</v>
      </c>
    </row>
    <row r="2020" spans="1:34">
      <c r="A2020">
        <v>2026</v>
      </c>
      <c r="B2020" s="1">
        <v>46023</v>
      </c>
      <c r="C2020" t="s">
        <v>2657</v>
      </c>
      <c r="D2020" t="s">
        <v>7322</v>
      </c>
      <c r="E2020" s="43">
        <v>46051.858834178238</v>
      </c>
      <c r="F2020" s="1">
        <v>46051</v>
      </c>
      <c r="G2020" s="43">
        <v>46051.859126203701</v>
      </c>
      <c r="H2020" t="s">
        <v>2701</v>
      </c>
      <c r="I2020" t="s">
        <v>2697</v>
      </c>
      <c r="J2020" t="s">
        <v>38</v>
      </c>
      <c r="L2020" t="s">
        <v>2379</v>
      </c>
      <c r="M2020">
        <v>627010921602</v>
      </c>
      <c r="N2020" t="s">
        <v>2675</v>
      </c>
      <c r="O2020" s="1">
        <v>45503</v>
      </c>
      <c r="T2020" t="s">
        <v>2662</v>
      </c>
      <c r="U2020" t="s">
        <v>7323</v>
      </c>
      <c r="V2020">
        <v>0</v>
      </c>
      <c r="W2020" t="s">
        <v>2671</v>
      </c>
      <c r="X2020">
        <v>1</v>
      </c>
      <c r="Y2020" t="s">
        <v>2692</v>
      </c>
      <c r="AA2020">
        <v>627010921602</v>
      </c>
      <c r="AB2020" t="s">
        <v>1204</v>
      </c>
      <c r="AC2020">
        <v>0</v>
      </c>
      <c r="AD2020">
        <v>5</v>
      </c>
      <c r="AE2020">
        <v>6270109216025</v>
      </c>
      <c r="AF2020" t="s">
        <v>7319</v>
      </c>
      <c r="AG2020">
        <v>1</v>
      </c>
      <c r="AH2020">
        <v>0</v>
      </c>
    </row>
    <row r="2021" spans="1:34">
      <c r="A2021">
        <v>2026</v>
      </c>
      <c r="B2021" s="1">
        <v>46054</v>
      </c>
      <c r="C2021" t="s">
        <v>2657</v>
      </c>
      <c r="D2021" t="s">
        <v>7324</v>
      </c>
      <c r="E2021" s="43">
        <v>46063.645278657408</v>
      </c>
      <c r="F2021" s="1">
        <v>46063</v>
      </c>
      <c r="G2021" s="43">
        <v>46065.586570069441</v>
      </c>
      <c r="H2021" t="s">
        <v>2725</v>
      </c>
      <c r="I2021" t="s">
        <v>2681</v>
      </c>
      <c r="J2021" t="s">
        <v>37</v>
      </c>
      <c r="L2021" t="s">
        <v>2351</v>
      </c>
      <c r="M2021">
        <v>1030040901202</v>
      </c>
      <c r="N2021" t="s">
        <v>2661</v>
      </c>
      <c r="O2021" s="1">
        <v>45702</v>
      </c>
      <c r="T2021" t="s">
        <v>2662</v>
      </c>
      <c r="U2021" t="s">
        <v>7325</v>
      </c>
      <c r="V2021">
        <v>2</v>
      </c>
      <c r="W2021" t="s">
        <v>2664</v>
      </c>
      <c r="X2021">
        <v>1</v>
      </c>
      <c r="Y2021" t="s">
        <v>2665</v>
      </c>
      <c r="AA2021">
        <v>1030040901202</v>
      </c>
      <c r="AB2021" t="s">
        <v>810</v>
      </c>
      <c r="AC2021">
        <v>1</v>
      </c>
      <c r="AD2021">
        <v>7</v>
      </c>
      <c r="AE2021">
        <v>10300409012027</v>
      </c>
      <c r="AF2021" t="s">
        <v>7326</v>
      </c>
      <c r="AG2021">
        <v>1</v>
      </c>
      <c r="AH2021">
        <v>1</v>
      </c>
    </row>
    <row r="2022" spans="1:34">
      <c r="A2022">
        <v>2025</v>
      </c>
      <c r="B2022" s="1">
        <v>45962</v>
      </c>
      <c r="C2022" t="s">
        <v>2657</v>
      </c>
      <c r="D2022" t="s">
        <v>7327</v>
      </c>
      <c r="E2022" s="43">
        <v>45966.771462731478</v>
      </c>
      <c r="F2022" s="1">
        <v>45966</v>
      </c>
      <c r="G2022" s="43">
        <v>45975.811459675926</v>
      </c>
      <c r="H2022" t="s">
        <v>2802</v>
      </c>
      <c r="I2022" t="s">
        <v>2669</v>
      </c>
      <c r="J2022" t="s">
        <v>36</v>
      </c>
      <c r="L2022" t="s">
        <v>6038</v>
      </c>
      <c r="M2022">
        <v>656484931002</v>
      </c>
      <c r="N2022" t="s">
        <v>2746</v>
      </c>
      <c r="O2022" s="1">
        <v>45842</v>
      </c>
      <c r="T2022" t="s">
        <v>2662</v>
      </c>
      <c r="U2022" t="s">
        <v>7328</v>
      </c>
      <c r="V2022">
        <v>7</v>
      </c>
      <c r="W2022" t="s">
        <v>2677</v>
      </c>
      <c r="X2022">
        <v>1</v>
      </c>
      <c r="Y2022" t="s">
        <v>2767</v>
      </c>
      <c r="AA2022">
        <v>656484931002</v>
      </c>
      <c r="AB2022" t="s">
        <v>2276</v>
      </c>
      <c r="AC2022">
        <v>0</v>
      </c>
      <c r="AD2022">
        <v>45</v>
      </c>
      <c r="AE2022">
        <v>65648493100245</v>
      </c>
      <c r="AF2022" t="s">
        <v>7329</v>
      </c>
      <c r="AG2022">
        <v>1</v>
      </c>
      <c r="AH2022">
        <v>1</v>
      </c>
    </row>
    <row r="2023" spans="1:34">
      <c r="A2023">
        <v>2025</v>
      </c>
      <c r="B2023" s="1">
        <v>45962</v>
      </c>
      <c r="C2023" t="s">
        <v>2657</v>
      </c>
      <c r="D2023" t="s">
        <v>7330</v>
      </c>
      <c r="E2023" s="43">
        <v>45967.890143321762</v>
      </c>
      <c r="F2023" s="1">
        <v>45967</v>
      </c>
      <c r="G2023" s="43">
        <v>45980.871535347222</v>
      </c>
      <c r="H2023" t="s">
        <v>2802</v>
      </c>
      <c r="I2023" t="s">
        <v>2669</v>
      </c>
      <c r="J2023" t="s">
        <v>36</v>
      </c>
      <c r="L2023" t="s">
        <v>6038</v>
      </c>
      <c r="M2023">
        <v>656484931002</v>
      </c>
      <c r="N2023" t="s">
        <v>2746</v>
      </c>
      <c r="O2023" s="1">
        <v>45842</v>
      </c>
      <c r="T2023" t="s">
        <v>2662</v>
      </c>
      <c r="U2023" t="s">
        <v>7331</v>
      </c>
      <c r="V2023">
        <v>9</v>
      </c>
      <c r="W2023" t="s">
        <v>2677</v>
      </c>
      <c r="X2023">
        <v>1</v>
      </c>
      <c r="Y2023" t="s">
        <v>2767</v>
      </c>
      <c r="Z2023" t="s">
        <v>2684</v>
      </c>
      <c r="AA2023">
        <v>656484931002</v>
      </c>
      <c r="AB2023" t="s">
        <v>2276</v>
      </c>
      <c r="AC2023">
        <v>0</v>
      </c>
      <c r="AD2023">
        <v>45</v>
      </c>
      <c r="AE2023">
        <v>65648493100245</v>
      </c>
      <c r="AF2023" t="s">
        <v>7329</v>
      </c>
      <c r="AG2023">
        <v>0</v>
      </c>
      <c r="AH2023">
        <v>0</v>
      </c>
    </row>
    <row r="2024" spans="1:34">
      <c r="A2024">
        <v>2025</v>
      </c>
      <c r="B2024" s="1">
        <v>45962</v>
      </c>
      <c r="C2024" t="s">
        <v>2657</v>
      </c>
      <c r="D2024" t="s">
        <v>7332</v>
      </c>
      <c r="E2024" s="43">
        <v>45972.675438252314</v>
      </c>
      <c r="F2024" s="1">
        <v>45972</v>
      </c>
      <c r="G2024" s="43">
        <v>45987.843506840276</v>
      </c>
      <c r="H2024" t="s">
        <v>2802</v>
      </c>
      <c r="I2024" t="s">
        <v>2681</v>
      </c>
      <c r="J2024" t="s">
        <v>36</v>
      </c>
      <c r="L2024" t="s">
        <v>6038</v>
      </c>
      <c r="M2024">
        <v>656484931002</v>
      </c>
      <c r="N2024" t="s">
        <v>2746</v>
      </c>
      <c r="O2024" s="1">
        <v>45842</v>
      </c>
      <c r="T2024" t="s">
        <v>2662</v>
      </c>
      <c r="U2024" t="s">
        <v>7333</v>
      </c>
      <c r="V2024">
        <v>11</v>
      </c>
      <c r="W2024" t="s">
        <v>2677</v>
      </c>
      <c r="X2024">
        <v>1</v>
      </c>
      <c r="Y2024" t="s">
        <v>2807</v>
      </c>
      <c r="AA2024">
        <v>656484931002</v>
      </c>
      <c r="AB2024" t="s">
        <v>2276</v>
      </c>
      <c r="AC2024">
        <v>0</v>
      </c>
      <c r="AD2024">
        <v>46</v>
      </c>
      <c r="AE2024">
        <v>65648493100246</v>
      </c>
      <c r="AF2024" t="s">
        <v>7329</v>
      </c>
      <c r="AG2024">
        <v>0</v>
      </c>
      <c r="AH2024">
        <v>0</v>
      </c>
    </row>
    <row r="2025" spans="1:34">
      <c r="A2025">
        <v>2025</v>
      </c>
      <c r="B2025" s="1">
        <v>45962</v>
      </c>
      <c r="C2025" t="s">
        <v>2657</v>
      </c>
      <c r="D2025" t="s">
        <v>7334</v>
      </c>
      <c r="E2025" s="43">
        <v>45972.533972893521</v>
      </c>
      <c r="F2025" s="1">
        <v>45972</v>
      </c>
      <c r="G2025" s="43">
        <v>45975.897240914353</v>
      </c>
      <c r="H2025" t="s">
        <v>2802</v>
      </c>
      <c r="I2025" t="s">
        <v>2681</v>
      </c>
      <c r="J2025" t="s">
        <v>36</v>
      </c>
      <c r="L2025" t="s">
        <v>6038</v>
      </c>
      <c r="M2025">
        <v>656484931002</v>
      </c>
      <c r="N2025" t="s">
        <v>2746</v>
      </c>
      <c r="O2025" s="1">
        <v>45842</v>
      </c>
      <c r="T2025" t="s">
        <v>2662</v>
      </c>
      <c r="U2025" t="s">
        <v>7335</v>
      </c>
      <c r="V2025">
        <v>3</v>
      </c>
      <c r="W2025" t="s">
        <v>2677</v>
      </c>
      <c r="X2025">
        <v>1</v>
      </c>
      <c r="Y2025" t="s">
        <v>2760</v>
      </c>
      <c r="AA2025">
        <v>656484931002</v>
      </c>
      <c r="AB2025" t="s">
        <v>2276</v>
      </c>
      <c r="AC2025">
        <v>0</v>
      </c>
      <c r="AD2025">
        <v>46</v>
      </c>
      <c r="AE2025">
        <v>65648493100246</v>
      </c>
      <c r="AF2025" t="s">
        <v>7329</v>
      </c>
      <c r="AG2025">
        <v>1</v>
      </c>
      <c r="AH2025">
        <v>0</v>
      </c>
    </row>
    <row r="2026" spans="1:34">
      <c r="A2026">
        <v>2025</v>
      </c>
      <c r="B2026" s="1">
        <v>45962</v>
      </c>
      <c r="C2026" t="s">
        <v>2657</v>
      </c>
      <c r="D2026" t="s">
        <v>7336</v>
      </c>
      <c r="E2026" s="43">
        <v>45982.647762685185</v>
      </c>
      <c r="F2026" s="1">
        <v>45982</v>
      </c>
      <c r="G2026" s="43">
        <v>45985.712850023148</v>
      </c>
      <c r="H2026" t="s">
        <v>2802</v>
      </c>
      <c r="I2026" t="s">
        <v>2719</v>
      </c>
      <c r="J2026" t="s">
        <v>36</v>
      </c>
      <c r="L2026" t="s">
        <v>6038</v>
      </c>
      <c r="M2026">
        <v>656484931002</v>
      </c>
      <c r="N2026" t="s">
        <v>2746</v>
      </c>
      <c r="O2026" s="1">
        <v>45842</v>
      </c>
      <c r="T2026" t="s">
        <v>2662</v>
      </c>
      <c r="U2026" t="s">
        <v>7337</v>
      </c>
      <c r="V2026">
        <v>1</v>
      </c>
      <c r="W2026" t="s">
        <v>2677</v>
      </c>
      <c r="X2026">
        <v>1</v>
      </c>
      <c r="Y2026" t="s">
        <v>2767</v>
      </c>
      <c r="AA2026">
        <v>656484931002</v>
      </c>
      <c r="AB2026" t="s">
        <v>2276</v>
      </c>
      <c r="AC2026">
        <v>0</v>
      </c>
      <c r="AD2026">
        <v>47</v>
      </c>
      <c r="AE2026">
        <v>65648493100247</v>
      </c>
      <c r="AF2026" t="s">
        <v>7329</v>
      </c>
      <c r="AG2026">
        <v>1</v>
      </c>
      <c r="AH2026">
        <v>0</v>
      </c>
    </row>
    <row r="2027" spans="1:34">
      <c r="A2027">
        <v>2025</v>
      </c>
      <c r="B2027" s="1">
        <v>45962</v>
      </c>
      <c r="C2027" t="s">
        <v>2657</v>
      </c>
      <c r="D2027" t="s">
        <v>7338</v>
      </c>
      <c r="E2027" s="43">
        <v>45985.549211724538</v>
      </c>
      <c r="F2027" s="1">
        <v>45985</v>
      </c>
      <c r="G2027" s="43">
        <v>45989.827371423613</v>
      </c>
      <c r="H2027" t="s">
        <v>2802</v>
      </c>
      <c r="I2027" t="s">
        <v>2660</v>
      </c>
      <c r="J2027" t="s">
        <v>36</v>
      </c>
      <c r="L2027" t="s">
        <v>6038</v>
      </c>
      <c r="M2027">
        <v>656484931002</v>
      </c>
      <c r="N2027" t="s">
        <v>2746</v>
      </c>
      <c r="O2027" s="1">
        <v>45842</v>
      </c>
      <c r="T2027" t="s">
        <v>2662</v>
      </c>
      <c r="U2027" t="s">
        <v>7339</v>
      </c>
      <c r="V2027">
        <v>4</v>
      </c>
      <c r="W2027" t="s">
        <v>2677</v>
      </c>
      <c r="X2027">
        <v>1</v>
      </c>
      <c r="Y2027" t="s">
        <v>2767</v>
      </c>
      <c r="AA2027">
        <v>656484931002</v>
      </c>
      <c r="AB2027" t="s">
        <v>2276</v>
      </c>
      <c r="AC2027">
        <v>0</v>
      </c>
      <c r="AD2027">
        <v>48</v>
      </c>
      <c r="AE2027">
        <v>65648493100248</v>
      </c>
      <c r="AF2027" t="s">
        <v>7329</v>
      </c>
      <c r="AG2027">
        <v>1</v>
      </c>
      <c r="AH2027">
        <v>0</v>
      </c>
    </row>
    <row r="2028" spans="1:34">
      <c r="A2028">
        <v>2025</v>
      </c>
      <c r="B2028" s="1">
        <v>45962</v>
      </c>
      <c r="C2028" t="s">
        <v>2657</v>
      </c>
      <c r="D2028" t="s">
        <v>7340</v>
      </c>
      <c r="E2028" s="43">
        <v>45985.566071689813</v>
      </c>
      <c r="F2028" s="1">
        <v>45985</v>
      </c>
      <c r="G2028" s="43">
        <v>45989.825418958331</v>
      </c>
      <c r="H2028" t="s">
        <v>2802</v>
      </c>
      <c r="I2028" t="s">
        <v>2660</v>
      </c>
      <c r="J2028" t="s">
        <v>36</v>
      </c>
      <c r="L2028" t="s">
        <v>6038</v>
      </c>
      <c r="M2028">
        <v>656484931002</v>
      </c>
      <c r="N2028" t="s">
        <v>2746</v>
      </c>
      <c r="O2028" s="1">
        <v>45842</v>
      </c>
      <c r="T2028" t="s">
        <v>2662</v>
      </c>
      <c r="U2028" t="s">
        <v>7341</v>
      </c>
      <c r="V2028">
        <v>4</v>
      </c>
      <c r="W2028" t="s">
        <v>2677</v>
      </c>
      <c r="X2028">
        <v>1</v>
      </c>
      <c r="Y2028" t="s">
        <v>2767</v>
      </c>
      <c r="AA2028">
        <v>656484931002</v>
      </c>
      <c r="AB2028" t="s">
        <v>2276</v>
      </c>
      <c r="AC2028">
        <v>0</v>
      </c>
      <c r="AD2028">
        <v>48</v>
      </c>
      <c r="AE2028">
        <v>65648493100248</v>
      </c>
      <c r="AF2028" t="s">
        <v>7329</v>
      </c>
      <c r="AG2028">
        <v>0</v>
      </c>
      <c r="AH2028">
        <v>0</v>
      </c>
    </row>
    <row r="2029" spans="1:34">
      <c r="A2029">
        <v>2025</v>
      </c>
      <c r="B2029" s="1">
        <v>45962</v>
      </c>
      <c r="C2029" t="s">
        <v>2657</v>
      </c>
      <c r="D2029" t="s">
        <v>7342</v>
      </c>
      <c r="E2029" s="43">
        <v>45985.553438553237</v>
      </c>
      <c r="F2029" s="1">
        <v>45985</v>
      </c>
      <c r="G2029" s="43">
        <v>45994.55188752315</v>
      </c>
      <c r="H2029" t="s">
        <v>2802</v>
      </c>
      <c r="I2029" t="s">
        <v>2660</v>
      </c>
      <c r="J2029" t="s">
        <v>36</v>
      </c>
      <c r="L2029" t="s">
        <v>6038</v>
      </c>
      <c r="M2029">
        <v>656484931002</v>
      </c>
      <c r="N2029" t="s">
        <v>2746</v>
      </c>
      <c r="O2029" s="1">
        <v>45842</v>
      </c>
      <c r="T2029" t="s">
        <v>2662</v>
      </c>
      <c r="U2029" t="s">
        <v>7343</v>
      </c>
      <c r="V2029">
        <v>7</v>
      </c>
      <c r="W2029" t="s">
        <v>2677</v>
      </c>
      <c r="X2029">
        <v>1</v>
      </c>
      <c r="Y2029" t="s">
        <v>2767</v>
      </c>
      <c r="AA2029">
        <v>656484931002</v>
      </c>
      <c r="AB2029" t="s">
        <v>2276</v>
      </c>
      <c r="AC2029">
        <v>0</v>
      </c>
      <c r="AD2029">
        <v>48</v>
      </c>
      <c r="AE2029">
        <v>65648493100248</v>
      </c>
      <c r="AF2029" t="s">
        <v>7329</v>
      </c>
      <c r="AG2029">
        <v>0</v>
      </c>
      <c r="AH2029">
        <v>0</v>
      </c>
    </row>
    <row r="2030" spans="1:34">
      <c r="A2030">
        <v>2025</v>
      </c>
      <c r="B2030" s="1">
        <v>45962</v>
      </c>
      <c r="C2030" t="s">
        <v>2657</v>
      </c>
      <c r="D2030" t="s">
        <v>7344</v>
      </c>
      <c r="E2030" s="43">
        <v>45988.569977060186</v>
      </c>
      <c r="F2030" s="1">
        <v>45988</v>
      </c>
      <c r="G2030" s="43">
        <v>45988.569977060186</v>
      </c>
      <c r="H2030" t="s">
        <v>2802</v>
      </c>
      <c r="I2030" t="s">
        <v>2660</v>
      </c>
      <c r="J2030" t="s">
        <v>36</v>
      </c>
      <c r="L2030" t="s">
        <v>6038</v>
      </c>
      <c r="M2030">
        <v>656484931002</v>
      </c>
      <c r="N2030" t="s">
        <v>2746</v>
      </c>
      <c r="O2030" s="1">
        <v>45842</v>
      </c>
      <c r="T2030" t="s">
        <v>2662</v>
      </c>
      <c r="U2030" t="s">
        <v>7345</v>
      </c>
      <c r="V2030">
        <v>0</v>
      </c>
      <c r="W2030" t="s">
        <v>2677</v>
      </c>
      <c r="X2030">
        <v>1</v>
      </c>
      <c r="Y2030" t="s">
        <v>2695</v>
      </c>
      <c r="AA2030">
        <v>656484931002</v>
      </c>
      <c r="AB2030" t="s">
        <v>2276</v>
      </c>
      <c r="AC2030">
        <v>0</v>
      </c>
      <c r="AD2030">
        <v>48</v>
      </c>
      <c r="AE2030">
        <v>65648493100248</v>
      </c>
      <c r="AF2030" t="s">
        <v>7329</v>
      </c>
      <c r="AG2030">
        <v>0</v>
      </c>
      <c r="AH2030">
        <v>0</v>
      </c>
    </row>
    <row r="2031" spans="1:34">
      <c r="A2031">
        <v>2025</v>
      </c>
      <c r="B2031" s="1">
        <v>45962</v>
      </c>
      <c r="C2031" t="s">
        <v>2657</v>
      </c>
      <c r="D2031" t="s">
        <v>7346</v>
      </c>
      <c r="E2031" s="43">
        <v>45988.77787957176</v>
      </c>
      <c r="F2031" s="1">
        <v>45988</v>
      </c>
      <c r="G2031" s="43">
        <v>45994.846249479167</v>
      </c>
      <c r="H2031" t="s">
        <v>2802</v>
      </c>
      <c r="I2031" t="s">
        <v>2660</v>
      </c>
      <c r="J2031" t="s">
        <v>36</v>
      </c>
      <c r="L2031" t="s">
        <v>6038</v>
      </c>
      <c r="M2031">
        <v>656484931002</v>
      </c>
      <c r="N2031" t="s">
        <v>2746</v>
      </c>
      <c r="O2031" s="1">
        <v>45842</v>
      </c>
      <c r="T2031" t="s">
        <v>2662</v>
      </c>
      <c r="U2031" t="s">
        <v>7347</v>
      </c>
      <c r="V2031">
        <v>4</v>
      </c>
      <c r="W2031" t="s">
        <v>2677</v>
      </c>
      <c r="X2031">
        <v>1</v>
      </c>
      <c r="Y2031" t="s">
        <v>2767</v>
      </c>
      <c r="AA2031">
        <v>656484931002</v>
      </c>
      <c r="AB2031" t="s">
        <v>2276</v>
      </c>
      <c r="AC2031">
        <v>1</v>
      </c>
      <c r="AD2031">
        <v>48</v>
      </c>
      <c r="AE2031">
        <v>65648493100248</v>
      </c>
      <c r="AF2031" t="s">
        <v>7329</v>
      </c>
      <c r="AG2031">
        <v>0</v>
      </c>
      <c r="AH2031">
        <v>0</v>
      </c>
    </row>
    <row r="2032" spans="1:34">
      <c r="A2032">
        <v>2025</v>
      </c>
      <c r="B2032" s="1">
        <v>45962</v>
      </c>
      <c r="C2032" t="s">
        <v>2657</v>
      </c>
      <c r="D2032" t="s">
        <v>7348</v>
      </c>
      <c r="E2032" s="43">
        <v>45987.661532071761</v>
      </c>
      <c r="F2032" s="1">
        <v>45987</v>
      </c>
      <c r="G2032" s="43">
        <v>45994.552943344905</v>
      </c>
      <c r="H2032" t="s">
        <v>2802</v>
      </c>
      <c r="I2032" t="s">
        <v>2660</v>
      </c>
      <c r="J2032" t="s">
        <v>36</v>
      </c>
      <c r="L2032" t="s">
        <v>6038</v>
      </c>
      <c r="M2032">
        <v>656484931002</v>
      </c>
      <c r="N2032" t="s">
        <v>2746</v>
      </c>
      <c r="O2032" s="1">
        <v>45842</v>
      </c>
      <c r="T2032" t="s">
        <v>2662</v>
      </c>
      <c r="U2032" t="s">
        <v>7349</v>
      </c>
      <c r="V2032">
        <v>5</v>
      </c>
      <c r="W2032" t="s">
        <v>2677</v>
      </c>
      <c r="X2032">
        <v>1</v>
      </c>
      <c r="Y2032" t="s">
        <v>2767</v>
      </c>
      <c r="AA2032">
        <v>656484931002</v>
      </c>
      <c r="AB2032" t="s">
        <v>2276</v>
      </c>
      <c r="AC2032">
        <v>0</v>
      </c>
      <c r="AD2032">
        <v>48</v>
      </c>
      <c r="AE2032">
        <v>65648493100248</v>
      </c>
      <c r="AF2032" t="s">
        <v>7329</v>
      </c>
      <c r="AG2032">
        <v>0</v>
      </c>
      <c r="AH2032">
        <v>0</v>
      </c>
    </row>
    <row r="2033" spans="1:34">
      <c r="A2033">
        <v>2025</v>
      </c>
      <c r="B2033" s="1">
        <v>45962</v>
      </c>
      <c r="C2033" t="s">
        <v>2657</v>
      </c>
      <c r="D2033" t="s">
        <v>7350</v>
      </c>
      <c r="E2033" s="43">
        <v>45987.518695694445</v>
      </c>
      <c r="F2033" s="1">
        <v>45987</v>
      </c>
      <c r="G2033" s="43">
        <v>45994.846379039351</v>
      </c>
      <c r="H2033" t="s">
        <v>2802</v>
      </c>
      <c r="I2033" t="s">
        <v>2660</v>
      </c>
      <c r="J2033" t="s">
        <v>36</v>
      </c>
      <c r="L2033" t="s">
        <v>6038</v>
      </c>
      <c r="M2033">
        <v>656484931002</v>
      </c>
      <c r="N2033" t="s">
        <v>2746</v>
      </c>
      <c r="O2033" s="1">
        <v>45842</v>
      </c>
      <c r="T2033" t="s">
        <v>2662</v>
      </c>
      <c r="U2033" t="s">
        <v>7351</v>
      </c>
      <c r="V2033">
        <v>5</v>
      </c>
      <c r="W2033" t="s">
        <v>2677</v>
      </c>
      <c r="X2033">
        <v>1</v>
      </c>
      <c r="Y2033" t="s">
        <v>2767</v>
      </c>
      <c r="AA2033">
        <v>656484931002</v>
      </c>
      <c r="AB2033" t="s">
        <v>2276</v>
      </c>
      <c r="AC2033">
        <v>0</v>
      </c>
      <c r="AD2033">
        <v>48</v>
      </c>
      <c r="AE2033">
        <v>65648493100248</v>
      </c>
      <c r="AF2033" t="s">
        <v>7329</v>
      </c>
      <c r="AG2033">
        <v>0</v>
      </c>
      <c r="AH2033">
        <v>0</v>
      </c>
    </row>
    <row r="2034" spans="1:34">
      <c r="A2034">
        <v>2025</v>
      </c>
      <c r="B2034" s="1">
        <v>45962</v>
      </c>
      <c r="C2034" t="s">
        <v>2657</v>
      </c>
      <c r="D2034" t="s">
        <v>7352</v>
      </c>
      <c r="E2034" s="43">
        <v>45985.567090752316</v>
      </c>
      <c r="F2034" s="1">
        <v>45985</v>
      </c>
      <c r="G2034" s="43">
        <v>45989.825344537036</v>
      </c>
      <c r="H2034" t="s">
        <v>2802</v>
      </c>
      <c r="I2034" t="s">
        <v>2660</v>
      </c>
      <c r="J2034" t="s">
        <v>36</v>
      </c>
      <c r="L2034" t="s">
        <v>6038</v>
      </c>
      <c r="M2034">
        <v>656484931002</v>
      </c>
      <c r="N2034" t="s">
        <v>2746</v>
      </c>
      <c r="O2034" s="1">
        <v>45842</v>
      </c>
      <c r="T2034" t="s">
        <v>2662</v>
      </c>
      <c r="U2034" t="s">
        <v>7353</v>
      </c>
      <c r="V2034">
        <v>4</v>
      </c>
      <c r="W2034" t="s">
        <v>2677</v>
      </c>
      <c r="X2034">
        <v>1</v>
      </c>
      <c r="Y2034" t="s">
        <v>2767</v>
      </c>
      <c r="AA2034">
        <v>656484931002</v>
      </c>
      <c r="AB2034" t="s">
        <v>2276</v>
      </c>
      <c r="AC2034">
        <v>0</v>
      </c>
      <c r="AD2034">
        <v>48</v>
      </c>
      <c r="AE2034">
        <v>65648493100248</v>
      </c>
      <c r="AF2034" t="s">
        <v>7329</v>
      </c>
      <c r="AG2034">
        <v>0</v>
      </c>
      <c r="AH2034">
        <v>0</v>
      </c>
    </row>
    <row r="2035" spans="1:34">
      <c r="A2035">
        <v>2025</v>
      </c>
      <c r="B2035" s="1">
        <v>45870</v>
      </c>
      <c r="C2035" t="s">
        <v>2657</v>
      </c>
      <c r="D2035" t="s">
        <v>7354</v>
      </c>
      <c r="E2035" s="43">
        <v>45884.684868090277</v>
      </c>
      <c r="F2035" s="1">
        <v>45884</v>
      </c>
      <c r="G2035" s="43">
        <v>45902.633563402778</v>
      </c>
      <c r="H2035" t="s">
        <v>3088</v>
      </c>
      <c r="I2035" t="s">
        <v>2719</v>
      </c>
      <c r="J2035" t="s">
        <v>2735</v>
      </c>
      <c r="L2035" t="s">
        <v>2408</v>
      </c>
      <c r="M2035">
        <v>847074348102</v>
      </c>
      <c r="N2035" t="s">
        <v>2746</v>
      </c>
      <c r="O2035" s="1">
        <v>45457</v>
      </c>
      <c r="P2035" t="s">
        <v>2671</v>
      </c>
      <c r="Q2035" t="s">
        <v>2672</v>
      </c>
      <c r="T2035" t="s">
        <v>2662</v>
      </c>
      <c r="U2035" t="s">
        <v>7355</v>
      </c>
      <c r="V2035">
        <v>12</v>
      </c>
      <c r="W2035" t="s">
        <v>2671</v>
      </c>
      <c r="X2035">
        <v>1</v>
      </c>
      <c r="Y2035" t="s">
        <v>2672</v>
      </c>
      <c r="Z2035" t="s">
        <v>2834</v>
      </c>
      <c r="AA2035">
        <v>11613361102</v>
      </c>
      <c r="AB2035" t="s">
        <v>1880</v>
      </c>
      <c r="AC2035">
        <v>0</v>
      </c>
      <c r="AD2035">
        <v>33</v>
      </c>
      <c r="AE2035">
        <v>1161336110233</v>
      </c>
      <c r="AF2035" t="s">
        <v>7356</v>
      </c>
      <c r="AG2035">
        <v>1</v>
      </c>
      <c r="AH2035">
        <v>1</v>
      </c>
    </row>
    <row r="2036" spans="1:34">
      <c r="A2036">
        <v>2025</v>
      </c>
      <c r="B2036" s="1">
        <v>45870</v>
      </c>
      <c r="C2036" t="s">
        <v>2657</v>
      </c>
      <c r="D2036" t="s">
        <v>7357</v>
      </c>
      <c r="E2036" s="43">
        <v>45894.664606967592</v>
      </c>
      <c r="F2036" s="1">
        <v>45894</v>
      </c>
      <c r="G2036" s="43">
        <v>45895.69478125</v>
      </c>
      <c r="H2036" t="s">
        <v>3088</v>
      </c>
      <c r="I2036" t="s">
        <v>2660</v>
      </c>
      <c r="J2036" t="s">
        <v>2735</v>
      </c>
      <c r="L2036" t="s">
        <v>2408</v>
      </c>
      <c r="M2036">
        <v>11613361102</v>
      </c>
      <c r="N2036" t="s">
        <v>2746</v>
      </c>
      <c r="O2036" s="1">
        <v>45294</v>
      </c>
      <c r="T2036" t="s">
        <v>2662</v>
      </c>
      <c r="U2036" t="s">
        <v>7358</v>
      </c>
      <c r="V2036">
        <v>1</v>
      </c>
      <c r="W2036" t="s">
        <v>2743</v>
      </c>
      <c r="X2036">
        <v>1</v>
      </c>
      <c r="Y2036" t="s">
        <v>2699</v>
      </c>
      <c r="AA2036">
        <v>11613361102</v>
      </c>
      <c r="AB2036" t="s">
        <v>1880</v>
      </c>
      <c r="AC2036">
        <v>0</v>
      </c>
      <c r="AD2036">
        <v>35</v>
      </c>
      <c r="AE2036">
        <v>1161336110235</v>
      </c>
      <c r="AF2036" t="s">
        <v>7356</v>
      </c>
      <c r="AG2036">
        <v>1</v>
      </c>
      <c r="AH2036">
        <v>0</v>
      </c>
    </row>
    <row r="2037" spans="1:34">
      <c r="A2037">
        <v>2026</v>
      </c>
      <c r="B2037" s="1">
        <v>46023</v>
      </c>
      <c r="C2037" t="s">
        <v>2657</v>
      </c>
      <c r="D2037" t="s">
        <v>7359</v>
      </c>
      <c r="E2037" s="43">
        <v>46028.559697106481</v>
      </c>
      <c r="F2037" s="1">
        <v>46028</v>
      </c>
      <c r="G2037" s="43">
        <v>46029.639295104163</v>
      </c>
      <c r="H2037" t="s">
        <v>2701</v>
      </c>
      <c r="I2037" t="s">
        <v>2669</v>
      </c>
      <c r="J2037" t="s">
        <v>36</v>
      </c>
      <c r="L2037" t="s">
        <v>2355</v>
      </c>
      <c r="M2037">
        <v>241419664602</v>
      </c>
      <c r="N2037" t="s">
        <v>2702</v>
      </c>
      <c r="O2037" s="1">
        <v>45503</v>
      </c>
      <c r="T2037" t="s">
        <v>2662</v>
      </c>
      <c r="U2037" t="s">
        <v>7360</v>
      </c>
      <c r="V2037">
        <v>1</v>
      </c>
      <c r="W2037" t="s">
        <v>2704</v>
      </c>
      <c r="X2037">
        <v>1</v>
      </c>
      <c r="Y2037" t="s">
        <v>2721</v>
      </c>
      <c r="AA2037">
        <v>241419664602</v>
      </c>
      <c r="AB2037" t="s">
        <v>628</v>
      </c>
      <c r="AC2037">
        <v>0</v>
      </c>
      <c r="AD2037">
        <v>2</v>
      </c>
      <c r="AE2037">
        <v>2414196646022</v>
      </c>
      <c r="AF2037" t="s">
        <v>7361</v>
      </c>
      <c r="AG2037">
        <v>1</v>
      </c>
      <c r="AH2037">
        <v>1</v>
      </c>
    </row>
    <row r="2038" spans="1:34">
      <c r="A2038">
        <v>2026</v>
      </c>
      <c r="B2038" s="1">
        <v>46023</v>
      </c>
      <c r="C2038" t="s">
        <v>2657</v>
      </c>
      <c r="D2038" t="s">
        <v>7362</v>
      </c>
      <c r="E2038" s="43">
        <v>46052.667426643522</v>
      </c>
      <c r="F2038" s="1">
        <v>46052</v>
      </c>
      <c r="G2038" s="43">
        <v>46063.570983530095</v>
      </c>
      <c r="H2038" t="s">
        <v>2701</v>
      </c>
      <c r="I2038" t="s">
        <v>2697</v>
      </c>
      <c r="J2038" t="s">
        <v>36</v>
      </c>
      <c r="L2038" t="s">
        <v>2355</v>
      </c>
      <c r="M2038">
        <v>241419664602</v>
      </c>
      <c r="N2038" t="s">
        <v>2702</v>
      </c>
      <c r="O2038" s="1">
        <v>45503</v>
      </c>
      <c r="T2038" t="s">
        <v>2662</v>
      </c>
      <c r="U2038" t="s">
        <v>7363</v>
      </c>
      <c r="V2038">
        <v>7</v>
      </c>
      <c r="W2038" t="s">
        <v>2677</v>
      </c>
      <c r="X2038">
        <v>1</v>
      </c>
      <c r="Y2038" t="s">
        <v>2807</v>
      </c>
      <c r="AA2038">
        <v>241419664602</v>
      </c>
      <c r="AB2038" t="s">
        <v>628</v>
      </c>
      <c r="AC2038">
        <v>0</v>
      </c>
      <c r="AD2038">
        <v>5</v>
      </c>
      <c r="AE2038">
        <v>2414196646025</v>
      </c>
      <c r="AF2038" t="s">
        <v>7361</v>
      </c>
      <c r="AG2038">
        <v>1</v>
      </c>
      <c r="AH2038">
        <v>0</v>
      </c>
    </row>
    <row r="2039" spans="1:34">
      <c r="A2039">
        <v>2026</v>
      </c>
      <c r="B2039" s="1">
        <v>46023</v>
      </c>
      <c r="C2039" t="s">
        <v>2657</v>
      </c>
      <c r="D2039" t="s">
        <v>7364</v>
      </c>
      <c r="E2039" s="43">
        <v>46030.807768657411</v>
      </c>
      <c r="F2039" s="1">
        <v>46030</v>
      </c>
      <c r="G2039" s="43">
        <v>46031.550476620374</v>
      </c>
      <c r="H2039" t="s">
        <v>2701</v>
      </c>
      <c r="I2039" t="s">
        <v>2681</v>
      </c>
      <c r="J2039" t="s">
        <v>39</v>
      </c>
      <c r="L2039" t="s">
        <v>2362</v>
      </c>
      <c r="M2039">
        <v>351067276502</v>
      </c>
      <c r="N2039" t="s">
        <v>2702</v>
      </c>
      <c r="O2039" s="1">
        <v>45807</v>
      </c>
      <c r="T2039" t="s">
        <v>2662</v>
      </c>
      <c r="U2039" t="s">
        <v>7365</v>
      </c>
      <c r="V2039">
        <v>1</v>
      </c>
      <c r="W2039" t="s">
        <v>2704</v>
      </c>
      <c r="X2039">
        <v>1</v>
      </c>
      <c r="Y2039" t="s">
        <v>2717</v>
      </c>
      <c r="AA2039">
        <v>351067276502</v>
      </c>
      <c r="AB2039" t="s">
        <v>284</v>
      </c>
      <c r="AC2039">
        <v>0</v>
      </c>
      <c r="AD2039">
        <v>2</v>
      </c>
      <c r="AE2039">
        <v>3510672765022</v>
      </c>
      <c r="AF2039" t="s">
        <v>7366</v>
      </c>
      <c r="AG2039">
        <v>1</v>
      </c>
      <c r="AH2039">
        <v>1</v>
      </c>
    </row>
    <row r="2040" spans="1:34">
      <c r="A2040">
        <v>2026</v>
      </c>
      <c r="B2040" s="1">
        <v>46023</v>
      </c>
      <c r="C2040" t="s">
        <v>2657</v>
      </c>
      <c r="D2040" t="s">
        <v>7367</v>
      </c>
      <c r="E2040" s="43">
        <v>46042.639710636577</v>
      </c>
      <c r="F2040" s="1">
        <v>46042</v>
      </c>
      <c r="G2040" s="43">
        <v>46048.683888738429</v>
      </c>
      <c r="H2040" t="s">
        <v>2701</v>
      </c>
      <c r="I2040" t="s">
        <v>2719</v>
      </c>
      <c r="J2040" t="s">
        <v>39</v>
      </c>
      <c r="L2040" t="s">
        <v>2362</v>
      </c>
      <c r="M2040">
        <v>351067276502</v>
      </c>
      <c r="N2040" t="s">
        <v>2702</v>
      </c>
      <c r="O2040" s="1">
        <v>45807</v>
      </c>
      <c r="T2040" t="s">
        <v>2662</v>
      </c>
      <c r="U2040" t="s">
        <v>7368</v>
      </c>
      <c r="V2040">
        <v>4</v>
      </c>
      <c r="W2040" t="s">
        <v>2664</v>
      </c>
      <c r="X2040">
        <v>1</v>
      </c>
      <c r="Y2040" t="s">
        <v>2757</v>
      </c>
      <c r="Z2040" t="s">
        <v>2834</v>
      </c>
      <c r="AA2040">
        <v>351067276502</v>
      </c>
      <c r="AB2040" t="s">
        <v>284</v>
      </c>
      <c r="AC2040">
        <v>0</v>
      </c>
      <c r="AD2040">
        <v>4</v>
      </c>
      <c r="AE2040">
        <v>3510672765024</v>
      </c>
      <c r="AF2040" t="s">
        <v>7366</v>
      </c>
      <c r="AG2040">
        <v>1</v>
      </c>
      <c r="AH2040">
        <v>0</v>
      </c>
    </row>
    <row r="2041" spans="1:34">
      <c r="A2041">
        <v>2026</v>
      </c>
      <c r="B2041" s="1">
        <v>46023</v>
      </c>
      <c r="C2041" t="s">
        <v>2657</v>
      </c>
      <c r="D2041" t="s">
        <v>7369</v>
      </c>
      <c r="E2041" s="43">
        <v>46037.52645646991</v>
      </c>
      <c r="F2041" s="1">
        <v>46037</v>
      </c>
      <c r="G2041" s="43">
        <v>46041.798563750002</v>
      </c>
      <c r="H2041" t="s">
        <v>2701</v>
      </c>
      <c r="I2041" t="s">
        <v>2719</v>
      </c>
      <c r="J2041" t="s">
        <v>39</v>
      </c>
      <c r="L2041" t="s">
        <v>2362</v>
      </c>
      <c r="M2041">
        <v>351067276502</v>
      </c>
      <c r="N2041" t="s">
        <v>2702</v>
      </c>
      <c r="O2041" s="1">
        <v>45807</v>
      </c>
      <c r="T2041" t="s">
        <v>2662</v>
      </c>
      <c r="U2041" t="s">
        <v>7370</v>
      </c>
      <c r="V2041">
        <v>2</v>
      </c>
      <c r="W2041" t="s">
        <v>2704</v>
      </c>
      <c r="X2041">
        <v>1</v>
      </c>
      <c r="Y2041" t="s">
        <v>2710</v>
      </c>
      <c r="Z2041" t="s">
        <v>2684</v>
      </c>
      <c r="AA2041">
        <v>351067276502</v>
      </c>
      <c r="AB2041" t="s">
        <v>284</v>
      </c>
      <c r="AC2041">
        <v>0</v>
      </c>
      <c r="AD2041">
        <v>3</v>
      </c>
      <c r="AE2041">
        <v>3510672765023</v>
      </c>
      <c r="AF2041" t="s">
        <v>7366</v>
      </c>
      <c r="AG2041">
        <v>0</v>
      </c>
      <c r="AH2041">
        <v>0</v>
      </c>
    </row>
    <row r="2042" spans="1:34">
      <c r="A2042">
        <v>2026</v>
      </c>
      <c r="B2042" s="1">
        <v>46023</v>
      </c>
      <c r="C2042" t="s">
        <v>2657</v>
      </c>
      <c r="D2042" t="s">
        <v>7371</v>
      </c>
      <c r="E2042" s="43">
        <v>46037.525271296297</v>
      </c>
      <c r="F2042" s="1">
        <v>46037</v>
      </c>
      <c r="G2042" s="43">
        <v>46037.525271296297</v>
      </c>
      <c r="H2042" t="s">
        <v>2701</v>
      </c>
      <c r="I2042" t="s">
        <v>2719</v>
      </c>
      <c r="J2042" t="s">
        <v>39</v>
      </c>
      <c r="L2042" t="s">
        <v>2362</v>
      </c>
      <c r="M2042">
        <v>351067276502</v>
      </c>
      <c r="N2042" t="s">
        <v>2702</v>
      </c>
      <c r="O2042" s="1">
        <v>45807</v>
      </c>
      <c r="T2042" t="s">
        <v>2662</v>
      </c>
      <c r="U2042" t="s">
        <v>7372</v>
      </c>
      <c r="V2042">
        <v>0</v>
      </c>
      <c r="W2042" t="s">
        <v>2704</v>
      </c>
      <c r="X2042">
        <v>1</v>
      </c>
      <c r="Y2042" t="s">
        <v>2721</v>
      </c>
      <c r="AA2042">
        <v>351067276502</v>
      </c>
      <c r="AB2042" t="s">
        <v>284</v>
      </c>
      <c r="AC2042">
        <v>0</v>
      </c>
      <c r="AD2042">
        <v>3</v>
      </c>
      <c r="AE2042">
        <v>3510672765023</v>
      </c>
      <c r="AF2042" t="s">
        <v>7366</v>
      </c>
      <c r="AG2042">
        <v>1</v>
      </c>
      <c r="AH2042">
        <v>0</v>
      </c>
    </row>
    <row r="2043" spans="1:34">
      <c r="A2043">
        <v>2026</v>
      </c>
      <c r="B2043" s="1">
        <v>46023</v>
      </c>
      <c r="C2043" t="s">
        <v>2657</v>
      </c>
      <c r="D2043" t="s">
        <v>7373</v>
      </c>
      <c r="E2043" s="43">
        <v>46050.731506770833</v>
      </c>
      <c r="F2043" s="1">
        <v>46050</v>
      </c>
      <c r="G2043" s="43">
        <v>46062.773334097219</v>
      </c>
      <c r="H2043" t="s">
        <v>2701</v>
      </c>
      <c r="I2043" t="s">
        <v>2660</v>
      </c>
      <c r="J2043" t="s">
        <v>39</v>
      </c>
      <c r="L2043" t="s">
        <v>2362</v>
      </c>
      <c r="M2043">
        <v>351067276502</v>
      </c>
      <c r="N2043" t="s">
        <v>2702</v>
      </c>
      <c r="O2043" s="1">
        <v>45807</v>
      </c>
      <c r="T2043" t="s">
        <v>2662</v>
      </c>
      <c r="U2043" t="s">
        <v>7374</v>
      </c>
      <c r="V2043">
        <v>8</v>
      </c>
      <c r="W2043" t="s">
        <v>2704</v>
      </c>
      <c r="X2043">
        <v>1</v>
      </c>
      <c r="Y2043" t="s">
        <v>2717</v>
      </c>
      <c r="Z2043" t="s">
        <v>2834</v>
      </c>
      <c r="AA2043">
        <v>351067276502</v>
      </c>
      <c r="AB2043" t="s">
        <v>284</v>
      </c>
      <c r="AC2043">
        <v>0</v>
      </c>
      <c r="AD2043">
        <v>5</v>
      </c>
      <c r="AE2043">
        <v>3510672765025</v>
      </c>
      <c r="AF2043" t="s">
        <v>7366</v>
      </c>
      <c r="AG2043">
        <v>1</v>
      </c>
      <c r="AH2043">
        <v>0</v>
      </c>
    </row>
    <row r="2044" spans="1:34">
      <c r="A2044">
        <v>2025</v>
      </c>
      <c r="B2044" s="1">
        <v>45839</v>
      </c>
      <c r="C2044" t="s">
        <v>2657</v>
      </c>
      <c r="D2044" t="s">
        <v>7375</v>
      </c>
      <c r="E2044" s="43">
        <v>45869.622281747688</v>
      </c>
      <c r="F2044" s="1">
        <v>45869</v>
      </c>
      <c r="G2044" s="43">
        <v>45884.684995844909</v>
      </c>
      <c r="H2044" t="s">
        <v>2869</v>
      </c>
      <c r="I2044" t="s">
        <v>2697</v>
      </c>
      <c r="J2044" t="s">
        <v>2735</v>
      </c>
      <c r="L2044" t="s">
        <v>2408</v>
      </c>
      <c r="M2044">
        <v>11613361102</v>
      </c>
      <c r="N2044" t="s">
        <v>2746</v>
      </c>
      <c r="O2044" s="1">
        <v>45294</v>
      </c>
      <c r="T2044" t="s">
        <v>2662</v>
      </c>
      <c r="U2044" t="s">
        <v>7376</v>
      </c>
      <c r="V2044">
        <v>11</v>
      </c>
      <c r="W2044" t="s">
        <v>2671</v>
      </c>
      <c r="X2044">
        <v>1</v>
      </c>
      <c r="Y2044" t="s">
        <v>2672</v>
      </c>
      <c r="AA2044">
        <v>11613361102</v>
      </c>
      <c r="AB2044" t="s">
        <v>1880</v>
      </c>
      <c r="AC2044">
        <v>0</v>
      </c>
      <c r="AD2044">
        <v>31</v>
      </c>
      <c r="AE2044">
        <v>1161336110231</v>
      </c>
      <c r="AF2044" t="s">
        <v>7377</v>
      </c>
      <c r="AG2044">
        <v>1</v>
      </c>
      <c r="AH2044">
        <v>1</v>
      </c>
    </row>
    <row r="2045" spans="1:34">
      <c r="A2045">
        <v>2025</v>
      </c>
      <c r="B2045" s="1">
        <v>45839</v>
      </c>
      <c r="C2045" t="s">
        <v>2657</v>
      </c>
      <c r="D2045" t="s">
        <v>7378</v>
      </c>
      <c r="E2045" s="43">
        <v>45869.629823101852</v>
      </c>
      <c r="F2045" s="1">
        <v>45869</v>
      </c>
      <c r="G2045" s="43">
        <v>45887.507354398149</v>
      </c>
      <c r="H2045" t="s">
        <v>2869</v>
      </c>
      <c r="I2045" t="s">
        <v>2697</v>
      </c>
      <c r="J2045" t="s">
        <v>2735</v>
      </c>
      <c r="L2045" t="s">
        <v>2408</v>
      </c>
      <c r="M2045">
        <v>11613361102</v>
      </c>
      <c r="N2045" t="s">
        <v>2746</v>
      </c>
      <c r="O2045" s="1">
        <v>45294</v>
      </c>
      <c r="T2045" t="s">
        <v>2662</v>
      </c>
      <c r="U2045" t="s">
        <v>7379</v>
      </c>
      <c r="V2045">
        <v>12</v>
      </c>
      <c r="W2045" t="s">
        <v>2743</v>
      </c>
      <c r="X2045">
        <v>1</v>
      </c>
      <c r="Y2045" t="s">
        <v>2717</v>
      </c>
      <c r="Z2045" t="s">
        <v>2834</v>
      </c>
      <c r="AA2045">
        <v>11613361102</v>
      </c>
      <c r="AB2045" t="s">
        <v>1880</v>
      </c>
      <c r="AC2045">
        <v>0</v>
      </c>
      <c r="AD2045">
        <v>31</v>
      </c>
      <c r="AE2045">
        <v>1161336110231</v>
      </c>
      <c r="AF2045" t="s">
        <v>7377</v>
      </c>
      <c r="AG2045">
        <v>0</v>
      </c>
      <c r="AH2045">
        <v>0</v>
      </c>
    </row>
    <row r="2046" spans="1:34">
      <c r="A2046">
        <v>2026</v>
      </c>
      <c r="B2046" s="1">
        <v>46082</v>
      </c>
      <c r="C2046" t="s">
        <v>2657</v>
      </c>
      <c r="D2046" t="s">
        <v>7380</v>
      </c>
      <c r="E2046" s="43">
        <v>46083.797570162038</v>
      </c>
      <c r="F2046" s="1">
        <v>46083</v>
      </c>
      <c r="G2046" s="43">
        <v>46090.824096608798</v>
      </c>
      <c r="H2046" t="s">
        <v>2668</v>
      </c>
      <c r="I2046" t="s">
        <v>2669</v>
      </c>
      <c r="J2046" t="s">
        <v>37</v>
      </c>
      <c r="L2046" t="s">
        <v>2351</v>
      </c>
      <c r="M2046">
        <v>631818497202</v>
      </c>
      <c r="N2046" t="s">
        <v>2661</v>
      </c>
      <c r="O2046" s="1">
        <v>46043</v>
      </c>
      <c r="T2046" t="s">
        <v>2662</v>
      </c>
      <c r="U2046" t="s">
        <v>7381</v>
      </c>
      <c r="V2046">
        <v>5</v>
      </c>
      <c r="W2046" t="s">
        <v>2677</v>
      </c>
      <c r="X2046">
        <v>1</v>
      </c>
      <c r="Y2046" t="s">
        <v>2760</v>
      </c>
      <c r="AA2046">
        <v>631818497202</v>
      </c>
      <c r="AB2046" t="s">
        <v>2569</v>
      </c>
      <c r="AC2046">
        <v>0</v>
      </c>
      <c r="AD2046">
        <v>10</v>
      </c>
      <c r="AE2046">
        <v>63181849720210</v>
      </c>
      <c r="AF2046" t="s">
        <v>7382</v>
      </c>
      <c r="AG2046">
        <v>1</v>
      </c>
      <c r="AH2046">
        <v>1</v>
      </c>
    </row>
    <row r="2047" spans="1:34">
      <c r="A2047">
        <v>2026</v>
      </c>
      <c r="B2047" s="1">
        <v>46082</v>
      </c>
      <c r="C2047" t="s">
        <v>2657</v>
      </c>
      <c r="D2047" t="s">
        <v>7383</v>
      </c>
      <c r="E2047" s="43">
        <v>46093.74704091435</v>
      </c>
      <c r="F2047" s="1">
        <v>46093</v>
      </c>
      <c r="G2047" s="43">
        <v>46093.74704091435</v>
      </c>
      <c r="H2047" t="s">
        <v>2668</v>
      </c>
      <c r="I2047" t="s">
        <v>2681</v>
      </c>
      <c r="J2047" t="s">
        <v>37</v>
      </c>
      <c r="L2047" t="s">
        <v>2351</v>
      </c>
      <c r="M2047">
        <v>631818497202</v>
      </c>
      <c r="N2047" t="s">
        <v>2661</v>
      </c>
      <c r="O2047" s="1">
        <v>46043</v>
      </c>
      <c r="T2047" t="s">
        <v>2798</v>
      </c>
      <c r="U2047" t="s">
        <v>7384</v>
      </c>
      <c r="V2047">
        <v>1</v>
      </c>
      <c r="W2047" t="s">
        <v>2677</v>
      </c>
      <c r="X2047">
        <v>0</v>
      </c>
      <c r="Y2047" t="s">
        <v>2760</v>
      </c>
      <c r="AA2047">
        <v>631818497202</v>
      </c>
      <c r="AB2047" t="s">
        <v>2569</v>
      </c>
      <c r="AC2047">
        <v>0</v>
      </c>
      <c r="AD2047">
        <v>11</v>
      </c>
      <c r="AE2047">
        <v>63181849720211</v>
      </c>
      <c r="AF2047" t="s">
        <v>7382</v>
      </c>
      <c r="AG2047">
        <v>1</v>
      </c>
      <c r="AH2047">
        <v>0</v>
      </c>
    </row>
    <row r="2048" spans="1:34">
      <c r="A2048">
        <v>2026</v>
      </c>
      <c r="B2048" s="1">
        <v>46082</v>
      </c>
      <c r="C2048" t="s">
        <v>2657</v>
      </c>
      <c r="D2048" t="s">
        <v>7385</v>
      </c>
      <c r="E2048" s="43">
        <v>46093.752101203703</v>
      </c>
      <c r="F2048" s="1">
        <v>46093</v>
      </c>
      <c r="G2048" s="43">
        <v>46093.752101203703</v>
      </c>
      <c r="H2048" t="s">
        <v>2668</v>
      </c>
      <c r="I2048" t="s">
        <v>2681</v>
      </c>
      <c r="J2048" t="s">
        <v>37</v>
      </c>
      <c r="L2048" t="s">
        <v>2351</v>
      </c>
      <c r="M2048">
        <v>631818497202</v>
      </c>
      <c r="N2048" t="s">
        <v>2661</v>
      </c>
      <c r="O2048" s="1">
        <v>46043</v>
      </c>
      <c r="T2048" t="s">
        <v>2798</v>
      </c>
      <c r="U2048" t="s">
        <v>7386</v>
      </c>
      <c r="V2048">
        <v>1</v>
      </c>
      <c r="W2048" t="s">
        <v>2664</v>
      </c>
      <c r="X2048">
        <v>0</v>
      </c>
      <c r="Y2048" t="s">
        <v>2757</v>
      </c>
      <c r="AA2048">
        <v>631818497202</v>
      </c>
      <c r="AB2048" t="s">
        <v>2569</v>
      </c>
      <c r="AC2048">
        <v>1</v>
      </c>
      <c r="AD2048">
        <v>11</v>
      </c>
      <c r="AE2048">
        <v>63181849720211</v>
      </c>
      <c r="AF2048" t="s">
        <v>7382</v>
      </c>
      <c r="AG2048">
        <v>0</v>
      </c>
      <c r="AH2048">
        <v>0</v>
      </c>
    </row>
    <row r="2049" spans="1:34">
      <c r="A2049">
        <v>2026</v>
      </c>
      <c r="B2049" s="1">
        <v>46082</v>
      </c>
      <c r="C2049" t="s">
        <v>2657</v>
      </c>
      <c r="D2049" t="s">
        <v>7387</v>
      </c>
      <c r="E2049" s="43">
        <v>46090.885658460647</v>
      </c>
      <c r="F2049" s="1">
        <v>46090</v>
      </c>
      <c r="G2049" s="43">
        <v>46090.885658460647</v>
      </c>
      <c r="H2049" t="s">
        <v>2668</v>
      </c>
      <c r="I2049" t="s">
        <v>2681</v>
      </c>
      <c r="J2049" t="s">
        <v>38</v>
      </c>
      <c r="L2049" t="s">
        <v>2381</v>
      </c>
      <c r="M2049">
        <v>549848560202</v>
      </c>
      <c r="N2049" t="s">
        <v>2702</v>
      </c>
      <c r="O2049" s="1">
        <v>45669</v>
      </c>
      <c r="T2049" t="s">
        <v>2662</v>
      </c>
      <c r="U2049" t="s">
        <v>7388</v>
      </c>
      <c r="V2049">
        <v>0</v>
      </c>
      <c r="W2049" t="s">
        <v>2664</v>
      </c>
      <c r="X2049">
        <v>1</v>
      </c>
      <c r="Y2049" t="s">
        <v>2757</v>
      </c>
      <c r="AA2049">
        <v>549848560202</v>
      </c>
      <c r="AB2049" t="s">
        <v>437</v>
      </c>
      <c r="AC2049">
        <v>1</v>
      </c>
      <c r="AD2049">
        <v>11</v>
      </c>
      <c r="AE2049">
        <v>54984856020211</v>
      </c>
      <c r="AF2049" t="s">
        <v>7389</v>
      </c>
      <c r="AG2049">
        <v>1</v>
      </c>
      <c r="AH2049">
        <v>1</v>
      </c>
    </row>
    <row r="2050" spans="1:34">
      <c r="A2050">
        <v>2025</v>
      </c>
      <c r="B2050" s="1">
        <v>45901</v>
      </c>
      <c r="C2050" t="s">
        <v>2657</v>
      </c>
      <c r="D2050" t="s">
        <v>7390</v>
      </c>
      <c r="E2050" s="43">
        <v>45908.648058148145</v>
      </c>
      <c r="F2050" s="1">
        <v>45908</v>
      </c>
      <c r="G2050" s="43">
        <v>45911.803043136577</v>
      </c>
      <c r="H2050" t="s">
        <v>2734</v>
      </c>
      <c r="I2050" t="s">
        <v>2681</v>
      </c>
      <c r="J2050" t="s">
        <v>2735</v>
      </c>
      <c r="L2050" t="s">
        <v>2408</v>
      </c>
      <c r="M2050">
        <v>847074348102</v>
      </c>
      <c r="N2050" t="s">
        <v>2746</v>
      </c>
      <c r="O2050" s="1">
        <v>45457</v>
      </c>
      <c r="T2050" t="s">
        <v>2662</v>
      </c>
      <c r="U2050" t="s">
        <v>7391</v>
      </c>
      <c r="V2050">
        <v>3</v>
      </c>
      <c r="W2050" t="s">
        <v>2985</v>
      </c>
      <c r="X2050">
        <v>1</v>
      </c>
      <c r="Y2050" t="s">
        <v>2985</v>
      </c>
      <c r="Z2050" t="s">
        <v>2834</v>
      </c>
      <c r="AA2050">
        <v>11613361102</v>
      </c>
      <c r="AB2050" t="s">
        <v>1880</v>
      </c>
      <c r="AC2050">
        <v>0</v>
      </c>
      <c r="AD2050">
        <v>37</v>
      </c>
      <c r="AE2050">
        <v>1161336110237</v>
      </c>
      <c r="AF2050" t="s">
        <v>7392</v>
      </c>
      <c r="AG2050">
        <v>1</v>
      </c>
      <c r="AH2050">
        <v>1</v>
      </c>
    </row>
    <row r="2051" spans="1:34">
      <c r="A2051">
        <v>2025</v>
      </c>
      <c r="B2051" s="1">
        <v>45901</v>
      </c>
      <c r="C2051" t="s">
        <v>2657</v>
      </c>
      <c r="D2051" t="s">
        <v>7393</v>
      </c>
      <c r="E2051" s="43">
        <v>45915.815136828707</v>
      </c>
      <c r="F2051" s="1">
        <v>45915</v>
      </c>
      <c r="G2051" s="43">
        <v>45915.815136828707</v>
      </c>
      <c r="H2051" t="s">
        <v>2734</v>
      </c>
      <c r="I2051" t="s">
        <v>2719</v>
      </c>
      <c r="J2051" t="s">
        <v>2735</v>
      </c>
      <c r="L2051" t="s">
        <v>2408</v>
      </c>
      <c r="M2051">
        <v>11613361102</v>
      </c>
      <c r="N2051" t="s">
        <v>2746</v>
      </c>
      <c r="O2051" s="1">
        <v>45294</v>
      </c>
      <c r="T2051" t="s">
        <v>2662</v>
      </c>
      <c r="U2051" t="s">
        <v>7394</v>
      </c>
      <c r="V2051">
        <v>0</v>
      </c>
      <c r="W2051" t="s">
        <v>2743</v>
      </c>
      <c r="X2051">
        <v>1</v>
      </c>
      <c r="Y2051" t="s">
        <v>2699</v>
      </c>
      <c r="AA2051">
        <v>11613361102</v>
      </c>
      <c r="AB2051" t="s">
        <v>1880</v>
      </c>
      <c r="AC2051">
        <v>0</v>
      </c>
      <c r="AD2051">
        <v>38</v>
      </c>
      <c r="AE2051">
        <v>1161336110238</v>
      </c>
      <c r="AF2051" t="s">
        <v>7392</v>
      </c>
      <c r="AG2051">
        <v>1</v>
      </c>
      <c r="AH2051">
        <v>0</v>
      </c>
    </row>
    <row r="2052" spans="1:34">
      <c r="A2052">
        <v>2025</v>
      </c>
      <c r="B2052" s="1">
        <v>45901</v>
      </c>
      <c r="C2052" t="s">
        <v>2657</v>
      </c>
      <c r="D2052" t="s">
        <v>7395</v>
      </c>
      <c r="E2052" s="43">
        <v>45926.693193935185</v>
      </c>
      <c r="F2052" s="1">
        <v>45926</v>
      </c>
      <c r="G2052" s="43">
        <v>45927.60451005787</v>
      </c>
      <c r="H2052" t="s">
        <v>2734</v>
      </c>
      <c r="I2052" t="s">
        <v>2660</v>
      </c>
      <c r="J2052" t="s">
        <v>2735</v>
      </c>
      <c r="L2052" t="s">
        <v>2408</v>
      </c>
      <c r="M2052">
        <v>847074348102</v>
      </c>
      <c r="N2052" t="s">
        <v>2746</v>
      </c>
      <c r="O2052" s="1">
        <v>45457</v>
      </c>
      <c r="T2052" t="s">
        <v>2662</v>
      </c>
      <c r="U2052" t="s">
        <v>7396</v>
      </c>
      <c r="V2052">
        <v>0</v>
      </c>
      <c r="W2052" t="s">
        <v>2664</v>
      </c>
      <c r="X2052">
        <v>1</v>
      </c>
      <c r="AA2052">
        <v>11613361102</v>
      </c>
      <c r="AB2052" t="s">
        <v>1880</v>
      </c>
      <c r="AC2052">
        <v>0</v>
      </c>
      <c r="AD2052">
        <v>39</v>
      </c>
      <c r="AE2052">
        <v>1161336110239</v>
      </c>
      <c r="AF2052" t="s">
        <v>7392</v>
      </c>
      <c r="AG2052">
        <v>0</v>
      </c>
      <c r="AH2052">
        <v>0</v>
      </c>
    </row>
    <row r="2053" spans="1:34">
      <c r="A2053">
        <v>2025</v>
      </c>
      <c r="B2053" s="1">
        <v>45901</v>
      </c>
      <c r="C2053" t="s">
        <v>2657</v>
      </c>
      <c r="D2053" t="s">
        <v>7397</v>
      </c>
      <c r="E2053" s="43">
        <v>45922.829610914348</v>
      </c>
      <c r="F2053" s="1">
        <v>45922</v>
      </c>
      <c r="G2053" s="43">
        <v>45922.829610914348</v>
      </c>
      <c r="H2053" t="s">
        <v>2734</v>
      </c>
      <c r="I2053" t="s">
        <v>2660</v>
      </c>
      <c r="J2053" t="s">
        <v>2735</v>
      </c>
      <c r="L2053" t="s">
        <v>2408</v>
      </c>
      <c r="M2053">
        <v>11613361102</v>
      </c>
      <c r="N2053" t="s">
        <v>2746</v>
      </c>
      <c r="O2053" s="1">
        <v>45294</v>
      </c>
      <c r="T2053" t="s">
        <v>2662</v>
      </c>
      <c r="U2053" t="s">
        <v>7398</v>
      </c>
      <c r="V2053">
        <v>0</v>
      </c>
      <c r="W2053" t="s">
        <v>2743</v>
      </c>
      <c r="X2053">
        <v>1</v>
      </c>
      <c r="Y2053" t="s">
        <v>2717</v>
      </c>
      <c r="Z2053" t="s">
        <v>2834</v>
      </c>
      <c r="AA2053">
        <v>11613361102</v>
      </c>
      <c r="AB2053" t="s">
        <v>1880</v>
      </c>
      <c r="AC2053">
        <v>0</v>
      </c>
      <c r="AD2053">
        <v>39</v>
      </c>
      <c r="AE2053">
        <v>1161336110239</v>
      </c>
      <c r="AF2053" t="s">
        <v>7392</v>
      </c>
      <c r="AG2053">
        <v>1</v>
      </c>
      <c r="AH2053">
        <v>0</v>
      </c>
    </row>
    <row r="2054" spans="1:34">
      <c r="A2054">
        <v>2025</v>
      </c>
      <c r="B2054" s="1">
        <v>45901</v>
      </c>
      <c r="C2054" t="s">
        <v>2657</v>
      </c>
      <c r="D2054" t="s">
        <v>7399</v>
      </c>
      <c r="E2054" s="43">
        <v>45923.63244966435</v>
      </c>
      <c r="F2054" s="1">
        <v>45923</v>
      </c>
      <c r="G2054" s="43">
        <v>45930.556062037038</v>
      </c>
      <c r="H2054" t="s">
        <v>2734</v>
      </c>
      <c r="I2054" t="s">
        <v>2660</v>
      </c>
      <c r="J2054" t="s">
        <v>2735</v>
      </c>
      <c r="L2054" t="s">
        <v>2408</v>
      </c>
      <c r="M2054">
        <v>11613361102</v>
      </c>
      <c r="N2054" t="s">
        <v>2746</v>
      </c>
      <c r="O2054" s="1">
        <v>45294</v>
      </c>
      <c r="T2054" t="s">
        <v>2662</v>
      </c>
      <c r="U2054" t="s">
        <v>7400</v>
      </c>
      <c r="V2054">
        <v>5</v>
      </c>
      <c r="W2054" t="s">
        <v>2664</v>
      </c>
      <c r="X2054">
        <v>1</v>
      </c>
      <c r="Y2054" t="s">
        <v>2757</v>
      </c>
      <c r="AA2054">
        <v>11613361102</v>
      </c>
      <c r="AB2054" t="s">
        <v>1880</v>
      </c>
      <c r="AC2054">
        <v>0</v>
      </c>
      <c r="AD2054">
        <v>39</v>
      </c>
      <c r="AE2054">
        <v>1161336110239</v>
      </c>
      <c r="AF2054" t="s">
        <v>7392</v>
      </c>
      <c r="AG2054">
        <v>0</v>
      </c>
      <c r="AH2054">
        <v>0</v>
      </c>
    </row>
    <row r="2055" spans="1:34">
      <c r="A2055">
        <v>2025</v>
      </c>
      <c r="B2055" s="1">
        <v>45992</v>
      </c>
      <c r="C2055" t="s">
        <v>2657</v>
      </c>
      <c r="D2055" t="s">
        <v>7401</v>
      </c>
      <c r="E2055" s="43">
        <v>45992.744629618057</v>
      </c>
      <c r="F2055" s="1">
        <v>45992</v>
      </c>
      <c r="G2055" s="43">
        <v>45994.593721504629</v>
      </c>
      <c r="H2055" t="s">
        <v>2686</v>
      </c>
      <c r="I2055" t="s">
        <v>2669</v>
      </c>
      <c r="J2055" t="s">
        <v>2735</v>
      </c>
      <c r="L2055" t="s">
        <v>2355</v>
      </c>
      <c r="M2055">
        <v>6127997902</v>
      </c>
      <c r="N2055" t="s">
        <v>2702</v>
      </c>
      <c r="O2055" s="1">
        <v>44952</v>
      </c>
      <c r="T2055" t="s">
        <v>2662</v>
      </c>
      <c r="U2055" t="s">
        <v>7402</v>
      </c>
      <c r="V2055">
        <v>2</v>
      </c>
      <c r="W2055" t="s">
        <v>2677</v>
      </c>
      <c r="X2055">
        <v>1</v>
      </c>
      <c r="Y2055" t="s">
        <v>2760</v>
      </c>
      <c r="Z2055" t="s">
        <v>2684</v>
      </c>
      <c r="AA2055">
        <v>366327938802</v>
      </c>
      <c r="AB2055" t="s">
        <v>1985</v>
      </c>
      <c r="AC2055">
        <v>0</v>
      </c>
      <c r="AD2055">
        <v>49</v>
      </c>
      <c r="AE2055">
        <v>36632793880249</v>
      </c>
      <c r="AF2055" t="s">
        <v>7403</v>
      </c>
      <c r="AG2055">
        <v>0</v>
      </c>
      <c r="AH2055">
        <v>0</v>
      </c>
    </row>
    <row r="2056" spans="1:34">
      <c r="A2056">
        <v>2025</v>
      </c>
      <c r="B2056" s="1">
        <v>45992</v>
      </c>
      <c r="C2056" t="s">
        <v>2657</v>
      </c>
      <c r="D2056" t="s">
        <v>7404</v>
      </c>
      <c r="E2056" s="43">
        <v>45994.552898715279</v>
      </c>
      <c r="F2056" s="1">
        <v>45994</v>
      </c>
      <c r="G2056" s="43">
        <v>45994.563245393518</v>
      </c>
      <c r="H2056" t="s">
        <v>2686</v>
      </c>
      <c r="I2056" t="s">
        <v>2669</v>
      </c>
      <c r="J2056" t="s">
        <v>2735</v>
      </c>
      <c r="L2056" t="s">
        <v>2355</v>
      </c>
      <c r="M2056">
        <v>6127997902</v>
      </c>
      <c r="N2056" t="s">
        <v>2702</v>
      </c>
      <c r="O2056" s="1">
        <v>44952</v>
      </c>
      <c r="T2056" t="s">
        <v>2662</v>
      </c>
      <c r="V2056">
        <v>0</v>
      </c>
      <c r="X2056">
        <v>1</v>
      </c>
      <c r="AA2056">
        <v>366327938802</v>
      </c>
      <c r="AB2056" t="s">
        <v>1985</v>
      </c>
      <c r="AC2056">
        <v>0</v>
      </c>
      <c r="AD2056">
        <v>49</v>
      </c>
      <c r="AE2056">
        <v>36632793880249</v>
      </c>
      <c r="AF2056" t="s">
        <v>7403</v>
      </c>
      <c r="AG2056">
        <v>0</v>
      </c>
      <c r="AH2056">
        <v>0</v>
      </c>
    </row>
    <row r="2057" spans="1:34">
      <c r="A2057">
        <v>2025</v>
      </c>
      <c r="B2057" s="1">
        <v>45992</v>
      </c>
      <c r="C2057" t="s">
        <v>2657</v>
      </c>
      <c r="D2057" t="s">
        <v>7405</v>
      </c>
      <c r="E2057" s="43">
        <v>45993.754178888892</v>
      </c>
      <c r="F2057" s="1">
        <v>45993</v>
      </c>
      <c r="G2057" s="43">
        <v>45994.826292314814</v>
      </c>
      <c r="H2057" t="s">
        <v>2686</v>
      </c>
      <c r="I2057" t="s">
        <v>2669</v>
      </c>
      <c r="J2057" t="s">
        <v>2735</v>
      </c>
      <c r="L2057" t="s">
        <v>2355</v>
      </c>
      <c r="M2057">
        <v>6127997902</v>
      </c>
      <c r="N2057" t="s">
        <v>2702</v>
      </c>
      <c r="O2057" s="1">
        <v>44952</v>
      </c>
      <c r="T2057" t="s">
        <v>2662</v>
      </c>
      <c r="U2057" t="s">
        <v>7406</v>
      </c>
      <c r="V2057">
        <v>1</v>
      </c>
      <c r="W2057" t="s">
        <v>2677</v>
      </c>
      <c r="X2057">
        <v>1</v>
      </c>
      <c r="Y2057" t="s">
        <v>2807</v>
      </c>
      <c r="AA2057">
        <v>366327938802</v>
      </c>
      <c r="AB2057" t="s">
        <v>1985</v>
      </c>
      <c r="AC2057">
        <v>0</v>
      </c>
      <c r="AD2057">
        <v>49</v>
      </c>
      <c r="AE2057">
        <v>36632793880249</v>
      </c>
      <c r="AF2057" t="s">
        <v>7403</v>
      </c>
      <c r="AG2057">
        <v>0</v>
      </c>
      <c r="AH2057">
        <v>0</v>
      </c>
    </row>
    <row r="2058" spans="1:34">
      <c r="A2058">
        <v>2025</v>
      </c>
      <c r="B2058" s="1">
        <v>45992</v>
      </c>
      <c r="C2058" t="s">
        <v>2657</v>
      </c>
      <c r="D2058" t="s">
        <v>7407</v>
      </c>
      <c r="E2058" s="43">
        <v>45992.572377407407</v>
      </c>
      <c r="F2058" s="1">
        <v>45992</v>
      </c>
      <c r="G2058" s="43">
        <v>45994.592561898149</v>
      </c>
      <c r="H2058" t="s">
        <v>2686</v>
      </c>
      <c r="I2058" t="s">
        <v>2669</v>
      </c>
      <c r="J2058" t="s">
        <v>2735</v>
      </c>
      <c r="L2058" t="s">
        <v>2355</v>
      </c>
      <c r="M2058">
        <v>6127997902</v>
      </c>
      <c r="N2058" t="s">
        <v>2702</v>
      </c>
      <c r="O2058" s="1">
        <v>44952</v>
      </c>
      <c r="T2058" t="s">
        <v>2662</v>
      </c>
      <c r="U2058" t="s">
        <v>7408</v>
      </c>
      <c r="V2058">
        <v>2</v>
      </c>
      <c r="W2058" t="s">
        <v>2677</v>
      </c>
      <c r="X2058">
        <v>1</v>
      </c>
      <c r="Y2058" t="s">
        <v>2807</v>
      </c>
      <c r="AA2058">
        <v>366327938802</v>
      </c>
      <c r="AB2058" t="s">
        <v>1985</v>
      </c>
      <c r="AC2058">
        <v>0</v>
      </c>
      <c r="AD2058">
        <v>49</v>
      </c>
      <c r="AE2058">
        <v>36632793880249</v>
      </c>
      <c r="AF2058" t="s">
        <v>7403</v>
      </c>
      <c r="AG2058">
        <v>1</v>
      </c>
      <c r="AH2058">
        <v>1</v>
      </c>
    </row>
    <row r="2059" spans="1:34">
      <c r="A2059">
        <v>2025</v>
      </c>
      <c r="B2059" s="1">
        <v>45992</v>
      </c>
      <c r="C2059" t="s">
        <v>2657</v>
      </c>
      <c r="D2059" t="s">
        <v>7409</v>
      </c>
      <c r="E2059" s="43">
        <v>46006.555219606482</v>
      </c>
      <c r="F2059" s="1">
        <v>46006</v>
      </c>
      <c r="G2059" s="43">
        <v>46008.944318449074</v>
      </c>
      <c r="H2059" t="s">
        <v>2686</v>
      </c>
      <c r="I2059" t="s">
        <v>2719</v>
      </c>
      <c r="J2059" t="s">
        <v>2735</v>
      </c>
      <c r="L2059" t="s">
        <v>2355</v>
      </c>
      <c r="M2059">
        <v>6127997902</v>
      </c>
      <c r="N2059" t="s">
        <v>2702</v>
      </c>
      <c r="O2059" s="1">
        <v>44952</v>
      </c>
      <c r="T2059" t="s">
        <v>2662</v>
      </c>
      <c r="U2059" t="s">
        <v>7410</v>
      </c>
      <c r="V2059">
        <v>2</v>
      </c>
      <c r="W2059" t="s">
        <v>2677</v>
      </c>
      <c r="X2059">
        <v>1</v>
      </c>
      <c r="Y2059" t="s">
        <v>2760</v>
      </c>
      <c r="Z2059" t="s">
        <v>2684</v>
      </c>
      <c r="AA2059">
        <v>366327938802</v>
      </c>
      <c r="AB2059" t="s">
        <v>1985</v>
      </c>
      <c r="AC2059">
        <v>0</v>
      </c>
      <c r="AD2059">
        <v>51</v>
      </c>
      <c r="AE2059">
        <v>36632793880251</v>
      </c>
      <c r="AF2059" t="s">
        <v>7403</v>
      </c>
      <c r="AG2059">
        <v>1</v>
      </c>
      <c r="AH2059">
        <v>0</v>
      </c>
    </row>
    <row r="2060" spans="1:34">
      <c r="A2060">
        <v>2025</v>
      </c>
      <c r="B2060" s="1">
        <v>45992</v>
      </c>
      <c r="C2060" t="s">
        <v>2657</v>
      </c>
      <c r="D2060" t="s">
        <v>7411</v>
      </c>
      <c r="E2060" s="43">
        <v>45992.796417349535</v>
      </c>
      <c r="F2060" s="1">
        <v>45992</v>
      </c>
      <c r="G2060" s="43">
        <v>46006.845369907409</v>
      </c>
      <c r="H2060" t="s">
        <v>2686</v>
      </c>
      <c r="I2060" t="s">
        <v>2669</v>
      </c>
      <c r="J2060" t="s">
        <v>37</v>
      </c>
      <c r="L2060" t="s">
        <v>2351</v>
      </c>
      <c r="M2060">
        <v>219314571102</v>
      </c>
      <c r="N2060" t="s">
        <v>2661</v>
      </c>
      <c r="O2060" s="1">
        <v>45835</v>
      </c>
      <c r="T2060" t="s">
        <v>2662</v>
      </c>
      <c r="U2060" t="s">
        <v>7412</v>
      </c>
      <c r="V2060">
        <v>10</v>
      </c>
      <c r="W2060" t="s">
        <v>2671</v>
      </c>
      <c r="X2060">
        <v>1</v>
      </c>
      <c r="Y2060" t="s">
        <v>2699</v>
      </c>
      <c r="AA2060">
        <v>551856008602</v>
      </c>
      <c r="AB2060" t="s">
        <v>1248</v>
      </c>
      <c r="AC2060">
        <v>0</v>
      </c>
      <c r="AD2060">
        <v>49</v>
      </c>
      <c r="AE2060">
        <v>55185600860249</v>
      </c>
      <c r="AF2060" t="s">
        <v>7413</v>
      </c>
      <c r="AG2060">
        <v>1</v>
      </c>
      <c r="AH2060">
        <v>1</v>
      </c>
    </row>
    <row r="2061" spans="1:34">
      <c r="A2061">
        <v>2025</v>
      </c>
      <c r="B2061" s="1">
        <v>45992</v>
      </c>
      <c r="C2061" t="s">
        <v>2657</v>
      </c>
      <c r="D2061" t="s">
        <v>7414</v>
      </c>
      <c r="E2061" s="43">
        <v>45999.854163275464</v>
      </c>
      <c r="F2061" s="1">
        <v>45999</v>
      </c>
      <c r="G2061" s="43">
        <v>46006.562468587967</v>
      </c>
      <c r="H2061" t="s">
        <v>2686</v>
      </c>
      <c r="I2061" t="s">
        <v>2681</v>
      </c>
      <c r="J2061" t="s">
        <v>37</v>
      </c>
      <c r="L2061" t="s">
        <v>2351</v>
      </c>
      <c r="M2061">
        <v>219314571102</v>
      </c>
      <c r="N2061" t="s">
        <v>2661</v>
      </c>
      <c r="O2061" s="1">
        <v>45835</v>
      </c>
      <c r="T2061" t="s">
        <v>2662</v>
      </c>
      <c r="U2061" t="s">
        <v>7415</v>
      </c>
      <c r="V2061">
        <v>5</v>
      </c>
      <c r="W2061" t="s">
        <v>2671</v>
      </c>
      <c r="X2061">
        <v>1</v>
      </c>
      <c r="Y2061" t="s">
        <v>2683</v>
      </c>
      <c r="Z2061" t="s">
        <v>2684</v>
      </c>
      <c r="AA2061">
        <v>551856008602</v>
      </c>
      <c r="AB2061" t="s">
        <v>1248</v>
      </c>
      <c r="AC2061">
        <v>0</v>
      </c>
      <c r="AD2061">
        <v>50</v>
      </c>
      <c r="AE2061">
        <v>55185600860250</v>
      </c>
      <c r="AF2061" t="s">
        <v>7413</v>
      </c>
      <c r="AG2061">
        <v>1</v>
      </c>
      <c r="AH2061">
        <v>0</v>
      </c>
    </row>
    <row r="2062" spans="1:34">
      <c r="A2062">
        <v>2025</v>
      </c>
      <c r="B2062" s="1">
        <v>45992</v>
      </c>
      <c r="C2062" t="s">
        <v>2657</v>
      </c>
      <c r="D2062" t="s">
        <v>7416</v>
      </c>
      <c r="E2062" s="43">
        <v>46008.893676504631</v>
      </c>
      <c r="F2062" s="1">
        <v>46008</v>
      </c>
      <c r="G2062" s="43">
        <v>46020.58203795139</v>
      </c>
      <c r="H2062" t="s">
        <v>2686</v>
      </c>
      <c r="I2062" t="s">
        <v>2719</v>
      </c>
      <c r="J2062" t="s">
        <v>37</v>
      </c>
      <c r="L2062" t="s">
        <v>2351</v>
      </c>
      <c r="M2062">
        <v>219314571102</v>
      </c>
      <c r="N2062" t="s">
        <v>2661</v>
      </c>
      <c r="O2062" s="1">
        <v>45835</v>
      </c>
      <c r="T2062" t="s">
        <v>2662</v>
      </c>
      <c r="U2062" t="s">
        <v>7417</v>
      </c>
      <c r="V2062">
        <v>8</v>
      </c>
      <c r="W2062" t="s">
        <v>2671</v>
      </c>
      <c r="X2062">
        <v>1</v>
      </c>
      <c r="Y2062" t="s">
        <v>2760</v>
      </c>
      <c r="AA2062">
        <v>551856008602</v>
      </c>
      <c r="AB2062" t="s">
        <v>1248</v>
      </c>
      <c r="AC2062">
        <v>0</v>
      </c>
      <c r="AD2062">
        <v>51</v>
      </c>
      <c r="AE2062">
        <v>55185600860251</v>
      </c>
      <c r="AF2062" t="s">
        <v>7413</v>
      </c>
      <c r="AG2062">
        <v>1</v>
      </c>
      <c r="AH2062">
        <v>0</v>
      </c>
    </row>
    <row r="2063" spans="1:34">
      <c r="A2063">
        <v>2026</v>
      </c>
      <c r="B2063" s="1">
        <v>46023</v>
      </c>
      <c r="C2063" t="s">
        <v>2657</v>
      </c>
      <c r="D2063" t="s">
        <v>7418</v>
      </c>
      <c r="E2063" s="43">
        <v>46029.569625300923</v>
      </c>
      <c r="F2063" s="1">
        <v>46029</v>
      </c>
      <c r="G2063" s="43">
        <v>46030.630632800923</v>
      </c>
      <c r="H2063" t="s">
        <v>2701</v>
      </c>
      <c r="I2063" t="s">
        <v>2669</v>
      </c>
      <c r="J2063" t="s">
        <v>39</v>
      </c>
      <c r="L2063" t="s">
        <v>2408</v>
      </c>
      <c r="M2063">
        <v>24386750602</v>
      </c>
      <c r="N2063" t="s">
        <v>2746</v>
      </c>
      <c r="O2063" s="1">
        <v>45294</v>
      </c>
      <c r="T2063" t="s">
        <v>2662</v>
      </c>
      <c r="U2063" t="s">
        <v>7419</v>
      </c>
      <c r="V2063">
        <v>1</v>
      </c>
      <c r="W2063" t="s">
        <v>2743</v>
      </c>
      <c r="X2063">
        <v>1</v>
      </c>
      <c r="Y2063" t="s">
        <v>2699</v>
      </c>
      <c r="AA2063">
        <v>24386750602</v>
      </c>
      <c r="AB2063" t="s">
        <v>1847</v>
      </c>
      <c r="AC2063">
        <v>0</v>
      </c>
      <c r="AD2063">
        <v>2</v>
      </c>
      <c r="AE2063">
        <v>243867506022</v>
      </c>
      <c r="AF2063" t="s">
        <v>7420</v>
      </c>
      <c r="AG2063">
        <v>1</v>
      </c>
      <c r="AH2063">
        <v>1</v>
      </c>
    </row>
    <row r="2064" spans="1:34">
      <c r="A2064">
        <v>2026</v>
      </c>
      <c r="B2064" s="1">
        <v>46023</v>
      </c>
      <c r="C2064" t="s">
        <v>2657</v>
      </c>
      <c r="D2064" t="s">
        <v>7421</v>
      </c>
      <c r="E2064" s="43">
        <v>46041.661893287041</v>
      </c>
      <c r="F2064" s="1">
        <v>46041</v>
      </c>
      <c r="G2064" s="43">
        <v>46043.624747245369</v>
      </c>
      <c r="H2064" t="s">
        <v>2701</v>
      </c>
      <c r="I2064" t="s">
        <v>2719</v>
      </c>
      <c r="J2064" t="s">
        <v>39</v>
      </c>
      <c r="L2064" t="s">
        <v>2408</v>
      </c>
      <c r="M2064">
        <v>24386750602</v>
      </c>
      <c r="N2064" t="s">
        <v>2746</v>
      </c>
      <c r="O2064" s="1">
        <v>45294</v>
      </c>
      <c r="T2064" t="s">
        <v>2662</v>
      </c>
      <c r="U2064" t="s">
        <v>7422</v>
      </c>
      <c r="V2064">
        <v>2</v>
      </c>
      <c r="W2064" t="s">
        <v>2743</v>
      </c>
      <c r="X2064">
        <v>1</v>
      </c>
      <c r="Y2064" t="s">
        <v>2699</v>
      </c>
      <c r="AA2064">
        <v>24386750602</v>
      </c>
      <c r="AB2064" t="s">
        <v>1847</v>
      </c>
      <c r="AC2064">
        <v>0</v>
      </c>
      <c r="AD2064">
        <v>4</v>
      </c>
      <c r="AE2064">
        <v>243867506024</v>
      </c>
      <c r="AF2064" t="s">
        <v>7420</v>
      </c>
      <c r="AG2064">
        <v>1</v>
      </c>
      <c r="AH2064">
        <v>0</v>
      </c>
    </row>
    <row r="2065" spans="1:35">
      <c r="A2065">
        <v>2026</v>
      </c>
      <c r="B2065" s="1">
        <v>46023</v>
      </c>
      <c r="C2065" t="s">
        <v>2657</v>
      </c>
      <c r="D2065" t="s">
        <v>7423</v>
      </c>
      <c r="E2065" s="43">
        <v>46052.627639629631</v>
      </c>
      <c r="F2065" s="1">
        <v>46052</v>
      </c>
      <c r="G2065" s="43">
        <v>46055.658178958336</v>
      </c>
      <c r="H2065" t="s">
        <v>2701</v>
      </c>
      <c r="I2065" t="s">
        <v>2697</v>
      </c>
      <c r="J2065" t="s">
        <v>39</v>
      </c>
      <c r="L2065" t="s">
        <v>2408</v>
      </c>
      <c r="M2065">
        <v>24386750602</v>
      </c>
      <c r="N2065" t="s">
        <v>2746</v>
      </c>
      <c r="O2065" s="1">
        <v>45294</v>
      </c>
      <c r="T2065" t="s">
        <v>2662</v>
      </c>
      <c r="U2065" t="s">
        <v>7424</v>
      </c>
      <c r="V2065">
        <v>1</v>
      </c>
      <c r="W2065" t="s">
        <v>2671</v>
      </c>
      <c r="X2065">
        <v>1</v>
      </c>
      <c r="Y2065" t="s">
        <v>2692</v>
      </c>
      <c r="AA2065">
        <v>24386750602</v>
      </c>
      <c r="AB2065" t="s">
        <v>1847</v>
      </c>
      <c r="AC2065">
        <v>0</v>
      </c>
      <c r="AD2065">
        <v>5</v>
      </c>
      <c r="AE2065">
        <v>243867506025</v>
      </c>
      <c r="AF2065" t="s">
        <v>7420</v>
      </c>
      <c r="AG2065">
        <v>1</v>
      </c>
      <c r="AH2065">
        <v>0</v>
      </c>
    </row>
    <row r="2066" spans="1:35">
      <c r="A2066">
        <v>2026</v>
      </c>
      <c r="B2066" s="1">
        <v>46054</v>
      </c>
      <c r="C2066" t="s">
        <v>2657</v>
      </c>
      <c r="D2066" t="s">
        <v>7425</v>
      </c>
      <c r="E2066" s="43">
        <v>46056.822657835648</v>
      </c>
      <c r="F2066" s="1">
        <v>46056</v>
      </c>
      <c r="G2066" s="43">
        <v>46059.629333969904</v>
      </c>
      <c r="H2066" t="s">
        <v>2725</v>
      </c>
      <c r="I2066" t="s">
        <v>2669</v>
      </c>
      <c r="J2066" t="s">
        <v>39</v>
      </c>
      <c r="L2066" t="s">
        <v>2336</v>
      </c>
      <c r="M2066">
        <v>449549597602</v>
      </c>
      <c r="N2066" t="s">
        <v>2702</v>
      </c>
      <c r="O2066" s="1">
        <v>45358</v>
      </c>
      <c r="T2066" t="s">
        <v>2662</v>
      </c>
      <c r="U2066" t="s">
        <v>7426</v>
      </c>
      <c r="V2066">
        <v>3</v>
      </c>
      <c r="W2066" t="s">
        <v>2677</v>
      </c>
      <c r="X2066">
        <v>1</v>
      </c>
      <c r="Y2066" t="s">
        <v>2760</v>
      </c>
      <c r="AA2066">
        <v>449549597602</v>
      </c>
      <c r="AB2066" t="s">
        <v>1726</v>
      </c>
      <c r="AC2066">
        <v>0</v>
      </c>
      <c r="AD2066">
        <v>6</v>
      </c>
      <c r="AE2066">
        <v>4495495976026</v>
      </c>
      <c r="AF2066" t="s">
        <v>7427</v>
      </c>
      <c r="AG2066">
        <v>0</v>
      </c>
      <c r="AH2066">
        <v>0</v>
      </c>
    </row>
    <row r="2067" spans="1:35">
      <c r="A2067">
        <v>2026</v>
      </c>
      <c r="B2067" s="1">
        <v>46054</v>
      </c>
      <c r="C2067" t="s">
        <v>2657</v>
      </c>
      <c r="D2067" t="s">
        <v>7428</v>
      </c>
      <c r="E2067" s="43">
        <v>46059.562576388889</v>
      </c>
      <c r="F2067" s="1">
        <v>46059</v>
      </c>
      <c r="G2067" s="43">
        <v>46062.56659934028</v>
      </c>
      <c r="H2067" t="s">
        <v>2725</v>
      </c>
      <c r="I2067" t="s">
        <v>2669</v>
      </c>
      <c r="J2067" t="s">
        <v>39</v>
      </c>
      <c r="L2067" t="s">
        <v>2336</v>
      </c>
      <c r="M2067">
        <v>449549597602</v>
      </c>
      <c r="N2067" t="s">
        <v>2702</v>
      </c>
      <c r="O2067" s="1">
        <v>45358</v>
      </c>
      <c r="T2067" t="s">
        <v>2662</v>
      </c>
      <c r="U2067" t="s">
        <v>7429</v>
      </c>
      <c r="V2067">
        <v>1</v>
      </c>
      <c r="W2067" t="s">
        <v>2704</v>
      </c>
      <c r="X2067">
        <v>1</v>
      </c>
      <c r="Y2067" t="s">
        <v>2931</v>
      </c>
      <c r="AA2067">
        <v>449549597602</v>
      </c>
      <c r="AB2067" t="s">
        <v>1726</v>
      </c>
      <c r="AC2067">
        <v>0</v>
      </c>
      <c r="AD2067">
        <v>6</v>
      </c>
      <c r="AE2067">
        <v>4495495976026</v>
      </c>
      <c r="AF2067" t="s">
        <v>7427</v>
      </c>
      <c r="AG2067">
        <v>0</v>
      </c>
      <c r="AH2067">
        <v>0</v>
      </c>
    </row>
    <row r="2068" spans="1:35">
      <c r="A2068">
        <v>2026</v>
      </c>
      <c r="B2068" s="1">
        <v>46054</v>
      </c>
      <c r="C2068" t="s">
        <v>2657</v>
      </c>
      <c r="D2068" t="s">
        <v>7430</v>
      </c>
      <c r="E2068" s="43">
        <v>46056.527800219905</v>
      </c>
      <c r="F2068" s="1">
        <v>46056</v>
      </c>
      <c r="G2068" s="43">
        <v>46057.527201759258</v>
      </c>
      <c r="H2068" t="s">
        <v>2725</v>
      </c>
      <c r="I2068" t="s">
        <v>2669</v>
      </c>
      <c r="J2068" t="s">
        <v>39</v>
      </c>
      <c r="L2068" t="s">
        <v>2336</v>
      </c>
      <c r="M2068">
        <v>995775060202</v>
      </c>
      <c r="N2068" t="s">
        <v>2702</v>
      </c>
      <c r="O2068" s="1">
        <v>46007</v>
      </c>
      <c r="T2068" t="s">
        <v>2662</v>
      </c>
      <c r="U2068" t="s">
        <v>7431</v>
      </c>
      <c r="V2068">
        <v>1</v>
      </c>
      <c r="W2068" t="s">
        <v>2677</v>
      </c>
      <c r="X2068">
        <v>1</v>
      </c>
      <c r="Y2068" t="s">
        <v>3237</v>
      </c>
      <c r="AA2068">
        <v>449549597602</v>
      </c>
      <c r="AB2068" t="s">
        <v>1726</v>
      </c>
      <c r="AC2068">
        <v>0</v>
      </c>
      <c r="AD2068">
        <v>6</v>
      </c>
      <c r="AE2068">
        <v>4495495976026</v>
      </c>
      <c r="AF2068" t="s">
        <v>7427</v>
      </c>
      <c r="AG2068">
        <v>1</v>
      </c>
      <c r="AH2068">
        <v>1</v>
      </c>
    </row>
    <row r="2069" spans="1:35">
      <c r="A2069">
        <v>2026</v>
      </c>
      <c r="B2069" s="1">
        <v>46054</v>
      </c>
      <c r="C2069" t="s">
        <v>2657</v>
      </c>
      <c r="D2069" t="s">
        <v>7432</v>
      </c>
      <c r="E2069" s="43">
        <v>46062.623029641203</v>
      </c>
      <c r="F2069" s="1">
        <v>46062</v>
      </c>
      <c r="G2069" s="43">
        <v>46064.898235740744</v>
      </c>
      <c r="H2069" t="s">
        <v>2725</v>
      </c>
      <c r="I2069" t="s">
        <v>2681</v>
      </c>
      <c r="J2069" t="s">
        <v>39</v>
      </c>
      <c r="L2069" t="s">
        <v>2336</v>
      </c>
      <c r="M2069">
        <v>995775060202</v>
      </c>
      <c r="N2069" t="s">
        <v>2702</v>
      </c>
      <c r="O2069" s="1">
        <v>46007</v>
      </c>
      <c r="T2069" t="s">
        <v>2662</v>
      </c>
      <c r="U2069" t="s">
        <v>7433</v>
      </c>
      <c r="V2069">
        <v>2</v>
      </c>
      <c r="W2069" t="s">
        <v>2671</v>
      </c>
      <c r="X2069">
        <v>1</v>
      </c>
      <c r="Y2069" t="s">
        <v>2683</v>
      </c>
      <c r="AA2069">
        <v>449549597602</v>
      </c>
      <c r="AB2069" t="s">
        <v>1726</v>
      </c>
      <c r="AC2069">
        <v>0</v>
      </c>
      <c r="AD2069">
        <v>7</v>
      </c>
      <c r="AE2069">
        <v>4495495976027</v>
      </c>
      <c r="AF2069" t="s">
        <v>7427</v>
      </c>
      <c r="AG2069">
        <v>1</v>
      </c>
      <c r="AH2069">
        <v>0</v>
      </c>
    </row>
    <row r="2070" spans="1:35">
      <c r="A2070">
        <v>2026</v>
      </c>
      <c r="B2070" s="1">
        <v>46054</v>
      </c>
      <c r="C2070" t="s">
        <v>2657</v>
      </c>
      <c r="D2070" t="s">
        <v>7434</v>
      </c>
      <c r="E2070" s="43">
        <v>46065.547851701391</v>
      </c>
      <c r="F2070" s="1">
        <v>46065</v>
      </c>
      <c r="G2070" s="43">
        <v>46066.675115347221</v>
      </c>
      <c r="H2070" t="s">
        <v>2725</v>
      </c>
      <c r="I2070" t="s">
        <v>2681</v>
      </c>
      <c r="J2070" t="s">
        <v>39</v>
      </c>
      <c r="L2070" t="s">
        <v>2336</v>
      </c>
      <c r="M2070">
        <v>995775060202</v>
      </c>
      <c r="N2070" t="s">
        <v>2702</v>
      </c>
      <c r="O2070" s="1">
        <v>46007</v>
      </c>
      <c r="T2070" t="s">
        <v>2662</v>
      </c>
      <c r="U2070" t="s">
        <v>7435</v>
      </c>
      <c r="V2070">
        <v>1</v>
      </c>
      <c r="W2070" t="s">
        <v>2671</v>
      </c>
      <c r="X2070">
        <v>1</v>
      </c>
      <c r="Y2070" t="s">
        <v>2672</v>
      </c>
      <c r="AA2070">
        <v>449549597602</v>
      </c>
      <c r="AB2070" t="s">
        <v>1726</v>
      </c>
      <c r="AC2070">
        <v>0</v>
      </c>
      <c r="AD2070">
        <v>7</v>
      </c>
      <c r="AE2070">
        <v>4495495976027</v>
      </c>
      <c r="AF2070" t="s">
        <v>7427</v>
      </c>
      <c r="AG2070">
        <v>0</v>
      </c>
      <c r="AH2070">
        <v>0</v>
      </c>
    </row>
    <row r="2071" spans="1:35">
      <c r="A2071">
        <v>2026</v>
      </c>
      <c r="B2071" s="1">
        <v>46054</v>
      </c>
      <c r="C2071" t="s">
        <v>2657</v>
      </c>
      <c r="D2071" t="s">
        <v>7436</v>
      </c>
      <c r="E2071" s="43">
        <v>46072.598893379633</v>
      </c>
      <c r="F2071" s="1">
        <v>46072</v>
      </c>
      <c r="G2071" s="43">
        <v>46073.80276053241</v>
      </c>
      <c r="H2071" t="s">
        <v>2725</v>
      </c>
      <c r="I2071" t="s">
        <v>2719</v>
      </c>
      <c r="J2071" t="s">
        <v>39</v>
      </c>
      <c r="L2071" t="s">
        <v>2336</v>
      </c>
      <c r="M2071">
        <v>995775060202</v>
      </c>
      <c r="N2071" t="s">
        <v>2702</v>
      </c>
      <c r="O2071" s="1">
        <v>46007</v>
      </c>
      <c r="T2071" t="s">
        <v>2662</v>
      </c>
      <c r="U2071" t="s">
        <v>7437</v>
      </c>
      <c r="V2071">
        <v>1</v>
      </c>
      <c r="W2071" t="s">
        <v>2671</v>
      </c>
      <c r="X2071">
        <v>1</v>
      </c>
      <c r="Y2071" t="s">
        <v>2683</v>
      </c>
      <c r="AA2071">
        <v>449549597602</v>
      </c>
      <c r="AB2071" t="s">
        <v>1726</v>
      </c>
      <c r="AC2071">
        <v>0</v>
      </c>
      <c r="AD2071">
        <v>8</v>
      </c>
      <c r="AE2071">
        <v>4495495976028</v>
      </c>
      <c r="AF2071" t="s">
        <v>7427</v>
      </c>
      <c r="AG2071">
        <v>1</v>
      </c>
      <c r="AH2071">
        <v>0</v>
      </c>
    </row>
    <row r="2072" spans="1:35">
      <c r="A2072">
        <v>2026</v>
      </c>
      <c r="B2072" s="1">
        <v>46054</v>
      </c>
      <c r="C2072" t="s">
        <v>2657</v>
      </c>
      <c r="D2072" t="s">
        <v>7438</v>
      </c>
      <c r="E2072" s="43">
        <v>46079.598213495374</v>
      </c>
      <c r="F2072" s="1">
        <v>46079</v>
      </c>
      <c r="G2072" s="43">
        <v>46080.614282164352</v>
      </c>
      <c r="H2072" t="s">
        <v>2725</v>
      </c>
      <c r="I2072" t="s">
        <v>2660</v>
      </c>
      <c r="J2072" t="s">
        <v>39</v>
      </c>
      <c r="L2072" t="s">
        <v>2336</v>
      </c>
      <c r="M2072">
        <v>995775060202</v>
      </c>
      <c r="N2072" t="s">
        <v>2702</v>
      </c>
      <c r="O2072" s="1">
        <v>46007</v>
      </c>
      <c r="T2072" t="s">
        <v>2662</v>
      </c>
      <c r="U2072" t="s">
        <v>7439</v>
      </c>
      <c r="V2072">
        <v>1</v>
      </c>
      <c r="W2072" t="s">
        <v>2677</v>
      </c>
      <c r="X2072">
        <v>1</v>
      </c>
      <c r="Y2072" t="s">
        <v>2678</v>
      </c>
      <c r="AA2072">
        <v>449549597602</v>
      </c>
      <c r="AB2072" t="s">
        <v>1726</v>
      </c>
      <c r="AC2072">
        <v>0</v>
      </c>
      <c r="AD2072">
        <v>9</v>
      </c>
      <c r="AE2072">
        <v>4495495976029</v>
      </c>
      <c r="AF2072" t="s">
        <v>7427</v>
      </c>
      <c r="AG2072">
        <v>1</v>
      </c>
      <c r="AH2072">
        <v>0</v>
      </c>
    </row>
    <row r="2073" spans="1:35">
      <c r="A2073">
        <v>2026</v>
      </c>
      <c r="B2073" s="1">
        <v>46023</v>
      </c>
      <c r="C2073" t="s">
        <v>2657</v>
      </c>
      <c r="D2073" t="s">
        <v>7440</v>
      </c>
      <c r="E2073" s="43">
        <v>46029.525415266202</v>
      </c>
      <c r="F2073" s="1">
        <v>46029</v>
      </c>
      <c r="G2073" s="43">
        <v>46030.630835972224</v>
      </c>
      <c r="H2073" t="s">
        <v>2701</v>
      </c>
      <c r="I2073" t="s">
        <v>2669</v>
      </c>
      <c r="J2073" t="s">
        <v>39</v>
      </c>
      <c r="L2073" t="s">
        <v>2362</v>
      </c>
      <c r="M2073">
        <v>25248213105</v>
      </c>
      <c r="N2073" t="s">
        <v>2746</v>
      </c>
      <c r="O2073" s="1">
        <v>45294</v>
      </c>
      <c r="T2073" t="s">
        <v>2662</v>
      </c>
      <c r="U2073" t="s">
        <v>7441</v>
      </c>
      <c r="V2073">
        <v>1</v>
      </c>
      <c r="W2073" t="s">
        <v>2677</v>
      </c>
      <c r="X2073">
        <v>1</v>
      </c>
      <c r="Y2073" t="s">
        <v>2760</v>
      </c>
      <c r="AA2073">
        <v>25248213105</v>
      </c>
      <c r="AB2073" t="s">
        <v>1611</v>
      </c>
      <c r="AC2073">
        <v>0</v>
      </c>
      <c r="AD2073">
        <v>2</v>
      </c>
      <c r="AE2073">
        <v>252482131052</v>
      </c>
      <c r="AF2073" t="s">
        <v>7442</v>
      </c>
      <c r="AG2073">
        <v>1</v>
      </c>
      <c r="AH2073">
        <v>1</v>
      </c>
    </row>
    <row r="2074" spans="1:35">
      <c r="A2074">
        <v>2026</v>
      </c>
      <c r="B2074" s="1">
        <v>46023</v>
      </c>
      <c r="C2074" t="s">
        <v>2657</v>
      </c>
      <c r="D2074" t="s">
        <v>7443</v>
      </c>
      <c r="E2074" s="43">
        <v>46036.702942986114</v>
      </c>
      <c r="F2074" s="1">
        <v>46036</v>
      </c>
      <c r="G2074" s="43">
        <v>46043.809637951388</v>
      </c>
      <c r="H2074" t="s">
        <v>2701</v>
      </c>
      <c r="I2074" t="s">
        <v>2681</v>
      </c>
      <c r="J2074" t="s">
        <v>39</v>
      </c>
      <c r="L2074" t="s">
        <v>2362</v>
      </c>
      <c r="M2074">
        <v>25248213105</v>
      </c>
      <c r="N2074" t="s">
        <v>2746</v>
      </c>
      <c r="O2074" s="1">
        <v>45294</v>
      </c>
      <c r="T2074" t="s">
        <v>2662</v>
      </c>
      <c r="U2074" t="s">
        <v>7444</v>
      </c>
      <c r="V2074">
        <v>5</v>
      </c>
      <c r="W2074" t="s">
        <v>2677</v>
      </c>
      <c r="X2074">
        <v>1</v>
      </c>
      <c r="Y2074" t="s">
        <v>2760</v>
      </c>
      <c r="AA2074">
        <v>25248213105</v>
      </c>
      <c r="AB2074" t="s">
        <v>1611</v>
      </c>
      <c r="AC2074">
        <v>0</v>
      </c>
      <c r="AD2074">
        <v>3</v>
      </c>
      <c r="AE2074">
        <v>252482131053</v>
      </c>
      <c r="AF2074" t="s">
        <v>7442</v>
      </c>
      <c r="AG2074">
        <v>1</v>
      </c>
      <c r="AH2074">
        <v>0</v>
      </c>
    </row>
    <row r="2075" spans="1:35">
      <c r="A2075">
        <v>2026</v>
      </c>
      <c r="B2075" s="1">
        <v>46023</v>
      </c>
      <c r="C2075" t="s">
        <v>2657</v>
      </c>
      <c r="D2075" t="s">
        <v>7445</v>
      </c>
      <c r="E2075" s="43">
        <v>46036.840774398152</v>
      </c>
      <c r="F2075" s="1">
        <v>46036</v>
      </c>
      <c r="G2075" s="43">
        <v>46037.670299305559</v>
      </c>
      <c r="H2075" t="s">
        <v>2701</v>
      </c>
      <c r="I2075" t="s">
        <v>2681</v>
      </c>
      <c r="J2075" t="s">
        <v>39</v>
      </c>
      <c r="L2075" t="s">
        <v>2362</v>
      </c>
      <c r="M2075">
        <v>25248213105</v>
      </c>
      <c r="N2075" t="s">
        <v>2746</v>
      </c>
      <c r="O2075" s="1">
        <v>45294</v>
      </c>
      <c r="T2075" t="s">
        <v>2662</v>
      </c>
      <c r="U2075" t="s">
        <v>7446</v>
      </c>
      <c r="V2075">
        <v>1</v>
      </c>
      <c r="W2075" t="s">
        <v>2677</v>
      </c>
      <c r="X2075">
        <v>1</v>
      </c>
      <c r="Y2075" t="s">
        <v>2678</v>
      </c>
      <c r="AA2075">
        <v>25248213105</v>
      </c>
      <c r="AB2075" t="s">
        <v>1611</v>
      </c>
      <c r="AC2075">
        <v>0</v>
      </c>
      <c r="AD2075">
        <v>3</v>
      </c>
      <c r="AE2075">
        <v>252482131053</v>
      </c>
      <c r="AF2075" t="s">
        <v>7442</v>
      </c>
      <c r="AG2075">
        <v>0</v>
      </c>
      <c r="AH2075">
        <v>0</v>
      </c>
    </row>
    <row r="2076" spans="1:35">
      <c r="A2076">
        <v>2026</v>
      </c>
      <c r="B2076" s="1">
        <v>46023</v>
      </c>
      <c r="C2076" t="s">
        <v>2657</v>
      </c>
      <c r="D2076" t="s">
        <v>7447</v>
      </c>
      <c r="E2076" s="43">
        <v>46049.819726689813</v>
      </c>
      <c r="F2076" s="1">
        <v>46049</v>
      </c>
      <c r="G2076" s="43">
        <v>46049.819726689813</v>
      </c>
      <c r="H2076" t="s">
        <v>2701</v>
      </c>
      <c r="I2076" t="s">
        <v>2660</v>
      </c>
      <c r="J2076" t="s">
        <v>39</v>
      </c>
      <c r="L2076" t="s">
        <v>2362</v>
      </c>
      <c r="M2076">
        <v>25248213105</v>
      </c>
      <c r="N2076" t="s">
        <v>2746</v>
      </c>
      <c r="O2076" s="1">
        <v>45294</v>
      </c>
      <c r="T2076" t="s">
        <v>2662</v>
      </c>
      <c r="U2076" t="s">
        <v>7448</v>
      </c>
      <c r="V2076">
        <v>0</v>
      </c>
      <c r="W2076" t="s">
        <v>2677</v>
      </c>
      <c r="X2076">
        <v>1</v>
      </c>
      <c r="Y2076" t="s">
        <v>2760</v>
      </c>
      <c r="AA2076">
        <v>25248213105</v>
      </c>
      <c r="AB2076" t="s">
        <v>1611</v>
      </c>
      <c r="AC2076">
        <v>0</v>
      </c>
      <c r="AD2076">
        <v>5</v>
      </c>
      <c r="AE2076">
        <v>252482131055</v>
      </c>
      <c r="AF2076" t="s">
        <v>7442</v>
      </c>
      <c r="AG2076">
        <v>1</v>
      </c>
      <c r="AH2076">
        <v>0</v>
      </c>
      <c r="AI2076" t="s">
        <v>3001</v>
      </c>
    </row>
    <row r="2077" spans="1:35">
      <c r="A2077">
        <v>2025</v>
      </c>
      <c r="B2077" s="1">
        <v>45901</v>
      </c>
      <c r="C2077" t="s">
        <v>2657</v>
      </c>
      <c r="D2077" t="s">
        <v>7449</v>
      </c>
      <c r="E2077" s="43">
        <v>45904.54015390046</v>
      </c>
      <c r="F2077" s="1">
        <v>45904</v>
      </c>
      <c r="G2077" s="43">
        <v>45910.557977453704</v>
      </c>
      <c r="H2077" t="s">
        <v>2734</v>
      </c>
      <c r="I2077" t="s">
        <v>2669</v>
      </c>
      <c r="J2077" t="s">
        <v>38</v>
      </c>
      <c r="L2077" t="s">
        <v>2381</v>
      </c>
      <c r="M2077">
        <v>183456830502</v>
      </c>
      <c r="N2077" t="s">
        <v>2702</v>
      </c>
      <c r="O2077" s="1">
        <v>45661</v>
      </c>
      <c r="T2077" t="s">
        <v>2662</v>
      </c>
      <c r="U2077" t="s">
        <v>7450</v>
      </c>
      <c r="V2077">
        <v>4</v>
      </c>
      <c r="W2077" t="s">
        <v>2743</v>
      </c>
      <c r="X2077">
        <v>1</v>
      </c>
      <c r="Y2077" t="s">
        <v>2699</v>
      </c>
      <c r="AA2077">
        <v>183456830502</v>
      </c>
      <c r="AB2077" t="s">
        <v>1466</v>
      </c>
      <c r="AC2077">
        <v>0</v>
      </c>
      <c r="AD2077">
        <v>36</v>
      </c>
      <c r="AE2077">
        <v>18345683050236</v>
      </c>
      <c r="AF2077" t="s">
        <v>7451</v>
      </c>
      <c r="AG2077">
        <v>1</v>
      </c>
      <c r="AH2077">
        <v>1</v>
      </c>
    </row>
    <row r="2078" spans="1:35">
      <c r="A2078">
        <v>2025</v>
      </c>
      <c r="B2078" s="1">
        <v>45901</v>
      </c>
      <c r="C2078" t="s">
        <v>2657</v>
      </c>
      <c r="D2078" t="s">
        <v>7452</v>
      </c>
      <c r="E2078" s="43">
        <v>45923.745688275463</v>
      </c>
      <c r="F2078" s="1">
        <v>45923</v>
      </c>
      <c r="G2078" s="43">
        <v>45923.745688275463</v>
      </c>
      <c r="H2078" t="s">
        <v>2734</v>
      </c>
      <c r="I2078" t="s">
        <v>2660</v>
      </c>
      <c r="J2078" t="s">
        <v>38</v>
      </c>
      <c r="L2078" t="s">
        <v>2381</v>
      </c>
      <c r="M2078">
        <v>183456830502</v>
      </c>
      <c r="N2078" t="s">
        <v>2702</v>
      </c>
      <c r="O2078" s="1">
        <v>45661</v>
      </c>
      <c r="T2078" t="s">
        <v>2662</v>
      </c>
      <c r="U2078" t="s">
        <v>7453</v>
      </c>
      <c r="V2078">
        <v>0</v>
      </c>
      <c r="W2078" t="s">
        <v>2743</v>
      </c>
      <c r="X2078">
        <v>1</v>
      </c>
      <c r="Y2078" t="s">
        <v>2721</v>
      </c>
      <c r="AA2078">
        <v>183456830502</v>
      </c>
      <c r="AB2078" t="s">
        <v>1466</v>
      </c>
      <c r="AC2078">
        <v>0</v>
      </c>
      <c r="AD2078">
        <v>39</v>
      </c>
      <c r="AE2078">
        <v>18345683050239</v>
      </c>
      <c r="AF2078" t="s">
        <v>7451</v>
      </c>
      <c r="AG2078">
        <v>1</v>
      </c>
      <c r="AH2078">
        <v>0</v>
      </c>
    </row>
    <row r="2079" spans="1:35">
      <c r="A2079">
        <v>2025</v>
      </c>
      <c r="B2079" s="1">
        <v>45901</v>
      </c>
      <c r="C2079" t="s">
        <v>2657</v>
      </c>
      <c r="D2079" t="s">
        <v>7454</v>
      </c>
      <c r="E2079" s="43">
        <v>45929.596672858796</v>
      </c>
      <c r="F2079" s="1">
        <v>45929</v>
      </c>
      <c r="G2079" s="43">
        <v>45929.603201736114</v>
      </c>
      <c r="H2079" t="s">
        <v>2734</v>
      </c>
      <c r="I2079" t="s">
        <v>2697</v>
      </c>
      <c r="J2079" t="s">
        <v>38</v>
      </c>
      <c r="L2079" t="s">
        <v>2381</v>
      </c>
      <c r="M2079">
        <v>183456830502</v>
      </c>
      <c r="N2079" t="s">
        <v>2702</v>
      </c>
      <c r="O2079" s="1">
        <v>45661</v>
      </c>
      <c r="T2079" t="s">
        <v>2662</v>
      </c>
      <c r="U2079" t="s">
        <v>7455</v>
      </c>
      <c r="V2079">
        <v>0</v>
      </c>
      <c r="W2079" t="s">
        <v>2743</v>
      </c>
      <c r="X2079">
        <v>1</v>
      </c>
      <c r="Y2079" t="s">
        <v>2699</v>
      </c>
      <c r="AA2079">
        <v>183456830502</v>
      </c>
      <c r="AB2079" t="s">
        <v>1466</v>
      </c>
      <c r="AC2079">
        <v>0</v>
      </c>
      <c r="AD2079">
        <v>40</v>
      </c>
      <c r="AE2079">
        <v>18345683050240</v>
      </c>
      <c r="AF2079" t="s">
        <v>7451</v>
      </c>
      <c r="AG2079">
        <v>1</v>
      </c>
      <c r="AH2079">
        <v>0</v>
      </c>
    </row>
    <row r="2080" spans="1:35">
      <c r="A2080">
        <v>2025</v>
      </c>
      <c r="B2080" s="1">
        <v>45962</v>
      </c>
      <c r="C2080" t="s">
        <v>2657</v>
      </c>
      <c r="D2080" t="s">
        <v>7456</v>
      </c>
      <c r="E2080" s="43">
        <v>45964.570388553242</v>
      </c>
      <c r="F2080" s="1">
        <v>45964</v>
      </c>
      <c r="G2080" s="43">
        <v>45972.819775381948</v>
      </c>
      <c r="H2080" t="s">
        <v>2802</v>
      </c>
      <c r="I2080" t="s">
        <v>2669</v>
      </c>
      <c r="J2080" t="s">
        <v>37</v>
      </c>
      <c r="L2080" t="s">
        <v>2351</v>
      </c>
      <c r="M2080">
        <v>219314571102</v>
      </c>
      <c r="N2080" t="s">
        <v>2661</v>
      </c>
      <c r="O2080" s="1">
        <v>45835</v>
      </c>
      <c r="T2080" t="s">
        <v>2662</v>
      </c>
      <c r="U2080" t="s">
        <v>7457</v>
      </c>
      <c r="V2080">
        <v>6</v>
      </c>
      <c r="W2080" t="s">
        <v>2671</v>
      </c>
      <c r="X2080">
        <v>1</v>
      </c>
      <c r="Y2080" t="s">
        <v>2744</v>
      </c>
      <c r="Z2080" t="s">
        <v>2684</v>
      </c>
      <c r="AA2080">
        <v>551856008602</v>
      </c>
      <c r="AB2080" t="s">
        <v>1248</v>
      </c>
      <c r="AC2080">
        <v>0</v>
      </c>
      <c r="AD2080">
        <v>45</v>
      </c>
      <c r="AE2080">
        <v>55185600860245</v>
      </c>
      <c r="AF2080" t="s">
        <v>7458</v>
      </c>
      <c r="AG2080">
        <v>0</v>
      </c>
      <c r="AH2080">
        <v>0</v>
      </c>
    </row>
    <row r="2081" spans="1:35">
      <c r="A2081">
        <v>2025</v>
      </c>
      <c r="B2081" s="1">
        <v>45962</v>
      </c>
      <c r="C2081" t="s">
        <v>2657</v>
      </c>
      <c r="D2081" t="s">
        <v>7459</v>
      </c>
      <c r="E2081" s="43">
        <v>45964.573026840277</v>
      </c>
      <c r="F2081" s="1">
        <v>45964</v>
      </c>
      <c r="G2081" s="43">
        <v>45967.50612377315</v>
      </c>
      <c r="H2081" t="s">
        <v>2802</v>
      </c>
      <c r="I2081" t="s">
        <v>2669</v>
      </c>
      <c r="J2081" t="s">
        <v>37</v>
      </c>
      <c r="L2081" t="s">
        <v>2351</v>
      </c>
      <c r="M2081">
        <v>219314571102</v>
      </c>
      <c r="N2081" t="s">
        <v>2661</v>
      </c>
      <c r="O2081" s="1">
        <v>45835</v>
      </c>
      <c r="T2081" t="s">
        <v>2662</v>
      </c>
      <c r="U2081" t="s">
        <v>7460</v>
      </c>
      <c r="V2081">
        <v>3</v>
      </c>
      <c r="W2081" t="s">
        <v>2671</v>
      </c>
      <c r="X2081">
        <v>1</v>
      </c>
      <c r="Y2081" t="s">
        <v>2931</v>
      </c>
      <c r="AA2081">
        <v>551856008602</v>
      </c>
      <c r="AB2081" t="s">
        <v>1248</v>
      </c>
      <c r="AC2081">
        <v>0</v>
      </c>
      <c r="AD2081">
        <v>45</v>
      </c>
      <c r="AE2081">
        <v>55185600860245</v>
      </c>
      <c r="AF2081" t="s">
        <v>7458</v>
      </c>
      <c r="AG2081">
        <v>0</v>
      </c>
      <c r="AH2081">
        <v>0</v>
      </c>
    </row>
    <row r="2082" spans="1:35">
      <c r="A2082">
        <v>2025</v>
      </c>
      <c r="B2082" s="1">
        <v>45962</v>
      </c>
      <c r="C2082" t="s">
        <v>2657</v>
      </c>
      <c r="D2082" t="s">
        <v>7461</v>
      </c>
      <c r="E2082" s="43">
        <v>45964.547850428244</v>
      </c>
      <c r="F2082" s="1">
        <v>45964</v>
      </c>
      <c r="G2082" s="43">
        <v>45989.828996805554</v>
      </c>
      <c r="H2082" t="s">
        <v>2802</v>
      </c>
      <c r="I2082" t="s">
        <v>2669</v>
      </c>
      <c r="J2082" t="s">
        <v>37</v>
      </c>
      <c r="L2082" t="s">
        <v>2351</v>
      </c>
      <c r="M2082">
        <v>219314571102</v>
      </c>
      <c r="N2082" t="s">
        <v>2661</v>
      </c>
      <c r="O2082" s="1">
        <v>45835</v>
      </c>
      <c r="T2082" t="s">
        <v>2662</v>
      </c>
      <c r="U2082" t="s">
        <v>7462</v>
      </c>
      <c r="V2082">
        <v>19</v>
      </c>
      <c r="W2082" t="s">
        <v>2671</v>
      </c>
      <c r="X2082">
        <v>1</v>
      </c>
      <c r="Y2082" t="s">
        <v>2744</v>
      </c>
      <c r="Z2082" t="s">
        <v>2684</v>
      </c>
      <c r="AA2082">
        <v>551856008602</v>
      </c>
      <c r="AB2082" t="s">
        <v>1248</v>
      </c>
      <c r="AC2082">
        <v>0</v>
      </c>
      <c r="AD2082">
        <v>45</v>
      </c>
      <c r="AE2082">
        <v>55185600860245</v>
      </c>
      <c r="AF2082" t="s">
        <v>7458</v>
      </c>
      <c r="AG2082">
        <v>1</v>
      </c>
      <c r="AH2082">
        <v>1</v>
      </c>
    </row>
    <row r="2083" spans="1:35">
      <c r="A2083">
        <v>2025</v>
      </c>
      <c r="B2083" s="1">
        <v>45962</v>
      </c>
      <c r="C2083" t="s">
        <v>2657</v>
      </c>
      <c r="D2083" t="s">
        <v>7463</v>
      </c>
      <c r="E2083" s="43">
        <v>45974.898135011572</v>
      </c>
      <c r="F2083" s="1">
        <v>45974</v>
      </c>
      <c r="G2083" s="43">
        <v>45988.873257916668</v>
      </c>
      <c r="H2083" t="s">
        <v>2802</v>
      </c>
      <c r="I2083" t="s">
        <v>2681</v>
      </c>
      <c r="J2083" t="s">
        <v>37</v>
      </c>
      <c r="L2083" t="s">
        <v>2351</v>
      </c>
      <c r="M2083">
        <v>219314571102</v>
      </c>
      <c r="N2083" t="s">
        <v>2661</v>
      </c>
      <c r="O2083" s="1">
        <v>45835</v>
      </c>
      <c r="T2083" t="s">
        <v>2662</v>
      </c>
      <c r="U2083" t="s">
        <v>7464</v>
      </c>
      <c r="V2083">
        <v>10</v>
      </c>
      <c r="W2083" t="s">
        <v>2671</v>
      </c>
      <c r="X2083">
        <v>1</v>
      </c>
      <c r="Y2083" t="s">
        <v>2767</v>
      </c>
      <c r="AA2083">
        <v>551856008602</v>
      </c>
      <c r="AB2083" t="s">
        <v>1248</v>
      </c>
      <c r="AC2083">
        <v>0</v>
      </c>
      <c r="AD2083">
        <v>46</v>
      </c>
      <c r="AE2083">
        <v>55185600860246</v>
      </c>
      <c r="AF2083" t="s">
        <v>7458</v>
      </c>
      <c r="AG2083">
        <v>1</v>
      </c>
      <c r="AH2083">
        <v>0</v>
      </c>
    </row>
    <row r="2084" spans="1:35">
      <c r="A2084">
        <v>2025</v>
      </c>
      <c r="B2084" s="1">
        <v>45962</v>
      </c>
      <c r="C2084" t="s">
        <v>2657</v>
      </c>
      <c r="D2084" t="s">
        <v>7465</v>
      </c>
      <c r="E2084" s="43">
        <v>45987.672711539351</v>
      </c>
      <c r="F2084" s="1">
        <v>45987</v>
      </c>
      <c r="G2084" s="43">
        <v>45992.614570717589</v>
      </c>
      <c r="H2084" t="s">
        <v>2802</v>
      </c>
      <c r="I2084" t="s">
        <v>2660</v>
      </c>
      <c r="J2084" t="s">
        <v>37</v>
      </c>
      <c r="L2084" t="s">
        <v>2351</v>
      </c>
      <c r="M2084">
        <v>219314571102</v>
      </c>
      <c r="N2084" t="s">
        <v>2661</v>
      </c>
      <c r="O2084" s="1">
        <v>45835</v>
      </c>
      <c r="T2084" t="s">
        <v>2662</v>
      </c>
      <c r="U2084" t="s">
        <v>7466</v>
      </c>
      <c r="V2084">
        <v>3</v>
      </c>
      <c r="W2084" t="s">
        <v>2671</v>
      </c>
      <c r="X2084">
        <v>1</v>
      </c>
      <c r="Y2084" t="s">
        <v>2683</v>
      </c>
      <c r="AA2084">
        <v>551856008602</v>
      </c>
      <c r="AB2084" t="s">
        <v>1248</v>
      </c>
      <c r="AC2084">
        <v>0</v>
      </c>
      <c r="AD2084">
        <v>48</v>
      </c>
      <c r="AE2084">
        <v>55185600860248</v>
      </c>
      <c r="AF2084" t="s">
        <v>7458</v>
      </c>
      <c r="AG2084">
        <v>0</v>
      </c>
      <c r="AH2084">
        <v>0</v>
      </c>
    </row>
    <row r="2085" spans="1:35">
      <c r="A2085">
        <v>2025</v>
      </c>
      <c r="B2085" s="1">
        <v>45962</v>
      </c>
      <c r="C2085" t="s">
        <v>2657</v>
      </c>
      <c r="D2085" t="s">
        <v>7467</v>
      </c>
      <c r="E2085" s="43">
        <v>45985.632718715278</v>
      </c>
      <c r="F2085" s="1">
        <v>45985</v>
      </c>
      <c r="G2085" s="43">
        <v>45992.614330532408</v>
      </c>
      <c r="H2085" t="s">
        <v>2802</v>
      </c>
      <c r="I2085" t="s">
        <v>2660</v>
      </c>
      <c r="J2085" t="s">
        <v>37</v>
      </c>
      <c r="L2085" t="s">
        <v>2351</v>
      </c>
      <c r="M2085">
        <v>219314571102</v>
      </c>
      <c r="N2085" t="s">
        <v>2661</v>
      </c>
      <c r="O2085" s="1">
        <v>45835</v>
      </c>
      <c r="T2085" t="s">
        <v>2662</v>
      </c>
      <c r="U2085" t="s">
        <v>7468</v>
      </c>
      <c r="V2085">
        <v>5</v>
      </c>
      <c r="W2085" t="s">
        <v>2671</v>
      </c>
      <c r="X2085">
        <v>1</v>
      </c>
      <c r="Y2085" t="s">
        <v>2683</v>
      </c>
      <c r="AA2085">
        <v>551856008602</v>
      </c>
      <c r="AB2085" t="s">
        <v>1248</v>
      </c>
      <c r="AC2085">
        <v>0</v>
      </c>
      <c r="AD2085">
        <v>48</v>
      </c>
      <c r="AE2085">
        <v>55185600860248</v>
      </c>
      <c r="AF2085" t="s">
        <v>7458</v>
      </c>
      <c r="AG2085">
        <v>1</v>
      </c>
      <c r="AH2085">
        <v>0</v>
      </c>
    </row>
    <row r="2086" spans="1:35">
      <c r="A2086">
        <v>2026</v>
      </c>
      <c r="B2086" s="1">
        <v>46054</v>
      </c>
      <c r="C2086" t="s">
        <v>2657</v>
      </c>
      <c r="D2086" t="s">
        <v>7469</v>
      </c>
      <c r="E2086" s="43">
        <v>46055.512309768521</v>
      </c>
      <c r="F2086" s="1">
        <v>46055</v>
      </c>
      <c r="G2086" s="43">
        <v>46055.656643831018</v>
      </c>
      <c r="H2086" t="s">
        <v>2725</v>
      </c>
      <c r="I2086" t="s">
        <v>2669</v>
      </c>
      <c r="J2086" t="s">
        <v>39</v>
      </c>
      <c r="L2086" t="s">
        <v>2336</v>
      </c>
      <c r="M2086">
        <v>1041281178802</v>
      </c>
      <c r="N2086" t="s">
        <v>2746</v>
      </c>
      <c r="O2086" s="1">
        <v>45937</v>
      </c>
      <c r="T2086" t="s">
        <v>2662</v>
      </c>
      <c r="U2086" t="s">
        <v>7470</v>
      </c>
      <c r="V2086">
        <v>0</v>
      </c>
      <c r="W2086" t="s">
        <v>2677</v>
      </c>
      <c r="X2086">
        <v>1</v>
      </c>
      <c r="Y2086" t="s">
        <v>2760</v>
      </c>
      <c r="AA2086">
        <v>1041281178802</v>
      </c>
      <c r="AB2086" t="s">
        <v>726</v>
      </c>
      <c r="AC2086">
        <v>0</v>
      </c>
      <c r="AD2086">
        <v>6</v>
      </c>
      <c r="AE2086">
        <v>10412811788026</v>
      </c>
      <c r="AF2086" t="s">
        <v>7471</v>
      </c>
      <c r="AG2086">
        <v>1</v>
      </c>
      <c r="AH2086">
        <v>1</v>
      </c>
    </row>
    <row r="2087" spans="1:35">
      <c r="A2087">
        <v>2026</v>
      </c>
      <c r="B2087" s="1">
        <v>46054</v>
      </c>
      <c r="C2087" t="s">
        <v>2657</v>
      </c>
      <c r="D2087" t="s">
        <v>7472</v>
      </c>
      <c r="E2087" s="43">
        <v>46062.798189236113</v>
      </c>
      <c r="F2087" s="1">
        <v>46062</v>
      </c>
      <c r="G2087" s="43">
        <v>46064.50965172454</v>
      </c>
      <c r="H2087" t="s">
        <v>2725</v>
      </c>
      <c r="I2087" t="s">
        <v>2681</v>
      </c>
      <c r="J2087" t="s">
        <v>39</v>
      </c>
      <c r="L2087" t="s">
        <v>2336</v>
      </c>
      <c r="M2087">
        <v>1041281178802</v>
      </c>
      <c r="N2087" t="s">
        <v>2746</v>
      </c>
      <c r="O2087" s="1">
        <v>45937</v>
      </c>
      <c r="T2087" t="s">
        <v>2662</v>
      </c>
      <c r="U2087" t="s">
        <v>7473</v>
      </c>
      <c r="V2087">
        <v>2</v>
      </c>
      <c r="W2087" t="s">
        <v>2677</v>
      </c>
      <c r="X2087">
        <v>1</v>
      </c>
      <c r="Y2087" t="s">
        <v>2760</v>
      </c>
      <c r="AA2087">
        <v>1041281178802</v>
      </c>
      <c r="AB2087" t="s">
        <v>726</v>
      </c>
      <c r="AC2087">
        <v>0</v>
      </c>
      <c r="AD2087">
        <v>7</v>
      </c>
      <c r="AE2087">
        <v>10412811788027</v>
      </c>
      <c r="AF2087" t="s">
        <v>7471</v>
      </c>
      <c r="AG2087">
        <v>1</v>
      </c>
      <c r="AH2087">
        <v>0</v>
      </c>
    </row>
    <row r="2088" spans="1:35">
      <c r="A2088">
        <v>2026</v>
      </c>
      <c r="B2088" s="1">
        <v>46054</v>
      </c>
      <c r="C2088" t="s">
        <v>2657</v>
      </c>
      <c r="D2088" t="s">
        <v>7474</v>
      </c>
      <c r="E2088" s="43">
        <v>46064.58197284722</v>
      </c>
      <c r="F2088" s="1">
        <v>46064</v>
      </c>
      <c r="G2088" s="43">
        <v>46066.687926087965</v>
      </c>
      <c r="H2088" t="s">
        <v>2725</v>
      </c>
      <c r="I2088" t="s">
        <v>2681</v>
      </c>
      <c r="J2088" t="s">
        <v>39</v>
      </c>
      <c r="L2088" t="s">
        <v>2336</v>
      </c>
      <c r="M2088">
        <v>1041281178802</v>
      </c>
      <c r="N2088" t="s">
        <v>2746</v>
      </c>
      <c r="O2088" s="1">
        <v>45937</v>
      </c>
      <c r="T2088" t="s">
        <v>2662</v>
      </c>
      <c r="U2088" t="s">
        <v>7475</v>
      </c>
      <c r="V2088">
        <v>2</v>
      </c>
      <c r="W2088" t="s">
        <v>2677</v>
      </c>
      <c r="X2088">
        <v>1</v>
      </c>
      <c r="Y2088" t="s">
        <v>2772</v>
      </c>
      <c r="AA2088">
        <v>1041281178802</v>
      </c>
      <c r="AB2088" t="s">
        <v>726</v>
      </c>
      <c r="AC2088">
        <v>0</v>
      </c>
      <c r="AD2088">
        <v>7</v>
      </c>
      <c r="AE2088">
        <v>10412811788027</v>
      </c>
      <c r="AF2088" t="s">
        <v>7471</v>
      </c>
      <c r="AG2088">
        <v>0</v>
      </c>
      <c r="AH2088">
        <v>0</v>
      </c>
    </row>
    <row r="2089" spans="1:35">
      <c r="A2089">
        <v>2026</v>
      </c>
      <c r="B2089" s="1">
        <v>46054</v>
      </c>
      <c r="C2089" t="s">
        <v>2657</v>
      </c>
      <c r="D2089" t="s">
        <v>7476</v>
      </c>
      <c r="E2089" s="43">
        <v>46066.569662083333</v>
      </c>
      <c r="F2089" s="1">
        <v>46066</v>
      </c>
      <c r="G2089" s="43">
        <v>46066.701867696756</v>
      </c>
      <c r="H2089" t="s">
        <v>2725</v>
      </c>
      <c r="I2089" t="s">
        <v>2681</v>
      </c>
      <c r="J2089" t="s">
        <v>39</v>
      </c>
      <c r="L2089" t="s">
        <v>2336</v>
      </c>
      <c r="M2089">
        <v>1106270355002</v>
      </c>
      <c r="N2089" t="s">
        <v>2746</v>
      </c>
      <c r="O2089" s="1">
        <v>45937</v>
      </c>
      <c r="T2089" t="s">
        <v>2662</v>
      </c>
      <c r="U2089" t="s">
        <v>7477</v>
      </c>
      <c r="V2089">
        <v>0</v>
      </c>
      <c r="W2089" t="s">
        <v>2671</v>
      </c>
      <c r="X2089">
        <v>1</v>
      </c>
      <c r="Y2089" t="s">
        <v>2764</v>
      </c>
      <c r="AA2089">
        <v>1041281178802</v>
      </c>
      <c r="AB2089" t="s">
        <v>726</v>
      </c>
      <c r="AC2089">
        <v>0</v>
      </c>
      <c r="AD2089">
        <v>7</v>
      </c>
      <c r="AE2089">
        <v>10412811788027</v>
      </c>
      <c r="AF2089" t="s">
        <v>7471</v>
      </c>
      <c r="AG2089">
        <v>0</v>
      </c>
      <c r="AH2089">
        <v>0</v>
      </c>
    </row>
    <row r="2090" spans="1:35">
      <c r="A2090">
        <v>2026</v>
      </c>
      <c r="B2090" s="1">
        <v>46082</v>
      </c>
      <c r="C2090" t="s">
        <v>2657</v>
      </c>
      <c r="D2090" t="s">
        <v>7478</v>
      </c>
      <c r="E2090" s="43">
        <v>46090.760084861111</v>
      </c>
      <c r="F2090" s="1">
        <v>46090</v>
      </c>
      <c r="G2090" s="43">
        <v>46091.792716122683</v>
      </c>
      <c r="H2090" t="s">
        <v>2668</v>
      </c>
      <c r="I2090" t="s">
        <v>2681</v>
      </c>
      <c r="J2090" t="s">
        <v>39</v>
      </c>
      <c r="L2090" t="s">
        <v>2336</v>
      </c>
      <c r="M2090">
        <v>902277407302</v>
      </c>
      <c r="N2090" t="s">
        <v>2746</v>
      </c>
      <c r="O2090" s="1">
        <v>45661</v>
      </c>
      <c r="T2090" t="s">
        <v>2662</v>
      </c>
      <c r="U2090" t="s">
        <v>7479</v>
      </c>
      <c r="V2090">
        <v>1</v>
      </c>
      <c r="W2090" t="s">
        <v>2671</v>
      </c>
      <c r="X2090">
        <v>1</v>
      </c>
      <c r="Y2090" t="s">
        <v>2692</v>
      </c>
      <c r="AA2090">
        <v>92771955402</v>
      </c>
      <c r="AB2090" t="s">
        <v>645</v>
      </c>
      <c r="AC2090">
        <v>1</v>
      </c>
      <c r="AD2090">
        <v>11</v>
      </c>
      <c r="AE2090">
        <v>9277195540211</v>
      </c>
      <c r="AF2090" t="s">
        <v>7480</v>
      </c>
      <c r="AG2090">
        <v>0</v>
      </c>
      <c r="AH2090">
        <v>0</v>
      </c>
    </row>
    <row r="2091" spans="1:35">
      <c r="A2091">
        <v>2026</v>
      </c>
      <c r="B2091" s="1">
        <v>46082</v>
      </c>
      <c r="C2091" t="s">
        <v>2657</v>
      </c>
      <c r="D2091" t="s">
        <v>7481</v>
      </c>
      <c r="E2091" s="43">
        <v>46090.738517766207</v>
      </c>
      <c r="F2091" s="1">
        <v>46090</v>
      </c>
      <c r="G2091" s="43">
        <v>46091.568856574071</v>
      </c>
      <c r="H2091" t="s">
        <v>2668</v>
      </c>
      <c r="I2091" t="s">
        <v>2681</v>
      </c>
      <c r="J2091" t="s">
        <v>39</v>
      </c>
      <c r="L2091" t="s">
        <v>2336</v>
      </c>
      <c r="M2091">
        <v>902277407302</v>
      </c>
      <c r="N2091" t="s">
        <v>2746</v>
      </c>
      <c r="O2091" s="1">
        <v>45661</v>
      </c>
      <c r="T2091" t="s">
        <v>2798</v>
      </c>
      <c r="U2091" t="s">
        <v>7482</v>
      </c>
      <c r="V2091">
        <v>4</v>
      </c>
      <c r="W2091" t="s">
        <v>2671</v>
      </c>
      <c r="X2091">
        <v>0</v>
      </c>
      <c r="Y2091" t="s">
        <v>2683</v>
      </c>
      <c r="AA2091">
        <v>92771955402</v>
      </c>
      <c r="AB2091" t="s">
        <v>645</v>
      </c>
      <c r="AC2091">
        <v>0</v>
      </c>
      <c r="AD2091">
        <v>11</v>
      </c>
      <c r="AE2091">
        <v>9277195540211</v>
      </c>
      <c r="AF2091" t="s">
        <v>7480</v>
      </c>
      <c r="AG2091">
        <v>0</v>
      </c>
      <c r="AH2091">
        <v>0</v>
      </c>
    </row>
    <row r="2092" spans="1:35">
      <c r="A2092">
        <v>2026</v>
      </c>
      <c r="B2092" s="1">
        <v>46082</v>
      </c>
      <c r="C2092" t="s">
        <v>2657</v>
      </c>
      <c r="D2092" t="s">
        <v>7483</v>
      </c>
      <c r="E2092" s="43">
        <v>46090.733036516205</v>
      </c>
      <c r="F2092" s="1">
        <v>46090</v>
      </c>
      <c r="G2092" s="43">
        <v>46092.64526542824</v>
      </c>
      <c r="H2092" t="s">
        <v>2668</v>
      </c>
      <c r="I2092" t="s">
        <v>2681</v>
      </c>
      <c r="J2092" t="s">
        <v>39</v>
      </c>
      <c r="L2092" t="s">
        <v>2336</v>
      </c>
      <c r="M2092">
        <v>92771955402</v>
      </c>
      <c r="N2092" t="s">
        <v>2746</v>
      </c>
      <c r="O2092" s="1">
        <v>45661</v>
      </c>
      <c r="T2092" t="s">
        <v>2662</v>
      </c>
      <c r="U2092" t="s">
        <v>7484</v>
      </c>
      <c r="V2092">
        <v>2</v>
      </c>
      <c r="W2092" t="s">
        <v>2671</v>
      </c>
      <c r="X2092">
        <v>1</v>
      </c>
      <c r="Y2092" t="s">
        <v>2683</v>
      </c>
      <c r="AA2092">
        <v>92771955402</v>
      </c>
      <c r="AB2092" t="s">
        <v>645</v>
      </c>
      <c r="AC2092">
        <v>0</v>
      </c>
      <c r="AD2092">
        <v>11</v>
      </c>
      <c r="AE2092">
        <v>9277195540211</v>
      </c>
      <c r="AF2092" t="s">
        <v>7480</v>
      </c>
      <c r="AG2092">
        <v>1</v>
      </c>
      <c r="AH2092">
        <v>1</v>
      </c>
    </row>
    <row r="2093" spans="1:35">
      <c r="A2093">
        <v>2025</v>
      </c>
      <c r="B2093" s="1">
        <v>45962</v>
      </c>
      <c r="C2093" t="s">
        <v>2657</v>
      </c>
      <c r="D2093" t="s">
        <v>7485</v>
      </c>
      <c r="E2093" s="43">
        <v>45965.69359224537</v>
      </c>
      <c r="F2093" s="1">
        <v>45965</v>
      </c>
      <c r="G2093" s="43">
        <v>45979.593258460649</v>
      </c>
      <c r="H2093" t="s">
        <v>2802</v>
      </c>
      <c r="I2093" t="s">
        <v>2669</v>
      </c>
      <c r="J2093" t="s">
        <v>38</v>
      </c>
      <c r="L2093" t="s">
        <v>2379</v>
      </c>
      <c r="M2093">
        <v>653955892602</v>
      </c>
      <c r="N2093" t="s">
        <v>2675</v>
      </c>
      <c r="O2093" s="1">
        <v>45926</v>
      </c>
      <c r="T2093" t="s">
        <v>2662</v>
      </c>
      <c r="U2093" t="s">
        <v>7486</v>
      </c>
      <c r="V2093">
        <v>10</v>
      </c>
      <c r="W2093" t="s">
        <v>2677</v>
      </c>
      <c r="X2093">
        <v>1</v>
      </c>
      <c r="Y2093" t="s">
        <v>2807</v>
      </c>
      <c r="Z2093" t="s">
        <v>2684</v>
      </c>
      <c r="AA2093">
        <v>653955892602</v>
      </c>
      <c r="AB2093" t="s">
        <v>860</v>
      </c>
      <c r="AC2093">
        <v>0</v>
      </c>
      <c r="AD2093">
        <v>45</v>
      </c>
      <c r="AE2093">
        <v>65395589260245</v>
      </c>
      <c r="AF2093" t="s">
        <v>7487</v>
      </c>
      <c r="AG2093">
        <v>1</v>
      </c>
      <c r="AH2093">
        <v>1</v>
      </c>
    </row>
    <row r="2094" spans="1:35">
      <c r="A2094">
        <v>2025</v>
      </c>
      <c r="B2094" s="1">
        <v>45992</v>
      </c>
      <c r="C2094" t="s">
        <v>2657</v>
      </c>
      <c r="D2094" t="s">
        <v>7488</v>
      </c>
      <c r="E2094" s="43">
        <v>45999.537910451392</v>
      </c>
      <c r="F2094" s="1">
        <v>45999</v>
      </c>
      <c r="G2094" s="43">
        <v>45999.537910451392</v>
      </c>
      <c r="H2094" t="s">
        <v>2686</v>
      </c>
      <c r="I2094" t="s">
        <v>2681</v>
      </c>
      <c r="J2094" t="s">
        <v>38</v>
      </c>
      <c r="L2094" t="s">
        <v>2472</v>
      </c>
      <c r="M2094">
        <v>596977542502</v>
      </c>
      <c r="N2094" t="s">
        <v>2702</v>
      </c>
      <c r="O2094" s="1">
        <v>45524</v>
      </c>
      <c r="T2094" t="s">
        <v>2662</v>
      </c>
      <c r="U2094" t="s">
        <v>7489</v>
      </c>
      <c r="V2094">
        <v>0</v>
      </c>
      <c r="W2094" t="s">
        <v>2671</v>
      </c>
      <c r="X2094">
        <v>1</v>
      </c>
      <c r="Y2094" t="s">
        <v>2695</v>
      </c>
      <c r="AA2094">
        <v>509224899302</v>
      </c>
      <c r="AB2094" t="s">
        <v>1857</v>
      </c>
      <c r="AC2094">
        <v>0</v>
      </c>
      <c r="AD2094">
        <v>50</v>
      </c>
      <c r="AE2094">
        <v>50922489930250</v>
      </c>
      <c r="AF2094" t="s">
        <v>7490</v>
      </c>
      <c r="AG2094">
        <v>1</v>
      </c>
      <c r="AH2094">
        <v>1</v>
      </c>
    </row>
    <row r="2095" spans="1:35">
      <c r="A2095">
        <v>2025</v>
      </c>
      <c r="B2095" s="1">
        <v>45992</v>
      </c>
      <c r="C2095" t="s">
        <v>2657</v>
      </c>
      <c r="D2095" s="44" t="s">
        <v>7491</v>
      </c>
      <c r="E2095" s="43">
        <v>46002.875146724538</v>
      </c>
      <c r="F2095" s="1">
        <v>46002</v>
      </c>
      <c r="G2095" s="43">
        <v>46006.679001979166</v>
      </c>
      <c r="H2095" t="s">
        <v>2686</v>
      </c>
      <c r="I2095" t="s">
        <v>2681</v>
      </c>
      <c r="J2095" t="s">
        <v>38</v>
      </c>
      <c r="L2095" t="s">
        <v>2472</v>
      </c>
      <c r="M2095">
        <v>596977542502</v>
      </c>
      <c r="N2095" t="s">
        <v>2702</v>
      </c>
      <c r="O2095" s="1">
        <v>45524</v>
      </c>
      <c r="T2095" t="s">
        <v>2662</v>
      </c>
      <c r="U2095" t="s">
        <v>7492</v>
      </c>
      <c r="V2095">
        <v>2</v>
      </c>
      <c r="X2095">
        <v>1</v>
      </c>
      <c r="Z2095" t="s">
        <v>2684</v>
      </c>
      <c r="AA2095">
        <v>509224899302</v>
      </c>
      <c r="AB2095" t="s">
        <v>1857</v>
      </c>
      <c r="AC2095">
        <v>0</v>
      </c>
      <c r="AD2095">
        <v>50</v>
      </c>
      <c r="AE2095">
        <v>50922489930250</v>
      </c>
      <c r="AF2095" t="s">
        <v>7490</v>
      </c>
      <c r="AG2095">
        <v>0</v>
      </c>
      <c r="AH2095">
        <v>0</v>
      </c>
      <c r="AI2095" t="s">
        <v>3001</v>
      </c>
    </row>
    <row r="2096" spans="1:35">
      <c r="A2096">
        <v>2026</v>
      </c>
      <c r="B2096" s="1">
        <v>46023</v>
      </c>
      <c r="C2096" t="s">
        <v>2657</v>
      </c>
      <c r="D2096" t="s">
        <v>7493</v>
      </c>
      <c r="E2096" s="43">
        <v>46041.825869803244</v>
      </c>
      <c r="F2096" s="1">
        <v>46041</v>
      </c>
      <c r="G2096" s="43">
        <v>46042.518929363425</v>
      </c>
      <c r="H2096" t="s">
        <v>2701</v>
      </c>
      <c r="I2096" t="s">
        <v>2719</v>
      </c>
      <c r="J2096" t="s">
        <v>37</v>
      </c>
      <c r="L2096" t="s">
        <v>2351</v>
      </c>
      <c r="M2096">
        <v>1030040901202</v>
      </c>
      <c r="N2096" t="s">
        <v>2661</v>
      </c>
      <c r="O2096" s="1">
        <v>45702</v>
      </c>
      <c r="T2096" t="s">
        <v>2662</v>
      </c>
      <c r="U2096" t="s">
        <v>7494</v>
      </c>
      <c r="V2096">
        <v>1</v>
      </c>
      <c r="W2096" t="s">
        <v>2677</v>
      </c>
      <c r="X2096">
        <v>1</v>
      </c>
      <c r="Y2096" t="s">
        <v>2807</v>
      </c>
      <c r="AA2096">
        <v>1030040901202</v>
      </c>
      <c r="AB2096" t="s">
        <v>810</v>
      </c>
      <c r="AC2096">
        <v>0</v>
      </c>
      <c r="AD2096">
        <v>4</v>
      </c>
      <c r="AE2096">
        <v>10300409012024</v>
      </c>
      <c r="AF2096" t="s">
        <v>7495</v>
      </c>
      <c r="AG2096">
        <v>1</v>
      </c>
      <c r="AH2096">
        <v>1</v>
      </c>
    </row>
    <row r="2097" spans="1:34">
      <c r="A2097">
        <v>2026</v>
      </c>
      <c r="B2097" s="1">
        <v>46023</v>
      </c>
      <c r="C2097" t="s">
        <v>2657</v>
      </c>
      <c r="D2097" t="s">
        <v>7496</v>
      </c>
      <c r="E2097" s="43">
        <v>46044.739992233794</v>
      </c>
      <c r="F2097" s="1">
        <v>46044</v>
      </c>
      <c r="G2097" s="43">
        <v>46056.621145104167</v>
      </c>
      <c r="H2097" t="s">
        <v>2701</v>
      </c>
      <c r="I2097" t="s">
        <v>2660</v>
      </c>
      <c r="J2097" t="s">
        <v>37</v>
      </c>
      <c r="L2097" t="s">
        <v>2351</v>
      </c>
      <c r="M2097">
        <v>1030040901202</v>
      </c>
      <c r="N2097" t="s">
        <v>2661</v>
      </c>
      <c r="O2097" s="1">
        <v>45702</v>
      </c>
      <c r="T2097" t="s">
        <v>2662</v>
      </c>
      <c r="U2097" t="s">
        <v>7497</v>
      </c>
      <c r="V2097">
        <v>8</v>
      </c>
      <c r="W2097" t="s">
        <v>2671</v>
      </c>
      <c r="X2097">
        <v>1</v>
      </c>
      <c r="Y2097" t="s">
        <v>2764</v>
      </c>
      <c r="AA2097">
        <v>1030040901202</v>
      </c>
      <c r="AB2097" t="s">
        <v>810</v>
      </c>
      <c r="AC2097">
        <v>0</v>
      </c>
      <c r="AD2097">
        <v>4</v>
      </c>
      <c r="AE2097">
        <v>10300409012024</v>
      </c>
      <c r="AF2097" t="s">
        <v>7495</v>
      </c>
      <c r="AG2097">
        <v>0</v>
      </c>
      <c r="AH2097">
        <v>0</v>
      </c>
    </row>
    <row r="2098" spans="1:34">
      <c r="A2098">
        <v>2025</v>
      </c>
      <c r="B2098" s="1">
        <v>45931</v>
      </c>
      <c r="C2098" t="s">
        <v>2657</v>
      </c>
      <c r="D2098" t="s">
        <v>7498</v>
      </c>
      <c r="E2098" s="43">
        <v>45940.761102881945</v>
      </c>
      <c r="F2098" s="1">
        <v>45940</v>
      </c>
      <c r="G2098" s="43">
        <v>45940.761102881945</v>
      </c>
      <c r="H2098" t="s">
        <v>2659</v>
      </c>
      <c r="I2098" t="s">
        <v>2681</v>
      </c>
      <c r="J2098" t="s">
        <v>38</v>
      </c>
      <c r="L2098" t="s">
        <v>2342</v>
      </c>
      <c r="M2098">
        <v>91552422202</v>
      </c>
      <c r="N2098" t="s">
        <v>2702</v>
      </c>
      <c r="O2098" s="1">
        <v>44960</v>
      </c>
      <c r="T2098" t="s">
        <v>2662</v>
      </c>
      <c r="U2098" t="s">
        <v>7499</v>
      </c>
      <c r="V2098">
        <v>0</v>
      </c>
      <c r="W2098" t="s">
        <v>2677</v>
      </c>
      <c r="X2098">
        <v>1</v>
      </c>
      <c r="Y2098" t="s">
        <v>2695</v>
      </c>
      <c r="AA2098">
        <v>481703768002</v>
      </c>
      <c r="AB2098" t="s">
        <v>258</v>
      </c>
      <c r="AC2098">
        <v>0</v>
      </c>
      <c r="AD2098">
        <v>41</v>
      </c>
      <c r="AE2098">
        <v>48170376800241</v>
      </c>
      <c r="AF2098" t="s">
        <v>7500</v>
      </c>
      <c r="AG2098">
        <v>1</v>
      </c>
      <c r="AH2098">
        <v>1</v>
      </c>
    </row>
    <row r="2099" spans="1:34">
      <c r="A2099">
        <v>2025</v>
      </c>
      <c r="B2099" s="1">
        <v>45931</v>
      </c>
      <c r="C2099" t="s">
        <v>2657</v>
      </c>
      <c r="D2099" t="s">
        <v>7501</v>
      </c>
      <c r="E2099" s="43">
        <v>45945.774770868054</v>
      </c>
      <c r="F2099" s="1">
        <v>45945</v>
      </c>
      <c r="G2099" s="43">
        <v>45945.774770868054</v>
      </c>
      <c r="H2099" t="s">
        <v>2659</v>
      </c>
      <c r="I2099" t="s">
        <v>2719</v>
      </c>
      <c r="J2099" t="s">
        <v>38</v>
      </c>
      <c r="L2099" t="s">
        <v>2342</v>
      </c>
      <c r="M2099">
        <v>21230697402</v>
      </c>
      <c r="N2099" t="s">
        <v>2702</v>
      </c>
      <c r="O2099" s="1">
        <v>44960</v>
      </c>
      <c r="T2099" t="s">
        <v>2662</v>
      </c>
      <c r="U2099" t="s">
        <v>7502</v>
      </c>
      <c r="V2099">
        <v>0</v>
      </c>
      <c r="W2099" t="s">
        <v>2671</v>
      </c>
      <c r="X2099">
        <v>1</v>
      </c>
      <c r="Y2099" t="s">
        <v>2695</v>
      </c>
      <c r="AA2099">
        <v>481703768002</v>
      </c>
      <c r="AB2099" t="s">
        <v>258</v>
      </c>
      <c r="AC2099">
        <v>0</v>
      </c>
      <c r="AD2099">
        <v>42</v>
      </c>
      <c r="AE2099">
        <v>48170376800242</v>
      </c>
      <c r="AF2099" t="s">
        <v>7500</v>
      </c>
      <c r="AG2099">
        <v>1</v>
      </c>
      <c r="AH2099">
        <v>0</v>
      </c>
    </row>
    <row r="2100" spans="1:34">
      <c r="A2100">
        <v>2025</v>
      </c>
      <c r="B2100" s="1">
        <v>45931</v>
      </c>
      <c r="C2100" t="s">
        <v>2657</v>
      </c>
      <c r="D2100" t="s">
        <v>7503</v>
      </c>
      <c r="E2100" s="43">
        <v>45946.587962986108</v>
      </c>
      <c r="F2100" s="1">
        <v>45946</v>
      </c>
      <c r="G2100" s="43">
        <v>45946.587962986108</v>
      </c>
      <c r="H2100" t="s">
        <v>2659</v>
      </c>
      <c r="I2100" t="s">
        <v>2719</v>
      </c>
      <c r="J2100" t="s">
        <v>38</v>
      </c>
      <c r="L2100" t="s">
        <v>2342</v>
      </c>
      <c r="M2100">
        <v>21230697402</v>
      </c>
      <c r="N2100" t="s">
        <v>2702</v>
      </c>
      <c r="O2100" s="1">
        <v>44960</v>
      </c>
      <c r="T2100" t="s">
        <v>2662</v>
      </c>
      <c r="U2100" t="s">
        <v>7504</v>
      </c>
      <c r="V2100">
        <v>0</v>
      </c>
      <c r="W2100" t="s">
        <v>2671</v>
      </c>
      <c r="X2100">
        <v>1</v>
      </c>
      <c r="Y2100" t="s">
        <v>2688</v>
      </c>
      <c r="AA2100">
        <v>481703768002</v>
      </c>
      <c r="AB2100" t="s">
        <v>258</v>
      </c>
      <c r="AC2100">
        <v>0</v>
      </c>
      <c r="AD2100">
        <v>42</v>
      </c>
      <c r="AE2100">
        <v>48170376800242</v>
      </c>
      <c r="AF2100" t="s">
        <v>7500</v>
      </c>
      <c r="AG2100">
        <v>0</v>
      </c>
      <c r="AH2100">
        <v>0</v>
      </c>
    </row>
    <row r="2101" spans="1:34">
      <c r="A2101">
        <v>2025</v>
      </c>
      <c r="B2101" s="1">
        <v>45931</v>
      </c>
      <c r="C2101" t="s">
        <v>2657</v>
      </c>
      <c r="D2101" s="44" t="s">
        <v>7505</v>
      </c>
      <c r="E2101" s="43">
        <v>45947.820354143521</v>
      </c>
      <c r="F2101" s="1">
        <v>45947</v>
      </c>
      <c r="G2101" s="43">
        <v>45947.820354143521</v>
      </c>
      <c r="H2101" t="s">
        <v>2659</v>
      </c>
      <c r="I2101" t="s">
        <v>2719</v>
      </c>
      <c r="J2101" t="s">
        <v>38</v>
      </c>
      <c r="L2101" t="s">
        <v>2342</v>
      </c>
      <c r="M2101">
        <v>91552422202</v>
      </c>
      <c r="N2101" t="s">
        <v>2702</v>
      </c>
      <c r="O2101" s="1">
        <v>44960</v>
      </c>
      <c r="T2101" t="s">
        <v>2662</v>
      </c>
      <c r="U2101" t="s">
        <v>7506</v>
      </c>
      <c r="V2101">
        <v>0</v>
      </c>
      <c r="W2101" t="s">
        <v>2743</v>
      </c>
      <c r="X2101">
        <v>1</v>
      </c>
      <c r="Y2101" t="s">
        <v>2695</v>
      </c>
      <c r="AA2101">
        <v>481703768002</v>
      </c>
      <c r="AB2101" t="s">
        <v>258</v>
      </c>
      <c r="AC2101">
        <v>0</v>
      </c>
      <c r="AD2101">
        <v>42</v>
      </c>
      <c r="AE2101">
        <v>48170376800242</v>
      </c>
      <c r="AF2101" t="s">
        <v>7500</v>
      </c>
      <c r="AG2101">
        <v>0</v>
      </c>
      <c r="AH2101">
        <v>0</v>
      </c>
    </row>
    <row r="2102" spans="1:34">
      <c r="A2102">
        <v>2025</v>
      </c>
      <c r="B2102" s="1">
        <v>45962</v>
      </c>
      <c r="C2102" t="s">
        <v>2657</v>
      </c>
      <c r="D2102" t="s">
        <v>7507</v>
      </c>
      <c r="E2102" s="43">
        <v>45973.605620509261</v>
      </c>
      <c r="F2102" s="1">
        <v>45973</v>
      </c>
      <c r="G2102" s="43">
        <v>45973.605620509261</v>
      </c>
      <c r="H2102" t="s">
        <v>2802</v>
      </c>
      <c r="I2102" t="s">
        <v>2681</v>
      </c>
      <c r="J2102" t="s">
        <v>100</v>
      </c>
      <c r="L2102" t="s">
        <v>2347</v>
      </c>
      <c r="M2102">
        <v>655945459902</v>
      </c>
      <c r="N2102" t="s">
        <v>2675</v>
      </c>
      <c r="O2102" s="1">
        <v>45947</v>
      </c>
      <c r="T2102" t="s">
        <v>2662</v>
      </c>
      <c r="U2102" t="s">
        <v>7508</v>
      </c>
      <c r="V2102">
        <v>0</v>
      </c>
      <c r="W2102" t="s">
        <v>2671</v>
      </c>
      <c r="X2102">
        <v>1</v>
      </c>
      <c r="Y2102" t="s">
        <v>2695</v>
      </c>
      <c r="AA2102">
        <v>655945459902</v>
      </c>
      <c r="AB2102" t="s">
        <v>312</v>
      </c>
      <c r="AC2102">
        <v>0</v>
      </c>
      <c r="AD2102">
        <v>46</v>
      </c>
      <c r="AE2102">
        <v>65594545990246</v>
      </c>
      <c r="AF2102" t="s">
        <v>7509</v>
      </c>
      <c r="AG2102">
        <v>1</v>
      </c>
      <c r="AH2102">
        <v>1</v>
      </c>
    </row>
    <row r="2103" spans="1:34">
      <c r="A2103">
        <v>2025</v>
      </c>
      <c r="B2103" s="1">
        <v>45962</v>
      </c>
      <c r="C2103" t="s">
        <v>2657</v>
      </c>
      <c r="D2103" t="s">
        <v>7510</v>
      </c>
      <c r="E2103" s="43">
        <v>45987.760933877318</v>
      </c>
      <c r="F2103" s="1">
        <v>45987</v>
      </c>
      <c r="G2103" s="43">
        <v>45995.805465104168</v>
      </c>
      <c r="H2103" t="s">
        <v>2802</v>
      </c>
      <c r="I2103" t="s">
        <v>2660</v>
      </c>
      <c r="J2103" t="s">
        <v>100</v>
      </c>
      <c r="L2103" t="s">
        <v>2347</v>
      </c>
      <c r="M2103">
        <v>655945459902</v>
      </c>
      <c r="N2103" t="s">
        <v>2675</v>
      </c>
      <c r="O2103" s="1">
        <v>45947</v>
      </c>
      <c r="T2103" t="s">
        <v>2662</v>
      </c>
      <c r="U2103" t="s">
        <v>7511</v>
      </c>
      <c r="V2103">
        <v>6</v>
      </c>
      <c r="W2103" t="s">
        <v>2671</v>
      </c>
      <c r="X2103">
        <v>1</v>
      </c>
      <c r="Y2103" t="s">
        <v>2760</v>
      </c>
      <c r="Z2103" t="s">
        <v>2684</v>
      </c>
      <c r="AA2103">
        <v>655945459902</v>
      </c>
      <c r="AB2103" t="s">
        <v>312</v>
      </c>
      <c r="AC2103">
        <v>0</v>
      </c>
      <c r="AD2103">
        <v>48</v>
      </c>
      <c r="AE2103">
        <v>65594545990248</v>
      </c>
      <c r="AF2103" t="s">
        <v>7509</v>
      </c>
      <c r="AG2103">
        <v>1</v>
      </c>
      <c r="AH2103">
        <v>0</v>
      </c>
    </row>
    <row r="2104" spans="1:34">
      <c r="A2104">
        <v>2025</v>
      </c>
      <c r="B2104" s="1">
        <v>45901</v>
      </c>
      <c r="C2104" t="s">
        <v>2657</v>
      </c>
      <c r="D2104" t="s">
        <v>7512</v>
      </c>
      <c r="E2104" s="43">
        <v>45930.52109667824</v>
      </c>
      <c r="F2104" s="1">
        <v>45930</v>
      </c>
      <c r="G2104" s="43">
        <v>45932.754276134256</v>
      </c>
      <c r="H2104" t="s">
        <v>2734</v>
      </c>
      <c r="I2104" t="s">
        <v>2697</v>
      </c>
      <c r="J2104" t="s">
        <v>2735</v>
      </c>
      <c r="L2104" t="s">
        <v>2336</v>
      </c>
      <c r="M2104">
        <v>414165418502</v>
      </c>
      <c r="N2104" t="s">
        <v>2746</v>
      </c>
      <c r="O2104" s="1">
        <v>45342</v>
      </c>
      <c r="T2104" t="s">
        <v>2662</v>
      </c>
      <c r="U2104" t="s">
        <v>7513</v>
      </c>
      <c r="V2104">
        <v>2</v>
      </c>
      <c r="W2104" t="s">
        <v>2677</v>
      </c>
      <c r="X2104">
        <v>1</v>
      </c>
      <c r="Y2104" t="s">
        <v>2772</v>
      </c>
      <c r="AA2104">
        <v>414165418502</v>
      </c>
      <c r="AB2104" t="s">
        <v>1569</v>
      </c>
      <c r="AC2104">
        <v>0</v>
      </c>
      <c r="AD2104">
        <v>40</v>
      </c>
      <c r="AE2104">
        <v>41416541850240</v>
      </c>
      <c r="AF2104" t="s">
        <v>7514</v>
      </c>
      <c r="AG2104">
        <v>1</v>
      </c>
      <c r="AH2104">
        <v>1</v>
      </c>
    </row>
    <row r="2105" spans="1:34">
      <c r="A2105">
        <v>2025</v>
      </c>
      <c r="B2105" s="1">
        <v>45931</v>
      </c>
      <c r="C2105" t="s">
        <v>2657</v>
      </c>
      <c r="D2105" t="s">
        <v>7515</v>
      </c>
      <c r="E2105" s="43">
        <v>45944.772567048611</v>
      </c>
      <c r="F2105" s="1">
        <v>45944</v>
      </c>
      <c r="G2105" s="43">
        <v>45947.670912997688</v>
      </c>
      <c r="H2105" t="s">
        <v>2659</v>
      </c>
      <c r="I2105" t="s">
        <v>2681</v>
      </c>
      <c r="J2105" t="s">
        <v>2735</v>
      </c>
      <c r="L2105" t="s">
        <v>2336</v>
      </c>
      <c r="M2105">
        <v>506559759302</v>
      </c>
      <c r="N2105" t="s">
        <v>2746</v>
      </c>
      <c r="O2105" s="1">
        <v>45324</v>
      </c>
      <c r="T2105" t="s">
        <v>2662</v>
      </c>
      <c r="U2105" t="s">
        <v>7516</v>
      </c>
      <c r="V2105">
        <v>3</v>
      </c>
      <c r="W2105" t="s">
        <v>2677</v>
      </c>
      <c r="X2105">
        <v>1</v>
      </c>
      <c r="Y2105" t="s">
        <v>2760</v>
      </c>
      <c r="AA2105">
        <v>1041281178802</v>
      </c>
      <c r="AB2105" t="s">
        <v>726</v>
      </c>
      <c r="AC2105">
        <v>0</v>
      </c>
      <c r="AD2105">
        <v>42</v>
      </c>
      <c r="AE2105">
        <v>104128117880242</v>
      </c>
      <c r="AF2105" t="s">
        <v>7517</v>
      </c>
      <c r="AG2105">
        <v>1</v>
      </c>
      <c r="AH2105">
        <v>0</v>
      </c>
    </row>
    <row r="2106" spans="1:34">
      <c r="A2106">
        <v>2025</v>
      </c>
      <c r="B2106" s="1">
        <v>45931</v>
      </c>
      <c r="C2106" t="s">
        <v>2657</v>
      </c>
      <c r="D2106" t="s">
        <v>7518</v>
      </c>
      <c r="E2106" s="43">
        <v>45938.630814340278</v>
      </c>
      <c r="F2106" s="1">
        <v>45938</v>
      </c>
      <c r="G2106" s="43">
        <v>45951.636039849538</v>
      </c>
      <c r="H2106" t="s">
        <v>2659</v>
      </c>
      <c r="I2106" t="s">
        <v>2681</v>
      </c>
      <c r="J2106" t="s">
        <v>2735</v>
      </c>
      <c r="L2106" t="s">
        <v>2336</v>
      </c>
      <c r="M2106">
        <v>1041281178802</v>
      </c>
      <c r="N2106" t="s">
        <v>2746</v>
      </c>
      <c r="O2106" s="1">
        <v>45937</v>
      </c>
      <c r="T2106" t="s">
        <v>2662</v>
      </c>
      <c r="U2106" t="s">
        <v>7519</v>
      </c>
      <c r="V2106">
        <v>9</v>
      </c>
      <c r="W2106" t="s">
        <v>2677</v>
      </c>
      <c r="X2106">
        <v>1</v>
      </c>
      <c r="Y2106" t="s">
        <v>2779</v>
      </c>
      <c r="AA2106">
        <v>1041281178802</v>
      </c>
      <c r="AB2106" t="s">
        <v>726</v>
      </c>
      <c r="AC2106">
        <v>0</v>
      </c>
      <c r="AD2106">
        <v>41</v>
      </c>
      <c r="AE2106">
        <v>104128117880241</v>
      </c>
      <c r="AF2106" t="s">
        <v>7517</v>
      </c>
      <c r="AG2106">
        <v>1</v>
      </c>
      <c r="AH2106">
        <v>1</v>
      </c>
    </row>
    <row r="2107" spans="1:34">
      <c r="A2107">
        <v>2025</v>
      </c>
      <c r="B2107" s="1">
        <v>45931</v>
      </c>
      <c r="C2107" t="s">
        <v>2657</v>
      </c>
      <c r="D2107" t="s">
        <v>7520</v>
      </c>
      <c r="E2107" s="43">
        <v>45947.62294040509</v>
      </c>
      <c r="F2107" s="1">
        <v>45947</v>
      </c>
      <c r="G2107" s="43">
        <v>45947.671068807867</v>
      </c>
      <c r="H2107" t="s">
        <v>2659</v>
      </c>
      <c r="I2107" t="s">
        <v>2719</v>
      </c>
      <c r="J2107" t="s">
        <v>2735</v>
      </c>
      <c r="L2107" t="s">
        <v>2336</v>
      </c>
      <c r="M2107">
        <v>1041281178802</v>
      </c>
      <c r="N2107" t="s">
        <v>2746</v>
      </c>
      <c r="O2107" s="1">
        <v>45937</v>
      </c>
      <c r="T2107" t="s">
        <v>2662</v>
      </c>
      <c r="U2107" t="s">
        <v>7521</v>
      </c>
      <c r="V2107">
        <v>0</v>
      </c>
      <c r="W2107" t="s">
        <v>2677</v>
      </c>
      <c r="X2107">
        <v>1</v>
      </c>
      <c r="Y2107" t="s">
        <v>2760</v>
      </c>
      <c r="AA2107">
        <v>1041281178802</v>
      </c>
      <c r="AB2107" t="s">
        <v>726</v>
      </c>
      <c r="AC2107">
        <v>0</v>
      </c>
      <c r="AD2107">
        <v>42</v>
      </c>
      <c r="AE2107">
        <v>104128117880242</v>
      </c>
      <c r="AF2107" t="s">
        <v>7517</v>
      </c>
      <c r="AG2107">
        <v>0</v>
      </c>
      <c r="AH2107">
        <v>0</v>
      </c>
    </row>
    <row r="2108" spans="1:34">
      <c r="A2108">
        <v>2025</v>
      </c>
      <c r="B2108" s="1">
        <v>45931</v>
      </c>
      <c r="C2108" t="s">
        <v>2657</v>
      </c>
      <c r="D2108" t="s">
        <v>7522</v>
      </c>
      <c r="E2108" s="43">
        <v>45950.523623506946</v>
      </c>
      <c r="F2108" s="1">
        <v>45950</v>
      </c>
      <c r="G2108" s="43">
        <v>45950.523623506946</v>
      </c>
      <c r="H2108" t="s">
        <v>2659</v>
      </c>
      <c r="I2108" t="s">
        <v>2719</v>
      </c>
      <c r="J2108" t="s">
        <v>2735</v>
      </c>
      <c r="L2108" t="s">
        <v>2336</v>
      </c>
      <c r="M2108">
        <v>1041281178802</v>
      </c>
      <c r="N2108" t="s">
        <v>2746</v>
      </c>
      <c r="O2108" s="1">
        <v>45937</v>
      </c>
      <c r="T2108" t="s">
        <v>2662</v>
      </c>
      <c r="U2108" t="s">
        <v>7523</v>
      </c>
      <c r="V2108">
        <v>0</v>
      </c>
      <c r="W2108" t="s">
        <v>2677</v>
      </c>
      <c r="X2108">
        <v>1</v>
      </c>
      <c r="Y2108" t="s">
        <v>2695</v>
      </c>
      <c r="AA2108">
        <v>1041281178802</v>
      </c>
      <c r="AB2108" t="s">
        <v>726</v>
      </c>
      <c r="AC2108">
        <v>0</v>
      </c>
      <c r="AD2108">
        <v>43</v>
      </c>
      <c r="AE2108">
        <v>104128117880243</v>
      </c>
      <c r="AF2108" t="s">
        <v>7517</v>
      </c>
      <c r="AG2108">
        <v>1</v>
      </c>
      <c r="AH2108">
        <v>0</v>
      </c>
    </row>
    <row r="2109" spans="1:34">
      <c r="A2109">
        <v>2025</v>
      </c>
      <c r="B2109" s="1">
        <v>45931</v>
      </c>
      <c r="C2109" t="s">
        <v>2657</v>
      </c>
      <c r="D2109" t="s">
        <v>7524</v>
      </c>
      <c r="E2109" s="43">
        <v>45951.60763402778</v>
      </c>
      <c r="F2109" s="1">
        <v>45951</v>
      </c>
      <c r="G2109" s="43">
        <v>45958.596800057872</v>
      </c>
      <c r="H2109" t="s">
        <v>2659</v>
      </c>
      <c r="I2109" t="s">
        <v>2719</v>
      </c>
      <c r="J2109" t="s">
        <v>2735</v>
      </c>
      <c r="L2109" t="s">
        <v>2336</v>
      </c>
      <c r="M2109">
        <v>1041281178802</v>
      </c>
      <c r="N2109" t="s">
        <v>2746</v>
      </c>
      <c r="O2109" s="1">
        <v>45937</v>
      </c>
      <c r="T2109" t="s">
        <v>2662</v>
      </c>
      <c r="U2109" t="s">
        <v>7525</v>
      </c>
      <c r="V2109">
        <v>5</v>
      </c>
      <c r="W2109" t="s">
        <v>2677</v>
      </c>
      <c r="X2109">
        <v>1</v>
      </c>
      <c r="Y2109" t="s">
        <v>2678</v>
      </c>
      <c r="AA2109">
        <v>1041281178802</v>
      </c>
      <c r="AB2109" t="s">
        <v>726</v>
      </c>
      <c r="AC2109">
        <v>0</v>
      </c>
      <c r="AD2109">
        <v>43</v>
      </c>
      <c r="AE2109">
        <v>104128117880243</v>
      </c>
      <c r="AF2109" t="s">
        <v>7517</v>
      </c>
      <c r="AG2109">
        <v>0</v>
      </c>
      <c r="AH2109">
        <v>0</v>
      </c>
    </row>
    <row r="2110" spans="1:34">
      <c r="A2110">
        <v>2025</v>
      </c>
      <c r="B2110" s="1">
        <v>45931</v>
      </c>
      <c r="C2110" t="s">
        <v>2657</v>
      </c>
      <c r="D2110" t="s">
        <v>7526</v>
      </c>
      <c r="E2110" s="43">
        <v>45958.758053449077</v>
      </c>
      <c r="F2110" s="1">
        <v>45958</v>
      </c>
      <c r="G2110" s="43">
        <v>45964.497119178239</v>
      </c>
      <c r="H2110" t="s">
        <v>2659</v>
      </c>
      <c r="I2110" t="s">
        <v>2660</v>
      </c>
      <c r="J2110" t="s">
        <v>2735</v>
      </c>
      <c r="L2110" t="s">
        <v>2336</v>
      </c>
      <c r="M2110">
        <v>1041281178802</v>
      </c>
      <c r="N2110" t="s">
        <v>2746</v>
      </c>
      <c r="O2110" s="1">
        <v>45937</v>
      </c>
      <c r="T2110" t="s">
        <v>2662</v>
      </c>
      <c r="U2110" t="s">
        <v>7527</v>
      </c>
      <c r="V2110">
        <v>4</v>
      </c>
      <c r="W2110" t="s">
        <v>2677</v>
      </c>
      <c r="X2110">
        <v>1</v>
      </c>
      <c r="Y2110" t="s">
        <v>2678</v>
      </c>
      <c r="AA2110">
        <v>1041281178802</v>
      </c>
      <c r="AB2110" t="s">
        <v>726</v>
      </c>
      <c r="AC2110">
        <v>0</v>
      </c>
      <c r="AD2110">
        <v>44</v>
      </c>
      <c r="AE2110">
        <v>104128117880244</v>
      </c>
      <c r="AF2110" t="s">
        <v>7517</v>
      </c>
      <c r="AG2110">
        <v>0</v>
      </c>
      <c r="AH2110">
        <v>0</v>
      </c>
    </row>
    <row r="2111" spans="1:34">
      <c r="A2111">
        <v>2025</v>
      </c>
      <c r="B2111" s="1">
        <v>45931</v>
      </c>
      <c r="C2111" t="s">
        <v>2657</v>
      </c>
      <c r="D2111" t="s">
        <v>7528</v>
      </c>
      <c r="E2111" s="43">
        <v>45958.549599375001</v>
      </c>
      <c r="F2111" s="1">
        <v>45958</v>
      </c>
      <c r="G2111" s="43">
        <v>45964.513945659724</v>
      </c>
      <c r="H2111" t="s">
        <v>2659</v>
      </c>
      <c r="I2111" t="s">
        <v>2660</v>
      </c>
      <c r="J2111" t="s">
        <v>2735</v>
      </c>
      <c r="L2111" t="s">
        <v>2336</v>
      </c>
      <c r="M2111">
        <v>1041281178802</v>
      </c>
      <c r="N2111" t="s">
        <v>2746</v>
      </c>
      <c r="O2111" s="1">
        <v>45937</v>
      </c>
      <c r="T2111" t="s">
        <v>2662</v>
      </c>
      <c r="U2111" t="s">
        <v>7529</v>
      </c>
      <c r="V2111">
        <v>4</v>
      </c>
      <c r="W2111" t="s">
        <v>2677</v>
      </c>
      <c r="X2111">
        <v>1</v>
      </c>
      <c r="Y2111" t="s">
        <v>2779</v>
      </c>
      <c r="AA2111">
        <v>1041281178802</v>
      </c>
      <c r="AB2111" t="s">
        <v>726</v>
      </c>
      <c r="AC2111">
        <v>0</v>
      </c>
      <c r="AD2111">
        <v>44</v>
      </c>
      <c r="AE2111">
        <v>104128117880244</v>
      </c>
      <c r="AF2111" t="s">
        <v>7517</v>
      </c>
      <c r="AG2111">
        <v>0</v>
      </c>
      <c r="AH2111">
        <v>0</v>
      </c>
    </row>
    <row r="2112" spans="1:34">
      <c r="A2112">
        <v>2025</v>
      </c>
      <c r="B2112" s="1">
        <v>45931</v>
      </c>
      <c r="C2112" t="s">
        <v>2657</v>
      </c>
      <c r="D2112" t="s">
        <v>7530</v>
      </c>
      <c r="E2112" s="43">
        <v>45958.465391493053</v>
      </c>
      <c r="F2112" s="1">
        <v>45958</v>
      </c>
      <c r="G2112" s="43">
        <v>45960.714457002316</v>
      </c>
      <c r="H2112" t="s">
        <v>2659</v>
      </c>
      <c r="I2112" t="s">
        <v>2660</v>
      </c>
      <c r="J2112" t="s">
        <v>2735</v>
      </c>
      <c r="L2112" t="s">
        <v>2336</v>
      </c>
      <c r="M2112">
        <v>1106270355002</v>
      </c>
      <c r="N2112" t="s">
        <v>2746</v>
      </c>
      <c r="O2112" s="1">
        <v>45937</v>
      </c>
      <c r="T2112" t="s">
        <v>2662</v>
      </c>
      <c r="U2112" t="s">
        <v>7531</v>
      </c>
      <c r="V2112">
        <v>2</v>
      </c>
      <c r="W2112" t="s">
        <v>2677</v>
      </c>
      <c r="X2112">
        <v>1</v>
      </c>
      <c r="Y2112" t="s">
        <v>2779</v>
      </c>
      <c r="AA2112">
        <v>1041281178802</v>
      </c>
      <c r="AB2112" t="s">
        <v>726</v>
      </c>
      <c r="AC2112">
        <v>0</v>
      </c>
      <c r="AD2112">
        <v>44</v>
      </c>
      <c r="AE2112">
        <v>104128117880244</v>
      </c>
      <c r="AF2112" t="s">
        <v>7517</v>
      </c>
      <c r="AG2112">
        <v>1</v>
      </c>
      <c r="AH2112">
        <v>0</v>
      </c>
    </row>
    <row r="2113" spans="1:34">
      <c r="A2113">
        <v>2025</v>
      </c>
      <c r="B2113" s="1">
        <v>45931</v>
      </c>
      <c r="C2113" t="s">
        <v>2657</v>
      </c>
      <c r="D2113" t="s">
        <v>7532</v>
      </c>
      <c r="E2113" s="43">
        <v>45953.801059328704</v>
      </c>
      <c r="F2113" s="1">
        <v>45953</v>
      </c>
      <c r="G2113" s="43">
        <v>45953.801059328704</v>
      </c>
      <c r="H2113" t="s">
        <v>2659</v>
      </c>
      <c r="I2113" t="s">
        <v>2660</v>
      </c>
      <c r="J2113" t="s">
        <v>2735</v>
      </c>
      <c r="L2113" t="s">
        <v>2336</v>
      </c>
      <c r="M2113">
        <v>1041281178802</v>
      </c>
      <c r="N2113" t="s">
        <v>2746</v>
      </c>
      <c r="O2113" s="1">
        <v>45937</v>
      </c>
      <c r="T2113" t="s">
        <v>2662</v>
      </c>
      <c r="V2113">
        <v>0</v>
      </c>
      <c r="W2113" t="s">
        <v>2671</v>
      </c>
      <c r="X2113">
        <v>1</v>
      </c>
      <c r="Y2113" t="s">
        <v>2695</v>
      </c>
      <c r="AA2113">
        <v>1041281178802</v>
      </c>
      <c r="AB2113" t="s">
        <v>726</v>
      </c>
      <c r="AC2113">
        <v>0</v>
      </c>
      <c r="AD2113">
        <v>43</v>
      </c>
      <c r="AE2113">
        <v>104128117880243</v>
      </c>
      <c r="AF2113" t="s">
        <v>7517</v>
      </c>
      <c r="AG2113">
        <v>0</v>
      </c>
      <c r="AH2113">
        <v>0</v>
      </c>
    </row>
    <row r="2114" spans="1:34">
      <c r="A2114">
        <v>2025</v>
      </c>
      <c r="B2114" s="1">
        <v>45931</v>
      </c>
      <c r="C2114" t="s">
        <v>2657</v>
      </c>
      <c r="D2114" t="s">
        <v>7533</v>
      </c>
      <c r="E2114" s="43">
        <v>45960.831780138891</v>
      </c>
      <c r="F2114" s="1">
        <v>45960</v>
      </c>
      <c r="G2114" s="43">
        <v>45961.591108067129</v>
      </c>
      <c r="H2114" t="s">
        <v>2659</v>
      </c>
      <c r="I2114" t="s">
        <v>2697</v>
      </c>
      <c r="J2114" t="s">
        <v>2735</v>
      </c>
      <c r="L2114" t="s">
        <v>2336</v>
      </c>
      <c r="M2114">
        <v>1041281178802</v>
      </c>
      <c r="N2114" t="s">
        <v>2746</v>
      </c>
      <c r="O2114" s="1">
        <v>45937</v>
      </c>
      <c r="T2114" t="s">
        <v>2662</v>
      </c>
      <c r="U2114" t="s">
        <v>7534</v>
      </c>
      <c r="V2114">
        <v>1</v>
      </c>
      <c r="W2114" t="s">
        <v>2985</v>
      </c>
      <c r="X2114">
        <v>1</v>
      </c>
      <c r="Y2114" t="s">
        <v>2985</v>
      </c>
      <c r="AA2114">
        <v>1041281178802</v>
      </c>
      <c r="AB2114" t="s">
        <v>726</v>
      </c>
      <c r="AC2114">
        <v>0</v>
      </c>
      <c r="AD2114">
        <v>44</v>
      </c>
      <c r="AE2114">
        <v>104128117880244</v>
      </c>
      <c r="AF2114" t="s">
        <v>7517</v>
      </c>
      <c r="AG2114">
        <v>0</v>
      </c>
      <c r="AH2114">
        <v>0</v>
      </c>
    </row>
    <row r="2115" spans="1:34">
      <c r="A2115">
        <v>2025</v>
      </c>
      <c r="B2115" s="1">
        <v>45992</v>
      </c>
      <c r="C2115" t="s">
        <v>2657</v>
      </c>
      <c r="D2115" t="s">
        <v>7535</v>
      </c>
      <c r="E2115" s="43">
        <v>45995.691346770836</v>
      </c>
      <c r="F2115" s="1">
        <v>45995</v>
      </c>
      <c r="G2115" s="43">
        <v>45995.691346770836</v>
      </c>
      <c r="H2115" t="s">
        <v>2686</v>
      </c>
      <c r="I2115" t="s">
        <v>2669</v>
      </c>
      <c r="J2115" t="s">
        <v>37</v>
      </c>
      <c r="L2115" t="s">
        <v>2344</v>
      </c>
      <c r="M2115">
        <v>191336978502</v>
      </c>
      <c r="N2115" t="s">
        <v>2661</v>
      </c>
      <c r="O2115" s="1">
        <v>45349</v>
      </c>
      <c r="T2115" t="s">
        <v>2662</v>
      </c>
      <c r="U2115" t="s">
        <v>7536</v>
      </c>
      <c r="V2115">
        <v>0</v>
      </c>
      <c r="X2115">
        <v>1</v>
      </c>
      <c r="Y2115" t="s">
        <v>2695</v>
      </c>
      <c r="AA2115">
        <v>191336978502</v>
      </c>
      <c r="AB2115" t="s">
        <v>768</v>
      </c>
      <c r="AC2115">
        <v>0</v>
      </c>
      <c r="AD2115">
        <v>49</v>
      </c>
      <c r="AE2115">
        <v>19133697850249</v>
      </c>
      <c r="AF2115" t="s">
        <v>7537</v>
      </c>
      <c r="AG2115">
        <v>1</v>
      </c>
      <c r="AH2115">
        <v>1</v>
      </c>
    </row>
    <row r="2116" spans="1:34">
      <c r="A2116">
        <v>2025</v>
      </c>
      <c r="B2116" s="1">
        <v>45962</v>
      </c>
      <c r="C2116" t="s">
        <v>2657</v>
      </c>
      <c r="D2116" t="s">
        <v>7538</v>
      </c>
      <c r="E2116" s="43">
        <v>45987.650459849538</v>
      </c>
      <c r="F2116" s="1">
        <v>45987</v>
      </c>
      <c r="G2116" s="43">
        <v>45999.524492453704</v>
      </c>
      <c r="H2116" t="s">
        <v>2802</v>
      </c>
      <c r="I2116" t="s">
        <v>2660</v>
      </c>
      <c r="J2116" t="s">
        <v>2735</v>
      </c>
      <c r="L2116" t="s">
        <v>2362</v>
      </c>
      <c r="M2116">
        <v>351067276502</v>
      </c>
      <c r="N2116" t="s">
        <v>2702</v>
      </c>
      <c r="O2116" s="1">
        <v>45807</v>
      </c>
      <c r="T2116" t="s">
        <v>2662</v>
      </c>
      <c r="U2116" t="s">
        <v>7539</v>
      </c>
      <c r="V2116">
        <v>8</v>
      </c>
      <c r="W2116" t="s">
        <v>2704</v>
      </c>
      <c r="X2116">
        <v>1</v>
      </c>
      <c r="Y2116" t="s">
        <v>2717</v>
      </c>
      <c r="AA2116">
        <v>351067276502</v>
      </c>
      <c r="AB2116" t="s">
        <v>284</v>
      </c>
      <c r="AC2116">
        <v>0</v>
      </c>
      <c r="AD2116">
        <v>48</v>
      </c>
      <c r="AE2116">
        <v>35106727650248</v>
      </c>
      <c r="AF2116" t="s">
        <v>7540</v>
      </c>
      <c r="AG2116">
        <v>0</v>
      </c>
      <c r="AH2116">
        <v>0</v>
      </c>
    </row>
    <row r="2117" spans="1:34">
      <c r="A2117">
        <v>2025</v>
      </c>
      <c r="B2117" s="1">
        <v>45962</v>
      </c>
      <c r="C2117" t="s">
        <v>2657</v>
      </c>
      <c r="D2117" t="s">
        <v>7541</v>
      </c>
      <c r="E2117" s="43">
        <v>45986.476895138891</v>
      </c>
      <c r="F2117" s="1">
        <v>45986</v>
      </c>
      <c r="G2117" s="43">
        <v>45996.509519340281</v>
      </c>
      <c r="H2117" t="s">
        <v>2802</v>
      </c>
      <c r="I2117" t="s">
        <v>2660</v>
      </c>
      <c r="J2117" t="s">
        <v>2735</v>
      </c>
      <c r="L2117" t="s">
        <v>2362</v>
      </c>
      <c r="M2117">
        <v>351067276502</v>
      </c>
      <c r="N2117" t="s">
        <v>2702</v>
      </c>
      <c r="O2117" s="1">
        <v>45807</v>
      </c>
      <c r="T2117" t="s">
        <v>2662</v>
      </c>
      <c r="U2117" t="s">
        <v>7542</v>
      </c>
      <c r="V2117">
        <v>8</v>
      </c>
      <c r="W2117" t="s">
        <v>2677</v>
      </c>
      <c r="X2117">
        <v>1</v>
      </c>
      <c r="Y2117" t="s">
        <v>2760</v>
      </c>
      <c r="Z2117" t="s">
        <v>2834</v>
      </c>
      <c r="AA2117">
        <v>351067276502</v>
      </c>
      <c r="AB2117" t="s">
        <v>284</v>
      </c>
      <c r="AC2117">
        <v>0</v>
      </c>
      <c r="AD2117">
        <v>48</v>
      </c>
      <c r="AE2117">
        <v>35106727650248</v>
      </c>
      <c r="AF2117" t="s">
        <v>7540</v>
      </c>
      <c r="AG2117">
        <v>1</v>
      </c>
      <c r="AH2117">
        <v>1</v>
      </c>
    </row>
    <row r="2118" spans="1:34">
      <c r="A2118">
        <v>2025</v>
      </c>
      <c r="B2118" s="1">
        <v>45962</v>
      </c>
      <c r="C2118" t="s">
        <v>2657</v>
      </c>
      <c r="D2118" t="s">
        <v>7543</v>
      </c>
      <c r="E2118" s="43">
        <v>45986.657839733794</v>
      </c>
      <c r="F2118" s="1">
        <v>45986</v>
      </c>
      <c r="G2118" s="43">
        <v>45989.651674548608</v>
      </c>
      <c r="H2118" t="s">
        <v>2802</v>
      </c>
      <c r="I2118" t="s">
        <v>2660</v>
      </c>
      <c r="J2118" t="s">
        <v>2735</v>
      </c>
      <c r="L2118" t="s">
        <v>2362</v>
      </c>
      <c r="M2118">
        <v>351067276502</v>
      </c>
      <c r="N2118" t="s">
        <v>2702</v>
      </c>
      <c r="O2118" s="1">
        <v>45807</v>
      </c>
      <c r="T2118" t="s">
        <v>2662</v>
      </c>
      <c r="U2118" t="s">
        <v>7544</v>
      </c>
      <c r="V2118">
        <v>3</v>
      </c>
      <c r="W2118" t="s">
        <v>2704</v>
      </c>
      <c r="X2118">
        <v>1</v>
      </c>
      <c r="Y2118" t="s">
        <v>2710</v>
      </c>
      <c r="AA2118">
        <v>351067276502</v>
      </c>
      <c r="AB2118" t="s">
        <v>284</v>
      </c>
      <c r="AC2118">
        <v>0</v>
      </c>
      <c r="AD2118">
        <v>48</v>
      </c>
      <c r="AE2118">
        <v>35106727650248</v>
      </c>
      <c r="AF2118" t="s">
        <v>7540</v>
      </c>
      <c r="AG2118">
        <v>0</v>
      </c>
      <c r="AH2118">
        <v>0</v>
      </c>
    </row>
    <row r="2119" spans="1:34">
      <c r="A2119">
        <v>2025</v>
      </c>
      <c r="B2119" s="1">
        <v>45962</v>
      </c>
      <c r="C2119" t="s">
        <v>2657</v>
      </c>
      <c r="D2119" t="s">
        <v>7545</v>
      </c>
      <c r="E2119" s="43">
        <v>45964.781078645836</v>
      </c>
      <c r="F2119" s="1">
        <v>45964</v>
      </c>
      <c r="G2119" s="43">
        <v>45964.781078645836</v>
      </c>
      <c r="H2119" t="s">
        <v>2802</v>
      </c>
      <c r="I2119" t="s">
        <v>2669</v>
      </c>
      <c r="J2119" t="s">
        <v>100</v>
      </c>
      <c r="L2119" t="s">
        <v>2361</v>
      </c>
      <c r="M2119">
        <v>24357990102</v>
      </c>
      <c r="N2119" t="s">
        <v>2702</v>
      </c>
      <c r="O2119" s="1">
        <v>44999</v>
      </c>
      <c r="T2119" t="s">
        <v>2662</v>
      </c>
      <c r="U2119" t="s">
        <v>7546</v>
      </c>
      <c r="V2119">
        <v>0</v>
      </c>
      <c r="W2119" t="s">
        <v>2743</v>
      </c>
      <c r="X2119">
        <v>1</v>
      </c>
      <c r="Y2119" t="s">
        <v>2717</v>
      </c>
      <c r="AA2119">
        <v>24357990102</v>
      </c>
      <c r="AB2119" t="s">
        <v>1161</v>
      </c>
      <c r="AC2119">
        <v>1</v>
      </c>
      <c r="AD2119">
        <v>45</v>
      </c>
      <c r="AE2119">
        <v>2435799010245</v>
      </c>
      <c r="AF2119" t="s">
        <v>7547</v>
      </c>
      <c r="AG2119">
        <v>1</v>
      </c>
      <c r="AH2119">
        <v>1</v>
      </c>
    </row>
    <row r="2120" spans="1:34">
      <c r="A2120">
        <v>2026</v>
      </c>
      <c r="B2120" s="1">
        <v>46082</v>
      </c>
      <c r="C2120" t="s">
        <v>2657</v>
      </c>
      <c r="D2120" t="s">
        <v>7548</v>
      </c>
      <c r="E2120" s="43">
        <v>46091.637918865737</v>
      </c>
      <c r="F2120" s="1">
        <v>46091</v>
      </c>
      <c r="G2120" s="43">
        <v>46092.501628888887</v>
      </c>
      <c r="H2120" t="s">
        <v>2668</v>
      </c>
      <c r="I2120" t="s">
        <v>2681</v>
      </c>
      <c r="J2120" t="s">
        <v>36</v>
      </c>
      <c r="L2120" t="s">
        <v>2421</v>
      </c>
      <c r="M2120">
        <v>389244098902</v>
      </c>
      <c r="N2120" t="s">
        <v>2661</v>
      </c>
      <c r="O2120" s="1">
        <v>46055</v>
      </c>
      <c r="T2120" t="s">
        <v>2662</v>
      </c>
      <c r="U2120" t="s">
        <v>7549</v>
      </c>
      <c r="V2120">
        <v>1</v>
      </c>
      <c r="W2120" t="s">
        <v>2664</v>
      </c>
      <c r="X2120">
        <v>1</v>
      </c>
      <c r="Y2120" t="s">
        <v>2744</v>
      </c>
      <c r="AA2120">
        <v>971539676602</v>
      </c>
      <c r="AB2120" t="s">
        <v>2474</v>
      </c>
      <c r="AC2120">
        <v>0</v>
      </c>
      <c r="AD2120">
        <v>11</v>
      </c>
      <c r="AE2120">
        <v>97153967660211</v>
      </c>
      <c r="AF2120" t="s">
        <v>7550</v>
      </c>
      <c r="AG2120">
        <v>1</v>
      </c>
      <c r="AH2120">
        <v>1</v>
      </c>
    </row>
    <row r="2121" spans="1:34">
      <c r="A2121">
        <v>2026</v>
      </c>
      <c r="B2121" s="1">
        <v>46082</v>
      </c>
      <c r="C2121" t="s">
        <v>2657</v>
      </c>
      <c r="D2121" t="s">
        <v>7551</v>
      </c>
      <c r="E2121" s="43">
        <v>46092.548211863425</v>
      </c>
      <c r="F2121" s="1">
        <v>46092</v>
      </c>
      <c r="G2121" s="43">
        <v>46092.548211863425</v>
      </c>
      <c r="H2121" t="s">
        <v>2668</v>
      </c>
      <c r="I2121" t="s">
        <v>2681</v>
      </c>
      <c r="J2121" t="s">
        <v>36</v>
      </c>
      <c r="L2121" t="s">
        <v>2421</v>
      </c>
      <c r="M2121">
        <v>389244098902</v>
      </c>
      <c r="N2121" t="s">
        <v>2661</v>
      </c>
      <c r="O2121" s="1">
        <v>46055</v>
      </c>
      <c r="T2121" t="s">
        <v>2798</v>
      </c>
      <c r="U2121" t="s">
        <v>7552</v>
      </c>
      <c r="V2121">
        <v>2</v>
      </c>
      <c r="W2121" t="s">
        <v>2671</v>
      </c>
      <c r="X2121">
        <v>0</v>
      </c>
      <c r="Y2121" t="s">
        <v>2672</v>
      </c>
      <c r="AA2121">
        <v>971539676602</v>
      </c>
      <c r="AB2121" t="s">
        <v>2474</v>
      </c>
      <c r="AC2121">
        <v>1</v>
      </c>
      <c r="AD2121">
        <v>11</v>
      </c>
      <c r="AE2121">
        <v>97153967660211</v>
      </c>
      <c r="AF2121" t="s">
        <v>7550</v>
      </c>
      <c r="AG2121">
        <v>0</v>
      </c>
      <c r="AH2121">
        <v>0</v>
      </c>
    </row>
    <row r="2122" spans="1:34">
      <c r="A2122">
        <v>2025</v>
      </c>
      <c r="B2122" s="1">
        <v>45992</v>
      </c>
      <c r="C2122" t="s">
        <v>2657</v>
      </c>
      <c r="D2122" t="s">
        <v>7553</v>
      </c>
      <c r="E2122" s="43">
        <v>45996.833237094907</v>
      </c>
      <c r="F2122" s="1">
        <v>45996</v>
      </c>
      <c r="G2122" s="43">
        <v>45999.607344525466</v>
      </c>
      <c r="H2122" t="s">
        <v>2686</v>
      </c>
      <c r="I2122" t="s">
        <v>2669</v>
      </c>
      <c r="J2122" t="s">
        <v>100</v>
      </c>
      <c r="L2122" t="s">
        <v>2353</v>
      </c>
      <c r="M2122">
        <v>247227556102</v>
      </c>
      <c r="N2122" t="s">
        <v>2702</v>
      </c>
      <c r="O2122" s="1">
        <v>45006</v>
      </c>
      <c r="T2122" t="s">
        <v>2662</v>
      </c>
      <c r="U2122" t="s">
        <v>7554</v>
      </c>
      <c r="V2122">
        <v>1</v>
      </c>
      <c r="X2122">
        <v>1</v>
      </c>
      <c r="Y2122" t="s">
        <v>2688</v>
      </c>
      <c r="AA2122">
        <v>247227556102</v>
      </c>
      <c r="AB2122" t="s">
        <v>270</v>
      </c>
      <c r="AC2122">
        <v>0</v>
      </c>
      <c r="AD2122">
        <v>49</v>
      </c>
      <c r="AE2122">
        <v>24722755610249</v>
      </c>
      <c r="AF2122" t="s">
        <v>7555</v>
      </c>
      <c r="AG2122">
        <v>0</v>
      </c>
      <c r="AH2122">
        <v>0</v>
      </c>
    </row>
    <row r="2123" spans="1:34">
      <c r="A2123">
        <v>2025</v>
      </c>
      <c r="B2123" s="1">
        <v>45992</v>
      </c>
      <c r="C2123" t="s">
        <v>2657</v>
      </c>
      <c r="D2123" t="s">
        <v>7556</v>
      </c>
      <c r="E2123" s="43">
        <v>45993.819250231485</v>
      </c>
      <c r="F2123" s="1">
        <v>45993</v>
      </c>
      <c r="G2123" s="43">
        <v>45993.819250231485</v>
      </c>
      <c r="H2123" t="s">
        <v>2686</v>
      </c>
      <c r="I2123" t="s">
        <v>2669</v>
      </c>
      <c r="J2123" t="s">
        <v>100</v>
      </c>
      <c r="L2123" t="s">
        <v>2353</v>
      </c>
      <c r="M2123">
        <v>247227556102</v>
      </c>
      <c r="N2123" t="s">
        <v>2702</v>
      </c>
      <c r="O2123" s="1">
        <v>45006</v>
      </c>
      <c r="T2123" t="s">
        <v>2662</v>
      </c>
      <c r="U2123" t="s">
        <v>7557</v>
      </c>
      <c r="V2123">
        <v>0</v>
      </c>
      <c r="W2123" t="s">
        <v>2664</v>
      </c>
      <c r="X2123">
        <v>1</v>
      </c>
      <c r="Y2123" t="s">
        <v>2695</v>
      </c>
      <c r="AA2123">
        <v>247227556102</v>
      </c>
      <c r="AB2123" t="s">
        <v>270</v>
      </c>
      <c r="AC2123">
        <v>0</v>
      </c>
      <c r="AD2123">
        <v>49</v>
      </c>
      <c r="AE2123">
        <v>24722755610249</v>
      </c>
      <c r="AF2123" t="s">
        <v>7555</v>
      </c>
      <c r="AG2123">
        <v>1</v>
      </c>
      <c r="AH2123">
        <v>1</v>
      </c>
    </row>
    <row r="2124" spans="1:34">
      <c r="A2124">
        <v>2025</v>
      </c>
      <c r="B2124" s="1">
        <v>45992</v>
      </c>
      <c r="C2124" t="s">
        <v>2657</v>
      </c>
      <c r="D2124" t="s">
        <v>7558</v>
      </c>
      <c r="E2124" s="43">
        <v>46003.735740185184</v>
      </c>
      <c r="F2124" s="1">
        <v>46003</v>
      </c>
      <c r="G2124" s="43">
        <v>46030.557118368059</v>
      </c>
      <c r="H2124" t="s">
        <v>2686</v>
      </c>
      <c r="I2124" t="s">
        <v>2681</v>
      </c>
      <c r="J2124" t="s">
        <v>100</v>
      </c>
      <c r="L2124" t="s">
        <v>2353</v>
      </c>
      <c r="M2124">
        <v>247227556102</v>
      </c>
      <c r="N2124" t="s">
        <v>2702</v>
      </c>
      <c r="O2124" s="1">
        <v>45006</v>
      </c>
      <c r="T2124" t="s">
        <v>2662</v>
      </c>
      <c r="U2124" t="s">
        <v>7559</v>
      </c>
      <c r="V2124">
        <v>19</v>
      </c>
      <c r="W2124" t="s">
        <v>2671</v>
      </c>
      <c r="X2124">
        <v>1</v>
      </c>
      <c r="Y2124" t="s">
        <v>2721</v>
      </c>
      <c r="Z2124" t="s">
        <v>2684</v>
      </c>
      <c r="AA2124">
        <v>247227556102</v>
      </c>
      <c r="AB2124" t="s">
        <v>270</v>
      </c>
      <c r="AC2124">
        <v>0</v>
      </c>
      <c r="AD2124">
        <v>50</v>
      </c>
      <c r="AE2124">
        <v>24722755610250</v>
      </c>
      <c r="AF2124" t="s">
        <v>7555</v>
      </c>
      <c r="AG2124">
        <v>0</v>
      </c>
      <c r="AH2124">
        <v>0</v>
      </c>
    </row>
    <row r="2125" spans="1:34">
      <c r="A2125">
        <v>2025</v>
      </c>
      <c r="B2125" s="1">
        <v>45992</v>
      </c>
      <c r="C2125" t="s">
        <v>2657</v>
      </c>
      <c r="D2125" t="s">
        <v>7560</v>
      </c>
      <c r="E2125" s="43">
        <v>46000.65863943287</v>
      </c>
      <c r="F2125" s="1">
        <v>46000</v>
      </c>
      <c r="G2125" s="43">
        <v>46000.855329814818</v>
      </c>
      <c r="H2125" t="s">
        <v>2686</v>
      </c>
      <c r="I2125" t="s">
        <v>2681</v>
      </c>
      <c r="J2125" t="s">
        <v>100</v>
      </c>
      <c r="L2125" t="s">
        <v>2353</v>
      </c>
      <c r="M2125">
        <v>247227556102</v>
      </c>
      <c r="N2125" t="s">
        <v>2702</v>
      </c>
      <c r="O2125" s="1">
        <v>45006</v>
      </c>
      <c r="T2125" t="s">
        <v>2662</v>
      </c>
      <c r="U2125" t="s">
        <v>7561</v>
      </c>
      <c r="V2125">
        <v>0</v>
      </c>
      <c r="W2125" t="s">
        <v>2664</v>
      </c>
      <c r="X2125">
        <v>1</v>
      </c>
      <c r="Y2125" t="s">
        <v>2692</v>
      </c>
      <c r="AA2125">
        <v>247227556102</v>
      </c>
      <c r="AB2125" t="s">
        <v>270</v>
      </c>
      <c r="AC2125">
        <v>0</v>
      </c>
      <c r="AD2125">
        <v>50</v>
      </c>
      <c r="AE2125">
        <v>24722755610250</v>
      </c>
      <c r="AF2125" t="s">
        <v>7555</v>
      </c>
      <c r="AG2125">
        <v>1</v>
      </c>
      <c r="AH2125">
        <v>0</v>
      </c>
    </row>
    <row r="2126" spans="1:34">
      <c r="A2126">
        <v>2025</v>
      </c>
      <c r="B2126" s="1">
        <v>45992</v>
      </c>
      <c r="C2126" t="s">
        <v>2657</v>
      </c>
      <c r="D2126" t="s">
        <v>7562</v>
      </c>
      <c r="E2126" s="43">
        <v>46001.713486504632</v>
      </c>
      <c r="F2126" s="1">
        <v>46001</v>
      </c>
      <c r="G2126" s="43">
        <v>46020.59333491898</v>
      </c>
      <c r="H2126" t="s">
        <v>2686</v>
      </c>
      <c r="I2126" t="s">
        <v>2681</v>
      </c>
      <c r="J2126" t="s">
        <v>100</v>
      </c>
      <c r="L2126" t="s">
        <v>2353</v>
      </c>
      <c r="M2126">
        <v>564320905202</v>
      </c>
      <c r="N2126" t="s">
        <v>2702</v>
      </c>
      <c r="O2126" s="1">
        <v>45384</v>
      </c>
      <c r="T2126" t="s">
        <v>2662</v>
      </c>
      <c r="U2126" t="s">
        <v>7563</v>
      </c>
      <c r="V2126">
        <v>13</v>
      </c>
      <c r="W2126" t="s">
        <v>2671</v>
      </c>
      <c r="X2126">
        <v>1</v>
      </c>
      <c r="Y2126" t="s">
        <v>2692</v>
      </c>
      <c r="AA2126">
        <v>247227556102</v>
      </c>
      <c r="AB2126" t="s">
        <v>270</v>
      </c>
      <c r="AC2126">
        <v>0</v>
      </c>
      <c r="AD2126">
        <v>50</v>
      </c>
      <c r="AE2126">
        <v>24722755610250</v>
      </c>
      <c r="AF2126" t="s">
        <v>7555</v>
      </c>
      <c r="AG2126">
        <v>0</v>
      </c>
      <c r="AH2126">
        <v>0</v>
      </c>
    </row>
    <row r="2127" spans="1:34">
      <c r="A2127">
        <v>2025</v>
      </c>
      <c r="B2127" s="1">
        <v>45992</v>
      </c>
      <c r="C2127" t="s">
        <v>2657</v>
      </c>
      <c r="D2127" t="s">
        <v>7564</v>
      </c>
      <c r="E2127" s="43">
        <v>46007.883913229169</v>
      </c>
      <c r="F2127" s="1">
        <v>46007</v>
      </c>
      <c r="G2127" s="43">
        <v>46031.757565023145</v>
      </c>
      <c r="H2127" t="s">
        <v>2686</v>
      </c>
      <c r="I2127" t="s">
        <v>2719</v>
      </c>
      <c r="J2127" t="s">
        <v>100</v>
      </c>
      <c r="L2127" t="s">
        <v>2353</v>
      </c>
      <c r="M2127">
        <v>247227556102</v>
      </c>
      <c r="N2127" t="s">
        <v>2702</v>
      </c>
      <c r="O2127" s="1">
        <v>45006</v>
      </c>
      <c r="T2127" t="s">
        <v>2662</v>
      </c>
      <c r="U2127" t="s">
        <v>7565</v>
      </c>
      <c r="V2127">
        <v>18</v>
      </c>
      <c r="X2127">
        <v>1</v>
      </c>
      <c r="Y2127" t="s">
        <v>2721</v>
      </c>
      <c r="Z2127" t="s">
        <v>2684</v>
      </c>
      <c r="AA2127">
        <v>247227556102</v>
      </c>
      <c r="AB2127" t="s">
        <v>270</v>
      </c>
      <c r="AC2127">
        <v>0</v>
      </c>
      <c r="AD2127">
        <v>51</v>
      </c>
      <c r="AE2127">
        <v>24722755610251</v>
      </c>
      <c r="AF2127" t="s">
        <v>7555</v>
      </c>
      <c r="AG2127">
        <v>1</v>
      </c>
      <c r="AH2127">
        <v>0</v>
      </c>
    </row>
    <row r="2128" spans="1:34">
      <c r="A2128">
        <v>2025</v>
      </c>
      <c r="B2128" s="1">
        <v>45992</v>
      </c>
      <c r="C2128" t="s">
        <v>2657</v>
      </c>
      <c r="D2128" t="s">
        <v>7566</v>
      </c>
      <c r="E2128" s="43">
        <v>45993.881348483796</v>
      </c>
      <c r="F2128" s="1">
        <v>45993</v>
      </c>
      <c r="G2128" s="43">
        <v>45996.629714594907</v>
      </c>
      <c r="H2128" t="s">
        <v>2686</v>
      </c>
      <c r="I2128" t="s">
        <v>2669</v>
      </c>
      <c r="J2128" t="s">
        <v>36</v>
      </c>
      <c r="L2128" t="s">
        <v>2362</v>
      </c>
      <c r="M2128">
        <v>375080537802</v>
      </c>
      <c r="N2128" t="s">
        <v>2746</v>
      </c>
      <c r="O2128" s="1">
        <v>45842</v>
      </c>
      <c r="T2128" t="s">
        <v>2662</v>
      </c>
      <c r="U2128" t="s">
        <v>7567</v>
      </c>
      <c r="V2128">
        <v>3</v>
      </c>
      <c r="W2128" t="s">
        <v>2677</v>
      </c>
      <c r="X2128">
        <v>1</v>
      </c>
      <c r="Y2128" t="s">
        <v>2807</v>
      </c>
      <c r="AA2128">
        <v>375080537802</v>
      </c>
      <c r="AB2128" t="s">
        <v>2299</v>
      </c>
      <c r="AC2128">
        <v>0</v>
      </c>
      <c r="AD2128">
        <v>49</v>
      </c>
      <c r="AE2128">
        <v>37508053780249</v>
      </c>
      <c r="AF2128" t="s">
        <v>7568</v>
      </c>
      <c r="AG2128">
        <v>1</v>
      </c>
      <c r="AH2128">
        <v>1</v>
      </c>
    </row>
    <row r="2129" spans="1:34">
      <c r="A2129">
        <v>2025</v>
      </c>
      <c r="B2129" s="1">
        <v>45992</v>
      </c>
      <c r="C2129" t="s">
        <v>2657</v>
      </c>
      <c r="D2129" t="s">
        <v>7569</v>
      </c>
      <c r="E2129" s="43">
        <v>46014.858946087959</v>
      </c>
      <c r="F2129" s="1">
        <v>46014</v>
      </c>
      <c r="G2129" s="43">
        <v>46014.858946087959</v>
      </c>
      <c r="H2129" t="s">
        <v>2686</v>
      </c>
      <c r="I2129" t="s">
        <v>2660</v>
      </c>
      <c r="J2129" t="s">
        <v>2735</v>
      </c>
      <c r="L2129" t="s">
        <v>2362</v>
      </c>
      <c r="M2129">
        <v>375080537802</v>
      </c>
      <c r="N2129" t="s">
        <v>2746</v>
      </c>
      <c r="O2129" s="1">
        <v>45842</v>
      </c>
      <c r="T2129" t="s">
        <v>2662</v>
      </c>
      <c r="U2129" t="s">
        <v>7570</v>
      </c>
      <c r="V2129">
        <v>0</v>
      </c>
      <c r="W2129" t="s">
        <v>2664</v>
      </c>
      <c r="X2129">
        <v>1</v>
      </c>
      <c r="Y2129" t="s">
        <v>2695</v>
      </c>
      <c r="AA2129">
        <v>375080537802</v>
      </c>
      <c r="AB2129" t="s">
        <v>2299</v>
      </c>
      <c r="AC2129">
        <v>1</v>
      </c>
      <c r="AD2129">
        <v>52</v>
      </c>
      <c r="AE2129">
        <v>37508053780252</v>
      </c>
      <c r="AF2129" t="s">
        <v>7568</v>
      </c>
      <c r="AG2129">
        <v>1</v>
      </c>
      <c r="AH2129">
        <v>0</v>
      </c>
    </row>
    <row r="2130" spans="1:34">
      <c r="A2130">
        <v>2026</v>
      </c>
      <c r="B2130" s="1">
        <v>46082</v>
      </c>
      <c r="C2130" t="s">
        <v>2657</v>
      </c>
      <c r="D2130" s="44" t="s">
        <v>7571</v>
      </c>
      <c r="E2130" s="43">
        <v>46084.817047280092</v>
      </c>
      <c r="F2130" s="1">
        <v>46084</v>
      </c>
      <c r="G2130" s="43">
        <v>46085.584142500004</v>
      </c>
      <c r="H2130" t="s">
        <v>2668</v>
      </c>
      <c r="I2130" t="s">
        <v>2669</v>
      </c>
      <c r="J2130" t="s">
        <v>36</v>
      </c>
      <c r="L2130" t="s">
        <v>2421</v>
      </c>
      <c r="M2130">
        <v>55427353102</v>
      </c>
      <c r="N2130" t="s">
        <v>2661</v>
      </c>
      <c r="O2130" s="1">
        <v>45294</v>
      </c>
      <c r="T2130" t="s">
        <v>2662</v>
      </c>
      <c r="U2130" t="s">
        <v>7572</v>
      </c>
      <c r="V2130">
        <v>1</v>
      </c>
      <c r="W2130" t="s">
        <v>2671</v>
      </c>
      <c r="X2130">
        <v>1</v>
      </c>
      <c r="Y2130" t="s">
        <v>2672</v>
      </c>
      <c r="AA2130">
        <v>55427353102</v>
      </c>
      <c r="AB2130" t="s">
        <v>1972</v>
      </c>
      <c r="AC2130">
        <v>0</v>
      </c>
      <c r="AD2130">
        <v>10</v>
      </c>
      <c r="AE2130">
        <v>5542735310210</v>
      </c>
      <c r="AF2130" t="s">
        <v>7573</v>
      </c>
      <c r="AG2130">
        <v>0</v>
      </c>
      <c r="AH2130">
        <v>0</v>
      </c>
    </row>
    <row r="2131" spans="1:34">
      <c r="A2131">
        <v>2026</v>
      </c>
      <c r="B2131" s="1">
        <v>46082</v>
      </c>
      <c r="C2131" t="s">
        <v>2657</v>
      </c>
      <c r="D2131" t="s">
        <v>7574</v>
      </c>
      <c r="E2131" s="43">
        <v>46087.562997199071</v>
      </c>
      <c r="F2131" s="1">
        <v>46087</v>
      </c>
      <c r="G2131" s="43">
        <v>46091.540790150466</v>
      </c>
      <c r="H2131" t="s">
        <v>2668</v>
      </c>
      <c r="I2131" t="s">
        <v>2669</v>
      </c>
      <c r="J2131" t="s">
        <v>36</v>
      </c>
      <c r="L2131" t="s">
        <v>2421</v>
      </c>
      <c r="M2131">
        <v>55427353102</v>
      </c>
      <c r="N2131" t="s">
        <v>2661</v>
      </c>
      <c r="O2131" s="1">
        <v>45294</v>
      </c>
      <c r="T2131" t="s">
        <v>2662</v>
      </c>
      <c r="U2131" t="s">
        <v>7575</v>
      </c>
      <c r="V2131">
        <v>2</v>
      </c>
      <c r="W2131" t="s">
        <v>2677</v>
      </c>
      <c r="X2131">
        <v>1</v>
      </c>
      <c r="Y2131" t="s">
        <v>2760</v>
      </c>
      <c r="AA2131">
        <v>55427353102</v>
      </c>
      <c r="AB2131" t="s">
        <v>1972</v>
      </c>
      <c r="AC2131">
        <v>0</v>
      </c>
      <c r="AD2131">
        <v>10</v>
      </c>
      <c r="AE2131">
        <v>5542735310210</v>
      </c>
      <c r="AF2131" t="s">
        <v>7573</v>
      </c>
      <c r="AG2131">
        <v>0</v>
      </c>
      <c r="AH2131">
        <v>0</v>
      </c>
    </row>
    <row r="2132" spans="1:34">
      <c r="A2132">
        <v>2026</v>
      </c>
      <c r="B2132" s="1">
        <v>46082</v>
      </c>
      <c r="C2132" t="s">
        <v>2657</v>
      </c>
      <c r="D2132" t="s">
        <v>7576</v>
      </c>
      <c r="E2132" s="43">
        <v>46086.70983324074</v>
      </c>
      <c r="F2132" s="1">
        <v>46086</v>
      </c>
      <c r="G2132" s="43">
        <v>46086.70983324074</v>
      </c>
      <c r="H2132" t="s">
        <v>2668</v>
      </c>
      <c r="I2132" t="s">
        <v>2669</v>
      </c>
      <c r="J2132" t="s">
        <v>36</v>
      </c>
      <c r="L2132" t="s">
        <v>2421</v>
      </c>
      <c r="M2132">
        <v>55427353102</v>
      </c>
      <c r="N2132" t="s">
        <v>2661</v>
      </c>
      <c r="O2132" s="1">
        <v>45294</v>
      </c>
      <c r="T2132" t="s">
        <v>2798</v>
      </c>
      <c r="U2132" t="s">
        <v>7577</v>
      </c>
      <c r="V2132">
        <v>6</v>
      </c>
      <c r="W2132" t="s">
        <v>2677</v>
      </c>
      <c r="X2132">
        <v>0</v>
      </c>
      <c r="Y2132" t="s">
        <v>2807</v>
      </c>
      <c r="AA2132">
        <v>55427353102</v>
      </c>
      <c r="AB2132" t="s">
        <v>1972</v>
      </c>
      <c r="AC2132">
        <v>0</v>
      </c>
      <c r="AD2132">
        <v>10</v>
      </c>
      <c r="AE2132">
        <v>5542735310210</v>
      </c>
      <c r="AF2132" t="s">
        <v>7573</v>
      </c>
      <c r="AG2132">
        <v>0</v>
      </c>
      <c r="AH2132">
        <v>0</v>
      </c>
    </row>
    <row r="2133" spans="1:34">
      <c r="A2133">
        <v>2026</v>
      </c>
      <c r="B2133" s="1">
        <v>46082</v>
      </c>
      <c r="C2133" t="s">
        <v>2657</v>
      </c>
      <c r="D2133" t="s">
        <v>7578</v>
      </c>
      <c r="E2133" s="43">
        <v>46085.746563923611</v>
      </c>
      <c r="F2133" s="1">
        <v>46085</v>
      </c>
      <c r="G2133" s="43">
        <v>46090.56038116898</v>
      </c>
      <c r="H2133" t="s">
        <v>2668</v>
      </c>
      <c r="I2133" t="s">
        <v>2669</v>
      </c>
      <c r="J2133" t="s">
        <v>36</v>
      </c>
      <c r="L2133" t="s">
        <v>2421</v>
      </c>
      <c r="M2133">
        <v>55427353102</v>
      </c>
      <c r="N2133" t="s">
        <v>2661</v>
      </c>
      <c r="O2133" s="1">
        <v>45294</v>
      </c>
      <c r="T2133" t="s">
        <v>2662</v>
      </c>
      <c r="U2133" t="s">
        <v>7579</v>
      </c>
      <c r="V2133">
        <v>3</v>
      </c>
      <c r="W2133" t="s">
        <v>2677</v>
      </c>
      <c r="X2133">
        <v>1</v>
      </c>
      <c r="Y2133" t="s">
        <v>2760</v>
      </c>
      <c r="AA2133">
        <v>55427353102</v>
      </c>
      <c r="AB2133" t="s">
        <v>1972</v>
      </c>
      <c r="AC2133">
        <v>0</v>
      </c>
      <c r="AD2133">
        <v>10</v>
      </c>
      <c r="AE2133">
        <v>5542735310210</v>
      </c>
      <c r="AF2133" t="s">
        <v>7573</v>
      </c>
      <c r="AG2133">
        <v>0</v>
      </c>
      <c r="AH2133">
        <v>0</v>
      </c>
    </row>
    <row r="2134" spans="1:34">
      <c r="A2134">
        <v>2026</v>
      </c>
      <c r="B2134" s="1">
        <v>46082</v>
      </c>
      <c r="C2134" t="s">
        <v>2657</v>
      </c>
      <c r="D2134" t="s">
        <v>7580</v>
      </c>
      <c r="E2134" s="43">
        <v>46085.580385266207</v>
      </c>
      <c r="F2134" s="1">
        <v>46085</v>
      </c>
      <c r="G2134" s="43">
        <v>46094.745609293983</v>
      </c>
      <c r="H2134" t="s">
        <v>2668</v>
      </c>
      <c r="I2134" t="s">
        <v>2669</v>
      </c>
      <c r="J2134" t="s">
        <v>36</v>
      </c>
      <c r="L2134" t="s">
        <v>2421</v>
      </c>
      <c r="M2134">
        <v>55427353102</v>
      </c>
      <c r="N2134" t="s">
        <v>2661</v>
      </c>
      <c r="O2134" s="1">
        <v>45294</v>
      </c>
      <c r="T2134" t="s">
        <v>2798</v>
      </c>
      <c r="U2134" t="s">
        <v>7581</v>
      </c>
      <c r="V2134">
        <v>7</v>
      </c>
      <c r="W2134" t="s">
        <v>2677</v>
      </c>
      <c r="X2134">
        <v>0</v>
      </c>
      <c r="Y2134" t="s">
        <v>2760</v>
      </c>
      <c r="AA2134">
        <v>55427353102</v>
      </c>
      <c r="AB2134" t="s">
        <v>1972</v>
      </c>
      <c r="AC2134">
        <v>0</v>
      </c>
      <c r="AD2134">
        <v>10</v>
      </c>
      <c r="AE2134">
        <v>5542735310210</v>
      </c>
      <c r="AF2134" t="s">
        <v>7573</v>
      </c>
      <c r="AG2134">
        <v>0</v>
      </c>
      <c r="AH2134">
        <v>0</v>
      </c>
    </row>
    <row r="2135" spans="1:34">
      <c r="A2135">
        <v>2026</v>
      </c>
      <c r="B2135" s="1">
        <v>46082</v>
      </c>
      <c r="C2135" t="s">
        <v>2657</v>
      </c>
      <c r="D2135" t="s">
        <v>7582</v>
      </c>
      <c r="E2135" s="43">
        <v>46084.796193564813</v>
      </c>
      <c r="F2135" s="1">
        <v>46084</v>
      </c>
      <c r="G2135" s="43">
        <v>46090.578233009262</v>
      </c>
      <c r="H2135" t="s">
        <v>2668</v>
      </c>
      <c r="I2135" t="s">
        <v>2669</v>
      </c>
      <c r="J2135" t="s">
        <v>36</v>
      </c>
      <c r="L2135" t="s">
        <v>2421</v>
      </c>
      <c r="M2135">
        <v>55427353102</v>
      </c>
      <c r="N2135" t="s">
        <v>2661</v>
      </c>
      <c r="O2135" s="1">
        <v>45294</v>
      </c>
      <c r="T2135" t="s">
        <v>2662</v>
      </c>
      <c r="U2135" t="s">
        <v>7583</v>
      </c>
      <c r="V2135">
        <v>4</v>
      </c>
      <c r="W2135" t="s">
        <v>2671</v>
      </c>
      <c r="X2135">
        <v>1</v>
      </c>
      <c r="Y2135" t="s">
        <v>2764</v>
      </c>
      <c r="AA2135">
        <v>55427353102</v>
      </c>
      <c r="AB2135" t="s">
        <v>1972</v>
      </c>
      <c r="AC2135">
        <v>0</v>
      </c>
      <c r="AD2135">
        <v>10</v>
      </c>
      <c r="AE2135">
        <v>5542735310210</v>
      </c>
      <c r="AF2135" t="s">
        <v>7573</v>
      </c>
      <c r="AG2135">
        <v>1</v>
      </c>
      <c r="AH2135">
        <v>1</v>
      </c>
    </row>
    <row r="2136" spans="1:34">
      <c r="A2136">
        <v>2026</v>
      </c>
      <c r="B2136" s="1">
        <v>46082</v>
      </c>
      <c r="C2136" t="s">
        <v>2657</v>
      </c>
      <c r="D2136" t="s">
        <v>7584</v>
      </c>
      <c r="E2136" s="43">
        <v>46084.844977418979</v>
      </c>
      <c r="F2136" s="1">
        <v>46084</v>
      </c>
      <c r="G2136" s="43">
        <v>46090.559226678241</v>
      </c>
      <c r="H2136" t="s">
        <v>2668</v>
      </c>
      <c r="I2136" t="s">
        <v>2669</v>
      </c>
      <c r="J2136" t="s">
        <v>36</v>
      </c>
      <c r="L2136" t="s">
        <v>2421</v>
      </c>
      <c r="M2136">
        <v>55427353102</v>
      </c>
      <c r="N2136" t="s">
        <v>2661</v>
      </c>
      <c r="O2136" s="1">
        <v>45294</v>
      </c>
      <c r="T2136" t="s">
        <v>2662</v>
      </c>
      <c r="U2136" t="s">
        <v>7585</v>
      </c>
      <c r="V2136">
        <v>4</v>
      </c>
      <c r="W2136" t="s">
        <v>2677</v>
      </c>
      <c r="X2136">
        <v>1</v>
      </c>
      <c r="Y2136" t="s">
        <v>2760</v>
      </c>
      <c r="AA2136">
        <v>55427353102</v>
      </c>
      <c r="AB2136" t="s">
        <v>1972</v>
      </c>
      <c r="AC2136">
        <v>0</v>
      </c>
      <c r="AD2136">
        <v>10</v>
      </c>
      <c r="AE2136">
        <v>5542735310210</v>
      </c>
      <c r="AF2136" t="s">
        <v>7573</v>
      </c>
      <c r="AG2136">
        <v>0</v>
      </c>
      <c r="AH2136">
        <v>0</v>
      </c>
    </row>
    <row r="2137" spans="1:34">
      <c r="A2137">
        <v>2026</v>
      </c>
      <c r="B2137" s="1">
        <v>46082</v>
      </c>
      <c r="C2137" t="s">
        <v>2657</v>
      </c>
      <c r="D2137" t="s">
        <v>7586</v>
      </c>
      <c r="E2137" s="43">
        <v>46094.540869872682</v>
      </c>
      <c r="F2137" s="1">
        <v>46094</v>
      </c>
      <c r="G2137" s="43">
        <v>46094.540869872682</v>
      </c>
      <c r="H2137" t="s">
        <v>2668</v>
      </c>
      <c r="I2137" t="s">
        <v>2681</v>
      </c>
      <c r="J2137" t="s">
        <v>36</v>
      </c>
      <c r="L2137" t="s">
        <v>2421</v>
      </c>
      <c r="M2137">
        <v>55427353102</v>
      </c>
      <c r="N2137" t="s">
        <v>2661</v>
      </c>
      <c r="O2137" s="1">
        <v>45294</v>
      </c>
      <c r="T2137" t="s">
        <v>2662</v>
      </c>
      <c r="U2137" t="s">
        <v>7587</v>
      </c>
      <c r="V2137">
        <v>0</v>
      </c>
      <c r="W2137" t="s">
        <v>2677</v>
      </c>
      <c r="X2137">
        <v>1</v>
      </c>
      <c r="Y2137" t="s">
        <v>2695</v>
      </c>
      <c r="AA2137">
        <v>55427353102</v>
      </c>
      <c r="AB2137" t="s">
        <v>1972</v>
      </c>
      <c r="AC2137">
        <v>0</v>
      </c>
      <c r="AD2137">
        <v>11</v>
      </c>
      <c r="AE2137">
        <v>5542735310211</v>
      </c>
      <c r="AF2137" t="s">
        <v>7573</v>
      </c>
      <c r="AG2137">
        <v>0</v>
      </c>
      <c r="AH2137">
        <v>0</v>
      </c>
    </row>
    <row r="2138" spans="1:34">
      <c r="A2138">
        <v>2026</v>
      </c>
      <c r="B2138" s="1">
        <v>46082</v>
      </c>
      <c r="C2138" t="s">
        <v>2657</v>
      </c>
      <c r="D2138" t="s">
        <v>7588</v>
      </c>
      <c r="E2138" s="43">
        <v>46094.554364016207</v>
      </c>
      <c r="F2138" s="1">
        <v>46094</v>
      </c>
      <c r="G2138" s="43">
        <v>46094.554364016207</v>
      </c>
      <c r="H2138" t="s">
        <v>2668</v>
      </c>
      <c r="I2138" t="s">
        <v>2681</v>
      </c>
      <c r="J2138" t="s">
        <v>36</v>
      </c>
      <c r="L2138" t="s">
        <v>2421</v>
      </c>
      <c r="M2138">
        <v>55427353102</v>
      </c>
      <c r="N2138" t="s">
        <v>2661</v>
      </c>
      <c r="O2138" s="1">
        <v>45294</v>
      </c>
      <c r="T2138" t="s">
        <v>2798</v>
      </c>
      <c r="U2138" t="s">
        <v>7589</v>
      </c>
      <c r="V2138">
        <v>0</v>
      </c>
      <c r="W2138" t="s">
        <v>2677</v>
      </c>
      <c r="X2138">
        <v>0</v>
      </c>
      <c r="Y2138" t="s">
        <v>2760</v>
      </c>
      <c r="AA2138">
        <v>55427353102</v>
      </c>
      <c r="AB2138" t="s">
        <v>1972</v>
      </c>
      <c r="AC2138">
        <v>1</v>
      </c>
      <c r="AD2138">
        <v>11</v>
      </c>
      <c r="AE2138">
        <v>5542735310211</v>
      </c>
      <c r="AF2138" t="s">
        <v>7573</v>
      </c>
      <c r="AG2138">
        <v>0</v>
      </c>
      <c r="AH2138">
        <v>0</v>
      </c>
    </row>
    <row r="2139" spans="1:34">
      <c r="A2139">
        <v>2026</v>
      </c>
      <c r="B2139" s="1">
        <v>46082</v>
      </c>
      <c r="C2139" t="s">
        <v>2657</v>
      </c>
      <c r="D2139" t="s">
        <v>7590</v>
      </c>
      <c r="E2139" s="43">
        <v>46094.552236284719</v>
      </c>
      <c r="F2139" s="1">
        <v>46094</v>
      </c>
      <c r="G2139" s="43">
        <v>46094.552236284719</v>
      </c>
      <c r="H2139" t="s">
        <v>2668</v>
      </c>
      <c r="I2139" t="s">
        <v>2681</v>
      </c>
      <c r="J2139" t="s">
        <v>36</v>
      </c>
      <c r="L2139" t="s">
        <v>2421</v>
      </c>
      <c r="M2139">
        <v>55427353102</v>
      </c>
      <c r="N2139" t="s">
        <v>2661</v>
      </c>
      <c r="O2139" s="1">
        <v>45294</v>
      </c>
      <c r="T2139" t="s">
        <v>2798</v>
      </c>
      <c r="U2139" t="s">
        <v>7591</v>
      </c>
      <c r="V2139">
        <v>0</v>
      </c>
      <c r="W2139" t="s">
        <v>2677</v>
      </c>
      <c r="X2139">
        <v>0</v>
      </c>
      <c r="Y2139" t="s">
        <v>2760</v>
      </c>
      <c r="AA2139">
        <v>55427353102</v>
      </c>
      <c r="AB2139" t="s">
        <v>1972</v>
      </c>
      <c r="AC2139">
        <v>0</v>
      </c>
      <c r="AD2139">
        <v>11</v>
      </c>
      <c r="AE2139">
        <v>5542735310211</v>
      </c>
      <c r="AF2139" t="s">
        <v>7573</v>
      </c>
      <c r="AG2139">
        <v>0</v>
      </c>
      <c r="AH2139">
        <v>0</v>
      </c>
    </row>
    <row r="2140" spans="1:34">
      <c r="A2140">
        <v>2026</v>
      </c>
      <c r="B2140" s="1">
        <v>46082</v>
      </c>
      <c r="C2140" t="s">
        <v>2657</v>
      </c>
      <c r="D2140" t="s">
        <v>7592</v>
      </c>
      <c r="E2140" s="43">
        <v>46090.752444664351</v>
      </c>
      <c r="F2140" s="1">
        <v>46090</v>
      </c>
      <c r="G2140" s="43">
        <v>46090.752444664351</v>
      </c>
      <c r="H2140" t="s">
        <v>2668</v>
      </c>
      <c r="I2140" t="s">
        <v>2681</v>
      </c>
      <c r="J2140" t="s">
        <v>36</v>
      </c>
      <c r="L2140" t="s">
        <v>2421</v>
      </c>
      <c r="M2140">
        <v>55427353102</v>
      </c>
      <c r="N2140" t="s">
        <v>2661</v>
      </c>
      <c r="O2140" s="1">
        <v>45294</v>
      </c>
      <c r="T2140" t="s">
        <v>2798</v>
      </c>
      <c r="U2140" t="s">
        <v>7593</v>
      </c>
      <c r="V2140">
        <v>4</v>
      </c>
      <c r="W2140" t="s">
        <v>2677</v>
      </c>
      <c r="X2140">
        <v>0</v>
      </c>
      <c r="Y2140" t="s">
        <v>2678</v>
      </c>
      <c r="AA2140">
        <v>55427353102</v>
      </c>
      <c r="AB2140" t="s">
        <v>1972</v>
      </c>
      <c r="AC2140">
        <v>0</v>
      </c>
      <c r="AD2140">
        <v>11</v>
      </c>
      <c r="AE2140">
        <v>5542735310211</v>
      </c>
      <c r="AF2140" t="s">
        <v>7573</v>
      </c>
      <c r="AG2140">
        <v>1</v>
      </c>
      <c r="AH2140">
        <v>0</v>
      </c>
    </row>
    <row r="2141" spans="1:34">
      <c r="A2141">
        <v>2025</v>
      </c>
      <c r="B2141" s="1">
        <v>45992</v>
      </c>
      <c r="C2141" t="s">
        <v>2657</v>
      </c>
      <c r="D2141" s="44" t="s">
        <v>7594</v>
      </c>
      <c r="E2141" s="43">
        <v>46008.88829693287</v>
      </c>
      <c r="F2141" s="1">
        <v>46008</v>
      </c>
      <c r="G2141" s="43">
        <v>46010.569610127313</v>
      </c>
      <c r="H2141" t="s">
        <v>2686</v>
      </c>
      <c r="I2141" t="s">
        <v>2719</v>
      </c>
      <c r="J2141" t="s">
        <v>37</v>
      </c>
      <c r="L2141" t="s">
        <v>2344</v>
      </c>
      <c r="M2141">
        <v>277711423902</v>
      </c>
      <c r="N2141" t="s">
        <v>2661</v>
      </c>
      <c r="O2141" s="1">
        <v>45884</v>
      </c>
      <c r="T2141" t="s">
        <v>2662</v>
      </c>
      <c r="U2141" t="s">
        <v>7595</v>
      </c>
      <c r="V2141">
        <v>2</v>
      </c>
      <c r="W2141" t="s">
        <v>2671</v>
      </c>
      <c r="X2141">
        <v>1</v>
      </c>
      <c r="Y2141" t="s">
        <v>3471</v>
      </c>
      <c r="AA2141">
        <v>277711423902</v>
      </c>
      <c r="AB2141" t="s">
        <v>737</v>
      </c>
      <c r="AC2141">
        <v>0</v>
      </c>
      <c r="AD2141">
        <v>51</v>
      </c>
      <c r="AE2141">
        <v>27771142390251</v>
      </c>
      <c r="AF2141" t="s">
        <v>7596</v>
      </c>
      <c r="AG2141">
        <v>1</v>
      </c>
      <c r="AH2141">
        <v>1</v>
      </c>
    </row>
    <row r="2142" spans="1:34">
      <c r="A2142">
        <v>2026</v>
      </c>
      <c r="B2142" s="1">
        <v>46054</v>
      </c>
      <c r="C2142" t="s">
        <v>2657</v>
      </c>
      <c r="D2142" t="s">
        <v>7597</v>
      </c>
      <c r="E2142" s="43">
        <v>46064.754679733793</v>
      </c>
      <c r="F2142" s="1">
        <v>46064</v>
      </c>
      <c r="G2142" s="43">
        <v>46083.741037673608</v>
      </c>
      <c r="H2142" t="s">
        <v>2725</v>
      </c>
      <c r="I2142" t="s">
        <v>2681</v>
      </c>
      <c r="J2142" t="s">
        <v>36</v>
      </c>
      <c r="L2142" t="s">
        <v>2355</v>
      </c>
      <c r="M2142">
        <v>133844711902</v>
      </c>
      <c r="N2142" t="s">
        <v>2702</v>
      </c>
      <c r="O2142" s="1">
        <v>44844</v>
      </c>
      <c r="T2142" t="s">
        <v>2798</v>
      </c>
      <c r="U2142" t="s">
        <v>7598</v>
      </c>
      <c r="V2142">
        <v>22</v>
      </c>
      <c r="W2142" t="s">
        <v>2704</v>
      </c>
      <c r="X2142">
        <v>0</v>
      </c>
      <c r="Y2142" t="s">
        <v>2699</v>
      </c>
      <c r="AA2142">
        <v>133844711902</v>
      </c>
      <c r="AB2142" t="s">
        <v>2283</v>
      </c>
      <c r="AC2142">
        <v>0</v>
      </c>
      <c r="AD2142">
        <v>7</v>
      </c>
      <c r="AE2142">
        <v>1338447119027</v>
      </c>
      <c r="AF2142" t="s">
        <v>7599</v>
      </c>
      <c r="AG2142">
        <v>0</v>
      </c>
      <c r="AH2142">
        <v>0</v>
      </c>
    </row>
    <row r="2143" spans="1:34">
      <c r="A2143">
        <v>2026</v>
      </c>
      <c r="B2143" s="1">
        <v>46054</v>
      </c>
      <c r="C2143" t="s">
        <v>2657</v>
      </c>
      <c r="D2143" t="s">
        <v>7600</v>
      </c>
      <c r="E2143" s="43">
        <v>46062.530314201387</v>
      </c>
      <c r="F2143" s="1">
        <v>46062</v>
      </c>
      <c r="G2143" s="43">
        <v>46065.591365914355</v>
      </c>
      <c r="H2143" t="s">
        <v>2725</v>
      </c>
      <c r="I2143" t="s">
        <v>2681</v>
      </c>
      <c r="J2143" t="s">
        <v>36</v>
      </c>
      <c r="L2143" t="s">
        <v>2355</v>
      </c>
      <c r="M2143">
        <v>133844711902</v>
      </c>
      <c r="N2143" t="s">
        <v>2702</v>
      </c>
      <c r="O2143" s="1">
        <v>44844</v>
      </c>
      <c r="T2143" t="s">
        <v>2662</v>
      </c>
      <c r="U2143" t="s">
        <v>7601</v>
      </c>
      <c r="V2143">
        <v>3</v>
      </c>
      <c r="W2143" t="s">
        <v>2677</v>
      </c>
      <c r="X2143">
        <v>1</v>
      </c>
      <c r="Y2143" t="s">
        <v>2760</v>
      </c>
      <c r="AA2143">
        <v>133844711902</v>
      </c>
      <c r="AB2143" t="s">
        <v>2283</v>
      </c>
      <c r="AC2143">
        <v>0</v>
      </c>
      <c r="AD2143">
        <v>7</v>
      </c>
      <c r="AE2143">
        <v>1338447119027</v>
      </c>
      <c r="AF2143" t="s">
        <v>7599</v>
      </c>
      <c r="AG2143">
        <v>1</v>
      </c>
      <c r="AH2143">
        <v>1</v>
      </c>
    </row>
    <row r="2144" spans="1:34">
      <c r="A2144">
        <v>2026</v>
      </c>
      <c r="B2144" s="1">
        <v>46054</v>
      </c>
      <c r="C2144" t="s">
        <v>2657</v>
      </c>
      <c r="D2144" t="s">
        <v>7602</v>
      </c>
      <c r="E2144" s="43">
        <v>46073.658370949073</v>
      </c>
      <c r="F2144" s="1">
        <v>46073</v>
      </c>
      <c r="G2144" s="43">
        <v>46077.822473298613</v>
      </c>
      <c r="H2144" t="s">
        <v>2725</v>
      </c>
      <c r="I2144" t="s">
        <v>2719</v>
      </c>
      <c r="J2144" t="s">
        <v>36</v>
      </c>
      <c r="L2144" t="s">
        <v>2355</v>
      </c>
      <c r="M2144">
        <v>133844711902</v>
      </c>
      <c r="N2144" t="s">
        <v>2702</v>
      </c>
      <c r="O2144" s="1">
        <v>44844</v>
      </c>
      <c r="T2144" t="s">
        <v>2662</v>
      </c>
      <c r="U2144" t="s">
        <v>7603</v>
      </c>
      <c r="V2144">
        <v>2</v>
      </c>
      <c r="W2144" t="s">
        <v>2664</v>
      </c>
      <c r="X2144">
        <v>1</v>
      </c>
      <c r="Y2144" t="s">
        <v>2717</v>
      </c>
      <c r="AA2144">
        <v>133844711902</v>
      </c>
      <c r="AB2144" t="s">
        <v>2283</v>
      </c>
      <c r="AC2144">
        <v>0</v>
      </c>
      <c r="AD2144">
        <v>8</v>
      </c>
      <c r="AE2144">
        <v>1338447119028</v>
      </c>
      <c r="AF2144" t="s">
        <v>7599</v>
      </c>
      <c r="AG2144">
        <v>1</v>
      </c>
      <c r="AH2144">
        <v>0</v>
      </c>
    </row>
    <row r="2145" spans="1:34">
      <c r="A2145">
        <v>2025</v>
      </c>
      <c r="B2145" s="1">
        <v>45962</v>
      </c>
      <c r="C2145" t="s">
        <v>2657</v>
      </c>
      <c r="D2145" t="s">
        <v>7604</v>
      </c>
      <c r="E2145" s="43">
        <v>45972.690984976849</v>
      </c>
      <c r="F2145" s="1">
        <v>45972</v>
      </c>
      <c r="G2145" s="43">
        <v>45972.690984976849</v>
      </c>
      <c r="H2145" t="s">
        <v>2802</v>
      </c>
      <c r="I2145" t="s">
        <v>2681</v>
      </c>
      <c r="J2145" t="s">
        <v>38</v>
      </c>
      <c r="L2145" t="s">
        <v>2342</v>
      </c>
      <c r="M2145">
        <v>276705576602</v>
      </c>
      <c r="N2145" t="s">
        <v>2702</v>
      </c>
      <c r="O2145" s="1">
        <v>45294</v>
      </c>
      <c r="T2145" t="s">
        <v>2662</v>
      </c>
      <c r="U2145" t="s">
        <v>7605</v>
      </c>
      <c r="V2145">
        <v>0</v>
      </c>
      <c r="W2145" t="s">
        <v>2664</v>
      </c>
      <c r="X2145">
        <v>1</v>
      </c>
      <c r="Y2145" t="s">
        <v>2695</v>
      </c>
      <c r="AA2145">
        <v>276705576602</v>
      </c>
      <c r="AB2145" t="s">
        <v>1694</v>
      </c>
      <c r="AC2145">
        <v>0</v>
      </c>
      <c r="AD2145">
        <v>46</v>
      </c>
      <c r="AE2145">
        <v>27670557660246</v>
      </c>
      <c r="AF2145" t="s">
        <v>7606</v>
      </c>
      <c r="AG2145">
        <v>1</v>
      </c>
      <c r="AH2145">
        <v>1</v>
      </c>
    </row>
    <row r="2146" spans="1:34">
      <c r="A2146">
        <v>2025</v>
      </c>
      <c r="B2146" s="1">
        <v>45992</v>
      </c>
      <c r="C2146" t="s">
        <v>2657</v>
      </c>
      <c r="D2146" t="s">
        <v>7607</v>
      </c>
      <c r="E2146" s="43">
        <v>45993.657662303238</v>
      </c>
      <c r="F2146" s="1">
        <v>45993</v>
      </c>
      <c r="G2146" s="43">
        <v>46009.570450567131</v>
      </c>
      <c r="H2146" t="s">
        <v>2686</v>
      </c>
      <c r="I2146" t="s">
        <v>2669</v>
      </c>
      <c r="J2146" t="s">
        <v>37</v>
      </c>
      <c r="L2146" t="s">
        <v>2364</v>
      </c>
      <c r="M2146">
        <v>625725137302</v>
      </c>
      <c r="N2146" t="s">
        <v>2661</v>
      </c>
      <c r="O2146" s="1">
        <v>45294</v>
      </c>
      <c r="T2146" t="s">
        <v>2662</v>
      </c>
      <c r="U2146" t="s">
        <v>7608</v>
      </c>
      <c r="V2146">
        <v>12</v>
      </c>
      <c r="W2146" t="s">
        <v>2671</v>
      </c>
      <c r="X2146">
        <v>1</v>
      </c>
      <c r="Y2146" t="s">
        <v>2721</v>
      </c>
      <c r="AA2146">
        <v>625725137302</v>
      </c>
      <c r="AB2146" t="s">
        <v>1537</v>
      </c>
      <c r="AC2146">
        <v>0</v>
      </c>
      <c r="AD2146">
        <v>49</v>
      </c>
      <c r="AE2146">
        <v>62572513730249</v>
      </c>
      <c r="AF2146" t="s">
        <v>7609</v>
      </c>
      <c r="AG2146">
        <v>1</v>
      </c>
      <c r="AH2146">
        <v>1</v>
      </c>
    </row>
    <row r="2147" spans="1:34">
      <c r="A2147">
        <v>2025</v>
      </c>
      <c r="B2147" s="1">
        <v>45992</v>
      </c>
      <c r="C2147" t="s">
        <v>2657</v>
      </c>
      <c r="D2147" t="s">
        <v>7610</v>
      </c>
      <c r="E2147" s="43">
        <v>46002.859028252315</v>
      </c>
      <c r="F2147" s="1">
        <v>46002</v>
      </c>
      <c r="G2147" s="43">
        <v>46027.834155567129</v>
      </c>
      <c r="H2147" t="s">
        <v>2686</v>
      </c>
      <c r="I2147" t="s">
        <v>2681</v>
      </c>
      <c r="J2147" t="s">
        <v>37</v>
      </c>
      <c r="L2147" t="s">
        <v>2364</v>
      </c>
      <c r="M2147">
        <v>810505986102</v>
      </c>
      <c r="N2147" t="s">
        <v>2661</v>
      </c>
      <c r="O2147" s="1">
        <v>45492</v>
      </c>
      <c r="T2147" t="s">
        <v>2662</v>
      </c>
      <c r="U2147" t="s">
        <v>7611</v>
      </c>
      <c r="V2147">
        <v>17</v>
      </c>
      <c r="W2147" t="s">
        <v>2677</v>
      </c>
      <c r="X2147">
        <v>1</v>
      </c>
      <c r="Y2147" t="s">
        <v>2760</v>
      </c>
      <c r="AA2147">
        <v>625725137302</v>
      </c>
      <c r="AB2147" t="s">
        <v>1537</v>
      </c>
      <c r="AC2147">
        <v>0</v>
      </c>
      <c r="AD2147">
        <v>50</v>
      </c>
      <c r="AE2147">
        <v>62572513730250</v>
      </c>
      <c r="AF2147" t="s">
        <v>7609</v>
      </c>
      <c r="AG2147">
        <v>1</v>
      </c>
      <c r="AH2147">
        <v>0</v>
      </c>
    </row>
    <row r="2148" spans="1:34">
      <c r="A2148">
        <v>2026</v>
      </c>
      <c r="B2148" s="1">
        <v>46023</v>
      </c>
      <c r="C2148" t="s">
        <v>2657</v>
      </c>
      <c r="D2148" t="s">
        <v>7612</v>
      </c>
      <c r="E2148" s="43">
        <v>46029.865672037035</v>
      </c>
      <c r="F2148" s="1">
        <v>46029</v>
      </c>
      <c r="G2148" s="43">
        <v>46030.563865648146</v>
      </c>
      <c r="H2148" t="s">
        <v>2701</v>
      </c>
      <c r="I2148" t="s">
        <v>2669</v>
      </c>
      <c r="J2148" t="s">
        <v>37</v>
      </c>
      <c r="L2148" t="s">
        <v>2344</v>
      </c>
      <c r="M2148">
        <v>374008562902</v>
      </c>
      <c r="N2148" t="s">
        <v>2661</v>
      </c>
      <c r="O2148" s="1">
        <v>45884</v>
      </c>
      <c r="T2148" t="s">
        <v>2662</v>
      </c>
      <c r="U2148" t="s">
        <v>7613</v>
      </c>
      <c r="V2148">
        <v>1</v>
      </c>
      <c r="W2148" t="s">
        <v>2671</v>
      </c>
      <c r="X2148">
        <v>1</v>
      </c>
      <c r="Y2148" t="s">
        <v>2699</v>
      </c>
      <c r="AA2148">
        <v>277711423902</v>
      </c>
      <c r="AB2148" t="s">
        <v>737</v>
      </c>
      <c r="AC2148">
        <v>0</v>
      </c>
      <c r="AD2148">
        <v>2</v>
      </c>
      <c r="AE2148">
        <v>2777114239022</v>
      </c>
      <c r="AF2148" t="s">
        <v>7614</v>
      </c>
      <c r="AG2148">
        <v>1</v>
      </c>
      <c r="AH2148">
        <v>1</v>
      </c>
    </row>
    <row r="2149" spans="1:34">
      <c r="A2149">
        <v>2026</v>
      </c>
      <c r="B2149" s="1">
        <v>46023</v>
      </c>
      <c r="C2149" t="s">
        <v>2657</v>
      </c>
      <c r="D2149" t="s">
        <v>7615</v>
      </c>
      <c r="E2149" s="43">
        <v>46034.817623356481</v>
      </c>
      <c r="F2149" s="1">
        <v>46034</v>
      </c>
      <c r="G2149" s="43">
        <v>46041.562057152776</v>
      </c>
      <c r="H2149" t="s">
        <v>2701</v>
      </c>
      <c r="I2149" t="s">
        <v>2681</v>
      </c>
      <c r="J2149" t="s">
        <v>37</v>
      </c>
      <c r="L2149" t="s">
        <v>2344</v>
      </c>
      <c r="M2149">
        <v>374008562902</v>
      </c>
      <c r="N2149" t="s">
        <v>2661</v>
      </c>
      <c r="O2149" s="1">
        <v>45884</v>
      </c>
      <c r="T2149" t="s">
        <v>2662</v>
      </c>
      <c r="U2149" t="s">
        <v>7616</v>
      </c>
      <c r="V2149">
        <v>5</v>
      </c>
      <c r="W2149" t="s">
        <v>2677</v>
      </c>
      <c r="X2149">
        <v>1</v>
      </c>
      <c r="Y2149" t="s">
        <v>2807</v>
      </c>
      <c r="AA2149">
        <v>277711423902</v>
      </c>
      <c r="AB2149" t="s">
        <v>737</v>
      </c>
      <c r="AC2149">
        <v>0</v>
      </c>
      <c r="AD2149">
        <v>3</v>
      </c>
      <c r="AE2149">
        <v>2777114239023</v>
      </c>
      <c r="AF2149" t="s">
        <v>7614</v>
      </c>
      <c r="AG2149">
        <v>1</v>
      </c>
      <c r="AH2149">
        <v>0</v>
      </c>
    </row>
    <row r="2150" spans="1:34">
      <c r="A2150">
        <v>2026</v>
      </c>
      <c r="B2150" s="1">
        <v>46023</v>
      </c>
      <c r="C2150" t="s">
        <v>2657</v>
      </c>
      <c r="D2150" t="s">
        <v>7617</v>
      </c>
      <c r="E2150" s="43">
        <v>46045.784377847223</v>
      </c>
      <c r="F2150" s="1">
        <v>46045</v>
      </c>
      <c r="G2150" s="43">
        <v>46045.784377847223</v>
      </c>
      <c r="H2150" t="s">
        <v>2701</v>
      </c>
      <c r="I2150" t="s">
        <v>2660</v>
      </c>
      <c r="J2150" t="s">
        <v>37</v>
      </c>
      <c r="L2150" t="s">
        <v>2344</v>
      </c>
      <c r="M2150">
        <v>374008562902</v>
      </c>
      <c r="N2150" t="s">
        <v>2661</v>
      </c>
      <c r="O2150" s="1">
        <v>45884</v>
      </c>
      <c r="T2150" t="s">
        <v>2662</v>
      </c>
      <c r="U2150" t="s">
        <v>7618</v>
      </c>
      <c r="V2150">
        <v>0</v>
      </c>
      <c r="W2150" t="s">
        <v>2671</v>
      </c>
      <c r="X2150">
        <v>1</v>
      </c>
      <c r="Y2150" t="s">
        <v>2757</v>
      </c>
      <c r="AA2150">
        <v>277711423902</v>
      </c>
      <c r="AB2150" t="s">
        <v>737</v>
      </c>
      <c r="AC2150">
        <v>0</v>
      </c>
      <c r="AD2150">
        <v>4</v>
      </c>
      <c r="AE2150">
        <v>2777114239024</v>
      </c>
      <c r="AF2150" t="s">
        <v>7614</v>
      </c>
      <c r="AG2150">
        <v>1</v>
      </c>
      <c r="AH2150">
        <v>0</v>
      </c>
    </row>
    <row r="2151" spans="1:34">
      <c r="A2151">
        <v>2025</v>
      </c>
      <c r="B2151" s="1">
        <v>45901</v>
      </c>
      <c r="C2151" t="s">
        <v>2657</v>
      </c>
      <c r="D2151" t="s">
        <v>7619</v>
      </c>
      <c r="E2151" s="43">
        <v>45930.613030555556</v>
      </c>
      <c r="F2151" s="1">
        <v>45930</v>
      </c>
      <c r="G2151" s="43">
        <v>45931.591271631944</v>
      </c>
      <c r="H2151" t="s">
        <v>2734</v>
      </c>
      <c r="I2151" t="s">
        <v>2697</v>
      </c>
      <c r="J2151" t="s">
        <v>2735</v>
      </c>
      <c r="L2151" t="s">
        <v>2362</v>
      </c>
      <c r="M2151">
        <v>46733383915</v>
      </c>
      <c r="N2151" t="s">
        <v>2746</v>
      </c>
      <c r="O2151" s="1">
        <v>45145</v>
      </c>
      <c r="T2151" t="s">
        <v>2662</v>
      </c>
      <c r="U2151" t="s">
        <v>7620</v>
      </c>
      <c r="V2151">
        <v>1</v>
      </c>
      <c r="W2151" t="s">
        <v>2671</v>
      </c>
      <c r="X2151">
        <v>1</v>
      </c>
      <c r="Y2151" t="s">
        <v>2683</v>
      </c>
      <c r="AA2151">
        <v>46733383915</v>
      </c>
      <c r="AB2151" t="s">
        <v>839</v>
      </c>
      <c r="AC2151">
        <v>0</v>
      </c>
      <c r="AD2151">
        <v>40</v>
      </c>
      <c r="AE2151">
        <v>4673338391540</v>
      </c>
      <c r="AF2151" t="s">
        <v>7621</v>
      </c>
      <c r="AG2151">
        <v>1</v>
      </c>
      <c r="AH2151">
        <v>1</v>
      </c>
    </row>
    <row r="2152" spans="1:34">
      <c r="A2152">
        <v>2025</v>
      </c>
      <c r="B2152" s="1">
        <v>45931</v>
      </c>
      <c r="C2152" t="s">
        <v>2657</v>
      </c>
      <c r="D2152" t="s">
        <v>7622</v>
      </c>
      <c r="E2152" s="43">
        <v>45950.57257128472</v>
      </c>
      <c r="F2152" s="1">
        <v>45950</v>
      </c>
      <c r="G2152" s="43">
        <v>45953.556566805557</v>
      </c>
      <c r="H2152" t="s">
        <v>2659</v>
      </c>
      <c r="I2152" t="s">
        <v>2719</v>
      </c>
      <c r="J2152" t="s">
        <v>36</v>
      </c>
      <c r="L2152" t="s">
        <v>2363</v>
      </c>
      <c r="M2152">
        <v>45030065502</v>
      </c>
      <c r="N2152" t="s">
        <v>2702</v>
      </c>
      <c r="O2152" s="1">
        <v>45669</v>
      </c>
      <c r="T2152" t="s">
        <v>2662</v>
      </c>
      <c r="U2152" t="s">
        <v>7623</v>
      </c>
      <c r="V2152">
        <v>3</v>
      </c>
      <c r="X2152">
        <v>1</v>
      </c>
      <c r="Y2152" t="s">
        <v>2717</v>
      </c>
      <c r="AA2152">
        <v>45030065502</v>
      </c>
      <c r="AB2152" t="s">
        <v>2284</v>
      </c>
      <c r="AC2152">
        <v>0</v>
      </c>
      <c r="AD2152">
        <v>43</v>
      </c>
      <c r="AE2152">
        <v>4503006550243</v>
      </c>
      <c r="AF2152" t="s">
        <v>7624</v>
      </c>
      <c r="AG2152">
        <v>1</v>
      </c>
      <c r="AH2152">
        <v>1</v>
      </c>
    </row>
    <row r="2153" spans="1:34">
      <c r="A2153">
        <v>2025</v>
      </c>
      <c r="B2153" s="1">
        <v>45992</v>
      </c>
      <c r="C2153" t="s">
        <v>2657</v>
      </c>
      <c r="D2153" t="s">
        <v>7625</v>
      </c>
      <c r="E2153" s="43">
        <v>45996.771957569443</v>
      </c>
      <c r="F2153" s="1">
        <v>45996</v>
      </c>
      <c r="G2153" s="43">
        <v>45999.724788402775</v>
      </c>
      <c r="H2153" t="s">
        <v>2686</v>
      </c>
      <c r="I2153" t="s">
        <v>2669</v>
      </c>
      <c r="J2153" t="s">
        <v>38</v>
      </c>
      <c r="L2153" t="s">
        <v>2342</v>
      </c>
      <c r="M2153">
        <v>660765584502</v>
      </c>
      <c r="N2153" t="s">
        <v>2702</v>
      </c>
      <c r="O2153" s="1">
        <v>45324</v>
      </c>
      <c r="T2153" t="s">
        <v>2662</v>
      </c>
      <c r="U2153" t="s">
        <v>7626</v>
      </c>
      <c r="V2153">
        <v>1</v>
      </c>
      <c r="W2153" t="s">
        <v>2677</v>
      </c>
      <c r="X2153">
        <v>1</v>
      </c>
      <c r="Y2153" t="s">
        <v>2807</v>
      </c>
      <c r="AA2153">
        <v>690138852002</v>
      </c>
      <c r="AB2153" t="s">
        <v>2341</v>
      </c>
      <c r="AC2153">
        <v>0</v>
      </c>
      <c r="AD2153">
        <v>49</v>
      </c>
      <c r="AE2153">
        <v>69013885200249</v>
      </c>
      <c r="AF2153" t="s">
        <v>7627</v>
      </c>
      <c r="AG2153">
        <v>1</v>
      </c>
      <c r="AH2153">
        <v>1</v>
      </c>
    </row>
    <row r="2154" spans="1:34">
      <c r="A2154">
        <v>2025</v>
      </c>
      <c r="B2154" s="1">
        <v>45992</v>
      </c>
      <c r="C2154" t="s">
        <v>2657</v>
      </c>
      <c r="D2154" t="s">
        <v>7628</v>
      </c>
      <c r="E2154" s="43">
        <v>46007.778876493052</v>
      </c>
      <c r="F2154" s="1">
        <v>46007</v>
      </c>
      <c r="G2154" s="43">
        <v>46013.598421979164</v>
      </c>
      <c r="H2154" t="s">
        <v>2686</v>
      </c>
      <c r="I2154" t="s">
        <v>2719</v>
      </c>
      <c r="J2154" t="s">
        <v>38</v>
      </c>
      <c r="L2154" t="s">
        <v>2342</v>
      </c>
      <c r="M2154">
        <v>660765584502</v>
      </c>
      <c r="N2154" t="s">
        <v>2702</v>
      </c>
      <c r="O2154" s="1">
        <v>45324</v>
      </c>
      <c r="T2154" t="s">
        <v>2662</v>
      </c>
      <c r="U2154" t="s">
        <v>7629</v>
      </c>
      <c r="V2154">
        <v>4</v>
      </c>
      <c r="W2154" t="s">
        <v>2677</v>
      </c>
      <c r="X2154">
        <v>1</v>
      </c>
      <c r="Y2154" t="s">
        <v>2807</v>
      </c>
      <c r="AA2154">
        <v>690138852002</v>
      </c>
      <c r="AB2154" t="s">
        <v>2341</v>
      </c>
      <c r="AC2154">
        <v>0</v>
      </c>
      <c r="AD2154">
        <v>51</v>
      </c>
      <c r="AE2154">
        <v>69013885200251</v>
      </c>
      <c r="AF2154" t="s">
        <v>7627</v>
      </c>
      <c r="AG2154">
        <v>1</v>
      </c>
      <c r="AH2154">
        <v>0</v>
      </c>
    </row>
    <row r="2155" spans="1:34">
      <c r="A2155">
        <v>2025</v>
      </c>
      <c r="B2155" s="1">
        <v>45931</v>
      </c>
      <c r="C2155" t="s">
        <v>2657</v>
      </c>
      <c r="D2155" t="s">
        <v>7630</v>
      </c>
      <c r="E2155" s="43">
        <v>45954.654614664352</v>
      </c>
      <c r="F2155" s="1">
        <v>45954</v>
      </c>
      <c r="G2155" s="43">
        <v>45961.610626678237</v>
      </c>
      <c r="H2155" t="s">
        <v>2659</v>
      </c>
      <c r="I2155" t="s">
        <v>2660</v>
      </c>
      <c r="J2155" t="s">
        <v>100</v>
      </c>
      <c r="L2155" t="s">
        <v>2381</v>
      </c>
      <c r="M2155">
        <v>549848560202</v>
      </c>
      <c r="N2155" t="s">
        <v>2702</v>
      </c>
      <c r="O2155" s="1">
        <v>45669</v>
      </c>
      <c r="T2155" t="s">
        <v>2662</v>
      </c>
      <c r="U2155" t="s">
        <v>7631</v>
      </c>
      <c r="V2155">
        <v>5</v>
      </c>
      <c r="W2155" t="s">
        <v>2664</v>
      </c>
      <c r="X2155">
        <v>1</v>
      </c>
      <c r="Y2155" t="s">
        <v>2665</v>
      </c>
      <c r="AA2155">
        <v>549848560202</v>
      </c>
      <c r="AB2155" t="s">
        <v>437</v>
      </c>
      <c r="AC2155">
        <v>0</v>
      </c>
      <c r="AD2155">
        <v>43</v>
      </c>
      <c r="AE2155">
        <v>54984856020243</v>
      </c>
      <c r="AF2155" t="s">
        <v>7632</v>
      </c>
      <c r="AG2155">
        <v>1</v>
      </c>
      <c r="AH2155">
        <v>1</v>
      </c>
    </row>
    <row r="2156" spans="1:34">
      <c r="A2156">
        <v>2025</v>
      </c>
      <c r="B2156" s="1">
        <v>45901</v>
      </c>
      <c r="C2156" t="s">
        <v>2657</v>
      </c>
      <c r="D2156" t="s">
        <v>7633</v>
      </c>
      <c r="E2156" s="43">
        <v>45916.546177638891</v>
      </c>
      <c r="F2156" s="1">
        <v>45916</v>
      </c>
      <c r="G2156" s="43">
        <v>45936.56306685185</v>
      </c>
      <c r="H2156" t="s">
        <v>2734</v>
      </c>
      <c r="I2156" t="s">
        <v>2719</v>
      </c>
      <c r="J2156" t="s">
        <v>38</v>
      </c>
      <c r="L2156" t="s">
        <v>2355</v>
      </c>
      <c r="M2156">
        <v>60238888002</v>
      </c>
      <c r="N2156" t="s">
        <v>2702</v>
      </c>
      <c r="O2156" s="1">
        <v>45324</v>
      </c>
      <c r="T2156" t="s">
        <v>2662</v>
      </c>
      <c r="U2156" t="s">
        <v>7634</v>
      </c>
      <c r="V2156">
        <v>14</v>
      </c>
      <c r="W2156" t="s">
        <v>2664</v>
      </c>
      <c r="X2156">
        <v>1</v>
      </c>
      <c r="Y2156" t="s">
        <v>2665</v>
      </c>
      <c r="AA2156">
        <v>60238888002</v>
      </c>
      <c r="AB2156" t="s">
        <v>1024</v>
      </c>
      <c r="AC2156">
        <v>0</v>
      </c>
      <c r="AD2156">
        <v>38</v>
      </c>
      <c r="AE2156">
        <v>6023888800238</v>
      </c>
      <c r="AF2156" t="s">
        <v>7635</v>
      </c>
      <c r="AG2156">
        <v>1</v>
      </c>
      <c r="AH2156">
        <v>1</v>
      </c>
    </row>
    <row r="2157" spans="1:34">
      <c r="A2157">
        <v>2025</v>
      </c>
      <c r="B2157" s="1">
        <v>45901</v>
      </c>
      <c r="C2157" t="s">
        <v>2657</v>
      </c>
      <c r="D2157" t="s">
        <v>7636</v>
      </c>
      <c r="E2157" s="43">
        <v>45922.811657500002</v>
      </c>
      <c r="F2157" s="1">
        <v>45922</v>
      </c>
      <c r="G2157" s="43">
        <v>45944.817158310187</v>
      </c>
      <c r="H2157" t="s">
        <v>2734</v>
      </c>
      <c r="I2157" t="s">
        <v>2660</v>
      </c>
      <c r="J2157" t="s">
        <v>38</v>
      </c>
      <c r="L2157" t="s">
        <v>2355</v>
      </c>
      <c r="M2157">
        <v>60238888002</v>
      </c>
      <c r="N2157" t="s">
        <v>2702</v>
      </c>
      <c r="O2157" s="1">
        <v>45324</v>
      </c>
      <c r="T2157" t="s">
        <v>2662</v>
      </c>
      <c r="U2157" t="s">
        <v>7637</v>
      </c>
      <c r="V2157">
        <v>16</v>
      </c>
      <c r="X2157">
        <v>1</v>
      </c>
      <c r="Y2157" t="s">
        <v>2710</v>
      </c>
      <c r="AA2157">
        <v>60238888002</v>
      </c>
      <c r="AB2157" t="s">
        <v>1024</v>
      </c>
      <c r="AC2157">
        <v>0</v>
      </c>
      <c r="AD2157">
        <v>39</v>
      </c>
      <c r="AE2157">
        <v>6023888800239</v>
      </c>
      <c r="AF2157" t="s">
        <v>7635</v>
      </c>
      <c r="AG2157">
        <v>1</v>
      </c>
      <c r="AH2157">
        <v>0</v>
      </c>
    </row>
    <row r="2158" spans="1:34">
      <c r="A2158">
        <v>2025</v>
      </c>
      <c r="B2158" s="1">
        <v>45901</v>
      </c>
      <c r="C2158" t="s">
        <v>2657</v>
      </c>
      <c r="D2158" t="s">
        <v>7638</v>
      </c>
      <c r="E2158" s="43">
        <v>45922.812800046297</v>
      </c>
      <c r="F2158" s="1">
        <v>45922</v>
      </c>
      <c r="G2158" s="43">
        <v>45926.801044432868</v>
      </c>
      <c r="H2158" t="s">
        <v>2734</v>
      </c>
      <c r="I2158" t="s">
        <v>2660</v>
      </c>
      <c r="J2158" t="s">
        <v>38</v>
      </c>
      <c r="L2158" t="s">
        <v>2355</v>
      </c>
      <c r="M2158">
        <v>60238888002</v>
      </c>
      <c r="N2158" t="s">
        <v>2702</v>
      </c>
      <c r="O2158" s="1">
        <v>45324</v>
      </c>
      <c r="T2158" t="s">
        <v>2662</v>
      </c>
      <c r="U2158" t="s">
        <v>7639</v>
      </c>
      <c r="V2158">
        <v>4</v>
      </c>
      <c r="X2158">
        <v>1</v>
      </c>
      <c r="Y2158" t="s">
        <v>2710</v>
      </c>
      <c r="AA2158">
        <v>60238888002</v>
      </c>
      <c r="AB2158" t="s">
        <v>1024</v>
      </c>
      <c r="AC2158">
        <v>0</v>
      </c>
      <c r="AD2158">
        <v>39</v>
      </c>
      <c r="AE2158">
        <v>6023888800239</v>
      </c>
      <c r="AF2158" t="s">
        <v>7635</v>
      </c>
      <c r="AG2158">
        <v>0</v>
      </c>
      <c r="AH2158">
        <v>0</v>
      </c>
    </row>
    <row r="2159" spans="1:34">
      <c r="A2159">
        <v>2025</v>
      </c>
      <c r="B2159" s="1">
        <v>45992</v>
      </c>
      <c r="C2159" t="s">
        <v>2657</v>
      </c>
      <c r="D2159" t="s">
        <v>7640</v>
      </c>
      <c r="E2159" s="43">
        <v>45993.610247777775</v>
      </c>
      <c r="F2159" s="1">
        <v>45993</v>
      </c>
      <c r="G2159" s="43">
        <v>45994.600710891202</v>
      </c>
      <c r="H2159" t="s">
        <v>2686</v>
      </c>
      <c r="I2159" t="s">
        <v>2669</v>
      </c>
      <c r="J2159" t="s">
        <v>2735</v>
      </c>
      <c r="L2159" t="s">
        <v>2408</v>
      </c>
      <c r="M2159">
        <v>10369153302</v>
      </c>
      <c r="N2159" t="s">
        <v>2746</v>
      </c>
      <c r="O2159" s="1">
        <v>45751</v>
      </c>
      <c r="T2159" t="s">
        <v>2662</v>
      </c>
      <c r="V2159">
        <v>1</v>
      </c>
      <c r="W2159" t="s">
        <v>2677</v>
      </c>
      <c r="X2159">
        <v>1</v>
      </c>
      <c r="Y2159" t="s">
        <v>2760</v>
      </c>
      <c r="AA2159">
        <v>10369153302</v>
      </c>
      <c r="AB2159" t="s">
        <v>329</v>
      </c>
      <c r="AC2159">
        <v>0</v>
      </c>
      <c r="AD2159">
        <v>49</v>
      </c>
      <c r="AE2159">
        <v>1036915330249</v>
      </c>
      <c r="AF2159" t="s">
        <v>7641</v>
      </c>
      <c r="AG2159">
        <v>0</v>
      </c>
      <c r="AH2159">
        <v>0</v>
      </c>
    </row>
    <row r="2160" spans="1:34">
      <c r="A2160">
        <v>2025</v>
      </c>
      <c r="B2160" s="1">
        <v>45992</v>
      </c>
      <c r="C2160" t="s">
        <v>2657</v>
      </c>
      <c r="D2160" t="s">
        <v>7642</v>
      </c>
      <c r="E2160" s="43">
        <v>45992.799663136575</v>
      </c>
      <c r="F2160" s="1">
        <v>45992</v>
      </c>
      <c r="G2160" s="43">
        <v>45993.504412129631</v>
      </c>
      <c r="H2160" t="s">
        <v>2686</v>
      </c>
      <c r="I2160" t="s">
        <v>2669</v>
      </c>
      <c r="J2160" t="s">
        <v>2735</v>
      </c>
      <c r="L2160" t="s">
        <v>2408</v>
      </c>
      <c r="M2160">
        <v>10369153302</v>
      </c>
      <c r="N2160" t="s">
        <v>2746</v>
      </c>
      <c r="O2160" s="1">
        <v>45751</v>
      </c>
      <c r="T2160" t="s">
        <v>2662</v>
      </c>
      <c r="U2160" t="s">
        <v>7643</v>
      </c>
      <c r="V2160">
        <v>1</v>
      </c>
      <c r="W2160" t="s">
        <v>2671</v>
      </c>
      <c r="X2160">
        <v>1</v>
      </c>
      <c r="Y2160" t="s">
        <v>2683</v>
      </c>
      <c r="AA2160">
        <v>10369153302</v>
      </c>
      <c r="AB2160" t="s">
        <v>329</v>
      </c>
      <c r="AC2160">
        <v>0</v>
      </c>
      <c r="AD2160">
        <v>49</v>
      </c>
      <c r="AE2160">
        <v>1036915330249</v>
      </c>
      <c r="AF2160" t="s">
        <v>7641</v>
      </c>
      <c r="AG2160">
        <v>1</v>
      </c>
      <c r="AH2160">
        <v>1</v>
      </c>
    </row>
    <row r="2161" spans="1:34">
      <c r="A2161">
        <v>2025</v>
      </c>
      <c r="B2161" s="1">
        <v>45992</v>
      </c>
      <c r="C2161" t="s">
        <v>2657</v>
      </c>
      <c r="D2161" t="s">
        <v>7644</v>
      </c>
      <c r="E2161" s="43">
        <v>45996.684145833337</v>
      </c>
      <c r="F2161" s="1">
        <v>45996</v>
      </c>
      <c r="G2161" s="43">
        <v>45996.684145833337</v>
      </c>
      <c r="H2161" t="s">
        <v>2686</v>
      </c>
      <c r="I2161" t="s">
        <v>2669</v>
      </c>
      <c r="J2161" t="s">
        <v>2735</v>
      </c>
      <c r="L2161" t="s">
        <v>2408</v>
      </c>
      <c r="M2161">
        <v>10369153302</v>
      </c>
      <c r="N2161" t="s">
        <v>2746</v>
      </c>
      <c r="O2161" s="1">
        <v>45751</v>
      </c>
      <c r="T2161" t="s">
        <v>2662</v>
      </c>
      <c r="U2161" t="s">
        <v>7645</v>
      </c>
      <c r="V2161">
        <v>0</v>
      </c>
      <c r="W2161" t="s">
        <v>2671</v>
      </c>
      <c r="X2161">
        <v>1</v>
      </c>
      <c r="Y2161" t="s">
        <v>2721</v>
      </c>
      <c r="AA2161">
        <v>10369153302</v>
      </c>
      <c r="AB2161" t="s">
        <v>329</v>
      </c>
      <c r="AC2161">
        <v>0</v>
      </c>
      <c r="AD2161">
        <v>49</v>
      </c>
      <c r="AE2161">
        <v>1036915330249</v>
      </c>
      <c r="AF2161" t="s">
        <v>7641</v>
      </c>
      <c r="AG2161">
        <v>0</v>
      </c>
      <c r="AH2161">
        <v>0</v>
      </c>
    </row>
    <row r="2162" spans="1:34">
      <c r="A2162">
        <v>2025</v>
      </c>
      <c r="B2162" s="1">
        <v>45992</v>
      </c>
      <c r="C2162" t="s">
        <v>2657</v>
      </c>
      <c r="D2162" t="s">
        <v>7646</v>
      </c>
      <c r="E2162" s="43">
        <v>45993.708958275463</v>
      </c>
      <c r="F2162" s="1">
        <v>45993</v>
      </c>
      <c r="G2162" s="43">
        <v>45994.60073784722</v>
      </c>
      <c r="H2162" t="s">
        <v>2686</v>
      </c>
      <c r="I2162" t="s">
        <v>2669</v>
      </c>
      <c r="J2162" t="s">
        <v>2735</v>
      </c>
      <c r="L2162" t="s">
        <v>2408</v>
      </c>
      <c r="M2162">
        <v>10369153302</v>
      </c>
      <c r="N2162" t="s">
        <v>2746</v>
      </c>
      <c r="O2162" s="1">
        <v>45751</v>
      </c>
      <c r="T2162" t="s">
        <v>2662</v>
      </c>
      <c r="V2162">
        <v>1</v>
      </c>
      <c r="W2162" t="s">
        <v>2671</v>
      </c>
      <c r="X2162">
        <v>1</v>
      </c>
      <c r="Y2162" t="s">
        <v>2672</v>
      </c>
      <c r="AA2162">
        <v>10369153302</v>
      </c>
      <c r="AB2162" t="s">
        <v>329</v>
      </c>
      <c r="AC2162">
        <v>0</v>
      </c>
      <c r="AD2162">
        <v>49</v>
      </c>
      <c r="AE2162">
        <v>1036915330249</v>
      </c>
      <c r="AF2162" t="s">
        <v>7641</v>
      </c>
      <c r="AG2162">
        <v>0</v>
      </c>
      <c r="AH2162">
        <v>0</v>
      </c>
    </row>
    <row r="2163" spans="1:34">
      <c r="A2163">
        <v>2025</v>
      </c>
      <c r="B2163" s="1">
        <v>45992</v>
      </c>
      <c r="C2163" t="s">
        <v>2657</v>
      </c>
      <c r="D2163" t="s">
        <v>7647</v>
      </c>
      <c r="E2163" s="43">
        <v>46001.634861724538</v>
      </c>
      <c r="F2163" s="1">
        <v>46001</v>
      </c>
      <c r="G2163" s="43">
        <v>46003.577893993053</v>
      </c>
      <c r="H2163" t="s">
        <v>2686</v>
      </c>
      <c r="I2163" t="s">
        <v>2681</v>
      </c>
      <c r="J2163" t="s">
        <v>2735</v>
      </c>
      <c r="L2163" t="s">
        <v>2408</v>
      </c>
      <c r="M2163">
        <v>10369153302</v>
      </c>
      <c r="N2163" t="s">
        <v>2746</v>
      </c>
      <c r="O2163" s="1">
        <v>45751</v>
      </c>
      <c r="T2163" t="s">
        <v>2662</v>
      </c>
      <c r="U2163" t="s">
        <v>7648</v>
      </c>
      <c r="V2163">
        <v>2</v>
      </c>
      <c r="W2163" t="s">
        <v>2743</v>
      </c>
      <c r="X2163">
        <v>1</v>
      </c>
      <c r="Y2163" t="s">
        <v>2721</v>
      </c>
      <c r="AA2163">
        <v>10369153302</v>
      </c>
      <c r="AB2163" t="s">
        <v>329</v>
      </c>
      <c r="AC2163">
        <v>0</v>
      </c>
      <c r="AD2163">
        <v>50</v>
      </c>
      <c r="AE2163">
        <v>1036915330250</v>
      </c>
      <c r="AF2163" t="s">
        <v>7641</v>
      </c>
      <c r="AG2163">
        <v>1</v>
      </c>
      <c r="AH2163">
        <v>0</v>
      </c>
    </row>
    <row r="2164" spans="1:34">
      <c r="A2164">
        <v>2025</v>
      </c>
      <c r="B2164" s="1">
        <v>45992</v>
      </c>
      <c r="C2164" t="s">
        <v>2657</v>
      </c>
      <c r="D2164" t="s">
        <v>7649</v>
      </c>
      <c r="E2164" s="43">
        <v>46007.60788476852</v>
      </c>
      <c r="F2164" s="1">
        <v>46007</v>
      </c>
      <c r="G2164" s="43">
        <v>46007.867510567128</v>
      </c>
      <c r="H2164" t="s">
        <v>2686</v>
      </c>
      <c r="I2164" t="s">
        <v>2719</v>
      </c>
      <c r="J2164" t="s">
        <v>2735</v>
      </c>
      <c r="L2164" t="s">
        <v>2408</v>
      </c>
      <c r="M2164">
        <v>10369153302</v>
      </c>
      <c r="N2164" t="s">
        <v>2746</v>
      </c>
      <c r="O2164" s="1">
        <v>45751</v>
      </c>
      <c r="T2164" t="s">
        <v>2662</v>
      </c>
      <c r="U2164" t="s">
        <v>7650</v>
      </c>
      <c r="V2164">
        <v>0</v>
      </c>
      <c r="W2164" t="s">
        <v>2743</v>
      </c>
      <c r="X2164">
        <v>1</v>
      </c>
      <c r="Y2164" t="s">
        <v>2727</v>
      </c>
      <c r="AA2164">
        <v>10369153302</v>
      </c>
      <c r="AB2164" t="s">
        <v>329</v>
      </c>
      <c r="AC2164">
        <v>0</v>
      </c>
      <c r="AD2164">
        <v>51</v>
      </c>
      <c r="AE2164">
        <v>1036915330251</v>
      </c>
      <c r="AF2164" t="s">
        <v>7641</v>
      </c>
      <c r="AG2164">
        <v>0</v>
      </c>
      <c r="AH2164">
        <v>0</v>
      </c>
    </row>
    <row r="2165" spans="1:34">
      <c r="A2165">
        <v>2025</v>
      </c>
      <c r="B2165" s="1">
        <v>45992</v>
      </c>
      <c r="C2165" t="s">
        <v>2657</v>
      </c>
      <c r="D2165" t="s">
        <v>7651</v>
      </c>
      <c r="E2165" s="43">
        <v>46006.838980115739</v>
      </c>
      <c r="F2165" s="1">
        <v>46006</v>
      </c>
      <c r="G2165" s="43">
        <v>46008.481194155094</v>
      </c>
      <c r="H2165" t="s">
        <v>2686</v>
      </c>
      <c r="I2165" t="s">
        <v>2719</v>
      </c>
      <c r="J2165" t="s">
        <v>2735</v>
      </c>
      <c r="L2165" t="s">
        <v>2408</v>
      </c>
      <c r="M2165">
        <v>10369153302</v>
      </c>
      <c r="N2165" t="s">
        <v>2746</v>
      </c>
      <c r="O2165" s="1">
        <v>45751</v>
      </c>
      <c r="T2165" t="s">
        <v>2662</v>
      </c>
      <c r="U2165" t="s">
        <v>7652</v>
      </c>
      <c r="V2165">
        <v>2</v>
      </c>
      <c r="W2165" t="s">
        <v>2671</v>
      </c>
      <c r="X2165">
        <v>1</v>
      </c>
      <c r="Y2165" t="s">
        <v>2672</v>
      </c>
      <c r="AA2165">
        <v>10369153302</v>
      </c>
      <c r="AB2165" t="s">
        <v>329</v>
      </c>
      <c r="AC2165">
        <v>0</v>
      </c>
      <c r="AD2165">
        <v>51</v>
      </c>
      <c r="AE2165">
        <v>1036915330251</v>
      </c>
      <c r="AF2165" t="s">
        <v>7641</v>
      </c>
      <c r="AG2165">
        <v>1</v>
      </c>
      <c r="AH2165">
        <v>0</v>
      </c>
    </row>
    <row r="2166" spans="1:34">
      <c r="A2166">
        <v>2025</v>
      </c>
      <c r="B2166" s="1">
        <v>45992</v>
      </c>
      <c r="C2166" t="s">
        <v>2657</v>
      </c>
      <c r="D2166" t="s">
        <v>7653</v>
      </c>
      <c r="E2166" s="43">
        <v>46007.60892353009</v>
      </c>
      <c r="F2166" s="1">
        <v>46007</v>
      </c>
      <c r="G2166" s="43">
        <v>46007.861665729164</v>
      </c>
      <c r="H2166" t="s">
        <v>2686</v>
      </c>
      <c r="I2166" t="s">
        <v>2719</v>
      </c>
      <c r="J2166" t="s">
        <v>2735</v>
      </c>
      <c r="L2166" t="s">
        <v>2408</v>
      </c>
      <c r="M2166">
        <v>10369153302</v>
      </c>
      <c r="N2166" t="s">
        <v>2746</v>
      </c>
      <c r="O2166" s="1">
        <v>45751</v>
      </c>
      <c r="T2166" t="s">
        <v>2662</v>
      </c>
      <c r="U2166" t="s">
        <v>7654</v>
      </c>
      <c r="V2166">
        <v>0</v>
      </c>
      <c r="W2166" t="s">
        <v>2671</v>
      </c>
      <c r="X2166">
        <v>1</v>
      </c>
      <c r="Y2166" t="s">
        <v>2727</v>
      </c>
      <c r="AA2166">
        <v>10369153302</v>
      </c>
      <c r="AB2166" t="s">
        <v>329</v>
      </c>
      <c r="AC2166">
        <v>0</v>
      </c>
      <c r="AD2166">
        <v>51</v>
      </c>
      <c r="AE2166">
        <v>1036915330251</v>
      </c>
      <c r="AF2166" t="s">
        <v>7641</v>
      </c>
      <c r="AG2166">
        <v>0</v>
      </c>
      <c r="AH2166">
        <v>0</v>
      </c>
    </row>
    <row r="2167" spans="1:34">
      <c r="A2167">
        <v>2025</v>
      </c>
      <c r="B2167" s="1">
        <v>45992</v>
      </c>
      <c r="C2167" t="s">
        <v>2657</v>
      </c>
      <c r="D2167" s="44" t="s">
        <v>7655</v>
      </c>
      <c r="E2167" s="43">
        <v>46010.610294930557</v>
      </c>
      <c r="F2167" s="1">
        <v>46010</v>
      </c>
      <c r="G2167" s="43">
        <v>46013.510433437499</v>
      </c>
      <c r="H2167" t="s">
        <v>2686</v>
      </c>
      <c r="I2167" t="s">
        <v>2719</v>
      </c>
      <c r="J2167" t="s">
        <v>2735</v>
      </c>
      <c r="L2167" t="s">
        <v>2408</v>
      </c>
      <c r="M2167">
        <v>10369153302</v>
      </c>
      <c r="N2167" t="s">
        <v>2746</v>
      </c>
      <c r="O2167" s="1">
        <v>45751</v>
      </c>
      <c r="T2167" t="s">
        <v>2662</v>
      </c>
      <c r="U2167" t="s">
        <v>7656</v>
      </c>
      <c r="V2167">
        <v>1</v>
      </c>
      <c r="W2167" t="s">
        <v>2743</v>
      </c>
      <c r="X2167">
        <v>1</v>
      </c>
      <c r="Y2167" t="s">
        <v>2717</v>
      </c>
      <c r="AA2167">
        <v>10369153302</v>
      </c>
      <c r="AB2167" t="s">
        <v>329</v>
      </c>
      <c r="AC2167">
        <v>0</v>
      </c>
      <c r="AD2167">
        <v>51</v>
      </c>
      <c r="AE2167">
        <v>1036915330251</v>
      </c>
      <c r="AF2167" t="s">
        <v>7641</v>
      </c>
      <c r="AG2167">
        <v>0</v>
      </c>
      <c r="AH2167">
        <v>0</v>
      </c>
    </row>
    <row r="2168" spans="1:34">
      <c r="A2168">
        <v>2025</v>
      </c>
      <c r="B2168" s="1">
        <v>45992</v>
      </c>
      <c r="C2168" t="s">
        <v>2657</v>
      </c>
      <c r="D2168" t="s">
        <v>7657</v>
      </c>
      <c r="E2168" s="43">
        <v>46008.592955532411</v>
      </c>
      <c r="F2168" s="1">
        <v>46008</v>
      </c>
      <c r="G2168" s="43">
        <v>46010.563292777777</v>
      </c>
      <c r="H2168" t="s">
        <v>2686</v>
      </c>
      <c r="I2168" t="s">
        <v>2719</v>
      </c>
      <c r="J2168" t="s">
        <v>2735</v>
      </c>
      <c r="L2168" t="s">
        <v>2408</v>
      </c>
      <c r="M2168">
        <v>10369153302</v>
      </c>
      <c r="N2168" t="s">
        <v>2746</v>
      </c>
      <c r="O2168" s="1">
        <v>45751</v>
      </c>
      <c r="T2168" t="s">
        <v>2662</v>
      </c>
      <c r="U2168" t="s">
        <v>7658</v>
      </c>
      <c r="V2168">
        <v>2</v>
      </c>
      <c r="W2168" t="s">
        <v>2677</v>
      </c>
      <c r="X2168">
        <v>1</v>
      </c>
      <c r="Y2168" t="s">
        <v>2779</v>
      </c>
      <c r="AA2168">
        <v>10369153302</v>
      </c>
      <c r="AB2168" t="s">
        <v>329</v>
      </c>
      <c r="AC2168">
        <v>0</v>
      </c>
      <c r="AD2168">
        <v>51</v>
      </c>
      <c r="AE2168">
        <v>1036915330251</v>
      </c>
      <c r="AF2168" t="s">
        <v>7641</v>
      </c>
      <c r="AG2168">
        <v>0</v>
      </c>
      <c r="AH2168">
        <v>0</v>
      </c>
    </row>
    <row r="2169" spans="1:34">
      <c r="A2169">
        <v>2025</v>
      </c>
      <c r="B2169" s="1">
        <v>45992</v>
      </c>
      <c r="C2169" t="s">
        <v>2657</v>
      </c>
      <c r="D2169" t="s">
        <v>7659</v>
      </c>
      <c r="E2169" s="43">
        <v>45992.677389189812</v>
      </c>
      <c r="F2169" s="1">
        <v>45992</v>
      </c>
      <c r="G2169" s="43">
        <v>45994.855335694447</v>
      </c>
      <c r="H2169" t="s">
        <v>2686</v>
      </c>
      <c r="I2169" t="s">
        <v>2669</v>
      </c>
      <c r="J2169" t="s">
        <v>36</v>
      </c>
      <c r="L2169" t="s">
        <v>2421</v>
      </c>
      <c r="M2169">
        <v>472181389102</v>
      </c>
      <c r="N2169" t="s">
        <v>2661</v>
      </c>
      <c r="O2169" s="1">
        <v>45294</v>
      </c>
      <c r="T2169" t="s">
        <v>2662</v>
      </c>
      <c r="U2169" t="s">
        <v>7660</v>
      </c>
      <c r="V2169">
        <v>2</v>
      </c>
      <c r="W2169" t="s">
        <v>2664</v>
      </c>
      <c r="X2169">
        <v>1</v>
      </c>
      <c r="Y2169" t="s">
        <v>2931</v>
      </c>
      <c r="AA2169">
        <v>472181389102</v>
      </c>
      <c r="AB2169" t="s">
        <v>1914</v>
      </c>
      <c r="AC2169">
        <v>0</v>
      </c>
      <c r="AD2169">
        <v>49</v>
      </c>
      <c r="AE2169">
        <v>47218138910249</v>
      </c>
      <c r="AF2169" t="s">
        <v>7661</v>
      </c>
      <c r="AG2169">
        <v>1</v>
      </c>
      <c r="AH2169">
        <v>1</v>
      </c>
    </row>
    <row r="2170" spans="1:34">
      <c r="A2170">
        <v>2025</v>
      </c>
      <c r="B2170" s="1">
        <v>45992</v>
      </c>
      <c r="C2170" t="s">
        <v>2657</v>
      </c>
      <c r="D2170" t="s">
        <v>7662</v>
      </c>
      <c r="E2170" s="43">
        <v>46002.606742291668</v>
      </c>
      <c r="F2170" s="1">
        <v>46002</v>
      </c>
      <c r="G2170" s="43">
        <v>46002.606742291668</v>
      </c>
      <c r="H2170" t="s">
        <v>2686</v>
      </c>
      <c r="I2170" t="s">
        <v>2681</v>
      </c>
      <c r="J2170" t="s">
        <v>36</v>
      </c>
      <c r="L2170" t="s">
        <v>2421</v>
      </c>
      <c r="M2170">
        <v>472181389102</v>
      </c>
      <c r="N2170" t="s">
        <v>2661</v>
      </c>
      <c r="O2170" s="1">
        <v>45294</v>
      </c>
      <c r="T2170" t="s">
        <v>2662</v>
      </c>
      <c r="U2170" t="s">
        <v>7663</v>
      </c>
      <c r="V2170">
        <v>0</v>
      </c>
      <c r="W2170" t="s">
        <v>2743</v>
      </c>
      <c r="X2170">
        <v>1</v>
      </c>
      <c r="Y2170" t="s">
        <v>2695</v>
      </c>
      <c r="AA2170">
        <v>472181389102</v>
      </c>
      <c r="AB2170" t="s">
        <v>1914</v>
      </c>
      <c r="AC2170">
        <v>0</v>
      </c>
      <c r="AD2170">
        <v>50</v>
      </c>
      <c r="AE2170">
        <v>47218138910250</v>
      </c>
      <c r="AF2170" t="s">
        <v>7661</v>
      </c>
      <c r="AG2170">
        <v>1</v>
      </c>
      <c r="AH2170">
        <v>0</v>
      </c>
    </row>
    <row r="2171" spans="1:34">
      <c r="A2171">
        <v>2025</v>
      </c>
      <c r="B2171" s="1">
        <v>45992</v>
      </c>
      <c r="C2171" t="s">
        <v>2657</v>
      </c>
      <c r="D2171" t="s">
        <v>7664</v>
      </c>
      <c r="E2171" s="43">
        <v>46007.690134293982</v>
      </c>
      <c r="F2171" s="1">
        <v>46007</v>
      </c>
      <c r="G2171" s="43">
        <v>46021.739369664348</v>
      </c>
      <c r="H2171" t="s">
        <v>2686</v>
      </c>
      <c r="I2171" t="s">
        <v>2719</v>
      </c>
      <c r="J2171" t="s">
        <v>36</v>
      </c>
      <c r="L2171" t="s">
        <v>2421</v>
      </c>
      <c r="M2171">
        <v>472181389102</v>
      </c>
      <c r="N2171" t="s">
        <v>2661</v>
      </c>
      <c r="O2171" s="1">
        <v>45294</v>
      </c>
      <c r="T2171" t="s">
        <v>2662</v>
      </c>
      <c r="U2171" t="s">
        <v>7665</v>
      </c>
      <c r="V2171">
        <v>10</v>
      </c>
      <c r="X2171">
        <v>1</v>
      </c>
      <c r="Y2171" t="s">
        <v>2717</v>
      </c>
      <c r="AA2171">
        <v>472181389102</v>
      </c>
      <c r="AB2171" t="s">
        <v>1914</v>
      </c>
      <c r="AC2171">
        <v>0</v>
      </c>
      <c r="AD2171">
        <v>51</v>
      </c>
      <c r="AE2171">
        <v>47218138910251</v>
      </c>
      <c r="AF2171" t="s">
        <v>7661</v>
      </c>
      <c r="AG2171">
        <v>0</v>
      </c>
      <c r="AH2171">
        <v>0</v>
      </c>
    </row>
    <row r="2172" spans="1:34">
      <c r="A2172">
        <v>2025</v>
      </c>
      <c r="B2172" s="1">
        <v>45992</v>
      </c>
      <c r="C2172" t="s">
        <v>2657</v>
      </c>
      <c r="D2172" t="s">
        <v>7666</v>
      </c>
      <c r="E2172" s="43">
        <v>46006.765890185183</v>
      </c>
      <c r="F2172" s="1">
        <v>46006</v>
      </c>
      <c r="G2172" s="43">
        <v>46006.765890185183</v>
      </c>
      <c r="H2172" t="s">
        <v>2686</v>
      </c>
      <c r="I2172" t="s">
        <v>2719</v>
      </c>
      <c r="J2172" t="s">
        <v>36</v>
      </c>
      <c r="L2172" t="s">
        <v>2421</v>
      </c>
      <c r="M2172">
        <v>472181389102</v>
      </c>
      <c r="N2172" t="s">
        <v>2661</v>
      </c>
      <c r="O2172" s="1">
        <v>45294</v>
      </c>
      <c r="T2172" t="s">
        <v>2662</v>
      </c>
      <c r="U2172" t="s">
        <v>7667</v>
      </c>
      <c r="V2172">
        <v>0</v>
      </c>
      <c r="W2172" t="s">
        <v>2671</v>
      </c>
      <c r="X2172">
        <v>1</v>
      </c>
      <c r="Y2172" t="s">
        <v>3237</v>
      </c>
      <c r="AA2172">
        <v>472181389102</v>
      </c>
      <c r="AB2172" t="s">
        <v>1914</v>
      </c>
      <c r="AC2172">
        <v>0</v>
      </c>
      <c r="AD2172">
        <v>51</v>
      </c>
      <c r="AE2172">
        <v>47218138910251</v>
      </c>
      <c r="AF2172" t="s">
        <v>7661</v>
      </c>
      <c r="AG2172">
        <v>1</v>
      </c>
      <c r="AH2172">
        <v>0</v>
      </c>
    </row>
    <row r="2173" spans="1:34">
      <c r="A2173">
        <v>2025</v>
      </c>
      <c r="B2173" s="1">
        <v>45931</v>
      </c>
      <c r="C2173" t="s">
        <v>2657</v>
      </c>
      <c r="D2173" t="s">
        <v>7668</v>
      </c>
      <c r="E2173" s="43">
        <v>45952.881097164354</v>
      </c>
      <c r="F2173" s="1">
        <v>45952</v>
      </c>
      <c r="G2173" s="43">
        <v>45960.837694884256</v>
      </c>
      <c r="H2173" t="s">
        <v>2659</v>
      </c>
      <c r="I2173" t="s">
        <v>2660</v>
      </c>
      <c r="J2173" t="s">
        <v>37</v>
      </c>
      <c r="L2173" t="s">
        <v>2364</v>
      </c>
      <c r="M2173">
        <v>291732783002</v>
      </c>
      <c r="N2173" t="s">
        <v>2661</v>
      </c>
      <c r="O2173" s="1">
        <v>45593</v>
      </c>
      <c r="T2173" t="s">
        <v>2662</v>
      </c>
      <c r="U2173" t="s">
        <v>7669</v>
      </c>
      <c r="V2173">
        <v>6</v>
      </c>
      <c r="W2173" t="s">
        <v>2985</v>
      </c>
      <c r="X2173">
        <v>1</v>
      </c>
      <c r="Y2173" t="s">
        <v>2985</v>
      </c>
      <c r="AA2173">
        <v>434163431202</v>
      </c>
      <c r="AB2173" t="s">
        <v>1258</v>
      </c>
      <c r="AC2173">
        <v>0</v>
      </c>
      <c r="AD2173">
        <v>43</v>
      </c>
      <c r="AE2173">
        <v>43416343120243</v>
      </c>
      <c r="AF2173" t="s">
        <v>7670</v>
      </c>
      <c r="AG2173">
        <v>1</v>
      </c>
      <c r="AH2173">
        <v>1</v>
      </c>
    </row>
    <row r="2174" spans="1:34">
      <c r="A2174">
        <v>2026</v>
      </c>
      <c r="B2174" s="1">
        <v>46054</v>
      </c>
      <c r="C2174" t="s">
        <v>2657</v>
      </c>
      <c r="D2174" t="s">
        <v>7671</v>
      </c>
      <c r="E2174" s="43">
        <v>46056.59938792824</v>
      </c>
      <c r="F2174" s="1">
        <v>46056</v>
      </c>
      <c r="G2174" s="43">
        <v>46091.668256979166</v>
      </c>
      <c r="H2174" t="s">
        <v>2725</v>
      </c>
      <c r="I2174" t="s">
        <v>2669</v>
      </c>
      <c r="J2174" t="s">
        <v>39</v>
      </c>
      <c r="L2174" t="s">
        <v>2408</v>
      </c>
      <c r="M2174">
        <v>861076042402</v>
      </c>
      <c r="N2174" t="s">
        <v>2746</v>
      </c>
      <c r="O2174" s="1">
        <v>45669</v>
      </c>
      <c r="T2174" t="s">
        <v>2798</v>
      </c>
      <c r="U2174" t="s">
        <v>7672</v>
      </c>
      <c r="V2174">
        <v>28</v>
      </c>
      <c r="W2174" t="s">
        <v>2677</v>
      </c>
      <c r="X2174">
        <v>0</v>
      </c>
      <c r="Y2174" t="s">
        <v>2772</v>
      </c>
      <c r="AA2174">
        <v>508996769902</v>
      </c>
      <c r="AB2174" t="s">
        <v>2193</v>
      </c>
      <c r="AC2174">
        <v>0</v>
      </c>
      <c r="AD2174">
        <v>6</v>
      </c>
      <c r="AE2174">
        <v>5089967699026</v>
      </c>
      <c r="AF2174" t="s">
        <v>7673</v>
      </c>
      <c r="AG2174">
        <v>1</v>
      </c>
      <c r="AH2174">
        <v>1</v>
      </c>
    </row>
    <row r="2175" spans="1:34">
      <c r="A2175">
        <v>2026</v>
      </c>
      <c r="B2175" s="1">
        <v>46054</v>
      </c>
      <c r="C2175" t="s">
        <v>2657</v>
      </c>
      <c r="D2175" t="s">
        <v>7674</v>
      </c>
      <c r="E2175" s="43">
        <v>46064.763095115741</v>
      </c>
      <c r="F2175" s="1">
        <v>46064</v>
      </c>
      <c r="G2175" s="43">
        <v>46070.869051064816</v>
      </c>
      <c r="H2175" t="s">
        <v>2725</v>
      </c>
      <c r="I2175" t="s">
        <v>2681</v>
      </c>
      <c r="J2175" t="s">
        <v>39</v>
      </c>
      <c r="L2175" t="s">
        <v>2408</v>
      </c>
      <c r="M2175">
        <v>861076042402</v>
      </c>
      <c r="N2175" t="s">
        <v>2746</v>
      </c>
      <c r="O2175" s="1">
        <v>45669</v>
      </c>
      <c r="T2175" t="s">
        <v>2662</v>
      </c>
      <c r="U2175" t="s">
        <v>7675</v>
      </c>
      <c r="V2175">
        <v>4</v>
      </c>
      <c r="W2175" t="s">
        <v>2677</v>
      </c>
      <c r="X2175">
        <v>1</v>
      </c>
      <c r="Y2175" t="s">
        <v>2760</v>
      </c>
      <c r="AA2175">
        <v>508996769902</v>
      </c>
      <c r="AB2175" t="s">
        <v>2193</v>
      </c>
      <c r="AC2175">
        <v>0</v>
      </c>
      <c r="AD2175">
        <v>7</v>
      </c>
      <c r="AE2175">
        <v>5089967699027</v>
      </c>
      <c r="AF2175" t="s">
        <v>7673</v>
      </c>
      <c r="AG2175">
        <v>1</v>
      </c>
      <c r="AH2175">
        <v>0</v>
      </c>
    </row>
    <row r="2176" spans="1:34">
      <c r="A2176">
        <v>2026</v>
      </c>
      <c r="B2176" s="1">
        <v>46054</v>
      </c>
      <c r="C2176" t="s">
        <v>2657</v>
      </c>
      <c r="D2176" t="s">
        <v>7676</v>
      </c>
      <c r="E2176" s="43">
        <v>46066.520504502318</v>
      </c>
      <c r="F2176" s="1">
        <v>46066</v>
      </c>
      <c r="G2176" s="43">
        <v>46073.803713263886</v>
      </c>
      <c r="H2176" t="s">
        <v>2725</v>
      </c>
      <c r="I2176" t="s">
        <v>2681</v>
      </c>
      <c r="J2176" t="s">
        <v>39</v>
      </c>
      <c r="L2176" t="s">
        <v>2408</v>
      </c>
      <c r="M2176">
        <v>861076042402</v>
      </c>
      <c r="N2176" t="s">
        <v>2746</v>
      </c>
      <c r="O2176" s="1">
        <v>45669</v>
      </c>
      <c r="T2176" t="s">
        <v>2662</v>
      </c>
      <c r="U2176" t="s">
        <v>7677</v>
      </c>
      <c r="V2176">
        <v>5</v>
      </c>
      <c r="W2176" t="s">
        <v>2677</v>
      </c>
      <c r="X2176">
        <v>1</v>
      </c>
      <c r="Y2176" t="s">
        <v>2779</v>
      </c>
      <c r="AA2176">
        <v>508996769902</v>
      </c>
      <c r="AB2176" t="s">
        <v>2193</v>
      </c>
      <c r="AC2176">
        <v>0</v>
      </c>
      <c r="AD2176">
        <v>7</v>
      </c>
      <c r="AE2176">
        <v>5089967699027</v>
      </c>
      <c r="AF2176" t="s">
        <v>7673</v>
      </c>
      <c r="AG2176">
        <v>0</v>
      </c>
      <c r="AH2176">
        <v>0</v>
      </c>
    </row>
    <row r="2177" spans="1:34">
      <c r="A2177">
        <v>2026</v>
      </c>
      <c r="B2177" s="1">
        <v>46054</v>
      </c>
      <c r="C2177" t="s">
        <v>2657</v>
      </c>
      <c r="D2177" t="s">
        <v>7678</v>
      </c>
      <c r="E2177" s="43">
        <v>46076.820018819446</v>
      </c>
      <c r="F2177" s="1">
        <v>46076</v>
      </c>
      <c r="G2177" s="43">
        <v>46078.587298854167</v>
      </c>
      <c r="H2177" t="s">
        <v>2725</v>
      </c>
      <c r="I2177" t="s">
        <v>2660</v>
      </c>
      <c r="J2177" t="s">
        <v>39</v>
      </c>
      <c r="L2177" t="s">
        <v>2408</v>
      </c>
      <c r="M2177">
        <v>861076042402</v>
      </c>
      <c r="N2177" t="s">
        <v>2746</v>
      </c>
      <c r="O2177" s="1">
        <v>45669</v>
      </c>
      <c r="T2177" t="s">
        <v>2662</v>
      </c>
      <c r="U2177" t="s">
        <v>7679</v>
      </c>
      <c r="V2177">
        <v>2</v>
      </c>
      <c r="W2177" t="s">
        <v>2677</v>
      </c>
      <c r="X2177">
        <v>1</v>
      </c>
      <c r="Y2177" t="s">
        <v>2760</v>
      </c>
      <c r="AA2177">
        <v>508996769902</v>
      </c>
      <c r="AB2177" t="s">
        <v>2193</v>
      </c>
      <c r="AC2177">
        <v>0</v>
      </c>
      <c r="AD2177">
        <v>9</v>
      </c>
      <c r="AE2177">
        <v>5089967699029</v>
      </c>
      <c r="AF2177" t="s">
        <v>7673</v>
      </c>
      <c r="AG2177">
        <v>0</v>
      </c>
      <c r="AH2177">
        <v>0</v>
      </c>
    </row>
    <row r="2178" spans="1:34">
      <c r="A2178">
        <v>2026</v>
      </c>
      <c r="B2178" s="1">
        <v>46054</v>
      </c>
      <c r="C2178" t="s">
        <v>2657</v>
      </c>
      <c r="D2178" t="s">
        <v>7680</v>
      </c>
      <c r="E2178" s="43">
        <v>46076.767545810188</v>
      </c>
      <c r="F2178" s="1">
        <v>46076</v>
      </c>
      <c r="G2178" s="43">
        <v>46093.585892708332</v>
      </c>
      <c r="H2178" t="s">
        <v>2725</v>
      </c>
      <c r="I2178" t="s">
        <v>2660</v>
      </c>
      <c r="J2178" t="s">
        <v>39</v>
      </c>
      <c r="L2178" t="s">
        <v>2408</v>
      </c>
      <c r="M2178">
        <v>861076042402</v>
      </c>
      <c r="N2178" t="s">
        <v>2746</v>
      </c>
      <c r="O2178" s="1">
        <v>45669</v>
      </c>
      <c r="T2178" t="s">
        <v>2662</v>
      </c>
      <c r="U2178" t="s">
        <v>7681</v>
      </c>
      <c r="V2178">
        <v>13</v>
      </c>
      <c r="W2178" t="s">
        <v>2677</v>
      </c>
      <c r="X2178">
        <v>1</v>
      </c>
      <c r="Y2178" t="s">
        <v>2760</v>
      </c>
      <c r="AA2178">
        <v>508996769902</v>
      </c>
      <c r="AB2178" t="s">
        <v>2193</v>
      </c>
      <c r="AC2178">
        <v>0</v>
      </c>
      <c r="AD2178">
        <v>9</v>
      </c>
      <c r="AE2178">
        <v>5089967699029</v>
      </c>
      <c r="AF2178" t="s">
        <v>7673</v>
      </c>
      <c r="AG2178">
        <v>1</v>
      </c>
      <c r="AH2178">
        <v>0</v>
      </c>
    </row>
    <row r="2179" spans="1:34">
      <c r="A2179">
        <v>2026</v>
      </c>
      <c r="B2179" s="1">
        <v>46054</v>
      </c>
      <c r="C2179" t="s">
        <v>2657</v>
      </c>
      <c r="D2179" t="s">
        <v>7682</v>
      </c>
      <c r="E2179" s="43">
        <v>46058.579490706019</v>
      </c>
      <c r="F2179" s="1">
        <v>46058</v>
      </c>
      <c r="G2179" s="43">
        <v>46076.668355671296</v>
      </c>
      <c r="H2179" t="s">
        <v>2725</v>
      </c>
      <c r="I2179" t="s">
        <v>2669</v>
      </c>
      <c r="J2179" t="s">
        <v>37</v>
      </c>
      <c r="L2179" t="s">
        <v>2364</v>
      </c>
      <c r="M2179">
        <v>810505986102</v>
      </c>
      <c r="N2179" t="s">
        <v>2661</v>
      </c>
      <c r="O2179" s="1">
        <v>45492</v>
      </c>
      <c r="T2179" t="s">
        <v>2662</v>
      </c>
      <c r="U2179" t="s">
        <v>7683</v>
      </c>
      <c r="V2179">
        <v>12</v>
      </c>
      <c r="W2179" t="s">
        <v>2677</v>
      </c>
      <c r="X2179">
        <v>1</v>
      </c>
      <c r="Y2179" t="s">
        <v>2760</v>
      </c>
      <c r="AA2179">
        <v>625725137302</v>
      </c>
      <c r="AB2179" t="s">
        <v>1537</v>
      </c>
      <c r="AC2179">
        <v>0</v>
      </c>
      <c r="AD2179">
        <v>6</v>
      </c>
      <c r="AE2179">
        <v>6257251373026</v>
      </c>
      <c r="AF2179" t="s">
        <v>7684</v>
      </c>
      <c r="AG2179">
        <v>1</v>
      </c>
      <c r="AH2179">
        <v>1</v>
      </c>
    </row>
    <row r="2180" spans="1:34">
      <c r="A2180">
        <v>2026</v>
      </c>
      <c r="B2180" s="1">
        <v>46054</v>
      </c>
      <c r="C2180" t="s">
        <v>2657</v>
      </c>
      <c r="D2180" t="s">
        <v>7685</v>
      </c>
      <c r="E2180" s="43">
        <v>46062.821675775464</v>
      </c>
      <c r="F2180" s="1">
        <v>46062</v>
      </c>
      <c r="G2180" s="43">
        <v>46083.825094259257</v>
      </c>
      <c r="H2180" t="s">
        <v>2725</v>
      </c>
      <c r="I2180" t="s">
        <v>2681</v>
      </c>
      <c r="J2180" t="s">
        <v>37</v>
      </c>
      <c r="L2180" t="s">
        <v>2364</v>
      </c>
      <c r="M2180">
        <v>625725137302</v>
      </c>
      <c r="N2180" t="s">
        <v>2661</v>
      </c>
      <c r="O2180" s="1">
        <v>45294</v>
      </c>
      <c r="T2180" t="s">
        <v>2662</v>
      </c>
      <c r="U2180" t="s">
        <v>7686</v>
      </c>
      <c r="V2180">
        <v>15</v>
      </c>
      <c r="W2180" t="s">
        <v>2664</v>
      </c>
      <c r="X2180">
        <v>1</v>
      </c>
      <c r="Y2180" t="s">
        <v>2779</v>
      </c>
      <c r="Z2180" t="s">
        <v>2684</v>
      </c>
      <c r="AA2180">
        <v>625725137302</v>
      </c>
      <c r="AB2180" t="s">
        <v>1537</v>
      </c>
      <c r="AC2180">
        <v>0</v>
      </c>
      <c r="AD2180">
        <v>7</v>
      </c>
      <c r="AE2180">
        <v>6257251373027</v>
      </c>
      <c r="AF2180" t="s">
        <v>7684</v>
      </c>
      <c r="AG2180">
        <v>1</v>
      </c>
      <c r="AH2180">
        <v>0</v>
      </c>
    </row>
    <row r="2181" spans="1:34">
      <c r="A2181">
        <v>2026</v>
      </c>
      <c r="B2181" s="1">
        <v>46054</v>
      </c>
      <c r="C2181" t="s">
        <v>2657</v>
      </c>
      <c r="D2181" t="s">
        <v>7687</v>
      </c>
      <c r="E2181" s="43">
        <v>46073.583091828703</v>
      </c>
      <c r="F2181" s="1">
        <v>46073</v>
      </c>
      <c r="G2181" s="43">
        <v>46073.583091828703</v>
      </c>
      <c r="H2181" t="s">
        <v>2725</v>
      </c>
      <c r="I2181" t="s">
        <v>2719</v>
      </c>
      <c r="J2181" t="s">
        <v>37</v>
      </c>
      <c r="L2181" t="s">
        <v>2364</v>
      </c>
      <c r="M2181">
        <v>625725137302</v>
      </c>
      <c r="N2181" t="s">
        <v>2661</v>
      </c>
      <c r="O2181" s="1">
        <v>45294</v>
      </c>
      <c r="T2181" t="s">
        <v>2662</v>
      </c>
      <c r="U2181" t="s">
        <v>7688</v>
      </c>
      <c r="V2181">
        <v>0</v>
      </c>
      <c r="W2181" t="s">
        <v>2677</v>
      </c>
      <c r="X2181">
        <v>1</v>
      </c>
      <c r="Y2181" t="s">
        <v>2695</v>
      </c>
      <c r="AA2181">
        <v>625725137302</v>
      </c>
      <c r="AB2181" t="s">
        <v>1537</v>
      </c>
      <c r="AC2181">
        <v>0</v>
      </c>
      <c r="AD2181">
        <v>8</v>
      </c>
      <c r="AE2181">
        <v>6257251373028</v>
      </c>
      <c r="AF2181" t="s">
        <v>7684</v>
      </c>
      <c r="AG2181">
        <v>1</v>
      </c>
      <c r="AH2181">
        <v>0</v>
      </c>
    </row>
    <row r="2182" spans="1:34">
      <c r="A2182">
        <v>2026</v>
      </c>
      <c r="B2182" s="1">
        <v>46054</v>
      </c>
      <c r="C2182" t="s">
        <v>2657</v>
      </c>
      <c r="D2182" t="s">
        <v>7689</v>
      </c>
      <c r="E2182" s="43">
        <v>46079.826872534722</v>
      </c>
      <c r="F2182" s="1">
        <v>46079</v>
      </c>
      <c r="G2182" s="43">
        <v>46092.78372363426</v>
      </c>
      <c r="H2182" t="s">
        <v>2725</v>
      </c>
      <c r="I2182" t="s">
        <v>2660</v>
      </c>
      <c r="J2182" t="s">
        <v>37</v>
      </c>
      <c r="L2182" t="s">
        <v>2364</v>
      </c>
      <c r="M2182">
        <v>625725137302</v>
      </c>
      <c r="N2182" t="s">
        <v>2661</v>
      </c>
      <c r="O2182" s="1">
        <v>45294</v>
      </c>
      <c r="T2182" t="s">
        <v>2662</v>
      </c>
      <c r="U2182" t="s">
        <v>7690</v>
      </c>
      <c r="V2182">
        <v>9</v>
      </c>
      <c r="W2182" t="s">
        <v>2677</v>
      </c>
      <c r="X2182">
        <v>1</v>
      </c>
      <c r="Y2182" t="s">
        <v>2779</v>
      </c>
      <c r="AA2182">
        <v>625725137302</v>
      </c>
      <c r="AB2182" t="s">
        <v>1537</v>
      </c>
      <c r="AC2182">
        <v>0</v>
      </c>
      <c r="AD2182">
        <v>9</v>
      </c>
      <c r="AE2182">
        <v>6257251373029</v>
      </c>
      <c r="AF2182" t="s">
        <v>7684</v>
      </c>
      <c r="AG2182">
        <v>1</v>
      </c>
      <c r="AH2182">
        <v>0</v>
      </c>
    </row>
    <row r="2183" spans="1:34">
      <c r="A2183">
        <v>2026</v>
      </c>
      <c r="B2183" s="1">
        <v>46082</v>
      </c>
      <c r="C2183" t="s">
        <v>2657</v>
      </c>
      <c r="D2183" t="s">
        <v>7691</v>
      </c>
      <c r="E2183" s="43">
        <v>46083.606740185183</v>
      </c>
      <c r="F2183" s="1">
        <v>46083</v>
      </c>
      <c r="G2183" s="43">
        <v>46086.634781956018</v>
      </c>
      <c r="H2183" t="s">
        <v>2668</v>
      </c>
      <c r="I2183" t="s">
        <v>2669</v>
      </c>
      <c r="J2183" t="s">
        <v>39</v>
      </c>
      <c r="L2183" t="s">
        <v>2353</v>
      </c>
      <c r="M2183">
        <v>658814193902</v>
      </c>
      <c r="N2183" t="s">
        <v>2675</v>
      </c>
      <c r="O2183" s="1">
        <v>45299</v>
      </c>
      <c r="T2183" t="s">
        <v>2662</v>
      </c>
      <c r="U2183" t="s">
        <v>7692</v>
      </c>
      <c r="V2183">
        <v>3</v>
      </c>
      <c r="W2183" t="s">
        <v>2704</v>
      </c>
      <c r="X2183">
        <v>1</v>
      </c>
      <c r="Y2183" t="s">
        <v>2931</v>
      </c>
      <c r="AA2183">
        <v>658814193902</v>
      </c>
      <c r="AB2183" t="s">
        <v>683</v>
      </c>
      <c r="AC2183">
        <v>0</v>
      </c>
      <c r="AD2183">
        <v>10</v>
      </c>
      <c r="AE2183">
        <v>65881419390210</v>
      </c>
      <c r="AF2183" t="s">
        <v>7693</v>
      </c>
      <c r="AG2183">
        <v>1</v>
      </c>
      <c r="AH2183">
        <v>1</v>
      </c>
    </row>
    <row r="2184" spans="1:34">
      <c r="A2184">
        <v>2026</v>
      </c>
      <c r="B2184" s="1">
        <v>46082</v>
      </c>
      <c r="C2184" t="s">
        <v>2657</v>
      </c>
      <c r="D2184" t="s">
        <v>7694</v>
      </c>
      <c r="E2184" s="43">
        <v>46084.808281817132</v>
      </c>
      <c r="F2184" s="1">
        <v>46084</v>
      </c>
      <c r="G2184" s="43">
        <v>46091.669779189811</v>
      </c>
      <c r="H2184" t="s">
        <v>2668</v>
      </c>
      <c r="I2184" t="s">
        <v>2669</v>
      </c>
      <c r="J2184" t="s">
        <v>39</v>
      </c>
      <c r="L2184" t="s">
        <v>2353</v>
      </c>
      <c r="M2184">
        <v>658814193902</v>
      </c>
      <c r="N2184" t="s">
        <v>2675</v>
      </c>
      <c r="O2184" s="1">
        <v>45299</v>
      </c>
      <c r="T2184" t="s">
        <v>2798</v>
      </c>
      <c r="U2184" t="s">
        <v>7695</v>
      </c>
      <c r="V2184">
        <v>8</v>
      </c>
      <c r="W2184" t="s">
        <v>2704</v>
      </c>
      <c r="X2184">
        <v>0</v>
      </c>
      <c r="Y2184" t="s">
        <v>2717</v>
      </c>
      <c r="Z2184" t="s">
        <v>2834</v>
      </c>
      <c r="AA2184">
        <v>658814193902</v>
      </c>
      <c r="AB2184" t="s">
        <v>683</v>
      </c>
      <c r="AC2184">
        <v>1</v>
      </c>
      <c r="AD2184">
        <v>10</v>
      </c>
      <c r="AE2184">
        <v>65881419390210</v>
      </c>
      <c r="AF2184" t="s">
        <v>7693</v>
      </c>
      <c r="AG2184">
        <v>0</v>
      </c>
      <c r="AH2184">
        <v>0</v>
      </c>
    </row>
    <row r="2185" spans="1:34">
      <c r="A2185">
        <v>2026</v>
      </c>
      <c r="B2185" s="1">
        <v>46054</v>
      </c>
      <c r="C2185" t="s">
        <v>2657</v>
      </c>
      <c r="D2185" t="s">
        <v>7696</v>
      </c>
      <c r="E2185" s="43">
        <v>46064.668154930558</v>
      </c>
      <c r="F2185" s="1">
        <v>46064</v>
      </c>
      <c r="G2185" s="43">
        <v>46072.628705324074</v>
      </c>
      <c r="H2185" t="s">
        <v>2725</v>
      </c>
      <c r="I2185" t="s">
        <v>2681</v>
      </c>
      <c r="J2185" t="s">
        <v>100</v>
      </c>
      <c r="L2185" t="s">
        <v>2353</v>
      </c>
      <c r="M2185">
        <v>155525090602</v>
      </c>
      <c r="N2185" t="s">
        <v>2675</v>
      </c>
      <c r="O2185" s="1">
        <v>45294</v>
      </c>
      <c r="T2185" t="s">
        <v>2662</v>
      </c>
      <c r="U2185" t="s">
        <v>7697</v>
      </c>
      <c r="V2185">
        <v>6</v>
      </c>
      <c r="W2185" t="s">
        <v>2743</v>
      </c>
      <c r="X2185">
        <v>1</v>
      </c>
      <c r="Y2185" t="s">
        <v>2764</v>
      </c>
      <c r="AA2185">
        <v>155525090602</v>
      </c>
      <c r="AB2185" t="s">
        <v>2212</v>
      </c>
      <c r="AC2185">
        <v>0</v>
      </c>
      <c r="AD2185">
        <v>7</v>
      </c>
      <c r="AE2185">
        <v>1555250906027</v>
      </c>
      <c r="AF2185" t="s">
        <v>7698</v>
      </c>
      <c r="AG2185">
        <v>1</v>
      </c>
      <c r="AH2185">
        <v>1</v>
      </c>
    </row>
    <row r="2186" spans="1:34">
      <c r="A2186">
        <v>2025</v>
      </c>
      <c r="B2186" s="1">
        <v>45839</v>
      </c>
      <c r="C2186" t="s">
        <v>2657</v>
      </c>
      <c r="D2186" t="s">
        <v>7699</v>
      </c>
      <c r="E2186" s="43">
        <v>45866.705620231478</v>
      </c>
      <c r="F2186" s="1">
        <v>45866</v>
      </c>
      <c r="G2186" s="43">
        <v>45875.659048333335</v>
      </c>
      <c r="H2186" t="s">
        <v>2869</v>
      </c>
      <c r="I2186" t="s">
        <v>2660</v>
      </c>
      <c r="J2186" t="s">
        <v>2735</v>
      </c>
      <c r="L2186" t="s">
        <v>2408</v>
      </c>
      <c r="M2186">
        <v>10369153302</v>
      </c>
      <c r="N2186" t="s">
        <v>2746</v>
      </c>
      <c r="O2186" s="1">
        <v>45751</v>
      </c>
      <c r="T2186" t="s">
        <v>2662</v>
      </c>
      <c r="U2186" t="s">
        <v>7700</v>
      </c>
      <c r="V2186">
        <v>7</v>
      </c>
      <c r="W2186" t="s">
        <v>2677</v>
      </c>
      <c r="X2186">
        <v>1</v>
      </c>
      <c r="Y2186" t="s">
        <v>2695</v>
      </c>
      <c r="AA2186">
        <v>10369153302</v>
      </c>
      <c r="AB2186" t="s">
        <v>329</v>
      </c>
      <c r="AC2186">
        <v>0</v>
      </c>
      <c r="AD2186">
        <v>31</v>
      </c>
      <c r="AE2186">
        <v>1036915330231</v>
      </c>
      <c r="AF2186" t="s">
        <v>7701</v>
      </c>
      <c r="AG2186">
        <v>1</v>
      </c>
      <c r="AH2186">
        <v>1</v>
      </c>
    </row>
    <row r="2187" spans="1:34">
      <c r="A2187">
        <v>2025</v>
      </c>
      <c r="B2187" s="1">
        <v>45839</v>
      </c>
      <c r="C2187" t="s">
        <v>2657</v>
      </c>
      <c r="D2187" t="s">
        <v>7702</v>
      </c>
      <c r="E2187" s="43">
        <v>45866.706175590276</v>
      </c>
      <c r="F2187" s="1">
        <v>45866</v>
      </c>
      <c r="G2187" s="43">
        <v>45888.854714745372</v>
      </c>
      <c r="H2187" t="s">
        <v>2869</v>
      </c>
      <c r="I2187" t="s">
        <v>2660</v>
      </c>
      <c r="J2187" t="s">
        <v>2735</v>
      </c>
      <c r="L2187" t="s">
        <v>2408</v>
      </c>
      <c r="M2187">
        <v>10369153302</v>
      </c>
      <c r="N2187" t="s">
        <v>2746</v>
      </c>
      <c r="O2187" s="1">
        <v>45751</v>
      </c>
      <c r="T2187" t="s">
        <v>2662</v>
      </c>
      <c r="U2187" t="s">
        <v>7703</v>
      </c>
      <c r="V2187">
        <v>16</v>
      </c>
      <c r="W2187" t="s">
        <v>2671</v>
      </c>
      <c r="X2187">
        <v>1</v>
      </c>
      <c r="Y2187" t="s">
        <v>2688</v>
      </c>
      <c r="AA2187">
        <v>10369153302</v>
      </c>
      <c r="AB2187" t="s">
        <v>329</v>
      </c>
      <c r="AC2187">
        <v>0</v>
      </c>
      <c r="AD2187">
        <v>31</v>
      </c>
      <c r="AE2187">
        <v>1036915330231</v>
      </c>
      <c r="AF2187" t="s">
        <v>7701</v>
      </c>
      <c r="AG2187">
        <v>0</v>
      </c>
      <c r="AH2187">
        <v>0</v>
      </c>
    </row>
    <row r="2188" spans="1:34">
      <c r="A2188">
        <v>2025</v>
      </c>
      <c r="B2188" s="1">
        <v>45839</v>
      </c>
      <c r="C2188" t="s">
        <v>2657</v>
      </c>
      <c r="D2188" t="s">
        <v>7704</v>
      </c>
      <c r="E2188" s="43">
        <v>45867.816401666663</v>
      </c>
      <c r="F2188" s="1">
        <v>45867</v>
      </c>
      <c r="G2188" s="43">
        <v>45894.518528078705</v>
      </c>
      <c r="H2188" t="s">
        <v>2869</v>
      </c>
      <c r="I2188" t="s">
        <v>2697</v>
      </c>
      <c r="J2188" t="s">
        <v>2735</v>
      </c>
      <c r="L2188" t="s">
        <v>2408</v>
      </c>
      <c r="M2188">
        <v>10369153302</v>
      </c>
      <c r="N2188" t="s">
        <v>2746</v>
      </c>
      <c r="O2188" s="1">
        <v>45751</v>
      </c>
      <c r="T2188" t="s">
        <v>2662</v>
      </c>
      <c r="U2188" t="s">
        <v>7705</v>
      </c>
      <c r="V2188">
        <v>19</v>
      </c>
      <c r="W2188" t="s">
        <v>2671</v>
      </c>
      <c r="X2188">
        <v>1</v>
      </c>
      <c r="Y2188" t="s">
        <v>2683</v>
      </c>
      <c r="Z2188" t="s">
        <v>2684</v>
      </c>
      <c r="AA2188">
        <v>10369153302</v>
      </c>
      <c r="AB2188" t="s">
        <v>329</v>
      </c>
      <c r="AC2188">
        <v>0</v>
      </c>
      <c r="AD2188">
        <v>31</v>
      </c>
      <c r="AE2188">
        <v>1036915330231</v>
      </c>
      <c r="AF2188" t="s">
        <v>7701</v>
      </c>
      <c r="AG2188">
        <v>0</v>
      </c>
      <c r="AH2188">
        <v>0</v>
      </c>
    </row>
    <row r="2189" spans="1:34">
      <c r="A2189">
        <v>2025</v>
      </c>
      <c r="B2189" s="1">
        <v>45839</v>
      </c>
      <c r="C2189" t="s">
        <v>2657</v>
      </c>
      <c r="D2189" t="s">
        <v>7706</v>
      </c>
      <c r="E2189" s="43">
        <v>45868.713173032411</v>
      </c>
      <c r="F2189" s="1">
        <v>45868</v>
      </c>
      <c r="G2189" s="43">
        <v>45875.659578425926</v>
      </c>
      <c r="H2189" t="s">
        <v>2869</v>
      </c>
      <c r="I2189" t="s">
        <v>2697</v>
      </c>
      <c r="J2189" t="s">
        <v>2735</v>
      </c>
      <c r="L2189" t="s">
        <v>2408</v>
      </c>
      <c r="M2189">
        <v>10369153302</v>
      </c>
      <c r="N2189" t="s">
        <v>2746</v>
      </c>
      <c r="O2189" s="1">
        <v>45751</v>
      </c>
      <c r="T2189" t="s">
        <v>2662</v>
      </c>
      <c r="U2189" t="s">
        <v>7707</v>
      </c>
      <c r="V2189">
        <v>5</v>
      </c>
      <c r="W2189" t="s">
        <v>2743</v>
      </c>
      <c r="X2189">
        <v>1</v>
      </c>
      <c r="Y2189" t="s">
        <v>2695</v>
      </c>
      <c r="AA2189">
        <v>10369153302</v>
      </c>
      <c r="AB2189" t="s">
        <v>329</v>
      </c>
      <c r="AC2189">
        <v>0</v>
      </c>
      <c r="AD2189">
        <v>31</v>
      </c>
      <c r="AE2189">
        <v>1036915330231</v>
      </c>
      <c r="AF2189" t="s">
        <v>7701</v>
      </c>
      <c r="AG2189">
        <v>0</v>
      </c>
      <c r="AH2189">
        <v>0</v>
      </c>
    </row>
    <row r="2190" spans="1:34">
      <c r="A2190">
        <v>2025</v>
      </c>
      <c r="B2190" s="1">
        <v>45839</v>
      </c>
      <c r="C2190" t="s">
        <v>2657</v>
      </c>
      <c r="D2190" t="s">
        <v>7708</v>
      </c>
      <c r="E2190" s="43">
        <v>45867.638509282406</v>
      </c>
      <c r="F2190" s="1">
        <v>45867</v>
      </c>
      <c r="G2190" s="43">
        <v>45894.518800879632</v>
      </c>
      <c r="H2190" t="s">
        <v>2869</v>
      </c>
      <c r="I2190" t="s">
        <v>2697</v>
      </c>
      <c r="J2190" t="s">
        <v>2735</v>
      </c>
      <c r="L2190" t="s">
        <v>2408</v>
      </c>
      <c r="M2190">
        <v>10369153302</v>
      </c>
      <c r="N2190" t="s">
        <v>2746</v>
      </c>
      <c r="O2190" s="1">
        <v>45751</v>
      </c>
      <c r="T2190" t="s">
        <v>2662</v>
      </c>
      <c r="U2190" t="s">
        <v>7709</v>
      </c>
      <c r="V2190">
        <v>19</v>
      </c>
      <c r="W2190" t="s">
        <v>2743</v>
      </c>
      <c r="X2190">
        <v>1</v>
      </c>
      <c r="Y2190" t="s">
        <v>2699</v>
      </c>
      <c r="AA2190">
        <v>10369153302</v>
      </c>
      <c r="AB2190" t="s">
        <v>329</v>
      </c>
      <c r="AC2190">
        <v>0</v>
      </c>
      <c r="AD2190">
        <v>31</v>
      </c>
      <c r="AE2190">
        <v>1036915330231</v>
      </c>
      <c r="AF2190" t="s">
        <v>7701</v>
      </c>
      <c r="AG2190">
        <v>0</v>
      </c>
      <c r="AH2190">
        <v>0</v>
      </c>
    </row>
    <row r="2191" spans="1:34">
      <c r="A2191">
        <v>2025</v>
      </c>
      <c r="B2191" s="1">
        <v>45870</v>
      </c>
      <c r="C2191" t="s">
        <v>2657</v>
      </c>
      <c r="D2191" t="s">
        <v>7710</v>
      </c>
      <c r="E2191" s="43">
        <v>45875.68826033565</v>
      </c>
      <c r="F2191" s="1">
        <v>45875</v>
      </c>
      <c r="G2191" s="43">
        <v>45889.71490334491</v>
      </c>
      <c r="H2191" t="s">
        <v>3088</v>
      </c>
      <c r="I2191" t="s">
        <v>2669</v>
      </c>
      <c r="J2191" t="s">
        <v>2735</v>
      </c>
      <c r="L2191" t="s">
        <v>2362</v>
      </c>
      <c r="M2191">
        <v>361885515402</v>
      </c>
      <c r="N2191" t="s">
        <v>2746</v>
      </c>
      <c r="O2191" s="1">
        <v>45669</v>
      </c>
      <c r="T2191" t="s">
        <v>2662</v>
      </c>
      <c r="U2191" t="s">
        <v>7711</v>
      </c>
      <c r="V2191">
        <v>10</v>
      </c>
      <c r="W2191" t="s">
        <v>2743</v>
      </c>
      <c r="X2191">
        <v>1</v>
      </c>
      <c r="Y2191" t="s">
        <v>2695</v>
      </c>
      <c r="AA2191">
        <v>361885515402</v>
      </c>
      <c r="AB2191" t="s">
        <v>1603</v>
      </c>
      <c r="AC2191">
        <v>0</v>
      </c>
      <c r="AD2191">
        <v>32</v>
      </c>
      <c r="AE2191">
        <v>36188551540232</v>
      </c>
      <c r="AF2191" t="s">
        <v>7712</v>
      </c>
      <c r="AG2191">
        <v>1</v>
      </c>
      <c r="AH2191">
        <v>0</v>
      </c>
    </row>
    <row r="2192" spans="1:34">
      <c r="A2192">
        <v>2025</v>
      </c>
      <c r="B2192" s="1">
        <v>45870</v>
      </c>
      <c r="C2192" t="s">
        <v>2657</v>
      </c>
      <c r="D2192" t="s">
        <v>7713</v>
      </c>
      <c r="E2192" s="43">
        <v>45875.790930358795</v>
      </c>
      <c r="F2192" s="1">
        <v>45875</v>
      </c>
      <c r="G2192" s="43">
        <v>45887.579705162039</v>
      </c>
      <c r="H2192" t="s">
        <v>3088</v>
      </c>
      <c r="I2192" t="s">
        <v>2669</v>
      </c>
      <c r="J2192" t="s">
        <v>2735</v>
      </c>
      <c r="L2192" t="s">
        <v>2362</v>
      </c>
      <c r="M2192">
        <v>361885515402</v>
      </c>
      <c r="N2192" t="s">
        <v>2746</v>
      </c>
      <c r="O2192" s="1">
        <v>45669</v>
      </c>
      <c r="T2192" t="s">
        <v>2662</v>
      </c>
      <c r="U2192" t="s">
        <v>7714</v>
      </c>
      <c r="V2192">
        <v>8</v>
      </c>
      <c r="W2192" t="s">
        <v>2743</v>
      </c>
      <c r="X2192">
        <v>1</v>
      </c>
      <c r="Y2192" t="s">
        <v>2688</v>
      </c>
      <c r="AA2192">
        <v>361885515402</v>
      </c>
      <c r="AB2192" t="s">
        <v>1603</v>
      </c>
      <c r="AC2192">
        <v>0</v>
      </c>
      <c r="AD2192">
        <v>32</v>
      </c>
      <c r="AE2192">
        <v>36188551540232</v>
      </c>
      <c r="AF2192" t="s">
        <v>7712</v>
      </c>
      <c r="AG2192">
        <v>0</v>
      </c>
      <c r="AH2192">
        <v>0</v>
      </c>
    </row>
    <row r="2193" spans="1:34">
      <c r="A2193">
        <v>2025</v>
      </c>
      <c r="B2193" s="1">
        <v>45870</v>
      </c>
      <c r="C2193" t="s">
        <v>2657</v>
      </c>
      <c r="D2193" t="s">
        <v>7715</v>
      </c>
      <c r="E2193" s="43">
        <v>45876.75223972222</v>
      </c>
      <c r="F2193" s="1">
        <v>45876</v>
      </c>
      <c r="G2193" s="43">
        <v>45911.647049756946</v>
      </c>
      <c r="H2193" t="s">
        <v>3088</v>
      </c>
      <c r="I2193" t="s">
        <v>2669</v>
      </c>
      <c r="J2193" t="s">
        <v>2735</v>
      </c>
      <c r="L2193" t="s">
        <v>2362</v>
      </c>
      <c r="M2193">
        <v>361885515402</v>
      </c>
      <c r="N2193" t="s">
        <v>2746</v>
      </c>
      <c r="O2193" s="1">
        <v>45669</v>
      </c>
      <c r="T2193" t="s">
        <v>2662</v>
      </c>
      <c r="U2193" t="s">
        <v>7716</v>
      </c>
      <c r="V2193">
        <v>25</v>
      </c>
      <c r="W2193" t="s">
        <v>2743</v>
      </c>
      <c r="X2193">
        <v>1</v>
      </c>
      <c r="Y2193" t="s">
        <v>2699</v>
      </c>
      <c r="Z2193" t="s">
        <v>2834</v>
      </c>
      <c r="AA2193">
        <v>361885515402</v>
      </c>
      <c r="AB2193" t="s">
        <v>1603</v>
      </c>
      <c r="AC2193">
        <v>0</v>
      </c>
      <c r="AD2193">
        <v>32</v>
      </c>
      <c r="AE2193">
        <v>36188551540232</v>
      </c>
      <c r="AF2193" t="s">
        <v>7712</v>
      </c>
      <c r="AG2193">
        <v>0</v>
      </c>
      <c r="AH2193">
        <v>0</v>
      </c>
    </row>
    <row r="2194" spans="1:34">
      <c r="A2194">
        <v>2025</v>
      </c>
      <c r="B2194" s="1">
        <v>45870</v>
      </c>
      <c r="C2194" t="s">
        <v>2657</v>
      </c>
      <c r="D2194" t="s">
        <v>7717</v>
      </c>
      <c r="E2194" s="43">
        <v>45876.511821967593</v>
      </c>
      <c r="F2194" s="1">
        <v>45876</v>
      </c>
      <c r="G2194" s="43">
        <v>45887.57951210648</v>
      </c>
      <c r="H2194" t="s">
        <v>3088</v>
      </c>
      <c r="I2194" t="s">
        <v>2669</v>
      </c>
      <c r="J2194" t="s">
        <v>2735</v>
      </c>
      <c r="L2194" t="s">
        <v>2362</v>
      </c>
      <c r="M2194">
        <v>361885515402</v>
      </c>
      <c r="N2194" t="s">
        <v>2746</v>
      </c>
      <c r="O2194" s="1">
        <v>45669</v>
      </c>
      <c r="T2194" t="s">
        <v>2662</v>
      </c>
      <c r="U2194" t="s">
        <v>7718</v>
      </c>
      <c r="V2194">
        <v>7</v>
      </c>
      <c r="W2194" t="s">
        <v>2743</v>
      </c>
      <c r="X2194">
        <v>1</v>
      </c>
      <c r="Y2194" t="s">
        <v>2717</v>
      </c>
      <c r="Z2194" t="s">
        <v>2834</v>
      </c>
      <c r="AA2194">
        <v>361885515402</v>
      </c>
      <c r="AB2194" t="s">
        <v>1603</v>
      </c>
      <c r="AC2194">
        <v>0</v>
      </c>
      <c r="AD2194">
        <v>32</v>
      </c>
      <c r="AE2194">
        <v>36188551540232</v>
      </c>
      <c r="AF2194" t="s">
        <v>7712</v>
      </c>
      <c r="AG2194">
        <v>0</v>
      </c>
      <c r="AH2194">
        <v>0</v>
      </c>
    </row>
    <row r="2195" spans="1:34">
      <c r="A2195">
        <v>2025</v>
      </c>
      <c r="B2195" s="1">
        <v>45870</v>
      </c>
      <c r="C2195" t="s">
        <v>2657</v>
      </c>
      <c r="D2195" t="s">
        <v>7719</v>
      </c>
      <c r="E2195" s="43">
        <v>45876.805286921299</v>
      </c>
      <c r="F2195" s="1">
        <v>45876</v>
      </c>
      <c r="G2195" s="43">
        <v>45876.823942777781</v>
      </c>
      <c r="H2195" t="s">
        <v>3088</v>
      </c>
      <c r="I2195" t="s">
        <v>2669</v>
      </c>
      <c r="J2195" t="s">
        <v>2735</v>
      </c>
      <c r="L2195" t="s">
        <v>2362</v>
      </c>
      <c r="M2195">
        <v>361885515402</v>
      </c>
      <c r="N2195" t="s">
        <v>2746</v>
      </c>
      <c r="O2195" s="1">
        <v>45669</v>
      </c>
      <c r="T2195" t="s">
        <v>2662</v>
      </c>
      <c r="U2195" t="s">
        <v>7720</v>
      </c>
      <c r="V2195">
        <v>0</v>
      </c>
      <c r="W2195" t="s">
        <v>2743</v>
      </c>
      <c r="X2195">
        <v>1</v>
      </c>
      <c r="Y2195" t="s">
        <v>2688</v>
      </c>
      <c r="AA2195">
        <v>361885515402</v>
      </c>
      <c r="AB2195" t="s">
        <v>1603</v>
      </c>
      <c r="AC2195">
        <v>0</v>
      </c>
      <c r="AD2195">
        <v>32</v>
      </c>
      <c r="AE2195">
        <v>36188551540232</v>
      </c>
      <c r="AF2195" t="s">
        <v>7712</v>
      </c>
      <c r="AG2195">
        <v>0</v>
      </c>
      <c r="AH2195">
        <v>0</v>
      </c>
    </row>
    <row r="2196" spans="1:34">
      <c r="A2196">
        <v>2025</v>
      </c>
      <c r="B2196" s="1">
        <v>45870</v>
      </c>
      <c r="C2196" t="s">
        <v>2657</v>
      </c>
      <c r="D2196" t="s">
        <v>7721</v>
      </c>
      <c r="E2196" s="43">
        <v>45870.807827974539</v>
      </c>
      <c r="F2196" s="1">
        <v>45870</v>
      </c>
      <c r="G2196" s="43">
        <v>45889.715838854165</v>
      </c>
      <c r="H2196" t="s">
        <v>3088</v>
      </c>
      <c r="I2196" t="s">
        <v>2669</v>
      </c>
      <c r="J2196" t="s">
        <v>2735</v>
      </c>
      <c r="L2196" t="s">
        <v>2362</v>
      </c>
      <c r="M2196">
        <v>361885515402</v>
      </c>
      <c r="N2196" t="s">
        <v>2746</v>
      </c>
      <c r="O2196" s="1">
        <v>45669</v>
      </c>
      <c r="T2196" t="s">
        <v>2662</v>
      </c>
      <c r="U2196" t="s">
        <v>7722</v>
      </c>
      <c r="V2196">
        <v>13</v>
      </c>
      <c r="W2196" t="s">
        <v>2677</v>
      </c>
      <c r="X2196">
        <v>1</v>
      </c>
      <c r="Y2196" t="s">
        <v>2764</v>
      </c>
      <c r="AA2196">
        <v>361885515402</v>
      </c>
      <c r="AB2196" t="s">
        <v>1603</v>
      </c>
      <c r="AC2196">
        <v>0</v>
      </c>
      <c r="AD2196">
        <v>31</v>
      </c>
      <c r="AE2196">
        <v>36188551540231</v>
      </c>
      <c r="AF2196" t="s">
        <v>7712</v>
      </c>
      <c r="AG2196">
        <v>0</v>
      </c>
      <c r="AH2196">
        <v>1</v>
      </c>
    </row>
    <row r="2197" spans="1:34">
      <c r="A2197">
        <v>2025</v>
      </c>
      <c r="B2197" s="1">
        <v>45870</v>
      </c>
      <c r="C2197" t="s">
        <v>2657</v>
      </c>
      <c r="D2197" t="s">
        <v>7723</v>
      </c>
      <c r="E2197" s="43">
        <v>45877.524563159721</v>
      </c>
      <c r="F2197" s="1">
        <v>45877</v>
      </c>
      <c r="G2197" s="43">
        <v>45877.524563159721</v>
      </c>
      <c r="H2197" t="s">
        <v>3088</v>
      </c>
      <c r="I2197" t="s">
        <v>2681</v>
      </c>
      <c r="J2197" t="s">
        <v>2735</v>
      </c>
      <c r="L2197" t="s">
        <v>2362</v>
      </c>
      <c r="M2197">
        <v>361885515402</v>
      </c>
      <c r="N2197" t="s">
        <v>2746</v>
      </c>
      <c r="O2197" s="1">
        <v>45669</v>
      </c>
      <c r="T2197" t="s">
        <v>2662</v>
      </c>
      <c r="U2197" t="s">
        <v>7724</v>
      </c>
      <c r="V2197">
        <v>0</v>
      </c>
      <c r="W2197" t="s">
        <v>2677</v>
      </c>
      <c r="X2197">
        <v>1</v>
      </c>
      <c r="Y2197" t="s">
        <v>2779</v>
      </c>
      <c r="AA2197">
        <v>361885515402</v>
      </c>
      <c r="AB2197" t="s">
        <v>1603</v>
      </c>
      <c r="AC2197">
        <v>0</v>
      </c>
      <c r="AD2197">
        <v>32</v>
      </c>
      <c r="AE2197">
        <v>36188551540232</v>
      </c>
      <c r="AF2197" t="s">
        <v>7712</v>
      </c>
      <c r="AG2197">
        <v>0</v>
      </c>
      <c r="AH2197">
        <v>0</v>
      </c>
    </row>
    <row r="2198" spans="1:34">
      <c r="A2198">
        <v>2025</v>
      </c>
      <c r="B2198" s="1">
        <v>45870</v>
      </c>
      <c r="C2198" t="s">
        <v>2657</v>
      </c>
      <c r="D2198" t="s">
        <v>7725</v>
      </c>
      <c r="E2198" s="43">
        <v>45877.594915474539</v>
      </c>
      <c r="F2198" s="1">
        <v>45877</v>
      </c>
      <c r="G2198" s="43">
        <v>45889.702944780096</v>
      </c>
      <c r="H2198" t="s">
        <v>3088</v>
      </c>
      <c r="I2198" t="s">
        <v>2681</v>
      </c>
      <c r="J2198" t="s">
        <v>2735</v>
      </c>
      <c r="L2198" t="s">
        <v>2362</v>
      </c>
      <c r="M2198">
        <v>361885515402</v>
      </c>
      <c r="N2198" t="s">
        <v>2746</v>
      </c>
      <c r="O2198" s="1">
        <v>45669</v>
      </c>
      <c r="T2198" t="s">
        <v>2662</v>
      </c>
      <c r="U2198" t="s">
        <v>7726</v>
      </c>
      <c r="V2198">
        <v>8</v>
      </c>
      <c r="W2198" t="s">
        <v>2743</v>
      </c>
      <c r="X2198">
        <v>1</v>
      </c>
      <c r="Y2198" t="s">
        <v>2717</v>
      </c>
      <c r="AA2198">
        <v>361885515402</v>
      </c>
      <c r="AB2198" t="s">
        <v>1603</v>
      </c>
      <c r="AC2198">
        <v>0</v>
      </c>
      <c r="AD2198">
        <v>32</v>
      </c>
      <c r="AE2198">
        <v>36188551540232</v>
      </c>
      <c r="AF2198" t="s">
        <v>7712</v>
      </c>
      <c r="AG2198">
        <v>0</v>
      </c>
      <c r="AH2198">
        <v>0</v>
      </c>
    </row>
    <row r="2199" spans="1:34">
      <c r="A2199">
        <v>2025</v>
      </c>
      <c r="B2199" s="1">
        <v>45870</v>
      </c>
      <c r="C2199" t="s">
        <v>2657</v>
      </c>
      <c r="D2199" t="s">
        <v>7727</v>
      </c>
      <c r="E2199" s="43">
        <v>45877.525720092592</v>
      </c>
      <c r="F2199" s="1">
        <v>45877</v>
      </c>
      <c r="G2199" s="43">
        <v>45890.852967569444</v>
      </c>
      <c r="H2199" t="s">
        <v>3088</v>
      </c>
      <c r="I2199" t="s">
        <v>2681</v>
      </c>
      <c r="J2199" t="s">
        <v>2735</v>
      </c>
      <c r="L2199" t="s">
        <v>2362</v>
      </c>
      <c r="M2199">
        <v>361885515402</v>
      </c>
      <c r="N2199" t="s">
        <v>2746</v>
      </c>
      <c r="O2199" s="1">
        <v>45669</v>
      </c>
      <c r="T2199" t="s">
        <v>2662</v>
      </c>
      <c r="U2199" t="s">
        <v>7728</v>
      </c>
      <c r="V2199">
        <v>9</v>
      </c>
      <c r="W2199" t="s">
        <v>2677</v>
      </c>
      <c r="X2199">
        <v>1</v>
      </c>
      <c r="Y2199" t="s">
        <v>2807</v>
      </c>
      <c r="AA2199">
        <v>361885515402</v>
      </c>
      <c r="AB2199" t="s">
        <v>1603</v>
      </c>
      <c r="AC2199">
        <v>0</v>
      </c>
      <c r="AD2199">
        <v>32</v>
      </c>
      <c r="AE2199">
        <v>36188551540232</v>
      </c>
      <c r="AF2199" t="s">
        <v>7712</v>
      </c>
      <c r="AG2199">
        <v>0</v>
      </c>
      <c r="AH2199">
        <v>0</v>
      </c>
    </row>
    <row r="2200" spans="1:34">
      <c r="A2200">
        <v>2025</v>
      </c>
      <c r="B2200" s="1">
        <v>45870</v>
      </c>
      <c r="C2200" t="s">
        <v>2657</v>
      </c>
      <c r="D2200" t="s">
        <v>7729</v>
      </c>
      <c r="E2200" s="43">
        <v>45884.644284490743</v>
      </c>
      <c r="F2200" s="1">
        <v>45884</v>
      </c>
      <c r="G2200" s="43">
        <v>45890.491817372684</v>
      </c>
      <c r="H2200" t="s">
        <v>3088</v>
      </c>
      <c r="I2200" t="s">
        <v>2719</v>
      </c>
      <c r="J2200" t="s">
        <v>2735</v>
      </c>
      <c r="L2200" t="s">
        <v>2362</v>
      </c>
      <c r="M2200">
        <v>361885515402</v>
      </c>
      <c r="N2200" t="s">
        <v>2746</v>
      </c>
      <c r="O2200" s="1">
        <v>45669</v>
      </c>
      <c r="P2200" t="s">
        <v>2743</v>
      </c>
      <c r="Q2200" t="s">
        <v>2688</v>
      </c>
      <c r="T2200" t="s">
        <v>2662</v>
      </c>
      <c r="U2200" t="s">
        <v>7730</v>
      </c>
      <c r="V2200">
        <v>4</v>
      </c>
      <c r="W2200" t="s">
        <v>2743</v>
      </c>
      <c r="X2200">
        <v>1</v>
      </c>
      <c r="Y2200" t="s">
        <v>2688</v>
      </c>
      <c r="AA2200">
        <v>361885515402</v>
      </c>
      <c r="AB2200" t="s">
        <v>1603</v>
      </c>
      <c r="AC2200">
        <v>0</v>
      </c>
      <c r="AD2200">
        <v>33</v>
      </c>
      <c r="AE2200">
        <v>36188551540233</v>
      </c>
      <c r="AF2200" t="s">
        <v>7712</v>
      </c>
      <c r="AG2200">
        <v>1</v>
      </c>
      <c r="AH2200">
        <v>0</v>
      </c>
    </row>
    <row r="2201" spans="1:34">
      <c r="A2201">
        <v>2025</v>
      </c>
      <c r="B2201" s="1">
        <v>45870</v>
      </c>
      <c r="C2201" t="s">
        <v>2657</v>
      </c>
      <c r="D2201" t="s">
        <v>7731</v>
      </c>
      <c r="E2201" s="43">
        <v>45884.831796053244</v>
      </c>
      <c r="F2201" s="1">
        <v>45884</v>
      </c>
      <c r="G2201" s="43">
        <v>45888.862662893516</v>
      </c>
      <c r="H2201" t="s">
        <v>3088</v>
      </c>
      <c r="I2201" t="s">
        <v>2719</v>
      </c>
      <c r="J2201" t="s">
        <v>2735</v>
      </c>
      <c r="L2201" t="s">
        <v>2362</v>
      </c>
      <c r="M2201">
        <v>361885515402</v>
      </c>
      <c r="N2201" t="s">
        <v>2746</v>
      </c>
      <c r="O2201" s="1">
        <v>45669</v>
      </c>
      <c r="T2201" t="s">
        <v>2662</v>
      </c>
      <c r="U2201" t="s">
        <v>7720</v>
      </c>
      <c r="V2201">
        <v>2</v>
      </c>
      <c r="W2201" t="s">
        <v>2743</v>
      </c>
      <c r="X2201">
        <v>1</v>
      </c>
      <c r="Y2201" t="s">
        <v>2688</v>
      </c>
      <c r="AA2201">
        <v>361885515402</v>
      </c>
      <c r="AB2201" t="s">
        <v>1603</v>
      </c>
      <c r="AC2201">
        <v>0</v>
      </c>
      <c r="AD2201">
        <v>33</v>
      </c>
      <c r="AE2201">
        <v>36188551540233</v>
      </c>
      <c r="AF2201" t="s">
        <v>7712</v>
      </c>
      <c r="AG2201">
        <v>0</v>
      </c>
      <c r="AH2201">
        <v>0</v>
      </c>
    </row>
    <row r="2202" spans="1:34">
      <c r="A2202">
        <v>2025</v>
      </c>
      <c r="B2202" s="1">
        <v>45870</v>
      </c>
      <c r="C2202" t="s">
        <v>2657</v>
      </c>
      <c r="D2202" t="s">
        <v>7732</v>
      </c>
      <c r="E2202" s="43">
        <v>45894.631009305558</v>
      </c>
      <c r="F2202" s="1">
        <v>45894</v>
      </c>
      <c r="G2202" s="43">
        <v>45894.816587534726</v>
      </c>
      <c r="H2202" t="s">
        <v>3088</v>
      </c>
      <c r="I2202" t="s">
        <v>2660</v>
      </c>
      <c r="J2202" t="s">
        <v>2735</v>
      </c>
      <c r="L2202" t="s">
        <v>2362</v>
      </c>
      <c r="M2202">
        <v>361885515402</v>
      </c>
      <c r="N2202" t="s">
        <v>2746</v>
      </c>
      <c r="O2202" s="1">
        <v>45669</v>
      </c>
      <c r="T2202" t="s">
        <v>2662</v>
      </c>
      <c r="U2202" t="s">
        <v>7733</v>
      </c>
      <c r="V2202">
        <v>0</v>
      </c>
      <c r="W2202" t="s">
        <v>2677</v>
      </c>
      <c r="X2202">
        <v>1</v>
      </c>
      <c r="Y2202" t="s">
        <v>2807</v>
      </c>
      <c r="AA2202">
        <v>361885515402</v>
      </c>
      <c r="AB2202" t="s">
        <v>1603</v>
      </c>
      <c r="AC2202">
        <v>0</v>
      </c>
      <c r="AD2202">
        <v>35</v>
      </c>
      <c r="AE2202">
        <v>36188551540235</v>
      </c>
      <c r="AF2202" t="s">
        <v>7712</v>
      </c>
      <c r="AG2202">
        <v>1</v>
      </c>
      <c r="AH2202">
        <v>0</v>
      </c>
    </row>
    <row r="2203" spans="1:34">
      <c r="A2203">
        <v>2025</v>
      </c>
      <c r="B2203" s="1">
        <v>45901</v>
      </c>
      <c r="C2203" t="s">
        <v>2657</v>
      </c>
      <c r="D2203" t="s">
        <v>7734</v>
      </c>
      <c r="E2203" s="43">
        <v>45902.555147395833</v>
      </c>
      <c r="F2203" s="1">
        <v>45902</v>
      </c>
      <c r="G2203" s="43">
        <v>45916.694822476849</v>
      </c>
      <c r="H2203" t="s">
        <v>2734</v>
      </c>
      <c r="I2203" t="s">
        <v>2669</v>
      </c>
      <c r="J2203" t="s">
        <v>38</v>
      </c>
      <c r="L2203" t="s">
        <v>2472</v>
      </c>
      <c r="M2203">
        <v>596977542502</v>
      </c>
      <c r="N2203" t="s">
        <v>2702</v>
      </c>
      <c r="O2203" s="1">
        <v>45524</v>
      </c>
      <c r="T2203" t="s">
        <v>2662</v>
      </c>
      <c r="U2203" t="s">
        <v>7735</v>
      </c>
      <c r="V2203">
        <v>10</v>
      </c>
      <c r="W2203" t="s">
        <v>2677</v>
      </c>
      <c r="X2203">
        <v>1</v>
      </c>
      <c r="Y2203" t="s">
        <v>2764</v>
      </c>
      <c r="AA2203">
        <v>509224899302</v>
      </c>
      <c r="AB2203" t="s">
        <v>1857</v>
      </c>
      <c r="AC2203">
        <v>0</v>
      </c>
      <c r="AD2203">
        <v>36</v>
      </c>
      <c r="AE2203">
        <v>50922489930236</v>
      </c>
      <c r="AF2203" t="s">
        <v>7736</v>
      </c>
      <c r="AG2203">
        <v>1</v>
      </c>
      <c r="AH2203">
        <v>1</v>
      </c>
    </row>
    <row r="2204" spans="1:34">
      <c r="A2204">
        <v>2025</v>
      </c>
      <c r="B2204" s="1">
        <v>45901</v>
      </c>
      <c r="C2204" t="s">
        <v>2657</v>
      </c>
      <c r="D2204" t="s">
        <v>7737</v>
      </c>
      <c r="E2204" s="43">
        <v>45904.813898668981</v>
      </c>
      <c r="F2204" s="1">
        <v>45904</v>
      </c>
      <c r="G2204" s="43">
        <v>45908.873738032409</v>
      </c>
      <c r="H2204" t="s">
        <v>2734</v>
      </c>
      <c r="I2204" t="s">
        <v>2669</v>
      </c>
      <c r="J2204" t="s">
        <v>38</v>
      </c>
      <c r="L2204" t="s">
        <v>2472</v>
      </c>
      <c r="M2204">
        <v>596977542502</v>
      </c>
      <c r="N2204" t="s">
        <v>2702</v>
      </c>
      <c r="O2204" s="1">
        <v>45524</v>
      </c>
      <c r="T2204" t="s">
        <v>2662</v>
      </c>
      <c r="U2204" t="s">
        <v>7738</v>
      </c>
      <c r="V2204">
        <v>2</v>
      </c>
      <c r="W2204" t="s">
        <v>2671</v>
      </c>
      <c r="X2204">
        <v>1</v>
      </c>
      <c r="Y2204" t="s">
        <v>2683</v>
      </c>
      <c r="Z2204" t="s">
        <v>2684</v>
      </c>
      <c r="AA2204">
        <v>509224899302</v>
      </c>
      <c r="AB2204" t="s">
        <v>1857</v>
      </c>
      <c r="AC2204">
        <v>0</v>
      </c>
      <c r="AD2204">
        <v>36</v>
      </c>
      <c r="AE2204">
        <v>50922489930236</v>
      </c>
      <c r="AF2204" t="s">
        <v>7736</v>
      </c>
      <c r="AG2204">
        <v>0</v>
      </c>
      <c r="AH2204">
        <v>0</v>
      </c>
    </row>
    <row r="2205" spans="1:34">
      <c r="A2205">
        <v>2025</v>
      </c>
      <c r="B2205" s="1">
        <v>45901</v>
      </c>
      <c r="C2205" t="s">
        <v>2657</v>
      </c>
      <c r="D2205" t="s">
        <v>7739</v>
      </c>
      <c r="E2205" s="43">
        <v>45916.621599224534</v>
      </c>
      <c r="F2205" s="1">
        <v>45916</v>
      </c>
      <c r="G2205" s="43">
        <v>45919.677222199076</v>
      </c>
      <c r="H2205" t="s">
        <v>2734</v>
      </c>
      <c r="I2205" t="s">
        <v>2719</v>
      </c>
      <c r="J2205" t="s">
        <v>38</v>
      </c>
      <c r="L2205" t="s">
        <v>2472</v>
      </c>
      <c r="M2205">
        <v>596977542502</v>
      </c>
      <c r="N2205" t="s">
        <v>2702</v>
      </c>
      <c r="O2205" s="1">
        <v>45524</v>
      </c>
      <c r="T2205" t="s">
        <v>2662</v>
      </c>
      <c r="U2205" t="s">
        <v>7740</v>
      </c>
      <c r="V2205">
        <v>3</v>
      </c>
      <c r="W2205" t="s">
        <v>2671</v>
      </c>
      <c r="X2205">
        <v>1</v>
      </c>
      <c r="Y2205" t="s">
        <v>2721</v>
      </c>
      <c r="AA2205">
        <v>509224899302</v>
      </c>
      <c r="AB2205" t="s">
        <v>1857</v>
      </c>
      <c r="AC2205">
        <v>0</v>
      </c>
      <c r="AD2205">
        <v>38</v>
      </c>
      <c r="AE2205">
        <v>50922489930238</v>
      </c>
      <c r="AF2205" t="s">
        <v>7736</v>
      </c>
      <c r="AG2205">
        <v>1</v>
      </c>
      <c r="AH2205">
        <v>0</v>
      </c>
    </row>
    <row r="2206" spans="1:34">
      <c r="A2206">
        <v>2025</v>
      </c>
      <c r="B2206" s="1">
        <v>45901</v>
      </c>
      <c r="C2206" t="s">
        <v>2657</v>
      </c>
      <c r="D2206" t="s">
        <v>7741</v>
      </c>
      <c r="E2206" s="43">
        <v>45929.797485069445</v>
      </c>
      <c r="F2206" s="1">
        <v>45929</v>
      </c>
      <c r="G2206" s="43">
        <v>45930.712413854169</v>
      </c>
      <c r="H2206" t="s">
        <v>2734</v>
      </c>
      <c r="I2206" t="s">
        <v>2697</v>
      </c>
      <c r="J2206" t="s">
        <v>38</v>
      </c>
      <c r="L2206" t="s">
        <v>2472</v>
      </c>
      <c r="M2206">
        <v>596977542502</v>
      </c>
      <c r="N2206" t="s">
        <v>2702</v>
      </c>
      <c r="O2206" s="1">
        <v>45524</v>
      </c>
      <c r="T2206" t="s">
        <v>2662</v>
      </c>
      <c r="U2206" t="s">
        <v>7742</v>
      </c>
      <c r="V2206">
        <v>1</v>
      </c>
      <c r="W2206" t="s">
        <v>2677</v>
      </c>
      <c r="X2206">
        <v>1</v>
      </c>
      <c r="Y2206" t="s">
        <v>2678</v>
      </c>
      <c r="Z2206" t="s">
        <v>2684</v>
      </c>
      <c r="AA2206">
        <v>509224899302</v>
      </c>
      <c r="AB2206" t="s">
        <v>1857</v>
      </c>
      <c r="AC2206">
        <v>0</v>
      </c>
      <c r="AD2206">
        <v>40</v>
      </c>
      <c r="AE2206">
        <v>50922489930240</v>
      </c>
      <c r="AF2206" t="s">
        <v>7736</v>
      </c>
      <c r="AG2206">
        <v>0</v>
      </c>
      <c r="AH2206">
        <v>0</v>
      </c>
    </row>
    <row r="2207" spans="1:34">
      <c r="A2207">
        <v>2025</v>
      </c>
      <c r="B2207" s="1">
        <v>45901</v>
      </c>
      <c r="C2207" t="s">
        <v>2657</v>
      </c>
      <c r="D2207" t="s">
        <v>7743</v>
      </c>
      <c r="E2207" s="43">
        <v>45929.6024578125</v>
      </c>
      <c r="F2207" s="1">
        <v>45929</v>
      </c>
      <c r="G2207" s="43">
        <v>45936.559817106485</v>
      </c>
      <c r="H2207" t="s">
        <v>2734</v>
      </c>
      <c r="I2207" t="s">
        <v>2697</v>
      </c>
      <c r="J2207" t="s">
        <v>38</v>
      </c>
      <c r="L2207" t="s">
        <v>2472</v>
      </c>
      <c r="M2207">
        <v>596977542502</v>
      </c>
      <c r="N2207" t="s">
        <v>2702</v>
      </c>
      <c r="O2207" s="1">
        <v>45524</v>
      </c>
      <c r="T2207" t="s">
        <v>2662</v>
      </c>
      <c r="U2207" t="s">
        <v>7744</v>
      </c>
      <c r="V2207">
        <v>5</v>
      </c>
      <c r="W2207" t="s">
        <v>2677</v>
      </c>
      <c r="X2207">
        <v>1</v>
      </c>
      <c r="Y2207" t="s">
        <v>2695</v>
      </c>
      <c r="AA2207">
        <v>509224899302</v>
      </c>
      <c r="AB2207" t="s">
        <v>1857</v>
      </c>
      <c r="AC2207">
        <v>0</v>
      </c>
      <c r="AD2207">
        <v>40</v>
      </c>
      <c r="AE2207">
        <v>50922489930240</v>
      </c>
      <c r="AF2207" t="s">
        <v>7736</v>
      </c>
      <c r="AG2207">
        <v>1</v>
      </c>
      <c r="AH2207">
        <v>0</v>
      </c>
    </row>
    <row r="2208" spans="1:34">
      <c r="A2208">
        <v>2025</v>
      </c>
      <c r="B2208" s="1">
        <v>45962</v>
      </c>
      <c r="C2208" t="s">
        <v>2657</v>
      </c>
      <c r="D2208" t="s">
        <v>7745</v>
      </c>
      <c r="E2208" s="43">
        <v>45967.619947708336</v>
      </c>
      <c r="F2208" s="1">
        <v>45967</v>
      </c>
      <c r="G2208" s="43">
        <v>45967.827805914349</v>
      </c>
      <c r="H2208" t="s">
        <v>2802</v>
      </c>
      <c r="I2208" t="s">
        <v>2669</v>
      </c>
      <c r="J2208" t="s">
        <v>36</v>
      </c>
      <c r="L2208" t="s">
        <v>2362</v>
      </c>
      <c r="M2208">
        <v>375080537802</v>
      </c>
      <c r="N2208" t="s">
        <v>2746</v>
      </c>
      <c r="O2208" s="1">
        <v>45842</v>
      </c>
      <c r="T2208" t="s">
        <v>2662</v>
      </c>
      <c r="U2208" t="s">
        <v>7746</v>
      </c>
      <c r="V2208">
        <v>0</v>
      </c>
      <c r="W2208" t="s">
        <v>2677</v>
      </c>
      <c r="X2208">
        <v>1</v>
      </c>
      <c r="Y2208" t="s">
        <v>2678</v>
      </c>
      <c r="AA2208">
        <v>375080537802</v>
      </c>
      <c r="AB2208" t="s">
        <v>2299</v>
      </c>
      <c r="AC2208">
        <v>0</v>
      </c>
      <c r="AD2208">
        <v>45</v>
      </c>
      <c r="AE2208">
        <v>37508053780245</v>
      </c>
      <c r="AF2208" t="s">
        <v>7747</v>
      </c>
      <c r="AG2208">
        <v>1</v>
      </c>
      <c r="AH2208">
        <v>1</v>
      </c>
    </row>
    <row r="2209" spans="1:34">
      <c r="A2209">
        <v>2025</v>
      </c>
      <c r="B2209" s="1">
        <v>45962</v>
      </c>
      <c r="C2209" t="s">
        <v>2657</v>
      </c>
      <c r="D2209" t="s">
        <v>7748</v>
      </c>
      <c r="E2209" s="43">
        <v>45974.752542812501</v>
      </c>
      <c r="F2209" s="1">
        <v>45974</v>
      </c>
      <c r="G2209" s="43">
        <v>45975.853029375001</v>
      </c>
      <c r="H2209" t="s">
        <v>2802</v>
      </c>
      <c r="I2209" t="s">
        <v>2681</v>
      </c>
      <c r="J2209" t="s">
        <v>36</v>
      </c>
      <c r="L2209" t="s">
        <v>2362</v>
      </c>
      <c r="M2209">
        <v>375080537802</v>
      </c>
      <c r="N2209" t="s">
        <v>2746</v>
      </c>
      <c r="O2209" s="1">
        <v>45842</v>
      </c>
      <c r="T2209" t="s">
        <v>2662</v>
      </c>
      <c r="U2209" t="s">
        <v>7749</v>
      </c>
      <c r="V2209">
        <v>1</v>
      </c>
      <c r="W2209" t="s">
        <v>2677</v>
      </c>
      <c r="X2209">
        <v>1</v>
      </c>
      <c r="Y2209" t="s">
        <v>2807</v>
      </c>
      <c r="AA2209">
        <v>375080537802</v>
      </c>
      <c r="AB2209" t="s">
        <v>2299</v>
      </c>
      <c r="AC2209">
        <v>0</v>
      </c>
      <c r="AD2209">
        <v>46</v>
      </c>
      <c r="AE2209">
        <v>37508053780246</v>
      </c>
      <c r="AF2209" t="s">
        <v>7747</v>
      </c>
      <c r="AG2209">
        <v>1</v>
      </c>
      <c r="AH2209">
        <v>0</v>
      </c>
    </row>
    <row r="2210" spans="1:34">
      <c r="A2210">
        <v>2025</v>
      </c>
      <c r="B2210" s="1">
        <v>45870</v>
      </c>
      <c r="C2210" t="s">
        <v>2657</v>
      </c>
      <c r="D2210" t="s">
        <v>7750</v>
      </c>
      <c r="E2210" s="43">
        <v>45887.624014675923</v>
      </c>
      <c r="F2210" s="1">
        <v>45887</v>
      </c>
      <c r="G2210" s="43">
        <v>45894.655927604166</v>
      </c>
      <c r="H2210" t="s">
        <v>3088</v>
      </c>
      <c r="I2210" t="s">
        <v>2719</v>
      </c>
      <c r="J2210" t="s">
        <v>2735</v>
      </c>
      <c r="L2210" t="s">
        <v>2362</v>
      </c>
      <c r="M2210">
        <v>46733383915</v>
      </c>
      <c r="N2210" t="s">
        <v>2746</v>
      </c>
      <c r="O2210" s="1">
        <v>45145</v>
      </c>
      <c r="T2210" t="s">
        <v>2662</v>
      </c>
      <c r="U2210" t="s">
        <v>7751</v>
      </c>
      <c r="V2210">
        <v>5</v>
      </c>
      <c r="W2210" t="s">
        <v>2677</v>
      </c>
      <c r="X2210">
        <v>1</v>
      </c>
      <c r="Y2210" t="s">
        <v>2772</v>
      </c>
      <c r="Z2210" t="s">
        <v>2684</v>
      </c>
      <c r="AA2210">
        <v>46733383915</v>
      </c>
      <c r="AB2210" t="s">
        <v>839</v>
      </c>
      <c r="AC2210">
        <v>0</v>
      </c>
      <c r="AD2210">
        <v>34</v>
      </c>
      <c r="AE2210">
        <v>4673338391534</v>
      </c>
      <c r="AF2210" t="s">
        <v>7752</v>
      </c>
      <c r="AG2210">
        <v>1</v>
      </c>
      <c r="AH2210">
        <v>1</v>
      </c>
    </row>
    <row r="2211" spans="1:34">
      <c r="A2211">
        <v>2025</v>
      </c>
      <c r="B2211" s="1">
        <v>45962</v>
      </c>
      <c r="C2211" t="s">
        <v>2657</v>
      </c>
      <c r="D2211" t="s">
        <v>7753</v>
      </c>
      <c r="E2211" s="43">
        <v>45987.752953587966</v>
      </c>
      <c r="F2211" s="1">
        <v>45987</v>
      </c>
      <c r="G2211" s="43">
        <v>46003.603335127314</v>
      </c>
      <c r="H2211" t="s">
        <v>2802</v>
      </c>
      <c r="I2211" t="s">
        <v>2660</v>
      </c>
      <c r="J2211" t="s">
        <v>100</v>
      </c>
      <c r="L2211" t="s">
        <v>2361</v>
      </c>
      <c r="M2211">
        <v>16137818802</v>
      </c>
      <c r="N2211" t="s">
        <v>2746</v>
      </c>
      <c r="O2211" s="1">
        <v>45294</v>
      </c>
      <c r="T2211" t="s">
        <v>2662</v>
      </c>
      <c r="U2211" t="s">
        <v>7754</v>
      </c>
      <c r="V2211">
        <v>12</v>
      </c>
      <c r="W2211" t="s">
        <v>2743</v>
      </c>
      <c r="X2211">
        <v>1</v>
      </c>
      <c r="Y2211" t="s">
        <v>2779</v>
      </c>
      <c r="AA2211">
        <v>16137818802</v>
      </c>
      <c r="AB2211" t="s">
        <v>1088</v>
      </c>
      <c r="AC2211">
        <v>0</v>
      </c>
      <c r="AD2211">
        <v>48</v>
      </c>
      <c r="AE2211">
        <v>1613781880248</v>
      </c>
      <c r="AF2211" t="s">
        <v>7755</v>
      </c>
      <c r="AG2211">
        <v>1</v>
      </c>
      <c r="AH2211">
        <v>1</v>
      </c>
    </row>
    <row r="2212" spans="1:34">
      <c r="A2212">
        <v>2026</v>
      </c>
      <c r="B2212" s="1">
        <v>46054</v>
      </c>
      <c r="C2212" t="s">
        <v>2657</v>
      </c>
      <c r="D2212" t="s">
        <v>7756</v>
      </c>
      <c r="E2212" s="43">
        <v>46059.83520739583</v>
      </c>
      <c r="F2212" s="1">
        <v>46059</v>
      </c>
      <c r="G2212" s="43">
        <v>46080.660142581015</v>
      </c>
      <c r="H2212" t="s">
        <v>2725</v>
      </c>
      <c r="I2212" t="s">
        <v>2669</v>
      </c>
      <c r="J2212" t="s">
        <v>39</v>
      </c>
      <c r="L2212" t="s">
        <v>2336</v>
      </c>
      <c r="M2212">
        <v>818862028802</v>
      </c>
      <c r="N2212" t="s">
        <v>2702</v>
      </c>
      <c r="O2212" s="1">
        <v>45673</v>
      </c>
      <c r="T2212" t="s">
        <v>2662</v>
      </c>
      <c r="U2212" t="s">
        <v>7757</v>
      </c>
      <c r="V2212">
        <v>15</v>
      </c>
      <c r="W2212" t="s">
        <v>2704</v>
      </c>
      <c r="X2212">
        <v>1</v>
      </c>
      <c r="Y2212" t="s">
        <v>2721</v>
      </c>
      <c r="AA2212">
        <v>16898656902</v>
      </c>
      <c r="AB2212" t="s">
        <v>1078</v>
      </c>
      <c r="AC2212">
        <v>0</v>
      </c>
      <c r="AD2212">
        <v>6</v>
      </c>
      <c r="AE2212">
        <v>168986569026</v>
      </c>
      <c r="AF2212" t="s">
        <v>7758</v>
      </c>
      <c r="AG2212">
        <v>1</v>
      </c>
      <c r="AH2212">
        <v>1</v>
      </c>
    </row>
    <row r="2213" spans="1:34">
      <c r="A2213">
        <v>2026</v>
      </c>
      <c r="B2213" s="1">
        <v>46054</v>
      </c>
      <c r="C2213" t="s">
        <v>2657</v>
      </c>
      <c r="D2213" t="s">
        <v>7759</v>
      </c>
      <c r="E2213" s="43">
        <v>46072.769262048612</v>
      </c>
      <c r="F2213" s="1">
        <v>46072</v>
      </c>
      <c r="G2213" s="43">
        <v>46073.802585763886</v>
      </c>
      <c r="H2213" t="s">
        <v>2725</v>
      </c>
      <c r="I2213" t="s">
        <v>2719</v>
      </c>
      <c r="J2213" t="s">
        <v>39</v>
      </c>
      <c r="L2213" t="s">
        <v>2336</v>
      </c>
      <c r="M2213">
        <v>16898656902</v>
      </c>
      <c r="N2213" t="s">
        <v>2746</v>
      </c>
      <c r="O2213" s="1">
        <v>45661</v>
      </c>
      <c r="T2213" t="s">
        <v>2662</v>
      </c>
      <c r="U2213" t="s">
        <v>7760</v>
      </c>
      <c r="V2213">
        <v>1</v>
      </c>
      <c r="W2213" t="s">
        <v>2671</v>
      </c>
      <c r="X2213">
        <v>1</v>
      </c>
      <c r="Y2213" t="s">
        <v>2672</v>
      </c>
      <c r="AA2213">
        <v>16898656902</v>
      </c>
      <c r="AB2213" t="s">
        <v>1078</v>
      </c>
      <c r="AC2213">
        <v>0</v>
      </c>
      <c r="AD2213">
        <v>8</v>
      </c>
      <c r="AE2213">
        <v>168986569028</v>
      </c>
      <c r="AF2213" t="s">
        <v>7758</v>
      </c>
      <c r="AG2213">
        <v>1</v>
      </c>
      <c r="AH2213">
        <v>0</v>
      </c>
    </row>
    <row r="2214" spans="1:34">
      <c r="A2214">
        <v>2026</v>
      </c>
      <c r="B2214" s="1">
        <v>46054</v>
      </c>
      <c r="C2214" t="s">
        <v>2657</v>
      </c>
      <c r="D2214" s="44" t="s">
        <v>7761</v>
      </c>
      <c r="E2214" s="43">
        <v>46076.608014560188</v>
      </c>
      <c r="F2214" s="1">
        <v>46076</v>
      </c>
      <c r="G2214" s="43">
        <v>46080.659863981484</v>
      </c>
      <c r="H2214" t="s">
        <v>2725</v>
      </c>
      <c r="I2214" t="s">
        <v>2660</v>
      </c>
      <c r="J2214" t="s">
        <v>39</v>
      </c>
      <c r="L2214" t="s">
        <v>2336</v>
      </c>
      <c r="M2214">
        <v>818862028802</v>
      </c>
      <c r="N2214" t="s">
        <v>2702</v>
      </c>
      <c r="O2214" s="1">
        <v>45673</v>
      </c>
      <c r="T2214" t="s">
        <v>2662</v>
      </c>
      <c r="U2214" t="s">
        <v>7762</v>
      </c>
      <c r="V2214">
        <v>4</v>
      </c>
      <c r="W2214" t="s">
        <v>2664</v>
      </c>
      <c r="X2214">
        <v>1</v>
      </c>
      <c r="Y2214" t="s">
        <v>2665</v>
      </c>
      <c r="AA2214">
        <v>16898656902</v>
      </c>
      <c r="AB2214" t="s">
        <v>1078</v>
      </c>
      <c r="AC2214">
        <v>0</v>
      </c>
      <c r="AD2214">
        <v>9</v>
      </c>
      <c r="AE2214">
        <v>168986569029</v>
      </c>
      <c r="AF2214" t="s">
        <v>7758</v>
      </c>
      <c r="AG2214">
        <v>1</v>
      </c>
      <c r="AH2214">
        <v>0</v>
      </c>
    </row>
    <row r="2215" spans="1:34">
      <c r="A2215">
        <v>2026</v>
      </c>
      <c r="B2215" s="1">
        <v>46054</v>
      </c>
      <c r="C2215" t="s">
        <v>2657</v>
      </c>
      <c r="D2215" t="s">
        <v>7763</v>
      </c>
      <c r="E2215" s="43">
        <v>46065.530729421298</v>
      </c>
      <c r="F2215" s="1">
        <v>46065</v>
      </c>
      <c r="G2215" s="43">
        <v>46066.701388182868</v>
      </c>
      <c r="H2215" t="s">
        <v>2725</v>
      </c>
      <c r="I2215" t="s">
        <v>2681</v>
      </c>
      <c r="J2215" t="s">
        <v>39</v>
      </c>
      <c r="L2215" t="s">
        <v>2408</v>
      </c>
      <c r="M2215">
        <v>160165983902</v>
      </c>
      <c r="N2215" t="s">
        <v>2746</v>
      </c>
      <c r="O2215" s="1">
        <v>45680</v>
      </c>
      <c r="T2215" t="s">
        <v>2662</v>
      </c>
      <c r="U2215" t="s">
        <v>7764</v>
      </c>
      <c r="V2215">
        <v>1</v>
      </c>
      <c r="W2215" t="s">
        <v>2677</v>
      </c>
      <c r="X2215">
        <v>1</v>
      </c>
      <c r="Y2215" t="s">
        <v>2807</v>
      </c>
      <c r="Z2215" t="s">
        <v>2684</v>
      </c>
      <c r="AA2215">
        <v>160165983902</v>
      </c>
      <c r="AB2215" t="s">
        <v>2221</v>
      </c>
      <c r="AC2215">
        <v>0</v>
      </c>
      <c r="AD2215">
        <v>7</v>
      </c>
      <c r="AE2215">
        <v>1601659839027</v>
      </c>
      <c r="AF2215" t="s">
        <v>7765</v>
      </c>
      <c r="AG2215">
        <v>1</v>
      </c>
      <c r="AH2215">
        <v>1</v>
      </c>
    </row>
    <row r="2216" spans="1:34">
      <c r="A2216">
        <v>2026</v>
      </c>
      <c r="B2216" s="1">
        <v>46054</v>
      </c>
      <c r="C2216" t="s">
        <v>2657</v>
      </c>
      <c r="D2216" t="s">
        <v>7766</v>
      </c>
      <c r="E2216" s="43">
        <v>46077.640999988427</v>
      </c>
      <c r="F2216" s="1">
        <v>46077</v>
      </c>
      <c r="G2216" s="43">
        <v>46078.585165462966</v>
      </c>
      <c r="H2216" t="s">
        <v>2725</v>
      </c>
      <c r="I2216" t="s">
        <v>2660</v>
      </c>
      <c r="J2216" t="s">
        <v>39</v>
      </c>
      <c r="L2216" t="s">
        <v>2408</v>
      </c>
      <c r="M2216">
        <v>160165983902</v>
      </c>
      <c r="N2216" t="s">
        <v>2746</v>
      </c>
      <c r="O2216" s="1">
        <v>45680</v>
      </c>
      <c r="T2216" t="s">
        <v>2662</v>
      </c>
      <c r="U2216" t="s">
        <v>7767</v>
      </c>
      <c r="V2216">
        <v>1</v>
      </c>
      <c r="W2216" t="s">
        <v>2677</v>
      </c>
      <c r="X2216">
        <v>1</v>
      </c>
      <c r="Y2216" t="s">
        <v>2807</v>
      </c>
      <c r="AA2216">
        <v>160165983902</v>
      </c>
      <c r="AB2216" t="s">
        <v>2221</v>
      </c>
      <c r="AC2216">
        <v>0</v>
      </c>
      <c r="AD2216">
        <v>9</v>
      </c>
      <c r="AE2216">
        <v>1601659839029</v>
      </c>
      <c r="AF2216" t="s">
        <v>7765</v>
      </c>
      <c r="AG2216">
        <v>1</v>
      </c>
      <c r="AH2216">
        <v>0</v>
      </c>
    </row>
    <row r="2217" spans="1:34">
      <c r="A2217">
        <v>2026</v>
      </c>
      <c r="B2217" s="1">
        <v>46054</v>
      </c>
      <c r="C2217" t="s">
        <v>2657</v>
      </c>
      <c r="D2217" t="s">
        <v>7768</v>
      </c>
      <c r="E2217" s="43">
        <v>46058.683485092595</v>
      </c>
      <c r="F2217" s="1">
        <v>46058</v>
      </c>
      <c r="G2217" s="43">
        <v>46077.622130115742</v>
      </c>
      <c r="H2217" t="s">
        <v>2725</v>
      </c>
      <c r="I2217" t="s">
        <v>2669</v>
      </c>
      <c r="J2217" t="s">
        <v>100</v>
      </c>
      <c r="L2217" t="s">
        <v>2363</v>
      </c>
      <c r="M2217">
        <v>45030065502</v>
      </c>
      <c r="N2217" t="s">
        <v>2702</v>
      </c>
      <c r="O2217" s="1">
        <v>45669</v>
      </c>
      <c r="T2217" t="s">
        <v>2662</v>
      </c>
      <c r="U2217" t="s">
        <v>7769</v>
      </c>
      <c r="V2217">
        <v>13</v>
      </c>
      <c r="W2217" t="s">
        <v>2677</v>
      </c>
      <c r="X2217">
        <v>1</v>
      </c>
      <c r="Y2217" t="s">
        <v>2807</v>
      </c>
      <c r="Z2217" t="s">
        <v>2684</v>
      </c>
      <c r="AA2217">
        <v>45030065502</v>
      </c>
      <c r="AB2217" t="s">
        <v>2284</v>
      </c>
      <c r="AC2217">
        <v>0</v>
      </c>
      <c r="AD2217">
        <v>6</v>
      </c>
      <c r="AE2217">
        <v>450300655026</v>
      </c>
      <c r="AF2217" t="s">
        <v>7770</v>
      </c>
      <c r="AG2217">
        <v>0</v>
      </c>
      <c r="AH2217">
        <v>0</v>
      </c>
    </row>
    <row r="2218" spans="1:34">
      <c r="A2218">
        <v>2026</v>
      </c>
      <c r="B2218" s="1">
        <v>46054</v>
      </c>
      <c r="C2218" t="s">
        <v>2657</v>
      </c>
      <c r="D2218" t="s">
        <v>7771</v>
      </c>
      <c r="E2218" s="43">
        <v>46057.875539259257</v>
      </c>
      <c r="F2218" s="1">
        <v>46057</v>
      </c>
      <c r="G2218" s="43">
        <v>46062.88922380787</v>
      </c>
      <c r="H2218" t="s">
        <v>2725</v>
      </c>
      <c r="I2218" t="s">
        <v>2669</v>
      </c>
      <c r="J2218" t="s">
        <v>100</v>
      </c>
      <c r="L2218" t="s">
        <v>2363</v>
      </c>
      <c r="M2218">
        <v>45030065502</v>
      </c>
      <c r="N2218" t="s">
        <v>2702</v>
      </c>
      <c r="O2218" s="1">
        <v>45669</v>
      </c>
      <c r="T2218" t="s">
        <v>2662</v>
      </c>
      <c r="U2218" t="s">
        <v>7772</v>
      </c>
      <c r="V2218">
        <v>3</v>
      </c>
      <c r="X2218">
        <v>1</v>
      </c>
      <c r="Y2218" t="s">
        <v>2721</v>
      </c>
      <c r="AA2218">
        <v>45030065502</v>
      </c>
      <c r="AB2218" t="s">
        <v>2284</v>
      </c>
      <c r="AC2218">
        <v>0</v>
      </c>
      <c r="AD2218">
        <v>6</v>
      </c>
      <c r="AE2218">
        <v>450300655026</v>
      </c>
      <c r="AF2218" t="s">
        <v>7770</v>
      </c>
      <c r="AG2218">
        <v>1</v>
      </c>
      <c r="AH2218">
        <v>1</v>
      </c>
    </row>
    <row r="2219" spans="1:34">
      <c r="A2219">
        <v>2026</v>
      </c>
      <c r="B2219" s="1">
        <v>46054</v>
      </c>
      <c r="C2219" t="s">
        <v>2657</v>
      </c>
      <c r="D2219" t="s">
        <v>7773</v>
      </c>
      <c r="E2219" s="43">
        <v>46058.76816324074</v>
      </c>
      <c r="F2219" s="1">
        <v>46058</v>
      </c>
      <c r="G2219" s="43">
        <v>46062.703714085648</v>
      </c>
      <c r="H2219" t="s">
        <v>2725</v>
      </c>
      <c r="I2219" t="s">
        <v>2669</v>
      </c>
      <c r="J2219" t="s">
        <v>100</v>
      </c>
      <c r="L2219" t="s">
        <v>2363</v>
      </c>
      <c r="M2219">
        <v>45030065502</v>
      </c>
      <c r="N2219" t="s">
        <v>2702</v>
      </c>
      <c r="O2219" s="1">
        <v>45669</v>
      </c>
      <c r="T2219" t="s">
        <v>2662</v>
      </c>
      <c r="U2219" t="s">
        <v>7774</v>
      </c>
      <c r="V2219">
        <v>2</v>
      </c>
      <c r="W2219" t="s">
        <v>2985</v>
      </c>
      <c r="X2219">
        <v>1</v>
      </c>
      <c r="Y2219" t="s">
        <v>2985</v>
      </c>
      <c r="AA2219">
        <v>45030065502</v>
      </c>
      <c r="AB2219" t="s">
        <v>2284</v>
      </c>
      <c r="AC2219">
        <v>0</v>
      </c>
      <c r="AD2219">
        <v>6</v>
      </c>
      <c r="AE2219">
        <v>450300655026</v>
      </c>
      <c r="AF2219" t="s">
        <v>7770</v>
      </c>
      <c r="AG2219">
        <v>0</v>
      </c>
      <c r="AH2219">
        <v>0</v>
      </c>
    </row>
    <row r="2220" spans="1:34">
      <c r="A2220">
        <v>2026</v>
      </c>
      <c r="B2220" s="1">
        <v>46054</v>
      </c>
      <c r="C2220" t="s">
        <v>2657</v>
      </c>
      <c r="D2220" t="s">
        <v>7775</v>
      </c>
      <c r="E2220" s="43">
        <v>46064.815551481479</v>
      </c>
      <c r="F2220" s="1">
        <v>46064</v>
      </c>
      <c r="G2220" s="43">
        <v>46078.54894197917</v>
      </c>
      <c r="H2220" t="s">
        <v>2725</v>
      </c>
      <c r="I2220" t="s">
        <v>2681</v>
      </c>
      <c r="J2220" t="s">
        <v>100</v>
      </c>
      <c r="L2220" t="s">
        <v>2363</v>
      </c>
      <c r="M2220">
        <v>45030065502</v>
      </c>
      <c r="N2220" t="s">
        <v>2702</v>
      </c>
      <c r="O2220" s="1">
        <v>45669</v>
      </c>
      <c r="T2220" t="s">
        <v>2662</v>
      </c>
      <c r="U2220" t="s">
        <v>7776</v>
      </c>
      <c r="V2220">
        <v>10</v>
      </c>
      <c r="X2220">
        <v>1</v>
      </c>
      <c r="Y2220" t="s">
        <v>2764</v>
      </c>
      <c r="AA2220">
        <v>45030065502</v>
      </c>
      <c r="AB2220" t="s">
        <v>2284</v>
      </c>
      <c r="AC2220">
        <v>0</v>
      </c>
      <c r="AD2220">
        <v>7</v>
      </c>
      <c r="AE2220">
        <v>450300655027</v>
      </c>
      <c r="AF2220" t="s">
        <v>7770</v>
      </c>
      <c r="AG2220">
        <v>1</v>
      </c>
      <c r="AH2220">
        <v>0</v>
      </c>
    </row>
    <row r="2221" spans="1:34">
      <c r="A2221">
        <v>2026</v>
      </c>
      <c r="B2221" s="1">
        <v>46054</v>
      </c>
      <c r="C2221" t="s">
        <v>2657</v>
      </c>
      <c r="D2221" t="s">
        <v>7777</v>
      </c>
      <c r="E2221" s="43">
        <v>46072.83692898148</v>
      </c>
      <c r="F2221" s="1">
        <v>46072</v>
      </c>
      <c r="G2221" s="43">
        <v>46078.548749710651</v>
      </c>
      <c r="H2221" t="s">
        <v>2725</v>
      </c>
      <c r="I2221" t="s">
        <v>2719</v>
      </c>
      <c r="J2221" t="s">
        <v>100</v>
      </c>
      <c r="L2221" t="s">
        <v>2363</v>
      </c>
      <c r="M2221">
        <v>45030065502</v>
      </c>
      <c r="N2221" t="s">
        <v>2702</v>
      </c>
      <c r="O2221" s="1">
        <v>45669</v>
      </c>
      <c r="T2221" t="s">
        <v>2662</v>
      </c>
      <c r="U2221" t="s">
        <v>7778</v>
      </c>
      <c r="V2221">
        <v>4</v>
      </c>
      <c r="X2221">
        <v>1</v>
      </c>
      <c r="Y2221" t="s">
        <v>2807</v>
      </c>
      <c r="AA2221">
        <v>45030065502</v>
      </c>
      <c r="AB2221" t="s">
        <v>2284</v>
      </c>
      <c r="AC2221">
        <v>0</v>
      </c>
      <c r="AD2221">
        <v>8</v>
      </c>
      <c r="AE2221">
        <v>450300655028</v>
      </c>
      <c r="AF2221" t="s">
        <v>7770</v>
      </c>
      <c r="AG2221">
        <v>1</v>
      </c>
      <c r="AH2221">
        <v>0</v>
      </c>
    </row>
    <row r="2222" spans="1:34">
      <c r="A2222">
        <v>2025</v>
      </c>
      <c r="B2222" s="1">
        <v>45870</v>
      </c>
      <c r="C2222" t="s">
        <v>2657</v>
      </c>
      <c r="D2222" t="s">
        <v>7779</v>
      </c>
      <c r="E2222" s="43">
        <v>45898.812348148145</v>
      </c>
      <c r="F2222" s="1">
        <v>45898</v>
      </c>
      <c r="G2222" s="43">
        <v>45898.812348148145</v>
      </c>
      <c r="H2222" t="s">
        <v>3088</v>
      </c>
      <c r="I2222" t="s">
        <v>2697</v>
      </c>
      <c r="J2222" t="s">
        <v>38</v>
      </c>
      <c r="L2222" t="s">
        <v>2421</v>
      </c>
      <c r="M2222">
        <v>124090551902</v>
      </c>
      <c r="N2222" t="s">
        <v>2661</v>
      </c>
      <c r="O2222" s="1">
        <v>45541</v>
      </c>
      <c r="T2222" t="s">
        <v>2662</v>
      </c>
      <c r="U2222" t="s">
        <v>7780</v>
      </c>
      <c r="V2222">
        <v>0</v>
      </c>
      <c r="W2222" t="s">
        <v>2677</v>
      </c>
      <c r="X2222">
        <v>1</v>
      </c>
      <c r="Y2222" t="s">
        <v>2764</v>
      </c>
      <c r="Z2222" t="s">
        <v>2684</v>
      </c>
      <c r="AA2222">
        <v>124090551902</v>
      </c>
      <c r="AB2222" t="s">
        <v>1956</v>
      </c>
      <c r="AC2222">
        <v>0</v>
      </c>
      <c r="AD2222">
        <v>35</v>
      </c>
      <c r="AE2222">
        <v>12409055190235</v>
      </c>
      <c r="AF2222" t="s">
        <v>7781</v>
      </c>
      <c r="AG2222">
        <v>1</v>
      </c>
      <c r="AH2222">
        <v>1</v>
      </c>
    </row>
    <row r="2223" spans="1:34">
      <c r="A2223">
        <v>2025</v>
      </c>
      <c r="B2223" s="1">
        <v>45870</v>
      </c>
      <c r="C2223" t="s">
        <v>2657</v>
      </c>
      <c r="D2223" t="s">
        <v>7782</v>
      </c>
      <c r="E2223" s="43">
        <v>45898.81365984954</v>
      </c>
      <c r="F2223" s="1">
        <v>45898</v>
      </c>
      <c r="G2223" s="43">
        <v>45898.81365984954</v>
      </c>
      <c r="H2223" t="s">
        <v>3088</v>
      </c>
      <c r="I2223" t="s">
        <v>2697</v>
      </c>
      <c r="J2223" t="s">
        <v>38</v>
      </c>
      <c r="L2223" t="s">
        <v>2421</v>
      </c>
      <c r="M2223">
        <v>124090551902</v>
      </c>
      <c r="N2223" t="s">
        <v>2661</v>
      </c>
      <c r="O2223" s="1">
        <v>45541</v>
      </c>
      <c r="T2223" t="s">
        <v>2662</v>
      </c>
      <c r="U2223" t="s">
        <v>7783</v>
      </c>
      <c r="V2223">
        <v>0</v>
      </c>
      <c r="W2223" t="s">
        <v>2677</v>
      </c>
      <c r="X2223">
        <v>1</v>
      </c>
      <c r="Y2223" t="s">
        <v>2764</v>
      </c>
      <c r="Z2223" t="s">
        <v>2684</v>
      </c>
      <c r="AA2223">
        <v>124090551902</v>
      </c>
      <c r="AB2223" t="s">
        <v>1956</v>
      </c>
      <c r="AC2223">
        <v>0</v>
      </c>
      <c r="AD2223">
        <v>35</v>
      </c>
      <c r="AE2223">
        <v>12409055190235</v>
      </c>
      <c r="AF2223" t="s">
        <v>7781</v>
      </c>
      <c r="AG2223">
        <v>0</v>
      </c>
      <c r="AH2223">
        <v>0</v>
      </c>
    </row>
    <row r="2224" spans="1:34">
      <c r="A2224">
        <v>2025</v>
      </c>
      <c r="B2224" s="1">
        <v>45931</v>
      </c>
      <c r="C2224" t="s">
        <v>2657</v>
      </c>
      <c r="D2224" t="s">
        <v>7784</v>
      </c>
      <c r="E2224" s="43">
        <v>45946.690389884257</v>
      </c>
      <c r="F2224" s="1">
        <v>45946</v>
      </c>
      <c r="G2224" s="43">
        <v>45946.690389884257</v>
      </c>
      <c r="H2224" t="s">
        <v>2659</v>
      </c>
      <c r="I2224" t="s">
        <v>2719</v>
      </c>
      <c r="J2224" t="s">
        <v>38</v>
      </c>
      <c r="L2224" t="s">
        <v>2342</v>
      </c>
      <c r="M2224">
        <v>755841394202</v>
      </c>
      <c r="N2224" t="s">
        <v>2702</v>
      </c>
      <c r="O2224" s="1">
        <v>45411</v>
      </c>
      <c r="T2224" t="s">
        <v>2662</v>
      </c>
      <c r="U2224" t="s">
        <v>7785</v>
      </c>
      <c r="V2224">
        <v>0</v>
      </c>
      <c r="W2224" t="s">
        <v>2664</v>
      </c>
      <c r="X2224">
        <v>1</v>
      </c>
      <c r="Y2224" t="s">
        <v>2779</v>
      </c>
      <c r="AA2224">
        <v>755841394202</v>
      </c>
      <c r="AB2224" t="s">
        <v>376</v>
      </c>
      <c r="AC2224">
        <v>0</v>
      </c>
      <c r="AD2224">
        <v>42</v>
      </c>
      <c r="AE2224">
        <v>75584139420242</v>
      </c>
      <c r="AF2224" t="s">
        <v>7786</v>
      </c>
      <c r="AG2224">
        <v>1</v>
      </c>
      <c r="AH2224">
        <v>1</v>
      </c>
    </row>
    <row r="2225" spans="1:34">
      <c r="A2225">
        <v>2025</v>
      </c>
      <c r="B2225" s="1">
        <v>45901</v>
      </c>
      <c r="C2225" t="s">
        <v>2657</v>
      </c>
      <c r="D2225" t="s">
        <v>7787</v>
      </c>
      <c r="E2225" s="43">
        <v>45901.624309027779</v>
      </c>
      <c r="F2225" s="1">
        <v>45901</v>
      </c>
      <c r="G2225" s="43">
        <v>45904.71569957176</v>
      </c>
      <c r="H2225" t="s">
        <v>2734</v>
      </c>
      <c r="I2225" t="s">
        <v>2669</v>
      </c>
      <c r="J2225" t="s">
        <v>2735</v>
      </c>
      <c r="L2225" t="s">
        <v>2408</v>
      </c>
      <c r="M2225">
        <v>24386750602</v>
      </c>
      <c r="N2225" t="s">
        <v>2746</v>
      </c>
      <c r="O2225" s="1">
        <v>45294</v>
      </c>
      <c r="T2225" t="s">
        <v>2662</v>
      </c>
      <c r="U2225" t="s">
        <v>7788</v>
      </c>
      <c r="V2225">
        <v>3</v>
      </c>
      <c r="W2225" t="s">
        <v>2677</v>
      </c>
      <c r="X2225">
        <v>1</v>
      </c>
      <c r="Y2225" t="s">
        <v>2807</v>
      </c>
      <c r="AA2225">
        <v>24386750602</v>
      </c>
      <c r="AB2225" t="s">
        <v>1847</v>
      </c>
      <c r="AC2225">
        <v>0</v>
      </c>
      <c r="AD2225">
        <v>36</v>
      </c>
      <c r="AE2225">
        <v>2438675060236</v>
      </c>
      <c r="AF2225" t="s">
        <v>7789</v>
      </c>
      <c r="AG2225">
        <v>1</v>
      </c>
      <c r="AH2225">
        <v>1</v>
      </c>
    </row>
    <row r="2226" spans="1:34">
      <c r="A2226">
        <v>2025</v>
      </c>
      <c r="B2226" s="1">
        <v>45901</v>
      </c>
      <c r="C2226" t="s">
        <v>2657</v>
      </c>
      <c r="D2226" t="s">
        <v>7790</v>
      </c>
      <c r="E2226" s="43">
        <v>45916.539001527781</v>
      </c>
      <c r="F2226" s="1">
        <v>45916</v>
      </c>
      <c r="G2226" s="43">
        <v>45917.659579594911</v>
      </c>
      <c r="H2226" t="s">
        <v>2734</v>
      </c>
      <c r="I2226" t="s">
        <v>2719</v>
      </c>
      <c r="J2226" t="s">
        <v>2735</v>
      </c>
      <c r="L2226" t="s">
        <v>2408</v>
      </c>
      <c r="M2226">
        <v>24386750602</v>
      </c>
      <c r="N2226" t="s">
        <v>2746</v>
      </c>
      <c r="O2226" s="1">
        <v>45294</v>
      </c>
      <c r="T2226" t="s">
        <v>2662</v>
      </c>
      <c r="U2226" t="s">
        <v>7791</v>
      </c>
      <c r="V2226">
        <v>1</v>
      </c>
      <c r="W2226" t="s">
        <v>2677</v>
      </c>
      <c r="X2226">
        <v>1</v>
      </c>
      <c r="Y2226" t="s">
        <v>2807</v>
      </c>
      <c r="AA2226">
        <v>24386750602</v>
      </c>
      <c r="AB2226" t="s">
        <v>1847</v>
      </c>
      <c r="AC2226">
        <v>0</v>
      </c>
      <c r="AD2226">
        <v>38</v>
      </c>
      <c r="AE2226">
        <v>2438675060238</v>
      </c>
      <c r="AF2226" t="s">
        <v>7789</v>
      </c>
      <c r="AG2226">
        <v>1</v>
      </c>
      <c r="AH2226">
        <v>0</v>
      </c>
    </row>
    <row r="2227" spans="1:34">
      <c r="A2227">
        <v>2025</v>
      </c>
      <c r="B2227" s="1">
        <v>45901</v>
      </c>
      <c r="C2227" t="s">
        <v>2657</v>
      </c>
      <c r="D2227" t="s">
        <v>7792</v>
      </c>
      <c r="E2227" s="43">
        <v>45923.769880243053</v>
      </c>
      <c r="F2227" s="1">
        <v>45923</v>
      </c>
      <c r="G2227" s="43">
        <v>45924.531100451386</v>
      </c>
      <c r="H2227" t="s">
        <v>2734</v>
      </c>
      <c r="I2227" t="s">
        <v>2660</v>
      </c>
      <c r="J2227" t="s">
        <v>2735</v>
      </c>
      <c r="L2227" t="s">
        <v>2408</v>
      </c>
      <c r="M2227">
        <v>24386750602</v>
      </c>
      <c r="N2227" t="s">
        <v>2746</v>
      </c>
      <c r="O2227" s="1">
        <v>45294</v>
      </c>
      <c r="T2227" t="s">
        <v>2662</v>
      </c>
      <c r="U2227" t="s">
        <v>7793</v>
      </c>
      <c r="V2227">
        <v>1</v>
      </c>
      <c r="W2227" t="s">
        <v>2664</v>
      </c>
      <c r="X2227">
        <v>1</v>
      </c>
      <c r="Y2227" t="s">
        <v>2757</v>
      </c>
      <c r="AA2227">
        <v>24386750602</v>
      </c>
      <c r="AB2227" t="s">
        <v>1847</v>
      </c>
      <c r="AC2227">
        <v>0</v>
      </c>
      <c r="AD2227">
        <v>39</v>
      </c>
      <c r="AE2227">
        <v>2438675060239</v>
      </c>
      <c r="AF2227" t="s">
        <v>7789</v>
      </c>
      <c r="AG2227">
        <v>0</v>
      </c>
      <c r="AH2227">
        <v>0</v>
      </c>
    </row>
    <row r="2228" spans="1:34">
      <c r="A2228">
        <v>2025</v>
      </c>
      <c r="B2228" s="1">
        <v>45901</v>
      </c>
      <c r="C2228" t="s">
        <v>2657</v>
      </c>
      <c r="D2228" t="s">
        <v>7794</v>
      </c>
      <c r="E2228" s="43">
        <v>45922.740511724536</v>
      </c>
      <c r="F2228" s="1">
        <v>45922</v>
      </c>
      <c r="G2228" s="43">
        <v>45932.695626053239</v>
      </c>
      <c r="H2228" t="s">
        <v>2734</v>
      </c>
      <c r="I2228" t="s">
        <v>2660</v>
      </c>
      <c r="J2228" t="s">
        <v>2735</v>
      </c>
      <c r="L2228" t="s">
        <v>2408</v>
      </c>
      <c r="M2228">
        <v>24386750602</v>
      </c>
      <c r="N2228" t="s">
        <v>2746</v>
      </c>
      <c r="O2228" s="1">
        <v>45294</v>
      </c>
      <c r="T2228" t="s">
        <v>2662</v>
      </c>
      <c r="U2228" t="s">
        <v>7795</v>
      </c>
      <c r="V2228">
        <v>8</v>
      </c>
      <c r="W2228" t="s">
        <v>2743</v>
      </c>
      <c r="X2228">
        <v>1</v>
      </c>
      <c r="Y2228" t="s">
        <v>2699</v>
      </c>
      <c r="AA2228">
        <v>24386750602</v>
      </c>
      <c r="AB2228" t="s">
        <v>1847</v>
      </c>
      <c r="AC2228">
        <v>0</v>
      </c>
      <c r="AD2228">
        <v>39</v>
      </c>
      <c r="AE2228">
        <v>2438675060239</v>
      </c>
      <c r="AF2228" t="s">
        <v>7789</v>
      </c>
      <c r="AG2228">
        <v>1</v>
      </c>
      <c r="AH2228">
        <v>0</v>
      </c>
    </row>
    <row r="2229" spans="1:34">
      <c r="A2229">
        <v>2026</v>
      </c>
      <c r="B2229" s="1">
        <v>46054</v>
      </c>
      <c r="C2229" t="s">
        <v>2657</v>
      </c>
      <c r="D2229" t="s">
        <v>7796</v>
      </c>
      <c r="E2229" s="43">
        <v>46056.593805092591</v>
      </c>
      <c r="F2229" s="1">
        <v>46056</v>
      </c>
      <c r="G2229" s="43">
        <v>46066.531170590279</v>
      </c>
      <c r="H2229" t="s">
        <v>2725</v>
      </c>
      <c r="I2229" t="s">
        <v>2669</v>
      </c>
      <c r="J2229" t="s">
        <v>36</v>
      </c>
      <c r="L2229" t="s">
        <v>2378</v>
      </c>
      <c r="M2229">
        <v>1005231704002</v>
      </c>
      <c r="N2229" t="s">
        <v>2746</v>
      </c>
      <c r="O2229" s="1">
        <v>46045</v>
      </c>
      <c r="T2229" t="s">
        <v>2662</v>
      </c>
      <c r="U2229" t="s">
        <v>7797</v>
      </c>
      <c r="V2229">
        <v>8</v>
      </c>
      <c r="W2229" t="s">
        <v>2677</v>
      </c>
      <c r="X2229">
        <v>1</v>
      </c>
      <c r="Y2229" t="s">
        <v>2760</v>
      </c>
      <c r="AA2229">
        <v>1005231704002</v>
      </c>
      <c r="AB2229" t="s">
        <v>2534</v>
      </c>
      <c r="AC2229">
        <v>0</v>
      </c>
      <c r="AD2229">
        <v>6</v>
      </c>
      <c r="AE2229">
        <v>10052317040026</v>
      </c>
      <c r="AF2229" t="s">
        <v>7798</v>
      </c>
      <c r="AG2229">
        <v>1</v>
      </c>
      <c r="AH2229">
        <v>1</v>
      </c>
    </row>
    <row r="2230" spans="1:34">
      <c r="A2230">
        <v>2026</v>
      </c>
      <c r="B2230" s="1">
        <v>46054</v>
      </c>
      <c r="C2230" t="s">
        <v>2657</v>
      </c>
      <c r="D2230" t="s">
        <v>7799</v>
      </c>
      <c r="E2230" s="43">
        <v>46058.889919733796</v>
      </c>
      <c r="F2230" s="1">
        <v>46058</v>
      </c>
      <c r="G2230" s="43">
        <v>46059.809507511571</v>
      </c>
      <c r="H2230" t="s">
        <v>2725</v>
      </c>
      <c r="I2230" t="s">
        <v>2669</v>
      </c>
      <c r="J2230" t="s">
        <v>36</v>
      </c>
      <c r="L2230" t="s">
        <v>2378</v>
      </c>
      <c r="M2230">
        <v>1005231704002</v>
      </c>
      <c r="N2230" t="s">
        <v>2746</v>
      </c>
      <c r="O2230" s="1">
        <v>46045</v>
      </c>
      <c r="T2230" t="s">
        <v>2662</v>
      </c>
      <c r="U2230" t="s">
        <v>7800</v>
      </c>
      <c r="V2230">
        <v>1</v>
      </c>
      <c r="W2230" t="s">
        <v>2677</v>
      </c>
      <c r="X2230">
        <v>1</v>
      </c>
      <c r="Y2230" t="s">
        <v>2760</v>
      </c>
      <c r="AA2230">
        <v>1005231704002</v>
      </c>
      <c r="AB2230" t="s">
        <v>2534</v>
      </c>
      <c r="AC2230">
        <v>0</v>
      </c>
      <c r="AD2230">
        <v>6</v>
      </c>
      <c r="AE2230">
        <v>10052317040026</v>
      </c>
      <c r="AF2230" t="s">
        <v>7798</v>
      </c>
      <c r="AG2230">
        <v>0</v>
      </c>
      <c r="AH2230">
        <v>0</v>
      </c>
    </row>
    <row r="2231" spans="1:34">
      <c r="A2231">
        <v>2026</v>
      </c>
      <c r="B2231" s="1">
        <v>46023</v>
      </c>
      <c r="C2231" t="s">
        <v>2657</v>
      </c>
      <c r="D2231" t="s">
        <v>7801</v>
      </c>
      <c r="E2231" s="43">
        <v>46029.487828680554</v>
      </c>
      <c r="F2231" s="1">
        <v>46029</v>
      </c>
      <c r="G2231" s="43">
        <v>46031.550729317132</v>
      </c>
      <c r="H2231" t="s">
        <v>2701</v>
      </c>
      <c r="I2231" t="s">
        <v>2669</v>
      </c>
      <c r="J2231" t="s">
        <v>39</v>
      </c>
      <c r="L2231" t="s">
        <v>2336</v>
      </c>
      <c r="M2231">
        <v>449549597602</v>
      </c>
      <c r="N2231" t="s">
        <v>2702</v>
      </c>
      <c r="O2231" s="1">
        <v>45358</v>
      </c>
      <c r="T2231" t="s">
        <v>2662</v>
      </c>
      <c r="U2231" t="s">
        <v>7802</v>
      </c>
      <c r="V2231">
        <v>2</v>
      </c>
      <c r="W2231" t="s">
        <v>2677</v>
      </c>
      <c r="X2231">
        <v>1</v>
      </c>
      <c r="Y2231" t="s">
        <v>2807</v>
      </c>
      <c r="AA2231">
        <v>449549597602</v>
      </c>
      <c r="AB2231" t="s">
        <v>1726</v>
      </c>
      <c r="AC2231">
        <v>0</v>
      </c>
      <c r="AD2231">
        <v>2</v>
      </c>
      <c r="AE2231">
        <v>4495495976022</v>
      </c>
      <c r="AF2231" t="s">
        <v>7803</v>
      </c>
      <c r="AG2231">
        <v>1</v>
      </c>
      <c r="AH2231">
        <v>1</v>
      </c>
    </row>
    <row r="2232" spans="1:34">
      <c r="A2232">
        <v>2026</v>
      </c>
      <c r="B2232" s="1">
        <v>46023</v>
      </c>
      <c r="C2232" t="s">
        <v>2657</v>
      </c>
      <c r="D2232" t="s">
        <v>7804</v>
      </c>
      <c r="E2232" s="43">
        <v>46029.514902303243</v>
      </c>
      <c r="F2232" s="1">
        <v>46029</v>
      </c>
      <c r="G2232" s="43">
        <v>46034.570067627312</v>
      </c>
      <c r="H2232" t="s">
        <v>2701</v>
      </c>
      <c r="I2232" t="s">
        <v>2669</v>
      </c>
      <c r="J2232" t="s">
        <v>39</v>
      </c>
      <c r="L2232" t="s">
        <v>2336</v>
      </c>
      <c r="M2232">
        <v>995775060202</v>
      </c>
      <c r="N2232" t="s">
        <v>2702</v>
      </c>
      <c r="O2232" s="1">
        <v>46007</v>
      </c>
      <c r="T2232" t="s">
        <v>2662</v>
      </c>
      <c r="U2232" t="s">
        <v>7805</v>
      </c>
      <c r="V2232">
        <v>3</v>
      </c>
      <c r="W2232" t="s">
        <v>2671</v>
      </c>
      <c r="X2232">
        <v>1</v>
      </c>
      <c r="Y2232" t="s">
        <v>2764</v>
      </c>
      <c r="AA2232">
        <v>449549597602</v>
      </c>
      <c r="AB2232" t="s">
        <v>1726</v>
      </c>
      <c r="AC2232">
        <v>0</v>
      </c>
      <c r="AD2232">
        <v>2</v>
      </c>
      <c r="AE2232">
        <v>4495495976022</v>
      </c>
      <c r="AF2232" t="s">
        <v>7803</v>
      </c>
      <c r="AG2232">
        <v>0</v>
      </c>
      <c r="AH2232">
        <v>0</v>
      </c>
    </row>
    <row r="2233" spans="1:34">
      <c r="A2233">
        <v>2026</v>
      </c>
      <c r="B2233" s="1">
        <v>46023</v>
      </c>
      <c r="C2233" t="s">
        <v>2657</v>
      </c>
      <c r="D2233" t="s">
        <v>7806</v>
      </c>
      <c r="E2233" s="43">
        <v>46029.515689479165</v>
      </c>
      <c r="F2233" s="1">
        <v>46029</v>
      </c>
      <c r="G2233" s="43">
        <v>46031.551435266207</v>
      </c>
      <c r="H2233" t="s">
        <v>2701</v>
      </c>
      <c r="I2233" t="s">
        <v>2669</v>
      </c>
      <c r="J2233" t="s">
        <v>39</v>
      </c>
      <c r="L2233" t="s">
        <v>2336</v>
      </c>
      <c r="M2233">
        <v>995775060202</v>
      </c>
      <c r="N2233" t="s">
        <v>2702</v>
      </c>
      <c r="O2233" s="1">
        <v>46007</v>
      </c>
      <c r="T2233" t="s">
        <v>2662</v>
      </c>
      <c r="U2233" t="s">
        <v>7807</v>
      </c>
      <c r="V2233">
        <v>2</v>
      </c>
      <c r="W2233" t="s">
        <v>2677</v>
      </c>
      <c r="X2233">
        <v>1</v>
      </c>
      <c r="Y2233" t="s">
        <v>2779</v>
      </c>
      <c r="AA2233">
        <v>449549597602</v>
      </c>
      <c r="AB2233" t="s">
        <v>1726</v>
      </c>
      <c r="AC2233">
        <v>0</v>
      </c>
      <c r="AD2233">
        <v>2</v>
      </c>
      <c r="AE2233">
        <v>4495495976022</v>
      </c>
      <c r="AF2233" t="s">
        <v>7803</v>
      </c>
      <c r="AG2233">
        <v>0</v>
      </c>
      <c r="AH2233">
        <v>0</v>
      </c>
    </row>
    <row r="2234" spans="1:34">
      <c r="A2234">
        <v>2026</v>
      </c>
      <c r="B2234" s="1">
        <v>46023</v>
      </c>
      <c r="C2234" t="s">
        <v>2657</v>
      </c>
      <c r="D2234" t="s">
        <v>7808</v>
      </c>
      <c r="E2234" s="43">
        <v>46031.731589965275</v>
      </c>
      <c r="F2234" s="1">
        <v>46031</v>
      </c>
      <c r="G2234" s="43">
        <v>46034.566982175929</v>
      </c>
      <c r="H2234" t="s">
        <v>2701</v>
      </c>
      <c r="I2234" t="s">
        <v>2681</v>
      </c>
      <c r="J2234" t="s">
        <v>39</v>
      </c>
      <c r="L2234" t="s">
        <v>2336</v>
      </c>
      <c r="M2234">
        <v>449549597602</v>
      </c>
      <c r="N2234" t="s">
        <v>2702</v>
      </c>
      <c r="O2234" s="1">
        <v>45358</v>
      </c>
      <c r="T2234" t="s">
        <v>2662</v>
      </c>
      <c r="U2234" t="s">
        <v>7809</v>
      </c>
      <c r="V2234">
        <v>1</v>
      </c>
      <c r="W2234" t="s">
        <v>2677</v>
      </c>
      <c r="X2234">
        <v>1</v>
      </c>
      <c r="Y2234" t="s">
        <v>2779</v>
      </c>
      <c r="AA2234">
        <v>449549597602</v>
      </c>
      <c r="AB2234" t="s">
        <v>1726</v>
      </c>
      <c r="AC2234">
        <v>0</v>
      </c>
      <c r="AD2234">
        <v>2</v>
      </c>
      <c r="AE2234">
        <v>4495495976022</v>
      </c>
      <c r="AF2234" t="s">
        <v>7803</v>
      </c>
      <c r="AG2234">
        <v>0</v>
      </c>
      <c r="AH2234">
        <v>0</v>
      </c>
    </row>
    <row r="2235" spans="1:34">
      <c r="A2235">
        <v>2026</v>
      </c>
      <c r="B2235" s="1">
        <v>46023</v>
      </c>
      <c r="C2235" t="s">
        <v>2657</v>
      </c>
      <c r="D2235" t="s">
        <v>7810</v>
      </c>
      <c r="E2235" s="43">
        <v>46030.526226828704</v>
      </c>
      <c r="F2235" s="1">
        <v>46030</v>
      </c>
      <c r="G2235" s="43">
        <v>46030.526226828704</v>
      </c>
      <c r="H2235" t="s">
        <v>2701</v>
      </c>
      <c r="I2235" t="s">
        <v>2681</v>
      </c>
      <c r="J2235" t="s">
        <v>39</v>
      </c>
      <c r="L2235" t="s">
        <v>2336</v>
      </c>
      <c r="M2235">
        <v>449549597602</v>
      </c>
      <c r="N2235" t="s">
        <v>2702</v>
      </c>
      <c r="O2235" s="1">
        <v>45358</v>
      </c>
      <c r="T2235" t="s">
        <v>2662</v>
      </c>
      <c r="U2235" t="s">
        <v>7811</v>
      </c>
      <c r="V2235">
        <v>0</v>
      </c>
      <c r="W2235" t="s">
        <v>2664</v>
      </c>
      <c r="X2235">
        <v>1</v>
      </c>
      <c r="Y2235" t="s">
        <v>2695</v>
      </c>
      <c r="AA2235">
        <v>449549597602</v>
      </c>
      <c r="AB2235" t="s">
        <v>1726</v>
      </c>
      <c r="AC2235">
        <v>0</v>
      </c>
      <c r="AD2235">
        <v>2</v>
      </c>
      <c r="AE2235">
        <v>4495495976022</v>
      </c>
      <c r="AF2235" t="s">
        <v>7803</v>
      </c>
      <c r="AG2235">
        <v>0</v>
      </c>
      <c r="AH2235">
        <v>0</v>
      </c>
    </row>
    <row r="2236" spans="1:34">
      <c r="A2236">
        <v>2026</v>
      </c>
      <c r="B2236" s="1">
        <v>46023</v>
      </c>
      <c r="C2236" t="s">
        <v>2657</v>
      </c>
      <c r="D2236" t="s">
        <v>7812</v>
      </c>
      <c r="E2236" s="43">
        <v>46035.501888379629</v>
      </c>
      <c r="F2236" s="1">
        <v>46035</v>
      </c>
      <c r="G2236" s="43">
        <v>46041.798124039349</v>
      </c>
      <c r="H2236" t="s">
        <v>2701</v>
      </c>
      <c r="I2236" t="s">
        <v>2681</v>
      </c>
      <c r="J2236" t="s">
        <v>39</v>
      </c>
      <c r="L2236" t="s">
        <v>2336</v>
      </c>
      <c r="M2236">
        <v>995775060202</v>
      </c>
      <c r="N2236" t="s">
        <v>2702</v>
      </c>
      <c r="O2236" s="1">
        <v>46007</v>
      </c>
      <c r="T2236" t="s">
        <v>2662</v>
      </c>
      <c r="U2236" t="s">
        <v>7813</v>
      </c>
      <c r="V2236">
        <v>4</v>
      </c>
      <c r="W2236" t="s">
        <v>2677</v>
      </c>
      <c r="X2236">
        <v>1</v>
      </c>
      <c r="Y2236" t="s">
        <v>2779</v>
      </c>
      <c r="AA2236">
        <v>449549597602</v>
      </c>
      <c r="AB2236" t="s">
        <v>1726</v>
      </c>
      <c r="AC2236">
        <v>0</v>
      </c>
      <c r="AD2236">
        <v>3</v>
      </c>
      <c r="AE2236">
        <v>4495495976023</v>
      </c>
      <c r="AF2236" t="s">
        <v>7803</v>
      </c>
      <c r="AG2236">
        <v>0</v>
      </c>
      <c r="AH2236">
        <v>0</v>
      </c>
    </row>
    <row r="2237" spans="1:34">
      <c r="A2237">
        <v>2026</v>
      </c>
      <c r="B2237" s="1">
        <v>46023</v>
      </c>
      <c r="C2237" t="s">
        <v>2657</v>
      </c>
      <c r="D2237" t="s">
        <v>7814</v>
      </c>
      <c r="E2237" s="43">
        <v>46034.55589708333</v>
      </c>
      <c r="F2237" s="1">
        <v>46034</v>
      </c>
      <c r="G2237" s="43">
        <v>46034.564420115741</v>
      </c>
      <c r="H2237" t="s">
        <v>2701</v>
      </c>
      <c r="I2237" t="s">
        <v>2681</v>
      </c>
      <c r="J2237" t="s">
        <v>39</v>
      </c>
      <c r="L2237" t="s">
        <v>2336</v>
      </c>
      <c r="M2237">
        <v>449549597602</v>
      </c>
      <c r="N2237" t="s">
        <v>2702</v>
      </c>
      <c r="O2237" s="1">
        <v>45358</v>
      </c>
      <c r="T2237" t="s">
        <v>2662</v>
      </c>
      <c r="U2237" t="s">
        <v>7815</v>
      </c>
      <c r="V2237">
        <v>0</v>
      </c>
      <c r="W2237" t="s">
        <v>2664</v>
      </c>
      <c r="X2237">
        <v>1</v>
      </c>
      <c r="Y2237" t="s">
        <v>2695</v>
      </c>
      <c r="AA2237">
        <v>449549597602</v>
      </c>
      <c r="AB2237" t="s">
        <v>1726</v>
      </c>
      <c r="AC2237">
        <v>0</v>
      </c>
      <c r="AD2237">
        <v>3</v>
      </c>
      <c r="AE2237">
        <v>4495495976023</v>
      </c>
      <c r="AF2237" t="s">
        <v>7803</v>
      </c>
      <c r="AG2237">
        <v>1</v>
      </c>
      <c r="AH2237">
        <v>0</v>
      </c>
    </row>
    <row r="2238" spans="1:34">
      <c r="A2238">
        <v>2026</v>
      </c>
      <c r="B2238" s="1">
        <v>46023</v>
      </c>
      <c r="C2238" t="s">
        <v>2657</v>
      </c>
      <c r="D2238" t="s">
        <v>7816</v>
      </c>
      <c r="E2238" s="43">
        <v>46041.733357511577</v>
      </c>
      <c r="F2238" s="1">
        <v>46041</v>
      </c>
      <c r="G2238" s="43">
        <v>46043.600962974539</v>
      </c>
      <c r="H2238" t="s">
        <v>2701</v>
      </c>
      <c r="I2238" t="s">
        <v>2719</v>
      </c>
      <c r="J2238" t="s">
        <v>39</v>
      </c>
      <c r="L2238" t="s">
        <v>2336</v>
      </c>
      <c r="M2238">
        <v>449549597602</v>
      </c>
      <c r="N2238" t="s">
        <v>2702</v>
      </c>
      <c r="O2238" s="1">
        <v>45358</v>
      </c>
      <c r="T2238" t="s">
        <v>2662</v>
      </c>
      <c r="U2238" t="s">
        <v>7817</v>
      </c>
      <c r="V2238">
        <v>2</v>
      </c>
      <c r="W2238" t="s">
        <v>2704</v>
      </c>
      <c r="X2238">
        <v>1</v>
      </c>
      <c r="Y2238" t="s">
        <v>2717</v>
      </c>
      <c r="AA2238">
        <v>449549597602</v>
      </c>
      <c r="AB2238" t="s">
        <v>1726</v>
      </c>
      <c r="AC2238">
        <v>0</v>
      </c>
      <c r="AD2238">
        <v>4</v>
      </c>
      <c r="AE2238">
        <v>4495495976024</v>
      </c>
      <c r="AF2238" t="s">
        <v>7803</v>
      </c>
      <c r="AG2238">
        <v>0</v>
      </c>
      <c r="AH2238">
        <v>0</v>
      </c>
    </row>
    <row r="2239" spans="1:34">
      <c r="A2239">
        <v>2026</v>
      </c>
      <c r="B2239" s="1">
        <v>46023</v>
      </c>
      <c r="C2239" t="s">
        <v>2657</v>
      </c>
      <c r="D2239" t="s">
        <v>7818</v>
      </c>
      <c r="E2239" s="43">
        <v>46043.535138356485</v>
      </c>
      <c r="F2239" s="1">
        <v>46043</v>
      </c>
      <c r="G2239" s="43">
        <v>46044.508631469907</v>
      </c>
      <c r="H2239" t="s">
        <v>2701</v>
      </c>
      <c r="I2239" t="s">
        <v>2719</v>
      </c>
      <c r="J2239" t="s">
        <v>39</v>
      </c>
      <c r="L2239" t="s">
        <v>2336</v>
      </c>
      <c r="M2239">
        <v>995775060202</v>
      </c>
      <c r="N2239" t="s">
        <v>2702</v>
      </c>
      <c r="O2239" s="1">
        <v>46007</v>
      </c>
      <c r="T2239" t="s">
        <v>2662</v>
      </c>
      <c r="U2239" t="s">
        <v>7819</v>
      </c>
      <c r="V2239">
        <v>1</v>
      </c>
      <c r="W2239" t="s">
        <v>2671</v>
      </c>
      <c r="X2239">
        <v>1</v>
      </c>
      <c r="Y2239" t="s">
        <v>2764</v>
      </c>
      <c r="AA2239">
        <v>449549597602</v>
      </c>
      <c r="AB2239" t="s">
        <v>1726</v>
      </c>
      <c r="AC2239">
        <v>0</v>
      </c>
      <c r="AD2239">
        <v>4</v>
      </c>
      <c r="AE2239">
        <v>4495495976024</v>
      </c>
      <c r="AF2239" t="s">
        <v>7803</v>
      </c>
      <c r="AG2239">
        <v>0</v>
      </c>
      <c r="AH2239">
        <v>0</v>
      </c>
    </row>
    <row r="2240" spans="1:34">
      <c r="A2240">
        <v>2026</v>
      </c>
      <c r="B2240" s="1">
        <v>46023</v>
      </c>
      <c r="C2240" t="s">
        <v>2657</v>
      </c>
      <c r="D2240" t="s">
        <v>7820</v>
      </c>
      <c r="E2240" s="43">
        <v>46041.573883171295</v>
      </c>
      <c r="F2240" s="1">
        <v>46041</v>
      </c>
      <c r="G2240" s="43">
        <v>46043.622333784719</v>
      </c>
      <c r="H2240" t="s">
        <v>2701</v>
      </c>
      <c r="I2240" t="s">
        <v>2719</v>
      </c>
      <c r="J2240" t="s">
        <v>39</v>
      </c>
      <c r="L2240" t="s">
        <v>2336</v>
      </c>
      <c r="M2240">
        <v>995775060202</v>
      </c>
      <c r="N2240" t="s">
        <v>2702</v>
      </c>
      <c r="O2240" s="1">
        <v>46007</v>
      </c>
      <c r="T2240" t="s">
        <v>2662</v>
      </c>
      <c r="U2240" t="s">
        <v>7821</v>
      </c>
      <c r="V2240">
        <v>2</v>
      </c>
      <c r="W2240" t="s">
        <v>2671</v>
      </c>
      <c r="X2240">
        <v>1</v>
      </c>
      <c r="Y2240" t="s">
        <v>2683</v>
      </c>
      <c r="Z2240" t="s">
        <v>2684</v>
      </c>
      <c r="AA2240">
        <v>449549597602</v>
      </c>
      <c r="AB2240" t="s">
        <v>1726</v>
      </c>
      <c r="AC2240">
        <v>0</v>
      </c>
      <c r="AD2240">
        <v>4</v>
      </c>
      <c r="AE2240">
        <v>4495495976024</v>
      </c>
      <c r="AF2240" t="s">
        <v>7803</v>
      </c>
      <c r="AG2240">
        <v>0</v>
      </c>
      <c r="AH2240">
        <v>0</v>
      </c>
    </row>
    <row r="2241" spans="1:34">
      <c r="A2241">
        <v>2026</v>
      </c>
      <c r="B2241" s="1">
        <v>46023</v>
      </c>
      <c r="C2241" t="s">
        <v>2657</v>
      </c>
      <c r="D2241" t="s">
        <v>7822</v>
      </c>
      <c r="E2241" s="43">
        <v>46041.552227511573</v>
      </c>
      <c r="F2241" s="1">
        <v>46041</v>
      </c>
      <c r="G2241" s="43">
        <v>46042.649978541667</v>
      </c>
      <c r="H2241" t="s">
        <v>2701</v>
      </c>
      <c r="I2241" t="s">
        <v>2719</v>
      </c>
      <c r="J2241" t="s">
        <v>39</v>
      </c>
      <c r="L2241" t="s">
        <v>2336</v>
      </c>
      <c r="M2241">
        <v>995775060202</v>
      </c>
      <c r="N2241" t="s">
        <v>2702</v>
      </c>
      <c r="O2241" s="1">
        <v>46007</v>
      </c>
      <c r="T2241" t="s">
        <v>2662</v>
      </c>
      <c r="U2241" t="s">
        <v>7823</v>
      </c>
      <c r="V2241">
        <v>1</v>
      </c>
      <c r="W2241" t="s">
        <v>2677</v>
      </c>
      <c r="X2241">
        <v>1</v>
      </c>
      <c r="Y2241" t="s">
        <v>2760</v>
      </c>
      <c r="AA2241">
        <v>449549597602</v>
      </c>
      <c r="AB2241" t="s">
        <v>1726</v>
      </c>
      <c r="AC2241">
        <v>0</v>
      </c>
      <c r="AD2241">
        <v>4</v>
      </c>
      <c r="AE2241">
        <v>4495495976024</v>
      </c>
      <c r="AF2241" t="s">
        <v>7803</v>
      </c>
      <c r="AG2241">
        <v>1</v>
      </c>
      <c r="AH2241">
        <v>0</v>
      </c>
    </row>
    <row r="2242" spans="1:34">
      <c r="A2242">
        <v>2026</v>
      </c>
      <c r="B2242" s="1">
        <v>46023</v>
      </c>
      <c r="C2242" t="s">
        <v>2657</v>
      </c>
      <c r="D2242" t="s">
        <v>7824</v>
      </c>
      <c r="E2242" s="43">
        <v>46037.734751608798</v>
      </c>
      <c r="F2242" s="1">
        <v>46037</v>
      </c>
      <c r="G2242" s="43">
        <v>46038.796496192132</v>
      </c>
      <c r="H2242" t="s">
        <v>2701</v>
      </c>
      <c r="I2242" t="s">
        <v>2719</v>
      </c>
      <c r="J2242" t="s">
        <v>39</v>
      </c>
      <c r="L2242" t="s">
        <v>2336</v>
      </c>
      <c r="M2242">
        <v>995775060202</v>
      </c>
      <c r="N2242" t="s">
        <v>2702</v>
      </c>
      <c r="O2242" s="1">
        <v>46007</v>
      </c>
      <c r="T2242" t="s">
        <v>2662</v>
      </c>
      <c r="U2242" t="s">
        <v>7825</v>
      </c>
      <c r="V2242">
        <v>1</v>
      </c>
      <c r="W2242" t="s">
        <v>2671</v>
      </c>
      <c r="X2242">
        <v>1</v>
      </c>
      <c r="Y2242" t="s">
        <v>2683</v>
      </c>
      <c r="AA2242">
        <v>449549597602</v>
      </c>
      <c r="AB2242" t="s">
        <v>1726</v>
      </c>
      <c r="AC2242">
        <v>0</v>
      </c>
      <c r="AD2242">
        <v>3</v>
      </c>
      <c r="AE2242">
        <v>4495495976023</v>
      </c>
      <c r="AF2242" t="s">
        <v>7803</v>
      </c>
      <c r="AG2242">
        <v>0</v>
      </c>
      <c r="AH2242">
        <v>0</v>
      </c>
    </row>
    <row r="2243" spans="1:34">
      <c r="A2243">
        <v>2026</v>
      </c>
      <c r="B2243" s="1">
        <v>46023</v>
      </c>
      <c r="C2243" t="s">
        <v>2657</v>
      </c>
      <c r="D2243" t="s">
        <v>7826</v>
      </c>
      <c r="E2243" s="43">
        <v>46052.639600451388</v>
      </c>
      <c r="F2243" s="1">
        <v>46052</v>
      </c>
      <c r="G2243" s="43">
        <v>46057.51805486111</v>
      </c>
      <c r="H2243" t="s">
        <v>2701</v>
      </c>
      <c r="I2243" t="s">
        <v>2697</v>
      </c>
      <c r="J2243" t="s">
        <v>39</v>
      </c>
      <c r="L2243" t="s">
        <v>2336</v>
      </c>
      <c r="M2243">
        <v>449549597602</v>
      </c>
      <c r="N2243" t="s">
        <v>2702</v>
      </c>
      <c r="O2243" s="1">
        <v>45358</v>
      </c>
      <c r="T2243" t="s">
        <v>2662</v>
      </c>
      <c r="U2243" t="s">
        <v>7827</v>
      </c>
      <c r="V2243">
        <v>3</v>
      </c>
      <c r="W2243" t="s">
        <v>2664</v>
      </c>
      <c r="X2243">
        <v>1</v>
      </c>
      <c r="Y2243" t="s">
        <v>2665</v>
      </c>
      <c r="Z2243" t="s">
        <v>2684</v>
      </c>
      <c r="AA2243">
        <v>449549597602</v>
      </c>
      <c r="AB2243" t="s">
        <v>1726</v>
      </c>
      <c r="AC2243">
        <v>0</v>
      </c>
      <c r="AD2243">
        <v>5</v>
      </c>
      <c r="AE2243">
        <v>4495495976025</v>
      </c>
      <c r="AF2243" t="s">
        <v>7803</v>
      </c>
      <c r="AG2243">
        <v>1</v>
      </c>
      <c r="AH2243">
        <v>0</v>
      </c>
    </row>
    <row r="2244" spans="1:34">
      <c r="A2244">
        <v>2026</v>
      </c>
      <c r="B2244" s="1">
        <v>46082</v>
      </c>
      <c r="C2244" t="s">
        <v>2657</v>
      </c>
      <c r="D2244" t="s">
        <v>7828</v>
      </c>
      <c r="E2244" s="43">
        <v>46083.853908680554</v>
      </c>
      <c r="F2244" s="1">
        <v>46083</v>
      </c>
      <c r="G2244" s="43">
        <v>46086.634818645834</v>
      </c>
      <c r="H2244" t="s">
        <v>2668</v>
      </c>
      <c r="I2244" t="s">
        <v>2669</v>
      </c>
      <c r="J2244" t="s">
        <v>39</v>
      </c>
      <c r="L2244" t="s">
        <v>2353</v>
      </c>
      <c r="M2244">
        <v>320035971002</v>
      </c>
      <c r="N2244" t="s">
        <v>2675</v>
      </c>
      <c r="O2244" s="1">
        <v>45669</v>
      </c>
      <c r="T2244" t="s">
        <v>2662</v>
      </c>
      <c r="U2244" t="s">
        <v>7829</v>
      </c>
      <c r="V2244">
        <v>3</v>
      </c>
      <c r="X2244">
        <v>1</v>
      </c>
      <c r="Y2244" t="s">
        <v>2931</v>
      </c>
      <c r="AA2244">
        <v>320035971002</v>
      </c>
      <c r="AB2244" t="s">
        <v>208</v>
      </c>
      <c r="AC2244">
        <v>0</v>
      </c>
      <c r="AD2244">
        <v>10</v>
      </c>
      <c r="AE2244">
        <v>32003597100210</v>
      </c>
      <c r="AF2244" t="s">
        <v>7830</v>
      </c>
      <c r="AG2244">
        <v>0</v>
      </c>
      <c r="AH2244">
        <v>0</v>
      </c>
    </row>
    <row r="2245" spans="1:34">
      <c r="A2245">
        <v>2026</v>
      </c>
      <c r="B2245" s="1">
        <v>46082</v>
      </c>
      <c r="C2245" t="s">
        <v>2657</v>
      </c>
      <c r="D2245" t="s">
        <v>7831</v>
      </c>
      <c r="E2245" s="43">
        <v>46083.789436747684</v>
      </c>
      <c r="F2245" s="1">
        <v>46083</v>
      </c>
      <c r="G2245" s="43">
        <v>46084.633035891202</v>
      </c>
      <c r="H2245" t="s">
        <v>2668</v>
      </c>
      <c r="I2245" t="s">
        <v>2669</v>
      </c>
      <c r="J2245" t="s">
        <v>39</v>
      </c>
      <c r="L2245" t="s">
        <v>2353</v>
      </c>
      <c r="M2245">
        <v>320035971002</v>
      </c>
      <c r="N2245" t="s">
        <v>2675</v>
      </c>
      <c r="O2245" s="1">
        <v>45669</v>
      </c>
      <c r="T2245" t="s">
        <v>2662</v>
      </c>
      <c r="V2245">
        <v>1</v>
      </c>
      <c r="X2245">
        <v>1</v>
      </c>
      <c r="AA2245">
        <v>320035971002</v>
      </c>
      <c r="AB2245" t="s">
        <v>208</v>
      </c>
      <c r="AC2245">
        <v>0</v>
      </c>
      <c r="AD2245">
        <v>10</v>
      </c>
      <c r="AE2245">
        <v>32003597100210</v>
      </c>
      <c r="AF2245" t="s">
        <v>7830</v>
      </c>
      <c r="AG2245">
        <v>1</v>
      </c>
      <c r="AH2245">
        <v>1</v>
      </c>
    </row>
    <row r="2246" spans="1:34">
      <c r="A2246">
        <v>2026</v>
      </c>
      <c r="B2246" s="1">
        <v>46082</v>
      </c>
      <c r="C2246" t="s">
        <v>2657</v>
      </c>
      <c r="D2246" t="s">
        <v>7832</v>
      </c>
      <c r="E2246" s="43">
        <v>46093.545944490739</v>
      </c>
      <c r="F2246" s="1">
        <v>46093</v>
      </c>
      <c r="G2246" s="43">
        <v>46094.564102430559</v>
      </c>
      <c r="H2246" t="s">
        <v>2668</v>
      </c>
      <c r="I2246" t="s">
        <v>2681</v>
      </c>
      <c r="J2246" t="s">
        <v>39</v>
      </c>
      <c r="L2246" t="s">
        <v>2353</v>
      </c>
      <c r="M2246">
        <v>320035971002</v>
      </c>
      <c r="N2246" t="s">
        <v>2675</v>
      </c>
      <c r="O2246" s="1">
        <v>45669</v>
      </c>
      <c r="T2246" t="s">
        <v>2662</v>
      </c>
      <c r="U2246" t="s">
        <v>7833</v>
      </c>
      <c r="V2246">
        <v>1</v>
      </c>
      <c r="X2246">
        <v>1</v>
      </c>
      <c r="Y2246" t="s">
        <v>2721</v>
      </c>
      <c r="AA2246">
        <v>320035971002</v>
      </c>
      <c r="AB2246" t="s">
        <v>208</v>
      </c>
      <c r="AC2246">
        <v>1</v>
      </c>
      <c r="AD2246">
        <v>11</v>
      </c>
      <c r="AE2246">
        <v>32003597100211</v>
      </c>
      <c r="AF2246" t="s">
        <v>7830</v>
      </c>
      <c r="AG2246">
        <v>0</v>
      </c>
      <c r="AH2246">
        <v>0</v>
      </c>
    </row>
    <row r="2247" spans="1:34">
      <c r="A2247">
        <v>2026</v>
      </c>
      <c r="B2247" s="1">
        <v>46082</v>
      </c>
      <c r="C2247" t="s">
        <v>2657</v>
      </c>
      <c r="D2247" t="s">
        <v>7834</v>
      </c>
      <c r="E2247" s="43">
        <v>46090.620908356483</v>
      </c>
      <c r="F2247" s="1">
        <v>46090</v>
      </c>
      <c r="G2247" s="43">
        <v>46094.704255671299</v>
      </c>
      <c r="H2247" t="s">
        <v>2668</v>
      </c>
      <c r="I2247" t="s">
        <v>2681</v>
      </c>
      <c r="J2247" t="s">
        <v>39</v>
      </c>
      <c r="L2247" t="s">
        <v>2353</v>
      </c>
      <c r="M2247">
        <v>320035971002</v>
      </c>
      <c r="N2247" t="s">
        <v>2675</v>
      </c>
      <c r="O2247" s="1">
        <v>45669</v>
      </c>
      <c r="T2247" t="s">
        <v>2662</v>
      </c>
      <c r="U2247" t="s">
        <v>7835</v>
      </c>
      <c r="V2247">
        <v>4</v>
      </c>
      <c r="W2247" t="s">
        <v>2985</v>
      </c>
      <c r="X2247">
        <v>1</v>
      </c>
      <c r="Y2247" t="s">
        <v>2985</v>
      </c>
      <c r="AA2247">
        <v>320035971002</v>
      </c>
      <c r="AB2247" t="s">
        <v>208</v>
      </c>
      <c r="AC2247">
        <v>0</v>
      </c>
      <c r="AD2247">
        <v>11</v>
      </c>
      <c r="AE2247">
        <v>32003597100211</v>
      </c>
      <c r="AF2247" t="s">
        <v>7830</v>
      </c>
      <c r="AG2247">
        <v>1</v>
      </c>
      <c r="AH2247">
        <v>0</v>
      </c>
    </row>
    <row r="2248" spans="1:34">
      <c r="A2248">
        <v>2026</v>
      </c>
      <c r="B2248" s="1">
        <v>46082</v>
      </c>
      <c r="C2248" t="s">
        <v>2657</v>
      </c>
      <c r="D2248" t="s">
        <v>7836</v>
      </c>
      <c r="E2248" s="43">
        <v>46092.82792447917</v>
      </c>
      <c r="F2248" s="1">
        <v>46092</v>
      </c>
      <c r="G2248" s="43">
        <v>46094.560418634261</v>
      </c>
      <c r="H2248" t="s">
        <v>2668</v>
      </c>
      <c r="I2248" t="s">
        <v>2681</v>
      </c>
      <c r="J2248" t="s">
        <v>39</v>
      </c>
      <c r="L2248" t="s">
        <v>2353</v>
      </c>
      <c r="M2248">
        <v>320035971002</v>
      </c>
      <c r="N2248" t="s">
        <v>2675</v>
      </c>
      <c r="O2248" s="1">
        <v>45669</v>
      </c>
      <c r="T2248" t="s">
        <v>2662</v>
      </c>
      <c r="U2248" t="s">
        <v>7837</v>
      </c>
      <c r="V2248">
        <v>2</v>
      </c>
      <c r="X2248">
        <v>1</v>
      </c>
      <c r="Y2248" t="s">
        <v>2688</v>
      </c>
      <c r="AA2248">
        <v>320035971002</v>
      </c>
      <c r="AB2248" t="s">
        <v>208</v>
      </c>
      <c r="AC2248">
        <v>0</v>
      </c>
      <c r="AD2248">
        <v>11</v>
      </c>
      <c r="AE2248">
        <v>32003597100211</v>
      </c>
      <c r="AF2248" t="s">
        <v>7830</v>
      </c>
      <c r="AG2248">
        <v>0</v>
      </c>
      <c r="AH2248">
        <v>0</v>
      </c>
    </row>
    <row r="2249" spans="1:34">
      <c r="A2249">
        <v>2025</v>
      </c>
      <c r="B2249" s="1">
        <v>45839</v>
      </c>
      <c r="C2249" t="s">
        <v>2657</v>
      </c>
      <c r="D2249" t="s">
        <v>7838</v>
      </c>
      <c r="E2249" s="43">
        <v>45862.634158356479</v>
      </c>
      <c r="F2249" s="1">
        <v>45862</v>
      </c>
      <c r="G2249" s="43">
        <v>45875.662957280096</v>
      </c>
      <c r="H2249" t="s">
        <v>2869</v>
      </c>
      <c r="I2249" t="s">
        <v>2660</v>
      </c>
      <c r="J2249" t="s">
        <v>2735</v>
      </c>
      <c r="L2249" t="s">
        <v>2336</v>
      </c>
      <c r="M2249">
        <v>161445746002</v>
      </c>
      <c r="N2249" t="s">
        <v>2746</v>
      </c>
      <c r="O2249" s="1">
        <v>45673</v>
      </c>
      <c r="T2249" t="s">
        <v>2662</v>
      </c>
      <c r="U2249" t="s">
        <v>7839</v>
      </c>
      <c r="V2249">
        <v>9</v>
      </c>
      <c r="W2249" t="s">
        <v>2671</v>
      </c>
      <c r="X2249">
        <v>1</v>
      </c>
      <c r="Y2249" t="s">
        <v>2692</v>
      </c>
      <c r="AA2249">
        <v>11103651302</v>
      </c>
      <c r="AB2249" t="s">
        <v>1482</v>
      </c>
      <c r="AC2249">
        <v>0</v>
      </c>
      <c r="AD2249">
        <v>30</v>
      </c>
      <c r="AE2249">
        <v>1110365130230</v>
      </c>
      <c r="AF2249" t="s">
        <v>7840</v>
      </c>
      <c r="AG2249">
        <v>1</v>
      </c>
      <c r="AH2249">
        <v>1</v>
      </c>
    </row>
    <row r="2250" spans="1:34">
      <c r="A2250">
        <v>2026</v>
      </c>
      <c r="B2250" s="1">
        <v>46054</v>
      </c>
      <c r="C2250" t="s">
        <v>2657</v>
      </c>
      <c r="D2250" t="s">
        <v>7841</v>
      </c>
      <c r="E2250" s="43">
        <v>46056.705457824071</v>
      </c>
      <c r="F2250" s="1">
        <v>46056</v>
      </c>
      <c r="G2250" s="43">
        <v>46065.689496435189</v>
      </c>
      <c r="H2250" t="s">
        <v>2725</v>
      </c>
      <c r="I2250" t="s">
        <v>2669</v>
      </c>
      <c r="J2250" t="s">
        <v>38</v>
      </c>
      <c r="L2250" t="s">
        <v>2347</v>
      </c>
      <c r="M2250">
        <v>601998582602</v>
      </c>
      <c r="N2250" t="s">
        <v>2675</v>
      </c>
      <c r="O2250" s="1">
        <v>45661</v>
      </c>
      <c r="T2250" t="s">
        <v>2662</v>
      </c>
      <c r="U2250" t="s">
        <v>7842</v>
      </c>
      <c r="V2250">
        <v>7</v>
      </c>
      <c r="W2250" t="s">
        <v>2671</v>
      </c>
      <c r="X2250">
        <v>1</v>
      </c>
      <c r="Y2250" t="s">
        <v>2727</v>
      </c>
      <c r="AA2250">
        <v>601998582602</v>
      </c>
      <c r="AB2250" t="s">
        <v>234</v>
      </c>
      <c r="AC2250">
        <v>0</v>
      </c>
      <c r="AD2250">
        <v>6</v>
      </c>
      <c r="AE2250">
        <v>6019985826026</v>
      </c>
      <c r="AF2250" t="s">
        <v>7843</v>
      </c>
      <c r="AG2250">
        <v>1</v>
      </c>
      <c r="AH2250">
        <v>1</v>
      </c>
    </row>
    <row r="2251" spans="1:34">
      <c r="A2251">
        <v>2026</v>
      </c>
      <c r="B2251" s="1">
        <v>46054</v>
      </c>
      <c r="C2251" t="s">
        <v>2657</v>
      </c>
      <c r="D2251" t="s">
        <v>7844</v>
      </c>
      <c r="E2251" s="43">
        <v>46064.820379409721</v>
      </c>
      <c r="F2251" s="1">
        <v>46064</v>
      </c>
      <c r="G2251" s="43">
        <v>46064.820379409721</v>
      </c>
      <c r="H2251" t="s">
        <v>2725</v>
      </c>
      <c r="I2251" t="s">
        <v>2681</v>
      </c>
      <c r="J2251" t="s">
        <v>38</v>
      </c>
      <c r="L2251" t="s">
        <v>2347</v>
      </c>
      <c r="M2251">
        <v>601998582602</v>
      </c>
      <c r="N2251" t="s">
        <v>2675</v>
      </c>
      <c r="O2251" s="1">
        <v>45661</v>
      </c>
      <c r="T2251" t="s">
        <v>2662</v>
      </c>
      <c r="U2251" t="s">
        <v>7845</v>
      </c>
      <c r="V2251">
        <v>0</v>
      </c>
      <c r="W2251" t="s">
        <v>2671</v>
      </c>
      <c r="X2251">
        <v>1</v>
      </c>
      <c r="Y2251" t="s">
        <v>2672</v>
      </c>
      <c r="AA2251">
        <v>601998582602</v>
      </c>
      <c r="AB2251" t="s">
        <v>234</v>
      </c>
      <c r="AC2251">
        <v>0</v>
      </c>
      <c r="AD2251">
        <v>7</v>
      </c>
      <c r="AE2251">
        <v>6019985826027</v>
      </c>
      <c r="AF2251" t="s">
        <v>7843</v>
      </c>
      <c r="AG2251">
        <v>1</v>
      </c>
      <c r="AH2251">
        <v>0</v>
      </c>
    </row>
    <row r="2252" spans="1:34">
      <c r="A2252">
        <v>2026</v>
      </c>
      <c r="B2252" s="1">
        <v>46054</v>
      </c>
      <c r="C2252" t="s">
        <v>2657</v>
      </c>
      <c r="D2252" t="s">
        <v>7846</v>
      </c>
      <c r="E2252" s="43">
        <v>46080.755693356485</v>
      </c>
      <c r="F2252" s="1">
        <v>46080</v>
      </c>
      <c r="G2252" s="43">
        <v>46084.762651319441</v>
      </c>
      <c r="H2252" t="s">
        <v>2725</v>
      </c>
      <c r="I2252" t="s">
        <v>2660</v>
      </c>
      <c r="J2252" t="s">
        <v>38</v>
      </c>
      <c r="L2252" t="s">
        <v>2347</v>
      </c>
      <c r="M2252">
        <v>601998582602</v>
      </c>
      <c r="N2252" t="s">
        <v>2675</v>
      </c>
      <c r="O2252" s="1">
        <v>45661</v>
      </c>
      <c r="T2252" t="s">
        <v>2798</v>
      </c>
      <c r="U2252" t="s">
        <v>7847</v>
      </c>
      <c r="V2252">
        <v>10</v>
      </c>
      <c r="W2252" t="s">
        <v>2671</v>
      </c>
      <c r="X2252">
        <v>0</v>
      </c>
      <c r="Y2252" t="s">
        <v>2764</v>
      </c>
      <c r="AA2252">
        <v>601998582602</v>
      </c>
      <c r="AB2252" t="s">
        <v>234</v>
      </c>
      <c r="AC2252">
        <v>0</v>
      </c>
      <c r="AD2252">
        <v>9</v>
      </c>
      <c r="AE2252">
        <v>6019985826029</v>
      </c>
      <c r="AF2252" t="s">
        <v>7843</v>
      </c>
      <c r="AG2252">
        <v>1</v>
      </c>
      <c r="AH2252">
        <v>0</v>
      </c>
    </row>
    <row r="2253" spans="1:34">
      <c r="A2253">
        <v>2026</v>
      </c>
      <c r="B2253" s="1">
        <v>46023</v>
      </c>
      <c r="C2253" t="s">
        <v>2657</v>
      </c>
      <c r="D2253" t="s">
        <v>7848</v>
      </c>
      <c r="E2253" s="43">
        <v>46029.864871527781</v>
      </c>
      <c r="F2253" s="1">
        <v>46029</v>
      </c>
      <c r="G2253" s="43">
        <v>46038.794579467591</v>
      </c>
      <c r="H2253" t="s">
        <v>2701</v>
      </c>
      <c r="I2253" t="s">
        <v>2669</v>
      </c>
      <c r="J2253" t="s">
        <v>37</v>
      </c>
      <c r="L2253" t="s">
        <v>2364</v>
      </c>
      <c r="M2253">
        <v>610886576</v>
      </c>
      <c r="N2253" t="s">
        <v>2661</v>
      </c>
      <c r="O2253" s="1">
        <v>45994</v>
      </c>
      <c r="T2253" t="s">
        <v>2662</v>
      </c>
      <c r="U2253" t="s">
        <v>7849</v>
      </c>
      <c r="V2253">
        <v>7</v>
      </c>
      <c r="W2253" t="s">
        <v>2677</v>
      </c>
      <c r="X2253">
        <v>1</v>
      </c>
      <c r="Y2253" t="s">
        <v>2807</v>
      </c>
      <c r="AA2253">
        <v>610886576</v>
      </c>
      <c r="AB2253" t="s">
        <v>2595</v>
      </c>
      <c r="AC2253">
        <v>0</v>
      </c>
      <c r="AD2253">
        <v>2</v>
      </c>
      <c r="AE2253">
        <v>6108865762</v>
      </c>
      <c r="AF2253" t="s">
        <v>7850</v>
      </c>
      <c r="AG2253">
        <v>1</v>
      </c>
      <c r="AH2253">
        <v>1</v>
      </c>
    </row>
    <row r="2254" spans="1:34">
      <c r="A2254">
        <v>2026</v>
      </c>
      <c r="B2254" s="1">
        <v>46023</v>
      </c>
      <c r="C2254" t="s">
        <v>2657</v>
      </c>
      <c r="D2254" t="s">
        <v>7851</v>
      </c>
      <c r="E2254" s="43">
        <v>46034.849260648145</v>
      </c>
      <c r="F2254" s="1">
        <v>46034</v>
      </c>
      <c r="G2254" s="43">
        <v>46038.661501585651</v>
      </c>
      <c r="H2254" t="s">
        <v>2701</v>
      </c>
      <c r="I2254" t="s">
        <v>2681</v>
      </c>
      <c r="J2254" t="s">
        <v>37</v>
      </c>
      <c r="L2254" t="s">
        <v>2364</v>
      </c>
      <c r="M2254">
        <v>610886576</v>
      </c>
      <c r="N2254" t="s">
        <v>2661</v>
      </c>
      <c r="O2254" s="1">
        <v>45994</v>
      </c>
      <c r="T2254" t="s">
        <v>2662</v>
      </c>
      <c r="U2254" t="s">
        <v>4455</v>
      </c>
      <c r="V2254">
        <v>4</v>
      </c>
      <c r="W2254" t="s">
        <v>2671</v>
      </c>
      <c r="X2254">
        <v>1</v>
      </c>
      <c r="Y2254" t="s">
        <v>2764</v>
      </c>
      <c r="AA2254">
        <v>610886576</v>
      </c>
      <c r="AB2254" t="s">
        <v>2595</v>
      </c>
      <c r="AC2254">
        <v>0</v>
      </c>
      <c r="AD2254">
        <v>3</v>
      </c>
      <c r="AE2254">
        <v>6108865763</v>
      </c>
      <c r="AF2254" t="s">
        <v>7850</v>
      </c>
      <c r="AG2254">
        <v>1</v>
      </c>
      <c r="AH2254">
        <v>0</v>
      </c>
    </row>
    <row r="2255" spans="1:34">
      <c r="A2255">
        <v>2026</v>
      </c>
      <c r="B2255" s="1">
        <v>46023</v>
      </c>
      <c r="C2255" t="s">
        <v>2657</v>
      </c>
      <c r="D2255" t="s">
        <v>7852</v>
      </c>
      <c r="E2255" s="43">
        <v>46041.829857881945</v>
      </c>
      <c r="F2255" s="1">
        <v>46041</v>
      </c>
      <c r="G2255" s="43">
        <v>46078.87157635417</v>
      </c>
      <c r="H2255" t="s">
        <v>2701</v>
      </c>
      <c r="I2255" t="s">
        <v>2719</v>
      </c>
      <c r="J2255" t="s">
        <v>37</v>
      </c>
      <c r="L2255" t="s">
        <v>2364</v>
      </c>
      <c r="M2255">
        <v>610886576</v>
      </c>
      <c r="N2255" t="s">
        <v>2661</v>
      </c>
      <c r="O2255" s="1">
        <v>45994</v>
      </c>
      <c r="T2255" t="s">
        <v>2662</v>
      </c>
      <c r="U2255" t="s">
        <v>7853</v>
      </c>
      <c r="V2255">
        <v>27</v>
      </c>
      <c r="W2255" t="s">
        <v>2677</v>
      </c>
      <c r="X2255">
        <v>1</v>
      </c>
      <c r="Y2255" t="s">
        <v>2760</v>
      </c>
      <c r="Z2255" t="s">
        <v>2684</v>
      </c>
      <c r="AA2255">
        <v>610886576</v>
      </c>
      <c r="AB2255" t="s">
        <v>2595</v>
      </c>
      <c r="AC2255">
        <v>0</v>
      </c>
      <c r="AD2255">
        <v>4</v>
      </c>
      <c r="AE2255">
        <v>6108865764</v>
      </c>
      <c r="AF2255" t="s">
        <v>7850</v>
      </c>
      <c r="AG2255">
        <v>1</v>
      </c>
      <c r="AH2255">
        <v>0</v>
      </c>
    </row>
    <row r="2256" spans="1:34">
      <c r="A2256">
        <v>2026</v>
      </c>
      <c r="B2256" s="1">
        <v>46023</v>
      </c>
      <c r="C2256" t="s">
        <v>2657</v>
      </c>
      <c r="D2256" t="s">
        <v>7854</v>
      </c>
      <c r="E2256" s="43">
        <v>46044.737878182874</v>
      </c>
      <c r="F2256" s="1">
        <v>46044</v>
      </c>
      <c r="G2256" s="43">
        <v>46055.803069189817</v>
      </c>
      <c r="H2256" t="s">
        <v>2701</v>
      </c>
      <c r="I2256" t="s">
        <v>2660</v>
      </c>
      <c r="J2256" t="s">
        <v>37</v>
      </c>
      <c r="L2256" t="s">
        <v>2364</v>
      </c>
      <c r="M2256">
        <v>610886576</v>
      </c>
      <c r="N2256" t="s">
        <v>2661</v>
      </c>
      <c r="O2256" s="1">
        <v>45994</v>
      </c>
      <c r="T2256" t="s">
        <v>2662</v>
      </c>
      <c r="U2256" t="s">
        <v>7855</v>
      </c>
      <c r="V2256">
        <v>7</v>
      </c>
      <c r="W2256" t="s">
        <v>2671</v>
      </c>
      <c r="X2256">
        <v>1</v>
      </c>
      <c r="Y2256" t="s">
        <v>2764</v>
      </c>
      <c r="AA2256">
        <v>610886576</v>
      </c>
      <c r="AB2256" t="s">
        <v>2595</v>
      </c>
      <c r="AC2256">
        <v>0</v>
      </c>
      <c r="AD2256">
        <v>4</v>
      </c>
      <c r="AE2256">
        <v>6108865764</v>
      </c>
      <c r="AF2256" t="s">
        <v>7850</v>
      </c>
      <c r="AG2256">
        <v>0</v>
      </c>
      <c r="AH2256">
        <v>0</v>
      </c>
    </row>
    <row r="2257" spans="1:34">
      <c r="A2257">
        <v>2025</v>
      </c>
      <c r="B2257" s="1">
        <v>45931</v>
      </c>
      <c r="C2257" t="s">
        <v>2657</v>
      </c>
      <c r="D2257" t="s">
        <v>7856</v>
      </c>
      <c r="E2257" s="43">
        <v>45946.55430369213</v>
      </c>
      <c r="F2257" s="1">
        <v>45946</v>
      </c>
      <c r="G2257" s="43">
        <v>45946.55430369213</v>
      </c>
      <c r="H2257" t="s">
        <v>2659</v>
      </c>
      <c r="I2257" t="s">
        <v>2719</v>
      </c>
      <c r="J2257" t="s">
        <v>2735</v>
      </c>
      <c r="L2257" t="s">
        <v>2378</v>
      </c>
      <c r="M2257">
        <v>474741185002</v>
      </c>
      <c r="N2257" t="s">
        <v>2746</v>
      </c>
      <c r="O2257" s="1">
        <v>45661</v>
      </c>
      <c r="T2257" t="s">
        <v>2662</v>
      </c>
      <c r="U2257" t="s">
        <v>7857</v>
      </c>
      <c r="V2257">
        <v>0</v>
      </c>
      <c r="W2257" t="s">
        <v>2671</v>
      </c>
      <c r="X2257">
        <v>1</v>
      </c>
      <c r="Y2257" t="s">
        <v>2695</v>
      </c>
      <c r="AA2257">
        <v>474741185002</v>
      </c>
      <c r="AB2257" t="s">
        <v>1812</v>
      </c>
      <c r="AC2257">
        <v>0</v>
      </c>
      <c r="AD2257">
        <v>42</v>
      </c>
      <c r="AE2257">
        <v>47474118500242</v>
      </c>
      <c r="AF2257" t="s">
        <v>7858</v>
      </c>
      <c r="AG2257">
        <v>1</v>
      </c>
      <c r="AH2257">
        <v>1</v>
      </c>
    </row>
    <row r="2258" spans="1:34">
      <c r="A2258">
        <v>2025</v>
      </c>
      <c r="B2258" s="1">
        <v>45931</v>
      </c>
      <c r="C2258" t="s">
        <v>2657</v>
      </c>
      <c r="D2258" t="s">
        <v>7859</v>
      </c>
      <c r="E2258" s="43">
        <v>45951.879857222222</v>
      </c>
      <c r="F2258" s="1">
        <v>45951</v>
      </c>
      <c r="G2258" s="43">
        <v>45952.627592118057</v>
      </c>
      <c r="H2258" t="s">
        <v>2659</v>
      </c>
      <c r="I2258" t="s">
        <v>2719</v>
      </c>
      <c r="J2258" t="s">
        <v>2735</v>
      </c>
      <c r="L2258" t="s">
        <v>2378</v>
      </c>
      <c r="M2258">
        <v>474741185002</v>
      </c>
      <c r="N2258" t="s">
        <v>2746</v>
      </c>
      <c r="O2258" s="1">
        <v>45661</v>
      </c>
      <c r="T2258" t="s">
        <v>2662</v>
      </c>
      <c r="U2258" t="s">
        <v>7860</v>
      </c>
      <c r="V2258">
        <v>1</v>
      </c>
      <c r="X2258">
        <v>1</v>
      </c>
      <c r="Y2258" t="s">
        <v>2695</v>
      </c>
      <c r="AA2258">
        <v>474741185002</v>
      </c>
      <c r="AB2258" t="s">
        <v>1812</v>
      </c>
      <c r="AC2258">
        <v>0</v>
      </c>
      <c r="AD2258">
        <v>43</v>
      </c>
      <c r="AE2258">
        <v>47474118500243</v>
      </c>
      <c r="AF2258" t="s">
        <v>7858</v>
      </c>
      <c r="AG2258">
        <v>1</v>
      </c>
      <c r="AH2258">
        <v>0</v>
      </c>
    </row>
    <row r="2259" spans="1:34">
      <c r="A2259">
        <v>2025</v>
      </c>
      <c r="B2259" s="1">
        <v>45931</v>
      </c>
      <c r="C2259" t="s">
        <v>2657</v>
      </c>
      <c r="D2259" t="s">
        <v>7861</v>
      </c>
      <c r="E2259" s="43">
        <v>45953.83946181713</v>
      </c>
      <c r="F2259" s="1">
        <v>45953</v>
      </c>
      <c r="G2259" s="43">
        <v>45960.71695898148</v>
      </c>
      <c r="H2259" t="s">
        <v>2659</v>
      </c>
      <c r="I2259" t="s">
        <v>2660</v>
      </c>
      <c r="J2259" t="s">
        <v>2735</v>
      </c>
      <c r="L2259" t="s">
        <v>2378</v>
      </c>
      <c r="M2259">
        <v>474741185002</v>
      </c>
      <c r="N2259" t="s">
        <v>2746</v>
      </c>
      <c r="O2259" s="1">
        <v>45661</v>
      </c>
      <c r="T2259" t="s">
        <v>2662</v>
      </c>
      <c r="U2259" t="s">
        <v>7862</v>
      </c>
      <c r="V2259">
        <v>5</v>
      </c>
      <c r="W2259" t="s">
        <v>2664</v>
      </c>
      <c r="X2259">
        <v>1</v>
      </c>
      <c r="Y2259" t="s">
        <v>2665</v>
      </c>
      <c r="AA2259">
        <v>474741185002</v>
      </c>
      <c r="AB2259" t="s">
        <v>1812</v>
      </c>
      <c r="AC2259">
        <v>0</v>
      </c>
      <c r="AD2259">
        <v>43</v>
      </c>
      <c r="AE2259">
        <v>47474118500243</v>
      </c>
      <c r="AF2259" t="s">
        <v>7858</v>
      </c>
      <c r="AG2259">
        <v>0</v>
      </c>
      <c r="AH2259">
        <v>0</v>
      </c>
    </row>
    <row r="2260" spans="1:34">
      <c r="A2260">
        <v>2025</v>
      </c>
      <c r="B2260" s="1">
        <v>45962</v>
      </c>
      <c r="C2260" t="s">
        <v>2657</v>
      </c>
      <c r="D2260" t="s">
        <v>7863</v>
      </c>
      <c r="E2260" s="43">
        <v>45966.811584525465</v>
      </c>
      <c r="F2260" s="1">
        <v>45966</v>
      </c>
      <c r="G2260" s="43">
        <v>45978.759443043979</v>
      </c>
      <c r="H2260" t="s">
        <v>2802</v>
      </c>
      <c r="I2260" t="s">
        <v>2669</v>
      </c>
      <c r="J2260" t="s">
        <v>37</v>
      </c>
      <c r="L2260" t="s">
        <v>2421</v>
      </c>
      <c r="M2260">
        <v>97596278102</v>
      </c>
      <c r="N2260" t="s">
        <v>2661</v>
      </c>
      <c r="O2260" s="1">
        <v>45299</v>
      </c>
      <c r="T2260" t="s">
        <v>2662</v>
      </c>
      <c r="U2260" t="s">
        <v>7864</v>
      </c>
      <c r="V2260">
        <v>8</v>
      </c>
      <c r="W2260" t="s">
        <v>2677</v>
      </c>
      <c r="X2260">
        <v>1</v>
      </c>
      <c r="Y2260" t="s">
        <v>2807</v>
      </c>
      <c r="AA2260">
        <v>97596278102</v>
      </c>
      <c r="AB2260" t="s">
        <v>343</v>
      </c>
      <c r="AC2260">
        <v>0</v>
      </c>
      <c r="AD2260">
        <v>45</v>
      </c>
      <c r="AE2260">
        <v>9759627810245</v>
      </c>
      <c r="AF2260" t="s">
        <v>7865</v>
      </c>
      <c r="AG2260">
        <v>1</v>
      </c>
      <c r="AH2260">
        <v>1</v>
      </c>
    </row>
    <row r="2261" spans="1:34">
      <c r="A2261">
        <v>2025</v>
      </c>
      <c r="B2261" s="1">
        <v>45962</v>
      </c>
      <c r="C2261" t="s">
        <v>2657</v>
      </c>
      <c r="D2261" t="s">
        <v>7866</v>
      </c>
      <c r="E2261" s="43">
        <v>45974.755614849535</v>
      </c>
      <c r="F2261" s="1">
        <v>45974</v>
      </c>
      <c r="G2261" s="43">
        <v>45975.831162407405</v>
      </c>
      <c r="H2261" t="s">
        <v>2802</v>
      </c>
      <c r="I2261" t="s">
        <v>2681</v>
      </c>
      <c r="J2261" t="s">
        <v>36</v>
      </c>
      <c r="L2261" t="s">
        <v>2421</v>
      </c>
      <c r="M2261">
        <v>97596278102</v>
      </c>
      <c r="N2261" t="s">
        <v>2661</v>
      </c>
      <c r="O2261" s="1">
        <v>45299</v>
      </c>
      <c r="T2261" t="s">
        <v>2662</v>
      </c>
      <c r="U2261" t="s">
        <v>7867</v>
      </c>
      <c r="V2261">
        <v>1</v>
      </c>
      <c r="W2261" t="s">
        <v>2677</v>
      </c>
      <c r="X2261">
        <v>1</v>
      </c>
      <c r="Y2261" t="s">
        <v>2807</v>
      </c>
      <c r="AA2261">
        <v>97596278102</v>
      </c>
      <c r="AB2261" t="s">
        <v>343</v>
      </c>
      <c r="AC2261">
        <v>0</v>
      </c>
      <c r="AD2261">
        <v>46</v>
      </c>
      <c r="AE2261">
        <v>9759627810246</v>
      </c>
      <c r="AF2261" t="s">
        <v>7865</v>
      </c>
      <c r="AG2261">
        <v>0</v>
      </c>
      <c r="AH2261">
        <v>0</v>
      </c>
    </row>
    <row r="2262" spans="1:34">
      <c r="A2262">
        <v>2025</v>
      </c>
      <c r="B2262" s="1">
        <v>45962</v>
      </c>
      <c r="C2262" t="s">
        <v>2657</v>
      </c>
      <c r="D2262" t="s">
        <v>7868</v>
      </c>
      <c r="E2262" s="43">
        <v>45974.754118472221</v>
      </c>
      <c r="F2262" s="1">
        <v>45974</v>
      </c>
      <c r="G2262" s="43">
        <v>45975.826823888892</v>
      </c>
      <c r="H2262" t="s">
        <v>2802</v>
      </c>
      <c r="I2262" t="s">
        <v>2681</v>
      </c>
      <c r="J2262" t="s">
        <v>36</v>
      </c>
      <c r="L2262" t="s">
        <v>2421</v>
      </c>
      <c r="M2262">
        <v>97596278102</v>
      </c>
      <c r="N2262" t="s">
        <v>2661</v>
      </c>
      <c r="O2262" s="1">
        <v>45299</v>
      </c>
      <c r="T2262" t="s">
        <v>2662</v>
      </c>
      <c r="U2262" t="s">
        <v>7869</v>
      </c>
      <c r="V2262">
        <v>1</v>
      </c>
      <c r="W2262" t="s">
        <v>2677</v>
      </c>
      <c r="X2262">
        <v>1</v>
      </c>
      <c r="Y2262" t="s">
        <v>2807</v>
      </c>
      <c r="AA2262">
        <v>97596278102</v>
      </c>
      <c r="AB2262" t="s">
        <v>343</v>
      </c>
      <c r="AC2262">
        <v>0</v>
      </c>
      <c r="AD2262">
        <v>46</v>
      </c>
      <c r="AE2262">
        <v>9759627810246</v>
      </c>
      <c r="AF2262" t="s">
        <v>7865</v>
      </c>
      <c r="AG2262">
        <v>1</v>
      </c>
      <c r="AH2262">
        <v>0</v>
      </c>
    </row>
    <row r="2263" spans="1:34">
      <c r="A2263">
        <v>2025</v>
      </c>
      <c r="B2263" s="1">
        <v>45962</v>
      </c>
      <c r="C2263" t="s">
        <v>2657</v>
      </c>
      <c r="D2263" t="s">
        <v>7870</v>
      </c>
      <c r="E2263" s="43">
        <v>45978.521993773145</v>
      </c>
      <c r="F2263" s="1">
        <v>45978</v>
      </c>
      <c r="G2263" s="43">
        <v>45987.538325497684</v>
      </c>
      <c r="H2263" t="s">
        <v>2802</v>
      </c>
      <c r="I2263" t="s">
        <v>2719</v>
      </c>
      <c r="J2263" t="s">
        <v>36</v>
      </c>
      <c r="L2263" t="s">
        <v>2421</v>
      </c>
      <c r="M2263">
        <v>97596278102</v>
      </c>
      <c r="N2263" t="s">
        <v>2661</v>
      </c>
      <c r="O2263" s="1">
        <v>45299</v>
      </c>
      <c r="T2263" t="s">
        <v>2662</v>
      </c>
      <c r="U2263" t="s">
        <v>7871</v>
      </c>
      <c r="V2263">
        <v>7</v>
      </c>
      <c r="W2263" t="s">
        <v>2677</v>
      </c>
      <c r="X2263">
        <v>1</v>
      </c>
      <c r="Y2263" t="s">
        <v>2767</v>
      </c>
      <c r="AA2263">
        <v>97596278102</v>
      </c>
      <c r="AB2263" t="s">
        <v>343</v>
      </c>
      <c r="AC2263">
        <v>0</v>
      </c>
      <c r="AD2263">
        <v>47</v>
      </c>
      <c r="AE2263">
        <v>9759627810247</v>
      </c>
      <c r="AF2263" t="s">
        <v>7865</v>
      </c>
      <c r="AG2263">
        <v>1</v>
      </c>
      <c r="AH2263">
        <v>0</v>
      </c>
    </row>
    <row r="2264" spans="1:34">
      <c r="A2264">
        <v>2025</v>
      </c>
      <c r="B2264" s="1">
        <v>45962</v>
      </c>
      <c r="C2264" t="s">
        <v>2657</v>
      </c>
      <c r="D2264" t="s">
        <v>7872</v>
      </c>
      <c r="E2264" s="43">
        <v>45980.54839019676</v>
      </c>
      <c r="F2264" s="1">
        <v>45980</v>
      </c>
      <c r="G2264" s="43">
        <v>45985.482770150462</v>
      </c>
      <c r="H2264" t="s">
        <v>2802</v>
      </c>
      <c r="I2264" t="s">
        <v>2719</v>
      </c>
      <c r="J2264" t="s">
        <v>36</v>
      </c>
      <c r="L2264" t="s">
        <v>2421</v>
      </c>
      <c r="M2264">
        <v>97596278102</v>
      </c>
      <c r="N2264" t="s">
        <v>2661</v>
      </c>
      <c r="O2264" s="1">
        <v>45299</v>
      </c>
      <c r="T2264" t="s">
        <v>2662</v>
      </c>
      <c r="U2264" t="s">
        <v>7873</v>
      </c>
      <c r="V2264">
        <v>3</v>
      </c>
      <c r="W2264" t="s">
        <v>2677</v>
      </c>
      <c r="X2264">
        <v>1</v>
      </c>
      <c r="Y2264" t="s">
        <v>2807</v>
      </c>
      <c r="AA2264">
        <v>97596278102</v>
      </c>
      <c r="AB2264" t="s">
        <v>343</v>
      </c>
      <c r="AC2264">
        <v>0</v>
      </c>
      <c r="AD2264">
        <v>47</v>
      </c>
      <c r="AE2264">
        <v>9759627810247</v>
      </c>
      <c r="AF2264" t="s">
        <v>7865</v>
      </c>
      <c r="AG2264">
        <v>0</v>
      </c>
      <c r="AH2264">
        <v>0</v>
      </c>
    </row>
    <row r="2265" spans="1:34">
      <c r="A2265">
        <v>2025</v>
      </c>
      <c r="B2265" s="1">
        <v>45962</v>
      </c>
      <c r="C2265" t="s">
        <v>2657</v>
      </c>
      <c r="D2265" t="s">
        <v>7874</v>
      </c>
      <c r="E2265" s="43">
        <v>45988.503913865738</v>
      </c>
      <c r="F2265" s="1">
        <v>45988</v>
      </c>
      <c r="G2265" s="43">
        <v>46030.683011168985</v>
      </c>
      <c r="H2265" t="s">
        <v>2802</v>
      </c>
      <c r="I2265" t="s">
        <v>2660</v>
      </c>
      <c r="J2265" t="s">
        <v>36</v>
      </c>
      <c r="L2265" t="s">
        <v>2421</v>
      </c>
      <c r="M2265">
        <v>97596278102</v>
      </c>
      <c r="N2265" t="s">
        <v>2661</v>
      </c>
      <c r="O2265" s="1">
        <v>45299</v>
      </c>
      <c r="T2265" t="s">
        <v>2662</v>
      </c>
      <c r="U2265" t="s">
        <v>7875</v>
      </c>
      <c r="V2265">
        <v>30</v>
      </c>
      <c r="W2265" t="s">
        <v>2677</v>
      </c>
      <c r="X2265">
        <v>1</v>
      </c>
      <c r="Y2265" t="s">
        <v>2807</v>
      </c>
      <c r="AA2265">
        <v>97596278102</v>
      </c>
      <c r="AB2265" t="s">
        <v>343</v>
      </c>
      <c r="AC2265">
        <v>0</v>
      </c>
      <c r="AD2265">
        <v>48</v>
      </c>
      <c r="AE2265">
        <v>9759627810248</v>
      </c>
      <c r="AF2265" t="s">
        <v>7865</v>
      </c>
      <c r="AG2265">
        <v>1</v>
      </c>
      <c r="AH2265">
        <v>0</v>
      </c>
    </row>
    <row r="2266" spans="1:34">
      <c r="A2266">
        <v>2026</v>
      </c>
      <c r="B2266" s="1">
        <v>46082</v>
      </c>
      <c r="C2266" t="s">
        <v>2657</v>
      </c>
      <c r="D2266" t="s">
        <v>7876</v>
      </c>
      <c r="E2266" s="43">
        <v>46087.624102071757</v>
      </c>
      <c r="F2266" s="1">
        <v>46087</v>
      </c>
      <c r="G2266" s="43">
        <v>46092.556090902777</v>
      </c>
      <c r="H2266" t="s">
        <v>2668</v>
      </c>
      <c r="I2266" t="s">
        <v>2669</v>
      </c>
      <c r="J2266" t="s">
        <v>39</v>
      </c>
      <c r="L2266" t="s">
        <v>2336</v>
      </c>
      <c r="M2266">
        <v>161445746002</v>
      </c>
      <c r="N2266" t="s">
        <v>2746</v>
      </c>
      <c r="O2266" s="1">
        <v>45673</v>
      </c>
      <c r="T2266" t="s">
        <v>2662</v>
      </c>
      <c r="U2266" t="s">
        <v>7877</v>
      </c>
      <c r="V2266">
        <v>3</v>
      </c>
      <c r="W2266" t="s">
        <v>2677</v>
      </c>
      <c r="X2266">
        <v>1</v>
      </c>
      <c r="Y2266" t="s">
        <v>2772</v>
      </c>
      <c r="AA2266">
        <v>11103651302</v>
      </c>
      <c r="AB2266" t="s">
        <v>1482</v>
      </c>
      <c r="AC2266">
        <v>0</v>
      </c>
      <c r="AD2266">
        <v>10</v>
      </c>
      <c r="AE2266">
        <v>1110365130210</v>
      </c>
      <c r="AF2266" t="s">
        <v>7878</v>
      </c>
      <c r="AG2266">
        <v>1</v>
      </c>
      <c r="AH2266">
        <v>1</v>
      </c>
    </row>
    <row r="2267" spans="1:34">
      <c r="A2267">
        <v>2026</v>
      </c>
      <c r="B2267" s="1">
        <v>46082</v>
      </c>
      <c r="C2267" t="s">
        <v>2657</v>
      </c>
      <c r="D2267" t="s">
        <v>7879</v>
      </c>
      <c r="E2267" s="43">
        <v>46092.556801990744</v>
      </c>
      <c r="F2267" s="1">
        <v>46092</v>
      </c>
      <c r="G2267" s="43">
        <v>46092.556801990744</v>
      </c>
      <c r="H2267" t="s">
        <v>2668</v>
      </c>
      <c r="I2267" t="s">
        <v>2681</v>
      </c>
      <c r="J2267" t="s">
        <v>39</v>
      </c>
      <c r="L2267" t="s">
        <v>2336</v>
      </c>
      <c r="M2267">
        <v>161445746002</v>
      </c>
      <c r="N2267" t="s">
        <v>2746</v>
      </c>
      <c r="O2267" s="1">
        <v>45673</v>
      </c>
      <c r="T2267" t="s">
        <v>2662</v>
      </c>
      <c r="U2267" t="s">
        <v>7880</v>
      </c>
      <c r="V2267">
        <v>0</v>
      </c>
      <c r="W2267" t="s">
        <v>2671</v>
      </c>
      <c r="X2267">
        <v>1</v>
      </c>
      <c r="Y2267" t="s">
        <v>2672</v>
      </c>
      <c r="AA2267">
        <v>11103651302</v>
      </c>
      <c r="AB2267" t="s">
        <v>1482</v>
      </c>
      <c r="AC2267">
        <v>1</v>
      </c>
      <c r="AD2267">
        <v>11</v>
      </c>
      <c r="AE2267">
        <v>1110365130211</v>
      </c>
      <c r="AF2267" t="s">
        <v>7878</v>
      </c>
      <c r="AG2267">
        <v>0</v>
      </c>
      <c r="AH2267">
        <v>0</v>
      </c>
    </row>
    <row r="2268" spans="1:34">
      <c r="A2268">
        <v>2026</v>
      </c>
      <c r="B2268" s="1">
        <v>46082</v>
      </c>
      <c r="C2268" t="s">
        <v>2657</v>
      </c>
      <c r="D2268" t="s">
        <v>7881</v>
      </c>
      <c r="E2268" s="43">
        <v>46090.79207398148</v>
      </c>
      <c r="F2268" s="1">
        <v>46090</v>
      </c>
      <c r="G2268" s="43">
        <v>46092.650002824077</v>
      </c>
      <c r="H2268" t="s">
        <v>2668</v>
      </c>
      <c r="I2268" t="s">
        <v>2681</v>
      </c>
      <c r="J2268" t="s">
        <v>39</v>
      </c>
      <c r="L2268" t="s">
        <v>2336</v>
      </c>
      <c r="M2268">
        <v>161445746002</v>
      </c>
      <c r="N2268" t="s">
        <v>2746</v>
      </c>
      <c r="O2268" s="1">
        <v>45673</v>
      </c>
      <c r="T2268" t="s">
        <v>2662</v>
      </c>
      <c r="U2268" t="s">
        <v>7882</v>
      </c>
      <c r="V2268">
        <v>2</v>
      </c>
      <c r="W2268" t="s">
        <v>2671</v>
      </c>
      <c r="X2268">
        <v>1</v>
      </c>
      <c r="Y2268" t="s">
        <v>2683</v>
      </c>
      <c r="AA2268">
        <v>11103651302</v>
      </c>
      <c r="AB2268" t="s">
        <v>1482</v>
      </c>
      <c r="AC2268">
        <v>0</v>
      </c>
      <c r="AD2268">
        <v>11</v>
      </c>
      <c r="AE2268">
        <v>1110365130211</v>
      </c>
      <c r="AF2268" t="s">
        <v>7878</v>
      </c>
      <c r="AG2268">
        <v>1</v>
      </c>
      <c r="AH2268">
        <v>0</v>
      </c>
    </row>
    <row r="2269" spans="1:34">
      <c r="A2269">
        <v>2026</v>
      </c>
      <c r="B2269" s="1">
        <v>46082</v>
      </c>
      <c r="C2269" t="s">
        <v>2657</v>
      </c>
      <c r="D2269" t="s">
        <v>7883</v>
      </c>
      <c r="E2269" s="43">
        <v>46090.841634814817</v>
      </c>
      <c r="F2269" s="1">
        <v>46090</v>
      </c>
      <c r="G2269" s="43">
        <v>46090.841634814817</v>
      </c>
      <c r="H2269" t="s">
        <v>2668</v>
      </c>
      <c r="I2269" t="s">
        <v>2681</v>
      </c>
      <c r="J2269" t="s">
        <v>39</v>
      </c>
      <c r="L2269" t="s">
        <v>2336</v>
      </c>
      <c r="M2269">
        <v>161445746002</v>
      </c>
      <c r="N2269" t="s">
        <v>2746</v>
      </c>
      <c r="O2269" s="1">
        <v>45673</v>
      </c>
      <c r="T2269" t="s">
        <v>2662</v>
      </c>
      <c r="U2269" t="s">
        <v>7884</v>
      </c>
      <c r="V2269">
        <v>0</v>
      </c>
      <c r="W2269" t="s">
        <v>2671</v>
      </c>
      <c r="X2269">
        <v>1</v>
      </c>
      <c r="Y2269" t="s">
        <v>2683</v>
      </c>
      <c r="AA2269">
        <v>11103651302</v>
      </c>
      <c r="AB2269" t="s">
        <v>1482</v>
      </c>
      <c r="AC2269">
        <v>0</v>
      </c>
      <c r="AD2269">
        <v>11</v>
      </c>
      <c r="AE2269">
        <v>1110365130211</v>
      </c>
      <c r="AF2269" t="s">
        <v>7878</v>
      </c>
      <c r="AG2269">
        <v>0</v>
      </c>
      <c r="AH2269">
        <v>0</v>
      </c>
    </row>
    <row r="2270" spans="1:34">
      <c r="A2270">
        <v>2025</v>
      </c>
      <c r="B2270" s="1">
        <v>45992</v>
      </c>
      <c r="C2270" t="s">
        <v>2657</v>
      </c>
      <c r="D2270" t="s">
        <v>7885</v>
      </c>
      <c r="E2270" s="43">
        <v>45994.840198310187</v>
      </c>
      <c r="F2270" s="1">
        <v>45994</v>
      </c>
      <c r="G2270" s="43">
        <v>45994.840198310187</v>
      </c>
      <c r="H2270" t="s">
        <v>2686</v>
      </c>
      <c r="I2270" t="s">
        <v>2669</v>
      </c>
      <c r="J2270" t="s">
        <v>36</v>
      </c>
      <c r="L2270" t="s">
        <v>2421</v>
      </c>
      <c r="M2270">
        <v>816067318102</v>
      </c>
      <c r="N2270" t="s">
        <v>2661</v>
      </c>
      <c r="O2270" s="1">
        <v>45448</v>
      </c>
      <c r="T2270" t="s">
        <v>2662</v>
      </c>
      <c r="U2270" t="s">
        <v>7886</v>
      </c>
      <c r="V2270">
        <v>0</v>
      </c>
      <c r="W2270" t="s">
        <v>2671</v>
      </c>
      <c r="X2270">
        <v>1</v>
      </c>
      <c r="Y2270" t="s">
        <v>2688</v>
      </c>
      <c r="AA2270">
        <v>816067318102</v>
      </c>
      <c r="AB2270" t="s">
        <v>1643</v>
      </c>
      <c r="AC2270">
        <v>0</v>
      </c>
      <c r="AD2270">
        <v>49</v>
      </c>
      <c r="AE2270">
        <v>81606731810249</v>
      </c>
      <c r="AF2270" t="s">
        <v>7887</v>
      </c>
      <c r="AG2270">
        <v>0</v>
      </c>
      <c r="AH2270">
        <v>0</v>
      </c>
    </row>
    <row r="2271" spans="1:34">
      <c r="A2271">
        <v>2025</v>
      </c>
      <c r="B2271" s="1">
        <v>45992</v>
      </c>
      <c r="C2271" t="s">
        <v>2657</v>
      </c>
      <c r="D2271" t="s">
        <v>7888</v>
      </c>
      <c r="E2271" s="43">
        <v>45993.624032719905</v>
      </c>
      <c r="F2271" s="1">
        <v>45993</v>
      </c>
      <c r="G2271" s="43">
        <v>45994.837454074077</v>
      </c>
      <c r="H2271" t="s">
        <v>2686</v>
      </c>
      <c r="I2271" t="s">
        <v>2669</v>
      </c>
      <c r="J2271" t="s">
        <v>36</v>
      </c>
      <c r="L2271" t="s">
        <v>2421</v>
      </c>
      <c r="M2271">
        <v>816067318102</v>
      </c>
      <c r="N2271" t="s">
        <v>2661</v>
      </c>
      <c r="O2271" s="1">
        <v>45448</v>
      </c>
      <c r="T2271" t="s">
        <v>2662</v>
      </c>
      <c r="U2271" t="s">
        <v>7889</v>
      </c>
      <c r="V2271">
        <v>1</v>
      </c>
      <c r="W2271" t="s">
        <v>2671</v>
      </c>
      <c r="X2271">
        <v>1</v>
      </c>
      <c r="Y2271" t="s">
        <v>2672</v>
      </c>
      <c r="AA2271">
        <v>816067318102</v>
      </c>
      <c r="AB2271" t="s">
        <v>1643</v>
      </c>
      <c r="AC2271">
        <v>0</v>
      </c>
      <c r="AD2271">
        <v>49</v>
      </c>
      <c r="AE2271">
        <v>81606731810249</v>
      </c>
      <c r="AF2271" t="s">
        <v>7887</v>
      </c>
      <c r="AG2271">
        <v>1</v>
      </c>
      <c r="AH2271">
        <v>1</v>
      </c>
    </row>
    <row r="2272" spans="1:34">
      <c r="A2272">
        <v>2025</v>
      </c>
      <c r="B2272" s="1">
        <v>45992</v>
      </c>
      <c r="C2272" t="s">
        <v>2657</v>
      </c>
      <c r="D2272" t="s">
        <v>7890</v>
      </c>
      <c r="E2272" s="43">
        <v>46007.765789791665</v>
      </c>
      <c r="F2272" s="1">
        <v>46007</v>
      </c>
      <c r="G2272" s="43">
        <v>46009.590164062502</v>
      </c>
      <c r="H2272" t="s">
        <v>2686</v>
      </c>
      <c r="I2272" t="s">
        <v>2719</v>
      </c>
      <c r="J2272" t="s">
        <v>36</v>
      </c>
      <c r="L2272" t="s">
        <v>2421</v>
      </c>
      <c r="M2272">
        <v>816067318102</v>
      </c>
      <c r="N2272" t="s">
        <v>2661</v>
      </c>
      <c r="O2272" s="1">
        <v>45448</v>
      </c>
      <c r="T2272" t="s">
        <v>2662</v>
      </c>
      <c r="U2272" t="s">
        <v>7891</v>
      </c>
      <c r="V2272">
        <v>2</v>
      </c>
      <c r="W2272" t="s">
        <v>2671</v>
      </c>
      <c r="X2272">
        <v>1</v>
      </c>
      <c r="Y2272" t="s">
        <v>2760</v>
      </c>
      <c r="AA2272">
        <v>816067318102</v>
      </c>
      <c r="AB2272" t="s">
        <v>1643</v>
      </c>
      <c r="AC2272">
        <v>0</v>
      </c>
      <c r="AD2272">
        <v>51</v>
      </c>
      <c r="AE2272">
        <v>81606731810251</v>
      </c>
      <c r="AF2272" t="s">
        <v>7887</v>
      </c>
      <c r="AG2272">
        <v>1</v>
      </c>
      <c r="AH2272">
        <v>0</v>
      </c>
    </row>
    <row r="2273" spans="1:34">
      <c r="A2273">
        <v>2026</v>
      </c>
      <c r="B2273" s="1">
        <v>46023</v>
      </c>
      <c r="C2273" t="s">
        <v>2657</v>
      </c>
      <c r="D2273" t="s">
        <v>7892</v>
      </c>
      <c r="E2273" s="43">
        <v>46043.838878136572</v>
      </c>
      <c r="F2273" s="1">
        <v>46043</v>
      </c>
      <c r="G2273" s="43">
        <v>46048.571906817131</v>
      </c>
      <c r="H2273" t="s">
        <v>2701</v>
      </c>
      <c r="I2273" t="s">
        <v>2719</v>
      </c>
      <c r="J2273" t="s">
        <v>36</v>
      </c>
      <c r="L2273" t="s">
        <v>2355</v>
      </c>
      <c r="M2273">
        <v>133844711902</v>
      </c>
      <c r="N2273" t="s">
        <v>2702</v>
      </c>
      <c r="O2273" s="1">
        <v>44844</v>
      </c>
      <c r="T2273" t="s">
        <v>2662</v>
      </c>
      <c r="U2273" t="s">
        <v>7893</v>
      </c>
      <c r="V2273">
        <v>3</v>
      </c>
      <c r="W2273" t="s">
        <v>2664</v>
      </c>
      <c r="X2273">
        <v>1</v>
      </c>
      <c r="Y2273" t="s">
        <v>2665</v>
      </c>
      <c r="Z2273" t="s">
        <v>2684</v>
      </c>
      <c r="AA2273">
        <v>133844711902</v>
      </c>
      <c r="AB2273" t="s">
        <v>2283</v>
      </c>
      <c r="AC2273">
        <v>0</v>
      </c>
      <c r="AD2273">
        <v>4</v>
      </c>
      <c r="AE2273">
        <v>1338447119024</v>
      </c>
      <c r="AF2273" t="s">
        <v>7894</v>
      </c>
      <c r="AG2273">
        <v>1</v>
      </c>
      <c r="AH2273">
        <v>1</v>
      </c>
    </row>
    <row r="2274" spans="1:34">
      <c r="A2274">
        <v>2026</v>
      </c>
      <c r="B2274" s="1">
        <v>46023</v>
      </c>
      <c r="C2274" t="s">
        <v>2657</v>
      </c>
      <c r="D2274" t="s">
        <v>7895</v>
      </c>
      <c r="E2274" s="43">
        <v>46050.746390949076</v>
      </c>
      <c r="F2274" s="1">
        <v>46050</v>
      </c>
      <c r="G2274" s="43">
        <v>46056.741074999998</v>
      </c>
      <c r="H2274" t="s">
        <v>2701</v>
      </c>
      <c r="I2274" t="s">
        <v>2660</v>
      </c>
      <c r="J2274" t="s">
        <v>36</v>
      </c>
      <c r="L2274" t="s">
        <v>2355</v>
      </c>
      <c r="M2274">
        <v>133844711902</v>
      </c>
      <c r="N2274" t="s">
        <v>2702</v>
      </c>
      <c r="O2274" s="1">
        <v>44844</v>
      </c>
      <c r="T2274" t="s">
        <v>2662</v>
      </c>
      <c r="U2274" t="s">
        <v>7896</v>
      </c>
      <c r="V2274">
        <v>4</v>
      </c>
      <c r="W2274" t="s">
        <v>2664</v>
      </c>
      <c r="X2274">
        <v>1</v>
      </c>
      <c r="Y2274" t="s">
        <v>2665</v>
      </c>
      <c r="AA2274">
        <v>133844711902</v>
      </c>
      <c r="AB2274" t="s">
        <v>2283</v>
      </c>
      <c r="AC2274">
        <v>0</v>
      </c>
      <c r="AD2274">
        <v>5</v>
      </c>
      <c r="AE2274">
        <v>1338447119025</v>
      </c>
      <c r="AF2274" t="s">
        <v>7894</v>
      </c>
      <c r="AG2274">
        <v>1</v>
      </c>
      <c r="AH2274">
        <v>0</v>
      </c>
    </row>
    <row r="2275" spans="1:34">
      <c r="A2275">
        <v>2026</v>
      </c>
      <c r="B2275" s="1">
        <v>46082</v>
      </c>
      <c r="C2275" t="s">
        <v>2657</v>
      </c>
      <c r="D2275" t="s">
        <v>7897</v>
      </c>
      <c r="E2275" s="43">
        <v>46083.819570868058</v>
      </c>
      <c r="F2275" s="1">
        <v>46083</v>
      </c>
      <c r="G2275" s="43">
        <v>46084.910844293983</v>
      </c>
      <c r="H2275" t="s">
        <v>2668</v>
      </c>
      <c r="I2275" t="s">
        <v>2669</v>
      </c>
      <c r="J2275" t="s">
        <v>37</v>
      </c>
      <c r="L2275" t="s">
        <v>2351</v>
      </c>
      <c r="M2275">
        <v>219314571102</v>
      </c>
      <c r="N2275" t="s">
        <v>2661</v>
      </c>
      <c r="O2275" s="1">
        <v>45835</v>
      </c>
      <c r="T2275" t="s">
        <v>2662</v>
      </c>
      <c r="U2275" t="s">
        <v>7898</v>
      </c>
      <c r="V2275">
        <v>1</v>
      </c>
      <c r="W2275" t="s">
        <v>2677</v>
      </c>
      <c r="X2275">
        <v>1</v>
      </c>
      <c r="Y2275" t="s">
        <v>2779</v>
      </c>
      <c r="AA2275">
        <v>551856008602</v>
      </c>
      <c r="AB2275" t="s">
        <v>1248</v>
      </c>
      <c r="AC2275">
        <v>0</v>
      </c>
      <c r="AD2275">
        <v>10</v>
      </c>
      <c r="AE2275">
        <v>55185600860210</v>
      </c>
      <c r="AF2275" t="s">
        <v>7899</v>
      </c>
      <c r="AG2275">
        <v>1</v>
      </c>
      <c r="AH2275">
        <v>1</v>
      </c>
    </row>
    <row r="2276" spans="1:34">
      <c r="A2276">
        <v>2026</v>
      </c>
      <c r="B2276" s="1">
        <v>46082</v>
      </c>
      <c r="C2276" t="s">
        <v>2657</v>
      </c>
      <c r="D2276" t="s">
        <v>7900</v>
      </c>
      <c r="E2276" s="43">
        <v>46086.798067280091</v>
      </c>
      <c r="F2276" s="1">
        <v>46086</v>
      </c>
      <c r="G2276" s="43">
        <v>46086.798067280091</v>
      </c>
      <c r="H2276" t="s">
        <v>2668</v>
      </c>
      <c r="I2276" t="s">
        <v>2669</v>
      </c>
      <c r="J2276" t="s">
        <v>37</v>
      </c>
      <c r="L2276" t="s">
        <v>2351</v>
      </c>
      <c r="M2276">
        <v>219314571102</v>
      </c>
      <c r="N2276" t="s">
        <v>2661</v>
      </c>
      <c r="O2276" s="1">
        <v>45835</v>
      </c>
      <c r="T2276" t="s">
        <v>2798</v>
      </c>
      <c r="U2276" t="s">
        <v>7901</v>
      </c>
      <c r="V2276">
        <v>6</v>
      </c>
      <c r="W2276" t="s">
        <v>2677</v>
      </c>
      <c r="X2276">
        <v>0</v>
      </c>
      <c r="Y2276" t="s">
        <v>2760</v>
      </c>
      <c r="AA2276">
        <v>551856008602</v>
      </c>
      <c r="AB2276" t="s">
        <v>1248</v>
      </c>
      <c r="AC2276">
        <v>1</v>
      </c>
      <c r="AD2276">
        <v>10</v>
      </c>
      <c r="AE2276">
        <v>55185600860210</v>
      </c>
      <c r="AF2276" t="s">
        <v>7899</v>
      </c>
      <c r="AG2276">
        <v>0</v>
      </c>
      <c r="AH2276">
        <v>0</v>
      </c>
    </row>
    <row r="2277" spans="1:34">
      <c r="A2277">
        <v>2025</v>
      </c>
      <c r="B2277" s="1">
        <v>45962</v>
      </c>
      <c r="C2277" t="s">
        <v>2657</v>
      </c>
      <c r="D2277" t="s">
        <v>7902</v>
      </c>
      <c r="E2277" s="43">
        <v>45968.728357615742</v>
      </c>
      <c r="F2277" s="1">
        <v>45968</v>
      </c>
      <c r="G2277" s="43">
        <v>45973.573090428239</v>
      </c>
      <c r="H2277" t="s">
        <v>2802</v>
      </c>
      <c r="I2277" t="s">
        <v>2669</v>
      </c>
      <c r="J2277" t="s">
        <v>100</v>
      </c>
      <c r="L2277" t="s">
        <v>2393</v>
      </c>
      <c r="M2277">
        <v>475112640202</v>
      </c>
      <c r="N2277" t="s">
        <v>2702</v>
      </c>
      <c r="O2277" s="1">
        <v>45520</v>
      </c>
      <c r="T2277" t="s">
        <v>2662</v>
      </c>
      <c r="U2277" t="s">
        <v>7903</v>
      </c>
      <c r="V2277">
        <v>3</v>
      </c>
      <c r="W2277" t="s">
        <v>2664</v>
      </c>
      <c r="X2277">
        <v>1</v>
      </c>
      <c r="Y2277" t="s">
        <v>2665</v>
      </c>
      <c r="AA2277">
        <v>475112640202</v>
      </c>
      <c r="AB2277" t="s">
        <v>884</v>
      </c>
      <c r="AC2277">
        <v>0</v>
      </c>
      <c r="AD2277">
        <v>45</v>
      </c>
      <c r="AE2277">
        <v>47511264020245</v>
      </c>
      <c r="AF2277" t="s">
        <v>7904</v>
      </c>
      <c r="AG2277">
        <v>1</v>
      </c>
      <c r="AH2277">
        <v>1</v>
      </c>
    </row>
    <row r="2278" spans="1:34">
      <c r="A2278">
        <v>2025</v>
      </c>
      <c r="B2278" s="1">
        <v>45901</v>
      </c>
      <c r="C2278" t="s">
        <v>2657</v>
      </c>
      <c r="D2278" t="s">
        <v>7905</v>
      </c>
      <c r="E2278" s="43">
        <v>45904.70636571759</v>
      </c>
      <c r="F2278" s="1">
        <v>45904</v>
      </c>
      <c r="G2278" s="43">
        <v>45911.587257604166</v>
      </c>
      <c r="H2278" t="s">
        <v>2734</v>
      </c>
      <c r="I2278" t="s">
        <v>2669</v>
      </c>
      <c r="J2278" t="s">
        <v>38</v>
      </c>
      <c r="L2278" t="s">
        <v>2364</v>
      </c>
      <c r="M2278">
        <v>625725137302</v>
      </c>
      <c r="N2278" t="s">
        <v>2661</v>
      </c>
      <c r="O2278" s="1">
        <v>45294</v>
      </c>
      <c r="T2278" t="s">
        <v>2662</v>
      </c>
      <c r="U2278" t="s">
        <v>7906</v>
      </c>
      <c r="V2278">
        <v>5</v>
      </c>
      <c r="W2278" t="s">
        <v>2671</v>
      </c>
      <c r="X2278">
        <v>1</v>
      </c>
      <c r="Y2278" t="s">
        <v>2692</v>
      </c>
      <c r="AA2278">
        <v>625725137302</v>
      </c>
      <c r="AB2278" t="s">
        <v>1537</v>
      </c>
      <c r="AC2278">
        <v>0</v>
      </c>
      <c r="AD2278">
        <v>36</v>
      </c>
      <c r="AE2278">
        <v>62572513730236</v>
      </c>
      <c r="AF2278" t="s">
        <v>7907</v>
      </c>
      <c r="AG2278">
        <v>1</v>
      </c>
      <c r="AH2278">
        <v>1</v>
      </c>
    </row>
    <row r="2279" spans="1:34">
      <c r="A2279">
        <v>2025</v>
      </c>
      <c r="B2279" s="1">
        <v>45901</v>
      </c>
      <c r="C2279" t="s">
        <v>2657</v>
      </c>
      <c r="D2279" t="s">
        <v>7908</v>
      </c>
      <c r="E2279" s="43">
        <v>45916.723630740744</v>
      </c>
      <c r="F2279" s="1">
        <v>45916</v>
      </c>
      <c r="G2279" s="43">
        <v>45925.832442685183</v>
      </c>
      <c r="H2279" t="s">
        <v>2734</v>
      </c>
      <c r="I2279" t="s">
        <v>2719</v>
      </c>
      <c r="J2279" t="s">
        <v>38</v>
      </c>
      <c r="L2279" t="s">
        <v>2364</v>
      </c>
      <c r="M2279">
        <v>625725137302</v>
      </c>
      <c r="N2279" t="s">
        <v>2661</v>
      </c>
      <c r="O2279" s="1">
        <v>45294</v>
      </c>
      <c r="T2279" t="s">
        <v>2662</v>
      </c>
      <c r="U2279" t="s">
        <v>7909</v>
      </c>
      <c r="V2279">
        <v>7</v>
      </c>
      <c r="W2279" t="s">
        <v>2671</v>
      </c>
      <c r="X2279">
        <v>1</v>
      </c>
      <c r="Y2279" t="s">
        <v>2688</v>
      </c>
      <c r="AA2279">
        <v>625725137302</v>
      </c>
      <c r="AB2279" t="s">
        <v>1537</v>
      </c>
      <c r="AC2279">
        <v>0</v>
      </c>
      <c r="AD2279">
        <v>38</v>
      </c>
      <c r="AE2279">
        <v>62572513730238</v>
      </c>
      <c r="AF2279" t="s">
        <v>7907</v>
      </c>
      <c r="AG2279">
        <v>0</v>
      </c>
      <c r="AH2279">
        <v>0</v>
      </c>
    </row>
    <row r="2280" spans="1:34">
      <c r="A2280">
        <v>2025</v>
      </c>
      <c r="B2280" s="1">
        <v>45901</v>
      </c>
      <c r="C2280" t="s">
        <v>2657</v>
      </c>
      <c r="D2280" t="s">
        <v>7910</v>
      </c>
      <c r="E2280" s="43">
        <v>45915.803868263887</v>
      </c>
      <c r="F2280" s="1">
        <v>45915</v>
      </c>
      <c r="G2280" s="43">
        <v>45922.580588807868</v>
      </c>
      <c r="H2280" t="s">
        <v>2734</v>
      </c>
      <c r="I2280" t="s">
        <v>2719</v>
      </c>
      <c r="J2280" t="s">
        <v>38</v>
      </c>
      <c r="L2280" t="s">
        <v>2364</v>
      </c>
      <c r="M2280">
        <v>810505986102</v>
      </c>
      <c r="N2280" t="s">
        <v>2661</v>
      </c>
      <c r="O2280" s="1">
        <v>45492</v>
      </c>
      <c r="T2280" t="s">
        <v>2662</v>
      </c>
      <c r="U2280" t="s">
        <v>7911</v>
      </c>
      <c r="V2280">
        <v>5</v>
      </c>
      <c r="W2280" t="s">
        <v>2677</v>
      </c>
      <c r="X2280">
        <v>1</v>
      </c>
      <c r="Y2280" t="s">
        <v>2807</v>
      </c>
      <c r="AA2280">
        <v>625725137302</v>
      </c>
      <c r="AB2280" t="s">
        <v>1537</v>
      </c>
      <c r="AC2280">
        <v>0</v>
      </c>
      <c r="AD2280">
        <v>38</v>
      </c>
      <c r="AE2280">
        <v>62572513730238</v>
      </c>
      <c r="AF2280" t="s">
        <v>7907</v>
      </c>
      <c r="AG2280">
        <v>1</v>
      </c>
      <c r="AH2280">
        <v>0</v>
      </c>
    </row>
    <row r="2281" spans="1:34">
      <c r="A2281">
        <v>2025</v>
      </c>
      <c r="B2281" s="1">
        <v>45901</v>
      </c>
      <c r="C2281" t="s">
        <v>2657</v>
      </c>
      <c r="D2281" t="s">
        <v>7912</v>
      </c>
      <c r="E2281" s="43">
        <v>45923.615616620373</v>
      </c>
      <c r="F2281" s="1">
        <v>45923</v>
      </c>
      <c r="G2281" s="43">
        <v>45945.687757766202</v>
      </c>
      <c r="H2281" t="s">
        <v>2734</v>
      </c>
      <c r="I2281" t="s">
        <v>2660</v>
      </c>
      <c r="J2281" t="s">
        <v>38</v>
      </c>
      <c r="L2281" t="s">
        <v>2364</v>
      </c>
      <c r="M2281">
        <v>810505986102</v>
      </c>
      <c r="N2281" t="s">
        <v>2661</v>
      </c>
      <c r="O2281" s="1">
        <v>45492</v>
      </c>
      <c r="T2281" t="s">
        <v>2662</v>
      </c>
      <c r="U2281" t="s">
        <v>7913</v>
      </c>
      <c r="V2281">
        <v>16</v>
      </c>
      <c r="W2281" t="s">
        <v>2677</v>
      </c>
      <c r="X2281">
        <v>1</v>
      </c>
      <c r="Y2281" t="s">
        <v>2807</v>
      </c>
      <c r="Z2281" t="s">
        <v>2684</v>
      </c>
      <c r="AA2281">
        <v>625725137302</v>
      </c>
      <c r="AB2281" t="s">
        <v>1537</v>
      </c>
      <c r="AC2281">
        <v>0</v>
      </c>
      <c r="AD2281">
        <v>39</v>
      </c>
      <c r="AE2281">
        <v>62572513730239</v>
      </c>
      <c r="AF2281" t="s">
        <v>7907</v>
      </c>
      <c r="AG2281">
        <v>1</v>
      </c>
      <c r="AH2281">
        <v>0</v>
      </c>
    </row>
    <row r="2282" spans="1:34">
      <c r="A2282">
        <v>2025</v>
      </c>
      <c r="B2282" s="1">
        <v>45870</v>
      </c>
      <c r="C2282" t="s">
        <v>2657</v>
      </c>
      <c r="D2282" s="44" t="s">
        <v>7914</v>
      </c>
      <c r="E2282" s="43">
        <v>45870.600211851852</v>
      </c>
      <c r="F2282" s="1">
        <v>45870</v>
      </c>
      <c r="G2282" s="43">
        <v>45894.658028587961</v>
      </c>
      <c r="H2282" t="s">
        <v>3088</v>
      </c>
      <c r="I2282" t="s">
        <v>2669</v>
      </c>
      <c r="J2282" t="s">
        <v>2735</v>
      </c>
      <c r="L2282" t="s">
        <v>2336</v>
      </c>
      <c r="M2282">
        <v>161445746002</v>
      </c>
      <c r="N2282" t="s">
        <v>2746</v>
      </c>
      <c r="O2282" s="1">
        <v>45673</v>
      </c>
      <c r="T2282" t="s">
        <v>2662</v>
      </c>
      <c r="U2282" t="s">
        <v>7915</v>
      </c>
      <c r="V2282">
        <v>16</v>
      </c>
      <c r="W2282" t="s">
        <v>2743</v>
      </c>
      <c r="X2282">
        <v>1</v>
      </c>
      <c r="Y2282" t="s">
        <v>2699</v>
      </c>
      <c r="Z2282" t="s">
        <v>2684</v>
      </c>
      <c r="AA2282">
        <v>11103651302</v>
      </c>
      <c r="AB2282" t="s">
        <v>1482</v>
      </c>
      <c r="AC2282">
        <v>0</v>
      </c>
      <c r="AD2282">
        <v>31</v>
      </c>
      <c r="AE2282">
        <v>1110365130231</v>
      </c>
      <c r="AF2282" t="s">
        <v>7916</v>
      </c>
      <c r="AG2282">
        <v>1</v>
      </c>
      <c r="AH2282">
        <v>1</v>
      </c>
    </row>
    <row r="2283" spans="1:34">
      <c r="A2283">
        <v>2025</v>
      </c>
      <c r="B2283" s="1">
        <v>45870</v>
      </c>
      <c r="C2283" t="s">
        <v>2657</v>
      </c>
      <c r="D2283" t="s">
        <v>7917</v>
      </c>
      <c r="E2283" s="43">
        <v>45874.742504664355</v>
      </c>
      <c r="F2283" s="1">
        <v>45874</v>
      </c>
      <c r="G2283" s="43">
        <v>45895.597633159719</v>
      </c>
      <c r="H2283" t="s">
        <v>3088</v>
      </c>
      <c r="I2283" t="s">
        <v>2669</v>
      </c>
      <c r="J2283" t="s">
        <v>2735</v>
      </c>
      <c r="L2283" t="s">
        <v>2336</v>
      </c>
      <c r="M2283">
        <v>161445746002</v>
      </c>
      <c r="N2283" t="s">
        <v>2746</v>
      </c>
      <c r="O2283" s="1">
        <v>45673</v>
      </c>
      <c r="T2283" t="s">
        <v>2662</v>
      </c>
      <c r="U2283" t="s">
        <v>7918</v>
      </c>
      <c r="V2283">
        <v>15</v>
      </c>
      <c r="W2283" t="s">
        <v>2743</v>
      </c>
      <c r="X2283">
        <v>1</v>
      </c>
      <c r="Y2283" t="s">
        <v>2699</v>
      </c>
      <c r="Z2283" t="s">
        <v>2684</v>
      </c>
      <c r="AA2283">
        <v>11103651302</v>
      </c>
      <c r="AB2283" t="s">
        <v>1482</v>
      </c>
      <c r="AC2283">
        <v>0</v>
      </c>
      <c r="AD2283">
        <v>32</v>
      </c>
      <c r="AE2283">
        <v>1110365130232</v>
      </c>
      <c r="AF2283" t="s">
        <v>7916</v>
      </c>
      <c r="AG2283">
        <v>0</v>
      </c>
      <c r="AH2283">
        <v>0</v>
      </c>
    </row>
    <row r="2284" spans="1:34">
      <c r="A2284">
        <v>2025</v>
      </c>
      <c r="B2284" s="1">
        <v>45870</v>
      </c>
      <c r="C2284" t="s">
        <v>2657</v>
      </c>
      <c r="D2284" t="s">
        <v>7919</v>
      </c>
      <c r="E2284" s="43">
        <v>45875.693140324074</v>
      </c>
      <c r="F2284" s="1">
        <v>45875</v>
      </c>
      <c r="G2284" s="43">
        <v>45888.860584942129</v>
      </c>
      <c r="H2284" t="s">
        <v>3088</v>
      </c>
      <c r="I2284" t="s">
        <v>2669</v>
      </c>
      <c r="J2284" t="s">
        <v>2735</v>
      </c>
      <c r="L2284" t="s">
        <v>2336</v>
      </c>
      <c r="M2284">
        <v>161445746002</v>
      </c>
      <c r="N2284" t="s">
        <v>2746</v>
      </c>
      <c r="O2284" s="1">
        <v>45673</v>
      </c>
      <c r="T2284" t="s">
        <v>2662</v>
      </c>
      <c r="U2284" t="s">
        <v>7920</v>
      </c>
      <c r="V2284">
        <v>9</v>
      </c>
      <c r="W2284" t="s">
        <v>2743</v>
      </c>
      <c r="X2284">
        <v>1</v>
      </c>
      <c r="Y2284" t="s">
        <v>2985</v>
      </c>
      <c r="AA2284">
        <v>11103651302</v>
      </c>
      <c r="AB2284" t="s">
        <v>1482</v>
      </c>
      <c r="AC2284">
        <v>0</v>
      </c>
      <c r="AD2284">
        <v>32</v>
      </c>
      <c r="AE2284">
        <v>1110365130232</v>
      </c>
      <c r="AF2284" t="s">
        <v>7916</v>
      </c>
      <c r="AG2284">
        <v>0</v>
      </c>
      <c r="AH2284">
        <v>0</v>
      </c>
    </row>
    <row r="2285" spans="1:34">
      <c r="A2285">
        <v>2025</v>
      </c>
      <c r="B2285" s="1">
        <v>45870</v>
      </c>
      <c r="C2285" t="s">
        <v>2657</v>
      </c>
      <c r="D2285" t="s">
        <v>7921</v>
      </c>
      <c r="E2285" s="43">
        <v>45874.720858391207</v>
      </c>
      <c r="F2285" s="1">
        <v>45874</v>
      </c>
      <c r="G2285" s="43">
        <v>45874.743736655095</v>
      </c>
      <c r="H2285" t="s">
        <v>3088</v>
      </c>
      <c r="I2285" t="s">
        <v>2669</v>
      </c>
      <c r="J2285" t="s">
        <v>2735</v>
      </c>
      <c r="L2285" t="s">
        <v>2336</v>
      </c>
      <c r="M2285">
        <v>161445746002</v>
      </c>
      <c r="N2285" t="s">
        <v>2746</v>
      </c>
      <c r="O2285" s="1">
        <v>45673</v>
      </c>
      <c r="T2285" t="s">
        <v>2662</v>
      </c>
      <c r="U2285" t="s">
        <v>7922</v>
      </c>
      <c r="V2285">
        <v>0</v>
      </c>
      <c r="W2285" t="s">
        <v>2671</v>
      </c>
      <c r="X2285">
        <v>1</v>
      </c>
      <c r="AA2285">
        <v>11103651302</v>
      </c>
      <c r="AB2285" t="s">
        <v>1482</v>
      </c>
      <c r="AC2285">
        <v>0</v>
      </c>
      <c r="AD2285">
        <v>32</v>
      </c>
      <c r="AE2285">
        <v>1110365130232</v>
      </c>
      <c r="AF2285" t="s">
        <v>7916</v>
      </c>
      <c r="AG2285">
        <v>1</v>
      </c>
      <c r="AH2285">
        <v>0</v>
      </c>
    </row>
    <row r="2286" spans="1:34">
      <c r="A2286">
        <v>2025</v>
      </c>
      <c r="B2286" s="1">
        <v>45870</v>
      </c>
      <c r="C2286" t="s">
        <v>2657</v>
      </c>
      <c r="D2286" t="s">
        <v>7923</v>
      </c>
      <c r="E2286" s="43">
        <v>45883.584283819444</v>
      </c>
      <c r="F2286" s="1">
        <v>45883</v>
      </c>
      <c r="G2286" s="43">
        <v>45919.667189363427</v>
      </c>
      <c r="H2286" t="s">
        <v>3088</v>
      </c>
      <c r="I2286" t="s">
        <v>2681</v>
      </c>
      <c r="J2286" t="s">
        <v>2735</v>
      </c>
      <c r="L2286" t="s">
        <v>2336</v>
      </c>
      <c r="M2286">
        <v>161445746002</v>
      </c>
      <c r="N2286" t="s">
        <v>2746</v>
      </c>
      <c r="O2286" s="1">
        <v>45673</v>
      </c>
      <c r="T2286" t="s">
        <v>2662</v>
      </c>
      <c r="U2286" t="s">
        <v>7924</v>
      </c>
      <c r="V2286">
        <v>26</v>
      </c>
      <c r="W2286" t="s">
        <v>2671</v>
      </c>
      <c r="X2286">
        <v>1</v>
      </c>
      <c r="Y2286" t="s">
        <v>2692</v>
      </c>
      <c r="Z2286" t="s">
        <v>2834</v>
      </c>
      <c r="AA2286">
        <v>11103651302</v>
      </c>
      <c r="AB2286" t="s">
        <v>1482</v>
      </c>
      <c r="AC2286">
        <v>0</v>
      </c>
      <c r="AD2286">
        <v>33</v>
      </c>
      <c r="AE2286">
        <v>1110365130233</v>
      </c>
      <c r="AF2286" t="s">
        <v>7916</v>
      </c>
      <c r="AG2286">
        <v>1</v>
      </c>
      <c r="AH2286">
        <v>0</v>
      </c>
    </row>
    <row r="2287" spans="1:34">
      <c r="A2287">
        <v>2025</v>
      </c>
      <c r="B2287" s="1">
        <v>45870</v>
      </c>
      <c r="C2287" t="s">
        <v>2657</v>
      </c>
      <c r="D2287" t="s">
        <v>7925</v>
      </c>
      <c r="E2287" s="43">
        <v>45884.807159050928</v>
      </c>
      <c r="F2287" s="1">
        <v>45884</v>
      </c>
      <c r="G2287" s="43">
        <v>45889.715345081022</v>
      </c>
      <c r="H2287" t="s">
        <v>3088</v>
      </c>
      <c r="I2287" t="s">
        <v>2719</v>
      </c>
      <c r="J2287" t="s">
        <v>2735</v>
      </c>
      <c r="L2287" t="s">
        <v>2336</v>
      </c>
      <c r="M2287">
        <v>161445746002</v>
      </c>
      <c r="N2287" t="s">
        <v>2746</v>
      </c>
      <c r="O2287" s="1">
        <v>45673</v>
      </c>
      <c r="T2287" t="s">
        <v>2662</v>
      </c>
      <c r="U2287" t="s">
        <v>7926</v>
      </c>
      <c r="V2287">
        <v>3</v>
      </c>
      <c r="W2287" t="s">
        <v>2743</v>
      </c>
      <c r="X2287">
        <v>1</v>
      </c>
      <c r="Y2287" t="s">
        <v>2699</v>
      </c>
      <c r="AA2287">
        <v>11103651302</v>
      </c>
      <c r="AB2287" t="s">
        <v>1482</v>
      </c>
      <c r="AC2287">
        <v>0</v>
      </c>
      <c r="AD2287">
        <v>33</v>
      </c>
      <c r="AE2287">
        <v>1110365130233</v>
      </c>
      <c r="AF2287" t="s">
        <v>7916</v>
      </c>
      <c r="AG2287">
        <v>0</v>
      </c>
      <c r="AH2287">
        <v>0</v>
      </c>
    </row>
    <row r="2288" spans="1:34">
      <c r="A2288">
        <v>2025</v>
      </c>
      <c r="B2288" s="1">
        <v>45870</v>
      </c>
      <c r="C2288" t="s">
        <v>2657</v>
      </c>
      <c r="D2288" t="s">
        <v>7927</v>
      </c>
      <c r="E2288" s="43">
        <v>45898.755511643518</v>
      </c>
      <c r="F2288" s="1">
        <v>45898</v>
      </c>
      <c r="G2288" s="43">
        <v>45912.662252187503</v>
      </c>
      <c r="H2288" t="s">
        <v>3088</v>
      </c>
      <c r="I2288" t="s">
        <v>2697</v>
      </c>
      <c r="J2288" t="s">
        <v>2735</v>
      </c>
      <c r="L2288" t="s">
        <v>2336</v>
      </c>
      <c r="M2288">
        <v>161445746002</v>
      </c>
      <c r="N2288" t="s">
        <v>2746</v>
      </c>
      <c r="O2288" s="1">
        <v>45673</v>
      </c>
      <c r="T2288" t="s">
        <v>2662</v>
      </c>
      <c r="U2288" t="s">
        <v>7928</v>
      </c>
      <c r="V2288">
        <v>10</v>
      </c>
      <c r="W2288" t="s">
        <v>2677</v>
      </c>
      <c r="X2288">
        <v>1</v>
      </c>
      <c r="Y2288" t="s">
        <v>2764</v>
      </c>
      <c r="AA2288">
        <v>11103651302</v>
      </c>
      <c r="AB2288" t="s">
        <v>1482</v>
      </c>
      <c r="AC2288">
        <v>0</v>
      </c>
      <c r="AD2288">
        <v>35</v>
      </c>
      <c r="AE2288">
        <v>1110365130235</v>
      </c>
      <c r="AF2288" t="s">
        <v>7916</v>
      </c>
      <c r="AG2288">
        <v>1</v>
      </c>
      <c r="AH2288">
        <v>0</v>
      </c>
    </row>
    <row r="2289" spans="1:34">
      <c r="A2289">
        <v>2025</v>
      </c>
      <c r="B2289" s="1">
        <v>45931</v>
      </c>
      <c r="C2289" t="s">
        <v>2657</v>
      </c>
      <c r="D2289" t="s">
        <v>7929</v>
      </c>
      <c r="E2289" s="43">
        <v>45958.864757118055</v>
      </c>
      <c r="F2289" s="1">
        <v>45958</v>
      </c>
      <c r="G2289" s="43">
        <v>45959.612147997686</v>
      </c>
      <c r="H2289" t="s">
        <v>2659</v>
      </c>
      <c r="I2289" t="s">
        <v>2660</v>
      </c>
      <c r="J2289" t="s">
        <v>2735</v>
      </c>
      <c r="L2289" t="s">
        <v>2362</v>
      </c>
      <c r="M2289">
        <v>103928980802</v>
      </c>
      <c r="N2289" t="s">
        <v>2746</v>
      </c>
      <c r="O2289" s="1">
        <v>45661</v>
      </c>
      <c r="T2289" t="s">
        <v>2662</v>
      </c>
      <c r="U2289" t="s">
        <v>7930</v>
      </c>
      <c r="V2289">
        <v>1</v>
      </c>
      <c r="W2289" t="s">
        <v>2704</v>
      </c>
      <c r="X2289">
        <v>1</v>
      </c>
      <c r="Y2289" t="s">
        <v>2721</v>
      </c>
      <c r="AA2289">
        <v>103928980802</v>
      </c>
      <c r="AB2289" t="s">
        <v>1764</v>
      </c>
      <c r="AC2289">
        <v>0</v>
      </c>
      <c r="AD2289">
        <v>44</v>
      </c>
      <c r="AE2289">
        <v>10392898080244</v>
      </c>
      <c r="AF2289" t="s">
        <v>7931</v>
      </c>
      <c r="AG2289">
        <v>1</v>
      </c>
      <c r="AH2289">
        <v>0</v>
      </c>
    </row>
    <row r="2290" spans="1:34">
      <c r="A2290">
        <v>2025</v>
      </c>
      <c r="B2290" s="1">
        <v>45931</v>
      </c>
      <c r="C2290" t="s">
        <v>2657</v>
      </c>
      <c r="D2290" t="s">
        <v>7932</v>
      </c>
      <c r="E2290" s="43">
        <v>45953.794555046297</v>
      </c>
      <c r="F2290" s="1">
        <v>45953</v>
      </c>
      <c r="G2290" s="43">
        <v>45959.806723692127</v>
      </c>
      <c r="H2290" t="s">
        <v>2659</v>
      </c>
      <c r="I2290" t="s">
        <v>2660</v>
      </c>
      <c r="J2290" t="s">
        <v>2735</v>
      </c>
      <c r="L2290" t="s">
        <v>2362</v>
      </c>
      <c r="M2290">
        <v>103928980802</v>
      </c>
      <c r="N2290" t="s">
        <v>2746</v>
      </c>
      <c r="O2290" s="1">
        <v>45661</v>
      </c>
      <c r="T2290" t="s">
        <v>2662</v>
      </c>
      <c r="U2290" t="s">
        <v>7933</v>
      </c>
      <c r="V2290">
        <v>4</v>
      </c>
      <c r="W2290" t="s">
        <v>2743</v>
      </c>
      <c r="X2290">
        <v>1</v>
      </c>
      <c r="Y2290" t="s">
        <v>2764</v>
      </c>
      <c r="AA2290">
        <v>103928980802</v>
      </c>
      <c r="AB2290" t="s">
        <v>1764</v>
      </c>
      <c r="AC2290">
        <v>0</v>
      </c>
      <c r="AD2290">
        <v>43</v>
      </c>
      <c r="AE2290">
        <v>10392898080243</v>
      </c>
      <c r="AF2290" t="s">
        <v>7931</v>
      </c>
      <c r="AG2290">
        <v>0</v>
      </c>
      <c r="AH2290">
        <v>0</v>
      </c>
    </row>
    <row r="2291" spans="1:34">
      <c r="A2291">
        <v>2025</v>
      </c>
      <c r="B2291" s="1">
        <v>45931</v>
      </c>
      <c r="C2291" t="s">
        <v>2657</v>
      </c>
      <c r="D2291" t="s">
        <v>7934</v>
      </c>
      <c r="E2291" s="43">
        <v>45952.615804374997</v>
      </c>
      <c r="F2291" s="1">
        <v>45952</v>
      </c>
      <c r="G2291" s="43">
        <v>45957.764130474534</v>
      </c>
      <c r="H2291" t="s">
        <v>2659</v>
      </c>
      <c r="I2291" t="s">
        <v>2660</v>
      </c>
      <c r="J2291" t="s">
        <v>2735</v>
      </c>
      <c r="L2291" t="s">
        <v>2362</v>
      </c>
      <c r="M2291">
        <v>103928980802</v>
      </c>
      <c r="N2291" t="s">
        <v>2746</v>
      </c>
      <c r="O2291" s="1">
        <v>45661</v>
      </c>
      <c r="T2291" t="s">
        <v>2662</v>
      </c>
      <c r="U2291" t="s">
        <v>7935</v>
      </c>
      <c r="V2291">
        <v>3</v>
      </c>
      <c r="W2291" t="s">
        <v>2743</v>
      </c>
      <c r="X2291">
        <v>1</v>
      </c>
      <c r="Y2291" t="s">
        <v>2699</v>
      </c>
      <c r="AA2291">
        <v>103928980802</v>
      </c>
      <c r="AB2291" t="s">
        <v>1764</v>
      </c>
      <c r="AC2291">
        <v>0</v>
      </c>
      <c r="AD2291">
        <v>43</v>
      </c>
      <c r="AE2291">
        <v>10392898080243</v>
      </c>
      <c r="AF2291" t="s">
        <v>7931</v>
      </c>
      <c r="AG2291">
        <v>1</v>
      </c>
      <c r="AH2291">
        <v>1</v>
      </c>
    </row>
    <row r="2292" spans="1:34">
      <c r="A2292">
        <v>2025</v>
      </c>
      <c r="B2292" s="1">
        <v>45931</v>
      </c>
      <c r="C2292" t="s">
        <v>2657</v>
      </c>
      <c r="D2292" t="s">
        <v>7936</v>
      </c>
      <c r="E2292" s="43">
        <v>45960.640773749998</v>
      </c>
      <c r="F2292" s="1">
        <v>45960</v>
      </c>
      <c r="G2292" s="43">
        <v>45960.879409803238</v>
      </c>
      <c r="H2292" t="s">
        <v>2659</v>
      </c>
      <c r="I2292" t="s">
        <v>2697</v>
      </c>
      <c r="J2292" t="s">
        <v>2735</v>
      </c>
      <c r="L2292" t="s">
        <v>2362</v>
      </c>
      <c r="M2292">
        <v>103928980802</v>
      </c>
      <c r="N2292" t="s">
        <v>2746</v>
      </c>
      <c r="O2292" s="1">
        <v>45661</v>
      </c>
      <c r="T2292" t="s">
        <v>2662</v>
      </c>
      <c r="U2292" t="s">
        <v>7937</v>
      </c>
      <c r="V2292">
        <v>0</v>
      </c>
      <c r="W2292" t="s">
        <v>2743</v>
      </c>
      <c r="X2292">
        <v>1</v>
      </c>
      <c r="Y2292" t="s">
        <v>2699</v>
      </c>
      <c r="AA2292">
        <v>103928980802</v>
      </c>
      <c r="AB2292" t="s">
        <v>1764</v>
      </c>
      <c r="AC2292">
        <v>0</v>
      </c>
      <c r="AD2292">
        <v>44</v>
      </c>
      <c r="AE2292">
        <v>10392898080244</v>
      </c>
      <c r="AF2292" t="s">
        <v>7931</v>
      </c>
      <c r="AG2292">
        <v>0</v>
      </c>
      <c r="AH2292">
        <v>0</v>
      </c>
    </row>
    <row r="2293" spans="1:34">
      <c r="A2293">
        <v>2025</v>
      </c>
      <c r="B2293" s="1">
        <v>45992</v>
      </c>
      <c r="C2293" t="s">
        <v>2657</v>
      </c>
      <c r="D2293" t="s">
        <v>7938</v>
      </c>
      <c r="E2293" s="43">
        <v>46006.867169201389</v>
      </c>
      <c r="F2293" s="1">
        <v>46006</v>
      </c>
      <c r="G2293" s="43">
        <v>46020.54007570602</v>
      </c>
      <c r="H2293" t="s">
        <v>2686</v>
      </c>
      <c r="I2293" t="s">
        <v>2719</v>
      </c>
      <c r="J2293" t="s">
        <v>36</v>
      </c>
      <c r="L2293" t="s">
        <v>2355</v>
      </c>
      <c r="M2293">
        <v>94015899402</v>
      </c>
      <c r="N2293" t="s">
        <v>2702</v>
      </c>
      <c r="O2293" s="1">
        <v>45362</v>
      </c>
      <c r="T2293" t="s">
        <v>2662</v>
      </c>
      <c r="U2293" t="s">
        <v>7939</v>
      </c>
      <c r="V2293">
        <v>10</v>
      </c>
      <c r="X2293">
        <v>1</v>
      </c>
      <c r="Y2293" t="s">
        <v>2688</v>
      </c>
      <c r="AA2293">
        <v>94015899402</v>
      </c>
      <c r="AB2293" t="s">
        <v>2469</v>
      </c>
      <c r="AC2293">
        <v>0</v>
      </c>
      <c r="AD2293">
        <v>51</v>
      </c>
      <c r="AE2293">
        <v>9401589940251</v>
      </c>
      <c r="AF2293" t="s">
        <v>7940</v>
      </c>
      <c r="AG2293">
        <v>1</v>
      </c>
      <c r="AH2293">
        <v>1</v>
      </c>
    </row>
    <row r="2294" spans="1:34">
      <c r="A2294">
        <v>2025</v>
      </c>
      <c r="B2294" s="1">
        <v>45962</v>
      </c>
      <c r="C2294" t="s">
        <v>2657</v>
      </c>
      <c r="D2294" t="s">
        <v>7941</v>
      </c>
      <c r="E2294" s="43">
        <v>45966.809945972222</v>
      </c>
      <c r="F2294" s="1">
        <v>45966</v>
      </c>
      <c r="G2294" s="43">
        <v>45972.83289553241</v>
      </c>
      <c r="H2294" t="s">
        <v>2802</v>
      </c>
      <c r="I2294" t="s">
        <v>2669</v>
      </c>
      <c r="J2294" t="s">
        <v>37</v>
      </c>
      <c r="L2294" t="s">
        <v>2421</v>
      </c>
      <c r="M2294">
        <v>55427353102</v>
      </c>
      <c r="N2294" t="s">
        <v>2661</v>
      </c>
      <c r="O2294" s="1">
        <v>45294</v>
      </c>
      <c r="T2294" t="s">
        <v>2662</v>
      </c>
      <c r="U2294" t="s">
        <v>7942</v>
      </c>
      <c r="V2294">
        <v>4</v>
      </c>
      <c r="W2294" t="s">
        <v>2677</v>
      </c>
      <c r="X2294">
        <v>1</v>
      </c>
      <c r="Y2294" t="s">
        <v>2807</v>
      </c>
      <c r="AA2294">
        <v>55427353102</v>
      </c>
      <c r="AB2294" t="s">
        <v>1972</v>
      </c>
      <c r="AC2294">
        <v>0</v>
      </c>
      <c r="AD2294">
        <v>45</v>
      </c>
      <c r="AE2294">
        <v>5542735310245</v>
      </c>
      <c r="AF2294" t="s">
        <v>7943</v>
      </c>
      <c r="AG2294">
        <v>1</v>
      </c>
      <c r="AH2294">
        <v>1</v>
      </c>
    </row>
    <row r="2295" spans="1:34">
      <c r="A2295">
        <v>2025</v>
      </c>
      <c r="B2295" s="1">
        <v>45962</v>
      </c>
      <c r="C2295" t="s">
        <v>2657</v>
      </c>
      <c r="D2295" t="s">
        <v>7944</v>
      </c>
      <c r="E2295" s="43">
        <v>45972.874885497688</v>
      </c>
      <c r="F2295" s="1">
        <v>45972</v>
      </c>
      <c r="G2295" s="43">
        <v>45988.858852500001</v>
      </c>
      <c r="H2295" t="s">
        <v>2802</v>
      </c>
      <c r="I2295" t="s">
        <v>2681</v>
      </c>
      <c r="J2295" t="s">
        <v>37</v>
      </c>
      <c r="L2295" t="s">
        <v>2421</v>
      </c>
      <c r="M2295">
        <v>55427353102</v>
      </c>
      <c r="N2295" t="s">
        <v>2661</v>
      </c>
      <c r="O2295" s="1">
        <v>45294</v>
      </c>
      <c r="T2295" t="s">
        <v>2662</v>
      </c>
      <c r="U2295" t="s">
        <v>7945</v>
      </c>
      <c r="V2295">
        <v>12</v>
      </c>
      <c r="W2295" t="s">
        <v>2671</v>
      </c>
      <c r="X2295">
        <v>1</v>
      </c>
      <c r="Y2295" t="s">
        <v>2760</v>
      </c>
      <c r="Z2295" t="s">
        <v>2684</v>
      </c>
      <c r="AA2295">
        <v>55427353102</v>
      </c>
      <c r="AB2295" t="s">
        <v>1972</v>
      </c>
      <c r="AC2295">
        <v>0</v>
      </c>
      <c r="AD2295">
        <v>46</v>
      </c>
      <c r="AE2295">
        <v>5542735310246</v>
      </c>
      <c r="AF2295" t="s">
        <v>7943</v>
      </c>
      <c r="AG2295">
        <v>1</v>
      </c>
      <c r="AH2295">
        <v>0</v>
      </c>
    </row>
    <row r="2296" spans="1:34">
      <c r="A2296">
        <v>2025</v>
      </c>
      <c r="B2296" s="1">
        <v>45962</v>
      </c>
      <c r="C2296" t="s">
        <v>2657</v>
      </c>
      <c r="D2296" t="s">
        <v>7946</v>
      </c>
      <c r="E2296" s="43">
        <v>45975.877671504626</v>
      </c>
      <c r="F2296" s="1">
        <v>45975</v>
      </c>
      <c r="G2296" s="43">
        <v>45985.765277314815</v>
      </c>
      <c r="H2296" t="s">
        <v>2802</v>
      </c>
      <c r="I2296" t="s">
        <v>2681</v>
      </c>
      <c r="J2296" t="s">
        <v>36</v>
      </c>
      <c r="L2296" t="s">
        <v>2421</v>
      </c>
      <c r="M2296">
        <v>55427353102</v>
      </c>
      <c r="N2296" t="s">
        <v>2661</v>
      </c>
      <c r="O2296" s="1">
        <v>45294</v>
      </c>
      <c r="T2296" t="s">
        <v>2662</v>
      </c>
      <c r="U2296" t="s">
        <v>7947</v>
      </c>
      <c r="V2296">
        <v>6</v>
      </c>
      <c r="W2296" t="s">
        <v>2743</v>
      </c>
      <c r="X2296">
        <v>1</v>
      </c>
      <c r="Y2296" t="s">
        <v>2772</v>
      </c>
      <c r="AA2296">
        <v>55427353102</v>
      </c>
      <c r="AB2296" t="s">
        <v>1972</v>
      </c>
      <c r="AC2296">
        <v>0</v>
      </c>
      <c r="AD2296">
        <v>46</v>
      </c>
      <c r="AE2296">
        <v>5542735310246</v>
      </c>
      <c r="AF2296" t="s">
        <v>7943</v>
      </c>
      <c r="AG2296">
        <v>0</v>
      </c>
      <c r="AH2296">
        <v>0</v>
      </c>
    </row>
    <row r="2297" spans="1:34">
      <c r="A2297">
        <v>2025</v>
      </c>
      <c r="B2297" s="1">
        <v>45962</v>
      </c>
      <c r="C2297" t="s">
        <v>2657</v>
      </c>
      <c r="D2297" t="s">
        <v>7948</v>
      </c>
      <c r="E2297" s="43">
        <v>45980.832673101853</v>
      </c>
      <c r="F2297" s="1">
        <v>45980</v>
      </c>
      <c r="G2297" s="43">
        <v>45982.764087916665</v>
      </c>
      <c r="H2297" t="s">
        <v>2802</v>
      </c>
      <c r="I2297" t="s">
        <v>2719</v>
      </c>
      <c r="J2297" t="s">
        <v>36</v>
      </c>
      <c r="L2297" t="s">
        <v>2421</v>
      </c>
      <c r="M2297">
        <v>55427353102</v>
      </c>
      <c r="N2297" t="s">
        <v>2661</v>
      </c>
      <c r="O2297" s="1">
        <v>45294</v>
      </c>
      <c r="T2297" t="s">
        <v>2662</v>
      </c>
      <c r="U2297" t="s">
        <v>7949</v>
      </c>
      <c r="V2297">
        <v>2</v>
      </c>
      <c r="W2297" t="s">
        <v>2677</v>
      </c>
      <c r="X2297">
        <v>1</v>
      </c>
      <c r="Y2297" t="s">
        <v>2807</v>
      </c>
      <c r="AA2297">
        <v>55427353102</v>
      </c>
      <c r="AB2297" t="s">
        <v>1972</v>
      </c>
      <c r="AC2297">
        <v>0</v>
      </c>
      <c r="AD2297">
        <v>47</v>
      </c>
      <c r="AE2297">
        <v>5542735310247</v>
      </c>
      <c r="AF2297" t="s">
        <v>7943</v>
      </c>
      <c r="AG2297">
        <v>0</v>
      </c>
      <c r="AH2297">
        <v>0</v>
      </c>
    </row>
    <row r="2298" spans="1:34">
      <c r="A2298">
        <v>2025</v>
      </c>
      <c r="B2298" s="1">
        <v>45962</v>
      </c>
      <c r="C2298" t="s">
        <v>2657</v>
      </c>
      <c r="D2298" t="s">
        <v>7950</v>
      </c>
      <c r="E2298" s="43">
        <v>45978.565898668981</v>
      </c>
      <c r="F2298" s="1">
        <v>45978</v>
      </c>
      <c r="G2298" s="43">
        <v>45978.704781180553</v>
      </c>
      <c r="H2298" t="s">
        <v>2802</v>
      </c>
      <c r="I2298" t="s">
        <v>2719</v>
      </c>
      <c r="J2298" t="s">
        <v>36</v>
      </c>
      <c r="L2298" t="s">
        <v>2421</v>
      </c>
      <c r="M2298">
        <v>55427353102</v>
      </c>
      <c r="N2298" t="s">
        <v>2661</v>
      </c>
      <c r="O2298" s="1">
        <v>45294</v>
      </c>
      <c r="T2298" t="s">
        <v>2662</v>
      </c>
      <c r="U2298" t="s">
        <v>7951</v>
      </c>
      <c r="V2298">
        <v>0</v>
      </c>
      <c r="W2298" t="s">
        <v>2677</v>
      </c>
      <c r="X2298">
        <v>1</v>
      </c>
      <c r="Y2298" t="s">
        <v>2779</v>
      </c>
      <c r="AA2298">
        <v>55427353102</v>
      </c>
      <c r="AB2298" t="s">
        <v>1972</v>
      </c>
      <c r="AC2298">
        <v>0</v>
      </c>
      <c r="AD2298">
        <v>47</v>
      </c>
      <c r="AE2298">
        <v>5542735310247</v>
      </c>
      <c r="AF2298" t="s">
        <v>7943</v>
      </c>
      <c r="AG2298">
        <v>1</v>
      </c>
      <c r="AH2298">
        <v>0</v>
      </c>
    </row>
    <row r="2299" spans="1:34">
      <c r="A2299">
        <v>2025</v>
      </c>
      <c r="B2299" s="1">
        <v>45962</v>
      </c>
      <c r="C2299" t="s">
        <v>2657</v>
      </c>
      <c r="D2299" t="s">
        <v>7952</v>
      </c>
      <c r="E2299" s="43">
        <v>45988.54204443287</v>
      </c>
      <c r="F2299" s="1">
        <v>45988</v>
      </c>
      <c r="G2299" s="43">
        <v>45994.682039768515</v>
      </c>
      <c r="H2299" t="s">
        <v>2802</v>
      </c>
      <c r="I2299" t="s">
        <v>2660</v>
      </c>
      <c r="J2299" t="s">
        <v>36</v>
      </c>
      <c r="L2299" t="s">
        <v>2421</v>
      </c>
      <c r="M2299">
        <v>55427353102</v>
      </c>
      <c r="N2299" t="s">
        <v>2661</v>
      </c>
      <c r="O2299" s="1">
        <v>45294</v>
      </c>
      <c r="T2299" t="s">
        <v>2662</v>
      </c>
      <c r="U2299" t="s">
        <v>7953</v>
      </c>
      <c r="V2299">
        <v>4</v>
      </c>
      <c r="W2299" t="s">
        <v>2677</v>
      </c>
      <c r="X2299">
        <v>1</v>
      </c>
      <c r="Y2299" t="s">
        <v>2807</v>
      </c>
      <c r="AA2299">
        <v>55427353102</v>
      </c>
      <c r="AB2299" t="s">
        <v>1972</v>
      </c>
      <c r="AC2299">
        <v>0</v>
      </c>
      <c r="AD2299">
        <v>48</v>
      </c>
      <c r="AE2299">
        <v>5542735310248</v>
      </c>
      <c r="AF2299" t="s">
        <v>7943</v>
      </c>
      <c r="AG2299">
        <v>1</v>
      </c>
      <c r="AH2299">
        <v>0</v>
      </c>
    </row>
    <row r="2300" spans="1:34">
      <c r="A2300">
        <v>2026</v>
      </c>
      <c r="B2300" s="1">
        <v>46054</v>
      </c>
      <c r="C2300" t="s">
        <v>2657</v>
      </c>
      <c r="D2300" t="s">
        <v>7954</v>
      </c>
      <c r="E2300" s="43">
        <v>46057.586405127317</v>
      </c>
      <c r="F2300" s="1">
        <v>46057</v>
      </c>
      <c r="G2300" s="43">
        <v>46062.562144490737</v>
      </c>
      <c r="H2300" t="s">
        <v>2725</v>
      </c>
      <c r="I2300" t="s">
        <v>2669</v>
      </c>
      <c r="J2300" t="s">
        <v>36</v>
      </c>
      <c r="L2300" t="s">
        <v>2355</v>
      </c>
      <c r="M2300">
        <v>153775969402</v>
      </c>
      <c r="N2300" t="s">
        <v>2702</v>
      </c>
      <c r="O2300" s="1">
        <v>45673</v>
      </c>
      <c r="T2300" t="s">
        <v>2662</v>
      </c>
      <c r="U2300" t="s">
        <v>7955</v>
      </c>
      <c r="V2300">
        <v>3</v>
      </c>
      <c r="X2300">
        <v>1</v>
      </c>
      <c r="Y2300" t="s">
        <v>2688</v>
      </c>
      <c r="AA2300">
        <v>153775969402</v>
      </c>
      <c r="AB2300" t="s">
        <v>1002</v>
      </c>
      <c r="AC2300">
        <v>0</v>
      </c>
      <c r="AD2300">
        <v>6</v>
      </c>
      <c r="AE2300">
        <v>1537759694026</v>
      </c>
      <c r="AF2300" t="s">
        <v>7956</v>
      </c>
      <c r="AG2300">
        <v>1</v>
      </c>
      <c r="AH2300">
        <v>1</v>
      </c>
    </row>
    <row r="2301" spans="1:34">
      <c r="A2301">
        <v>2026</v>
      </c>
      <c r="B2301" s="1">
        <v>46054</v>
      </c>
      <c r="C2301" t="s">
        <v>2657</v>
      </c>
      <c r="D2301" t="s">
        <v>7957</v>
      </c>
      <c r="E2301" s="43">
        <v>46058.608711250003</v>
      </c>
      <c r="F2301" s="1">
        <v>46058</v>
      </c>
      <c r="G2301" s="43">
        <v>46062.965025011574</v>
      </c>
      <c r="H2301" t="s">
        <v>2725</v>
      </c>
      <c r="I2301" t="s">
        <v>2669</v>
      </c>
      <c r="J2301" t="s">
        <v>36</v>
      </c>
      <c r="L2301" t="s">
        <v>2355</v>
      </c>
      <c r="M2301">
        <v>195492390002</v>
      </c>
      <c r="N2301" t="s">
        <v>2702</v>
      </c>
      <c r="O2301" s="1">
        <v>45673</v>
      </c>
      <c r="T2301" t="s">
        <v>2662</v>
      </c>
      <c r="U2301" t="s">
        <v>7958</v>
      </c>
      <c r="V2301">
        <v>2</v>
      </c>
      <c r="W2301" t="s">
        <v>2677</v>
      </c>
      <c r="X2301">
        <v>1</v>
      </c>
      <c r="Y2301" t="s">
        <v>2760</v>
      </c>
      <c r="AA2301">
        <v>153775969402</v>
      </c>
      <c r="AB2301" t="s">
        <v>1002</v>
      </c>
      <c r="AC2301">
        <v>0</v>
      </c>
      <c r="AD2301">
        <v>6</v>
      </c>
      <c r="AE2301">
        <v>1537759694026</v>
      </c>
      <c r="AF2301" t="s">
        <v>7956</v>
      </c>
      <c r="AG2301">
        <v>0</v>
      </c>
      <c r="AH2301">
        <v>0</v>
      </c>
    </row>
    <row r="2302" spans="1:34">
      <c r="A2302">
        <v>2026</v>
      </c>
      <c r="B2302" s="1">
        <v>46054</v>
      </c>
      <c r="C2302" t="s">
        <v>2657</v>
      </c>
      <c r="D2302" t="s">
        <v>7959</v>
      </c>
      <c r="E2302" s="43">
        <v>46057.59226435185</v>
      </c>
      <c r="F2302" s="1">
        <v>46057</v>
      </c>
      <c r="G2302" s="43">
        <v>46058.731623865744</v>
      </c>
      <c r="H2302" t="s">
        <v>2725</v>
      </c>
      <c r="I2302" t="s">
        <v>2669</v>
      </c>
      <c r="J2302" t="s">
        <v>36</v>
      </c>
      <c r="L2302" t="s">
        <v>2355</v>
      </c>
      <c r="M2302">
        <v>153775969402</v>
      </c>
      <c r="N2302" t="s">
        <v>2702</v>
      </c>
      <c r="O2302" s="1">
        <v>45673</v>
      </c>
      <c r="T2302" t="s">
        <v>2662</v>
      </c>
      <c r="U2302" t="s">
        <v>7960</v>
      </c>
      <c r="V2302">
        <v>1</v>
      </c>
      <c r="W2302" t="s">
        <v>2743</v>
      </c>
      <c r="X2302">
        <v>1</v>
      </c>
      <c r="Y2302" t="s">
        <v>2688</v>
      </c>
      <c r="AA2302">
        <v>153775969402</v>
      </c>
      <c r="AB2302" t="s">
        <v>1002</v>
      </c>
      <c r="AC2302">
        <v>0</v>
      </c>
      <c r="AD2302">
        <v>6</v>
      </c>
      <c r="AE2302">
        <v>1537759694026</v>
      </c>
      <c r="AF2302" t="s">
        <v>7956</v>
      </c>
      <c r="AG2302">
        <v>0</v>
      </c>
      <c r="AH2302">
        <v>0</v>
      </c>
    </row>
    <row r="2303" spans="1:34">
      <c r="A2303">
        <v>2026</v>
      </c>
      <c r="B2303" s="1">
        <v>46054</v>
      </c>
      <c r="C2303" t="s">
        <v>2657</v>
      </c>
      <c r="D2303" t="s">
        <v>7961</v>
      </c>
      <c r="E2303" s="43">
        <v>46062.566967268518</v>
      </c>
      <c r="F2303" s="1">
        <v>46062</v>
      </c>
      <c r="G2303" s="43">
        <v>46066.479012627315</v>
      </c>
      <c r="H2303" t="s">
        <v>2725</v>
      </c>
      <c r="I2303" t="s">
        <v>2681</v>
      </c>
      <c r="J2303" t="s">
        <v>36</v>
      </c>
      <c r="L2303" t="s">
        <v>2355</v>
      </c>
      <c r="M2303">
        <v>153775969402</v>
      </c>
      <c r="N2303" t="s">
        <v>2702</v>
      </c>
      <c r="O2303" s="1">
        <v>45673</v>
      </c>
      <c r="T2303" t="s">
        <v>2662</v>
      </c>
      <c r="U2303" t="s">
        <v>7962</v>
      </c>
      <c r="V2303">
        <v>4</v>
      </c>
      <c r="W2303" t="s">
        <v>2743</v>
      </c>
      <c r="X2303">
        <v>1</v>
      </c>
      <c r="Y2303" t="s">
        <v>2688</v>
      </c>
      <c r="AA2303">
        <v>153775969402</v>
      </c>
      <c r="AB2303" t="s">
        <v>1002</v>
      </c>
      <c r="AC2303">
        <v>0</v>
      </c>
      <c r="AD2303">
        <v>7</v>
      </c>
      <c r="AE2303">
        <v>1537759694027</v>
      </c>
      <c r="AF2303" t="s">
        <v>7956</v>
      </c>
      <c r="AG2303">
        <v>1</v>
      </c>
      <c r="AH2303">
        <v>0</v>
      </c>
    </row>
    <row r="2304" spans="1:34">
      <c r="A2304">
        <v>2026</v>
      </c>
      <c r="B2304" s="1">
        <v>46054</v>
      </c>
      <c r="C2304" t="s">
        <v>2657</v>
      </c>
      <c r="D2304" t="s">
        <v>7963</v>
      </c>
      <c r="E2304" s="43">
        <v>46079.71910292824</v>
      </c>
      <c r="F2304" s="1">
        <v>46079</v>
      </c>
      <c r="G2304" s="43">
        <v>46083.749802627317</v>
      </c>
      <c r="H2304" t="s">
        <v>2725</v>
      </c>
      <c r="I2304" t="s">
        <v>2660</v>
      </c>
      <c r="J2304" t="s">
        <v>36</v>
      </c>
      <c r="L2304" t="s">
        <v>2355</v>
      </c>
      <c r="M2304">
        <v>153775969402</v>
      </c>
      <c r="N2304" t="s">
        <v>2702</v>
      </c>
      <c r="O2304" s="1">
        <v>45673</v>
      </c>
      <c r="T2304" t="s">
        <v>2662</v>
      </c>
      <c r="U2304" t="s">
        <v>7964</v>
      </c>
      <c r="V2304">
        <v>2</v>
      </c>
      <c r="W2304" t="s">
        <v>2677</v>
      </c>
      <c r="X2304">
        <v>1</v>
      </c>
      <c r="Y2304" t="s">
        <v>2760</v>
      </c>
      <c r="AA2304">
        <v>153775969402</v>
      </c>
      <c r="AB2304" t="s">
        <v>1002</v>
      </c>
      <c r="AC2304">
        <v>0</v>
      </c>
      <c r="AD2304">
        <v>9</v>
      </c>
      <c r="AE2304">
        <v>1537759694029</v>
      </c>
      <c r="AF2304" t="s">
        <v>7956</v>
      </c>
      <c r="AG2304">
        <v>1</v>
      </c>
      <c r="AH2304">
        <v>0</v>
      </c>
    </row>
    <row r="2305" spans="1:35">
      <c r="A2305">
        <v>2026</v>
      </c>
      <c r="B2305" s="1">
        <v>46082</v>
      </c>
      <c r="C2305" t="s">
        <v>2657</v>
      </c>
      <c r="D2305" t="s">
        <v>7965</v>
      </c>
      <c r="E2305" s="43">
        <v>46094.801768391204</v>
      </c>
      <c r="F2305" s="1">
        <v>46094</v>
      </c>
      <c r="G2305" s="43">
        <v>46094.801768391204</v>
      </c>
      <c r="H2305" t="s">
        <v>2668</v>
      </c>
      <c r="I2305" t="s">
        <v>2681</v>
      </c>
      <c r="J2305" t="s">
        <v>39</v>
      </c>
      <c r="L2305" t="s">
        <v>2362</v>
      </c>
      <c r="M2305">
        <v>547494309302</v>
      </c>
      <c r="N2305" t="s">
        <v>2746</v>
      </c>
      <c r="O2305" s="1">
        <v>44837</v>
      </c>
      <c r="T2305" t="s">
        <v>2798</v>
      </c>
      <c r="U2305" t="s">
        <v>7966</v>
      </c>
      <c r="V2305">
        <v>0</v>
      </c>
      <c r="W2305" t="s">
        <v>2677</v>
      </c>
      <c r="X2305">
        <v>0</v>
      </c>
      <c r="Y2305" t="s">
        <v>2779</v>
      </c>
      <c r="AA2305">
        <v>589580604602</v>
      </c>
      <c r="AB2305" t="s">
        <v>2070</v>
      </c>
      <c r="AC2305">
        <v>1</v>
      </c>
      <c r="AD2305">
        <v>11</v>
      </c>
      <c r="AE2305">
        <v>58958060460211</v>
      </c>
      <c r="AF2305" t="s">
        <v>7967</v>
      </c>
      <c r="AG2305">
        <v>1</v>
      </c>
      <c r="AH2305">
        <v>1</v>
      </c>
    </row>
    <row r="2306" spans="1:35">
      <c r="A2306">
        <v>2025</v>
      </c>
      <c r="B2306" s="1">
        <v>45962</v>
      </c>
      <c r="C2306" t="s">
        <v>2657</v>
      </c>
      <c r="D2306" t="s">
        <v>7968</v>
      </c>
      <c r="E2306" s="43">
        <v>45979.833893287039</v>
      </c>
      <c r="F2306" s="1">
        <v>45979</v>
      </c>
      <c r="G2306" s="43">
        <v>45986.655323842591</v>
      </c>
      <c r="H2306" t="s">
        <v>2802</v>
      </c>
      <c r="I2306" t="s">
        <v>2719</v>
      </c>
      <c r="J2306" t="s">
        <v>36</v>
      </c>
      <c r="L2306" t="s">
        <v>2421</v>
      </c>
      <c r="M2306">
        <v>15763939302</v>
      </c>
      <c r="N2306" t="s">
        <v>2702</v>
      </c>
      <c r="O2306" s="1">
        <v>45688</v>
      </c>
      <c r="T2306" t="s">
        <v>2662</v>
      </c>
      <c r="U2306" t="s">
        <v>7969</v>
      </c>
      <c r="V2306">
        <v>5</v>
      </c>
      <c r="W2306" t="s">
        <v>2677</v>
      </c>
      <c r="X2306">
        <v>1</v>
      </c>
      <c r="Y2306" t="s">
        <v>2760</v>
      </c>
      <c r="AA2306">
        <v>685488901302</v>
      </c>
      <c r="AB2306" t="s">
        <v>414</v>
      </c>
      <c r="AC2306">
        <v>0</v>
      </c>
      <c r="AD2306">
        <v>47</v>
      </c>
      <c r="AE2306">
        <v>68548890130247</v>
      </c>
      <c r="AF2306" t="s">
        <v>7970</v>
      </c>
      <c r="AG2306">
        <v>1</v>
      </c>
      <c r="AH2306">
        <v>1</v>
      </c>
    </row>
    <row r="2307" spans="1:35">
      <c r="A2307">
        <v>2025</v>
      </c>
      <c r="B2307" s="1">
        <v>45962</v>
      </c>
      <c r="C2307" t="s">
        <v>2657</v>
      </c>
      <c r="D2307" t="s">
        <v>7971</v>
      </c>
      <c r="E2307" s="43">
        <v>45982.721854317133</v>
      </c>
      <c r="F2307" s="1">
        <v>45982</v>
      </c>
      <c r="G2307" s="43">
        <v>45985.600369479165</v>
      </c>
      <c r="H2307" t="s">
        <v>2802</v>
      </c>
      <c r="I2307" t="s">
        <v>2719</v>
      </c>
      <c r="J2307" t="s">
        <v>36</v>
      </c>
      <c r="L2307" t="s">
        <v>2363</v>
      </c>
      <c r="M2307">
        <v>45030065502</v>
      </c>
      <c r="N2307" t="s">
        <v>2702</v>
      </c>
      <c r="O2307" s="1">
        <v>45669</v>
      </c>
      <c r="T2307" t="s">
        <v>2662</v>
      </c>
      <c r="U2307" t="s">
        <v>7972</v>
      </c>
      <c r="V2307">
        <v>1</v>
      </c>
      <c r="X2307">
        <v>1</v>
      </c>
      <c r="Y2307" t="s">
        <v>2688</v>
      </c>
      <c r="AA2307">
        <v>45030065502</v>
      </c>
      <c r="AB2307" t="s">
        <v>2284</v>
      </c>
      <c r="AC2307">
        <v>0</v>
      </c>
      <c r="AD2307">
        <v>47</v>
      </c>
      <c r="AE2307">
        <v>4503006550247</v>
      </c>
      <c r="AF2307" t="s">
        <v>7973</v>
      </c>
      <c r="AG2307">
        <v>1</v>
      </c>
      <c r="AH2307">
        <v>1</v>
      </c>
    </row>
    <row r="2308" spans="1:35">
      <c r="A2308">
        <v>2025</v>
      </c>
      <c r="B2308" s="1">
        <v>45962</v>
      </c>
      <c r="C2308" t="s">
        <v>2657</v>
      </c>
      <c r="D2308" t="s">
        <v>7974</v>
      </c>
      <c r="E2308" s="43">
        <v>45985.599345717594</v>
      </c>
      <c r="F2308" s="1">
        <v>45985</v>
      </c>
      <c r="G2308" s="43">
        <v>45989.83508621528</v>
      </c>
      <c r="H2308" t="s">
        <v>2802</v>
      </c>
      <c r="I2308" t="s">
        <v>2660</v>
      </c>
      <c r="J2308" t="s">
        <v>36</v>
      </c>
      <c r="L2308" t="s">
        <v>2363</v>
      </c>
      <c r="M2308">
        <v>45030065502</v>
      </c>
      <c r="N2308" t="s">
        <v>2702</v>
      </c>
      <c r="O2308" s="1">
        <v>45669</v>
      </c>
      <c r="T2308" t="s">
        <v>2662</v>
      </c>
      <c r="U2308" t="s">
        <v>7975</v>
      </c>
      <c r="V2308">
        <v>4</v>
      </c>
      <c r="X2308">
        <v>1</v>
      </c>
      <c r="Y2308" t="s">
        <v>2688</v>
      </c>
      <c r="Z2308" t="s">
        <v>2684</v>
      </c>
      <c r="AA2308">
        <v>45030065502</v>
      </c>
      <c r="AB2308" t="s">
        <v>2284</v>
      </c>
      <c r="AC2308">
        <v>0</v>
      </c>
      <c r="AD2308">
        <v>48</v>
      </c>
      <c r="AE2308">
        <v>4503006550248</v>
      </c>
      <c r="AF2308" t="s">
        <v>7973</v>
      </c>
      <c r="AG2308">
        <v>1</v>
      </c>
      <c r="AH2308">
        <v>0</v>
      </c>
    </row>
    <row r="2309" spans="1:35">
      <c r="A2309">
        <v>2026</v>
      </c>
      <c r="B2309" s="1">
        <v>46023</v>
      </c>
      <c r="C2309" t="s">
        <v>2657</v>
      </c>
      <c r="D2309" t="s">
        <v>7976</v>
      </c>
      <c r="E2309" s="43">
        <v>46029.66549861111</v>
      </c>
      <c r="F2309" s="1">
        <v>46029</v>
      </c>
      <c r="G2309" s="43">
        <v>46029.716598680556</v>
      </c>
      <c r="H2309" t="s">
        <v>2701</v>
      </c>
      <c r="I2309" t="s">
        <v>2669</v>
      </c>
      <c r="J2309" t="s">
        <v>39</v>
      </c>
      <c r="L2309" t="s">
        <v>2362</v>
      </c>
      <c r="M2309">
        <v>361885515402</v>
      </c>
      <c r="N2309" t="s">
        <v>2746</v>
      </c>
      <c r="O2309" s="1">
        <v>45669</v>
      </c>
      <c r="T2309" t="s">
        <v>2662</v>
      </c>
      <c r="U2309" t="s">
        <v>7977</v>
      </c>
      <c r="V2309">
        <v>0</v>
      </c>
      <c r="W2309" t="s">
        <v>2677</v>
      </c>
      <c r="X2309">
        <v>1</v>
      </c>
      <c r="Y2309" t="s">
        <v>2760</v>
      </c>
      <c r="AA2309">
        <v>361885515402</v>
      </c>
      <c r="AB2309" t="s">
        <v>1603</v>
      </c>
      <c r="AC2309">
        <v>0</v>
      </c>
      <c r="AD2309">
        <v>2</v>
      </c>
      <c r="AE2309">
        <v>3618855154022</v>
      </c>
      <c r="AF2309" t="s">
        <v>7978</v>
      </c>
      <c r="AG2309">
        <v>0</v>
      </c>
      <c r="AH2309">
        <v>0</v>
      </c>
      <c r="AI2309" t="s">
        <v>3001</v>
      </c>
    </row>
    <row r="2310" spans="1:35">
      <c r="A2310">
        <v>2026</v>
      </c>
      <c r="B2310" s="1">
        <v>46023</v>
      </c>
      <c r="C2310" t="s">
        <v>2657</v>
      </c>
      <c r="D2310" t="s">
        <v>7979</v>
      </c>
      <c r="E2310" s="43">
        <v>46029.500039247687</v>
      </c>
      <c r="F2310" s="1">
        <v>46029</v>
      </c>
      <c r="G2310" s="43">
        <v>46029.500039247687</v>
      </c>
      <c r="H2310" t="s">
        <v>2701</v>
      </c>
      <c r="I2310" t="s">
        <v>2669</v>
      </c>
      <c r="J2310" t="s">
        <v>39</v>
      </c>
      <c r="L2310" t="s">
        <v>2362</v>
      </c>
      <c r="M2310">
        <v>361885515402</v>
      </c>
      <c r="N2310" t="s">
        <v>2746</v>
      </c>
      <c r="O2310" s="1">
        <v>45669</v>
      </c>
      <c r="T2310" t="s">
        <v>2662</v>
      </c>
      <c r="U2310" t="s">
        <v>7980</v>
      </c>
      <c r="V2310">
        <v>0</v>
      </c>
      <c r="W2310" t="s">
        <v>2743</v>
      </c>
      <c r="X2310">
        <v>1</v>
      </c>
      <c r="Y2310" t="s">
        <v>2688</v>
      </c>
      <c r="AA2310">
        <v>361885515402</v>
      </c>
      <c r="AB2310" t="s">
        <v>1603</v>
      </c>
      <c r="AC2310">
        <v>0</v>
      </c>
      <c r="AD2310">
        <v>2</v>
      </c>
      <c r="AE2310">
        <v>3618855154022</v>
      </c>
      <c r="AF2310" t="s">
        <v>7978</v>
      </c>
      <c r="AG2310">
        <v>1</v>
      </c>
      <c r="AH2310">
        <v>1</v>
      </c>
    </row>
    <row r="2311" spans="1:35">
      <c r="A2311">
        <v>2026</v>
      </c>
      <c r="B2311" s="1">
        <v>46023</v>
      </c>
      <c r="C2311" t="s">
        <v>2657</v>
      </c>
      <c r="D2311" t="s">
        <v>7981</v>
      </c>
      <c r="E2311" s="43">
        <v>46029.668016180556</v>
      </c>
      <c r="F2311" s="1">
        <v>46029</v>
      </c>
      <c r="G2311" s="43">
        <v>46031.587388518521</v>
      </c>
      <c r="H2311" t="s">
        <v>2701</v>
      </c>
      <c r="I2311" t="s">
        <v>2669</v>
      </c>
      <c r="J2311" t="s">
        <v>39</v>
      </c>
      <c r="L2311" t="s">
        <v>2362</v>
      </c>
      <c r="M2311">
        <v>361885515402</v>
      </c>
      <c r="N2311" t="s">
        <v>2746</v>
      </c>
      <c r="O2311" s="1">
        <v>45669</v>
      </c>
      <c r="T2311" t="s">
        <v>2662</v>
      </c>
      <c r="U2311" t="s">
        <v>7982</v>
      </c>
      <c r="V2311">
        <v>2</v>
      </c>
      <c r="W2311" t="s">
        <v>2743</v>
      </c>
      <c r="X2311">
        <v>1</v>
      </c>
      <c r="Y2311" t="s">
        <v>2699</v>
      </c>
      <c r="AA2311">
        <v>361885515402</v>
      </c>
      <c r="AB2311" t="s">
        <v>1603</v>
      </c>
      <c r="AC2311">
        <v>0</v>
      </c>
      <c r="AD2311">
        <v>2</v>
      </c>
      <c r="AE2311">
        <v>3618855154022</v>
      </c>
      <c r="AF2311" t="s">
        <v>7978</v>
      </c>
      <c r="AG2311">
        <v>0</v>
      </c>
      <c r="AH2311">
        <v>0</v>
      </c>
      <c r="AI2311" t="s">
        <v>3001</v>
      </c>
    </row>
    <row r="2312" spans="1:35">
      <c r="A2312">
        <v>2026</v>
      </c>
      <c r="B2312" s="1">
        <v>46023</v>
      </c>
      <c r="C2312" t="s">
        <v>2657</v>
      </c>
      <c r="D2312" t="s">
        <v>7983</v>
      </c>
      <c r="E2312" s="43">
        <v>46031.797506539355</v>
      </c>
      <c r="F2312" s="1">
        <v>46031</v>
      </c>
      <c r="G2312" s="43">
        <v>46034.566850173615</v>
      </c>
      <c r="H2312" t="s">
        <v>2701</v>
      </c>
      <c r="I2312" t="s">
        <v>2681</v>
      </c>
      <c r="J2312" t="s">
        <v>39</v>
      </c>
      <c r="L2312" t="s">
        <v>2362</v>
      </c>
      <c r="M2312">
        <v>361885515402</v>
      </c>
      <c r="N2312" t="s">
        <v>2746</v>
      </c>
      <c r="O2312" s="1">
        <v>45669</v>
      </c>
      <c r="T2312" t="s">
        <v>2662</v>
      </c>
      <c r="U2312" t="s">
        <v>7984</v>
      </c>
      <c r="V2312">
        <v>1</v>
      </c>
      <c r="W2312" t="s">
        <v>2743</v>
      </c>
      <c r="X2312">
        <v>1</v>
      </c>
      <c r="Y2312" t="s">
        <v>2688</v>
      </c>
      <c r="AA2312">
        <v>361885515402</v>
      </c>
      <c r="AB2312" t="s">
        <v>1603</v>
      </c>
      <c r="AC2312">
        <v>0</v>
      </c>
      <c r="AD2312">
        <v>2</v>
      </c>
      <c r="AE2312">
        <v>3618855154022</v>
      </c>
      <c r="AF2312" t="s">
        <v>7978</v>
      </c>
      <c r="AG2312">
        <v>0</v>
      </c>
      <c r="AH2312">
        <v>0</v>
      </c>
    </row>
    <row r="2313" spans="1:35">
      <c r="A2313">
        <v>2026</v>
      </c>
      <c r="B2313" s="1">
        <v>46023</v>
      </c>
      <c r="C2313" t="s">
        <v>2657</v>
      </c>
      <c r="D2313" t="s">
        <v>7985</v>
      </c>
      <c r="E2313" s="43">
        <v>46043.553931898146</v>
      </c>
      <c r="F2313" s="1">
        <v>46043</v>
      </c>
      <c r="G2313" s="43">
        <v>46043.623988888889</v>
      </c>
      <c r="H2313" t="s">
        <v>2701</v>
      </c>
      <c r="I2313" t="s">
        <v>2719</v>
      </c>
      <c r="J2313" t="s">
        <v>39</v>
      </c>
      <c r="L2313" t="s">
        <v>2362</v>
      </c>
      <c r="M2313">
        <v>361885515402</v>
      </c>
      <c r="N2313" t="s">
        <v>2746</v>
      </c>
      <c r="O2313" s="1">
        <v>45669</v>
      </c>
      <c r="T2313" t="s">
        <v>2662</v>
      </c>
      <c r="U2313" t="s">
        <v>7986</v>
      </c>
      <c r="V2313">
        <v>0</v>
      </c>
      <c r="W2313" t="s">
        <v>2677</v>
      </c>
      <c r="X2313">
        <v>1</v>
      </c>
      <c r="Y2313" t="s">
        <v>2760</v>
      </c>
      <c r="AA2313">
        <v>361885515402</v>
      </c>
      <c r="AB2313" t="s">
        <v>1603</v>
      </c>
      <c r="AC2313">
        <v>0</v>
      </c>
      <c r="AD2313">
        <v>4</v>
      </c>
      <c r="AE2313">
        <v>3618855154024</v>
      </c>
      <c r="AF2313" t="s">
        <v>7978</v>
      </c>
      <c r="AG2313">
        <v>1</v>
      </c>
      <c r="AH2313">
        <v>0</v>
      </c>
    </row>
    <row r="2314" spans="1:35">
      <c r="A2314">
        <v>2026</v>
      </c>
      <c r="B2314" s="1">
        <v>46023</v>
      </c>
      <c r="C2314" t="s">
        <v>2657</v>
      </c>
      <c r="D2314" t="s">
        <v>7987</v>
      </c>
      <c r="E2314" s="43">
        <v>46038.595098761572</v>
      </c>
      <c r="F2314" s="1">
        <v>46038</v>
      </c>
      <c r="G2314" s="43">
        <v>46038.595098761572</v>
      </c>
      <c r="H2314" t="s">
        <v>2701</v>
      </c>
      <c r="I2314" t="s">
        <v>2719</v>
      </c>
      <c r="J2314" t="s">
        <v>39</v>
      </c>
      <c r="L2314" t="s">
        <v>2362</v>
      </c>
      <c r="M2314">
        <v>361885515402</v>
      </c>
      <c r="N2314" t="s">
        <v>2746</v>
      </c>
      <c r="O2314" s="1">
        <v>45669</v>
      </c>
      <c r="T2314" t="s">
        <v>2662</v>
      </c>
      <c r="U2314" t="s">
        <v>7988</v>
      </c>
      <c r="V2314">
        <v>0</v>
      </c>
      <c r="W2314" t="s">
        <v>2671</v>
      </c>
      <c r="X2314">
        <v>1</v>
      </c>
      <c r="Y2314" t="s">
        <v>2721</v>
      </c>
      <c r="AA2314">
        <v>361885515402</v>
      </c>
      <c r="AB2314" t="s">
        <v>1603</v>
      </c>
      <c r="AC2314">
        <v>0</v>
      </c>
      <c r="AD2314">
        <v>3</v>
      </c>
      <c r="AE2314">
        <v>3618855154023</v>
      </c>
      <c r="AF2314" t="s">
        <v>7978</v>
      </c>
      <c r="AG2314">
        <v>1</v>
      </c>
      <c r="AH2314">
        <v>0</v>
      </c>
    </row>
    <row r="2315" spans="1:35">
      <c r="A2315">
        <v>2026</v>
      </c>
      <c r="B2315" s="1">
        <v>46023</v>
      </c>
      <c r="C2315" t="s">
        <v>2657</v>
      </c>
      <c r="D2315" t="s">
        <v>7989</v>
      </c>
      <c r="E2315" s="43">
        <v>46047.799227326388</v>
      </c>
      <c r="F2315" s="1">
        <v>46047</v>
      </c>
      <c r="G2315" s="43">
        <v>46048.496685300925</v>
      </c>
      <c r="H2315" t="s">
        <v>2701</v>
      </c>
      <c r="I2315" t="s">
        <v>2660</v>
      </c>
      <c r="J2315" t="s">
        <v>39</v>
      </c>
      <c r="L2315" t="s">
        <v>2362</v>
      </c>
      <c r="M2315">
        <v>361885515402</v>
      </c>
      <c r="N2315" t="s">
        <v>2746</v>
      </c>
      <c r="O2315" s="1">
        <v>45669</v>
      </c>
      <c r="T2315" t="s">
        <v>2662</v>
      </c>
      <c r="U2315" t="s">
        <v>7990</v>
      </c>
      <c r="V2315">
        <v>0</v>
      </c>
      <c r="W2315" t="s">
        <v>2743</v>
      </c>
      <c r="X2315">
        <v>1</v>
      </c>
      <c r="Y2315" t="s">
        <v>2717</v>
      </c>
      <c r="AA2315">
        <v>361885515402</v>
      </c>
      <c r="AB2315" t="s">
        <v>1603</v>
      </c>
      <c r="AC2315">
        <v>0</v>
      </c>
      <c r="AD2315">
        <v>4</v>
      </c>
      <c r="AE2315">
        <v>3618855154024</v>
      </c>
      <c r="AF2315" t="s">
        <v>7978</v>
      </c>
      <c r="AG2315">
        <v>0</v>
      </c>
      <c r="AH2315">
        <v>0</v>
      </c>
    </row>
    <row r="2316" spans="1:35">
      <c r="A2316">
        <v>2026</v>
      </c>
      <c r="B2316" s="1">
        <v>46023</v>
      </c>
      <c r="C2316" t="s">
        <v>2657</v>
      </c>
      <c r="D2316" t="s">
        <v>7991</v>
      </c>
      <c r="E2316" s="43">
        <v>46045.650570810183</v>
      </c>
      <c r="F2316" s="1">
        <v>46045</v>
      </c>
      <c r="G2316" s="43">
        <v>46045.657961793979</v>
      </c>
      <c r="H2316" t="s">
        <v>2701</v>
      </c>
      <c r="I2316" t="s">
        <v>2660</v>
      </c>
      <c r="J2316" t="s">
        <v>39</v>
      </c>
      <c r="L2316" t="s">
        <v>2362</v>
      </c>
      <c r="M2316">
        <v>361885515402</v>
      </c>
      <c r="N2316" t="s">
        <v>2746</v>
      </c>
      <c r="O2316" s="1">
        <v>45669</v>
      </c>
      <c r="T2316" t="s">
        <v>2662</v>
      </c>
      <c r="U2316" t="s">
        <v>7992</v>
      </c>
      <c r="V2316">
        <v>0</v>
      </c>
      <c r="W2316" t="s">
        <v>2743</v>
      </c>
      <c r="X2316">
        <v>1</v>
      </c>
      <c r="Y2316" t="s">
        <v>2721</v>
      </c>
      <c r="AA2316">
        <v>361885515402</v>
      </c>
      <c r="AB2316" t="s">
        <v>1603</v>
      </c>
      <c r="AC2316">
        <v>0</v>
      </c>
      <c r="AD2316">
        <v>4</v>
      </c>
      <c r="AE2316">
        <v>3618855154024</v>
      </c>
      <c r="AF2316" t="s">
        <v>7978</v>
      </c>
      <c r="AG2316">
        <v>0</v>
      </c>
      <c r="AH2316">
        <v>0</v>
      </c>
    </row>
    <row r="2317" spans="1:35">
      <c r="A2317">
        <v>2026</v>
      </c>
      <c r="B2317" s="1">
        <v>46023</v>
      </c>
      <c r="C2317" t="s">
        <v>2657</v>
      </c>
      <c r="D2317" t="s">
        <v>7993</v>
      </c>
      <c r="E2317" s="43">
        <v>46049.815057685184</v>
      </c>
      <c r="F2317" s="1">
        <v>46049</v>
      </c>
      <c r="G2317" s="43">
        <v>46055.667886712959</v>
      </c>
      <c r="H2317" t="s">
        <v>2701</v>
      </c>
      <c r="I2317" t="s">
        <v>2660</v>
      </c>
      <c r="J2317" t="s">
        <v>39</v>
      </c>
      <c r="L2317" t="s">
        <v>2362</v>
      </c>
      <c r="M2317">
        <v>361885515402</v>
      </c>
      <c r="N2317" t="s">
        <v>2746</v>
      </c>
      <c r="O2317" s="1">
        <v>45669</v>
      </c>
      <c r="T2317" t="s">
        <v>2662</v>
      </c>
      <c r="U2317" t="s">
        <v>7994</v>
      </c>
      <c r="V2317">
        <v>4</v>
      </c>
      <c r="W2317" t="s">
        <v>2743</v>
      </c>
      <c r="X2317">
        <v>1</v>
      </c>
      <c r="Y2317" t="s">
        <v>2699</v>
      </c>
      <c r="Z2317" t="s">
        <v>2834</v>
      </c>
      <c r="AA2317">
        <v>361885515402</v>
      </c>
      <c r="AB2317" t="s">
        <v>1603</v>
      </c>
      <c r="AC2317">
        <v>0</v>
      </c>
      <c r="AD2317">
        <v>5</v>
      </c>
      <c r="AE2317">
        <v>3618855154025</v>
      </c>
      <c r="AF2317" t="s">
        <v>7978</v>
      </c>
      <c r="AG2317">
        <v>1</v>
      </c>
      <c r="AH2317">
        <v>0</v>
      </c>
    </row>
    <row r="2318" spans="1:35">
      <c r="A2318">
        <v>2026</v>
      </c>
      <c r="B2318" s="1">
        <v>46023</v>
      </c>
      <c r="C2318" t="s">
        <v>2657</v>
      </c>
      <c r="D2318" t="s">
        <v>7995</v>
      </c>
      <c r="E2318" s="43">
        <v>46050.607084525465</v>
      </c>
      <c r="F2318" s="1">
        <v>46050</v>
      </c>
      <c r="G2318" s="43">
        <v>46052.853566215279</v>
      </c>
      <c r="H2318" t="s">
        <v>2701</v>
      </c>
      <c r="I2318" t="s">
        <v>2660</v>
      </c>
      <c r="J2318" t="s">
        <v>39</v>
      </c>
      <c r="L2318" t="s">
        <v>2362</v>
      </c>
      <c r="M2318">
        <v>361885515402</v>
      </c>
      <c r="N2318" t="s">
        <v>2746</v>
      </c>
      <c r="O2318" s="1">
        <v>45669</v>
      </c>
      <c r="T2318" t="s">
        <v>2662</v>
      </c>
      <c r="U2318" t="s">
        <v>7996</v>
      </c>
      <c r="V2318">
        <v>2</v>
      </c>
      <c r="W2318" t="s">
        <v>2743</v>
      </c>
      <c r="X2318">
        <v>1</v>
      </c>
      <c r="Y2318" t="s">
        <v>2764</v>
      </c>
      <c r="AA2318">
        <v>361885515402</v>
      </c>
      <c r="AB2318" t="s">
        <v>1603</v>
      </c>
      <c r="AC2318">
        <v>0</v>
      </c>
      <c r="AD2318">
        <v>5</v>
      </c>
      <c r="AE2318">
        <v>3618855154025</v>
      </c>
      <c r="AF2318" t="s">
        <v>7978</v>
      </c>
      <c r="AG2318">
        <v>0</v>
      </c>
      <c r="AH2318">
        <v>0</v>
      </c>
    </row>
    <row r="2319" spans="1:35">
      <c r="A2319">
        <v>2026</v>
      </c>
      <c r="B2319" s="1">
        <v>46023</v>
      </c>
      <c r="C2319" t="s">
        <v>2657</v>
      </c>
      <c r="D2319" t="s">
        <v>7997</v>
      </c>
      <c r="E2319" s="43">
        <v>46052.827962442127</v>
      </c>
      <c r="F2319" s="1">
        <v>46052</v>
      </c>
      <c r="G2319" s="43">
        <v>46052.827962442127</v>
      </c>
      <c r="H2319" t="s">
        <v>2701</v>
      </c>
      <c r="I2319" t="s">
        <v>2697</v>
      </c>
      <c r="J2319" t="s">
        <v>39</v>
      </c>
      <c r="L2319" t="s">
        <v>2362</v>
      </c>
      <c r="M2319">
        <v>361885515402</v>
      </c>
      <c r="N2319" t="s">
        <v>2746</v>
      </c>
      <c r="O2319" s="1">
        <v>45669</v>
      </c>
      <c r="T2319" t="s">
        <v>2662</v>
      </c>
      <c r="U2319" t="s">
        <v>7998</v>
      </c>
      <c r="V2319">
        <v>0</v>
      </c>
      <c r="W2319" t="s">
        <v>2677</v>
      </c>
      <c r="X2319">
        <v>1</v>
      </c>
      <c r="Y2319" t="s">
        <v>2678</v>
      </c>
      <c r="AA2319">
        <v>361885515402</v>
      </c>
      <c r="AB2319" t="s">
        <v>1603</v>
      </c>
      <c r="AC2319">
        <v>0</v>
      </c>
      <c r="AD2319">
        <v>5</v>
      </c>
      <c r="AE2319">
        <v>3618855154025</v>
      </c>
      <c r="AF2319" t="s">
        <v>7978</v>
      </c>
      <c r="AG2319">
        <v>0</v>
      </c>
      <c r="AH2319">
        <v>0</v>
      </c>
    </row>
    <row r="2320" spans="1:35">
      <c r="A2320">
        <v>2026</v>
      </c>
      <c r="B2320" s="1">
        <v>46023</v>
      </c>
      <c r="C2320" t="s">
        <v>2657</v>
      </c>
      <c r="D2320" t="s">
        <v>7999</v>
      </c>
      <c r="E2320" s="43">
        <v>46052.829671192128</v>
      </c>
      <c r="F2320" s="1">
        <v>46052</v>
      </c>
      <c r="G2320" s="43">
        <v>46057.816247349539</v>
      </c>
      <c r="H2320" t="s">
        <v>2701</v>
      </c>
      <c r="I2320" t="s">
        <v>2697</v>
      </c>
      <c r="J2320" t="s">
        <v>39</v>
      </c>
      <c r="L2320" t="s">
        <v>2362</v>
      </c>
      <c r="M2320">
        <v>361885515402</v>
      </c>
      <c r="N2320" t="s">
        <v>2746</v>
      </c>
      <c r="O2320" s="1">
        <v>45669</v>
      </c>
      <c r="T2320" t="s">
        <v>2662</v>
      </c>
      <c r="U2320" t="s">
        <v>8000</v>
      </c>
      <c r="V2320">
        <v>3</v>
      </c>
      <c r="W2320" t="s">
        <v>2677</v>
      </c>
      <c r="X2320">
        <v>1</v>
      </c>
      <c r="Y2320" t="s">
        <v>2807</v>
      </c>
      <c r="AA2320">
        <v>361885515402</v>
      </c>
      <c r="AB2320" t="s">
        <v>1603</v>
      </c>
      <c r="AC2320">
        <v>0</v>
      </c>
      <c r="AD2320">
        <v>5</v>
      </c>
      <c r="AE2320">
        <v>3618855154025</v>
      </c>
      <c r="AF2320" t="s">
        <v>7978</v>
      </c>
      <c r="AG2320">
        <v>0</v>
      </c>
      <c r="AH2320">
        <v>0</v>
      </c>
    </row>
    <row r="2321" spans="1:34">
      <c r="A2321">
        <v>2026</v>
      </c>
      <c r="B2321" s="1">
        <v>46082</v>
      </c>
      <c r="C2321" t="s">
        <v>2657</v>
      </c>
      <c r="D2321" t="s">
        <v>8001</v>
      </c>
      <c r="E2321" s="43">
        <v>46090.669413402778</v>
      </c>
      <c r="F2321" s="1">
        <v>46090</v>
      </c>
      <c r="G2321" s="43">
        <v>46093.724267291669</v>
      </c>
      <c r="H2321" t="s">
        <v>2668</v>
      </c>
      <c r="I2321" t="s">
        <v>2681</v>
      </c>
      <c r="J2321" t="s">
        <v>39</v>
      </c>
      <c r="L2321" t="s">
        <v>2362</v>
      </c>
      <c r="M2321">
        <v>45146550802</v>
      </c>
      <c r="N2321" t="s">
        <v>2746</v>
      </c>
      <c r="O2321" s="1">
        <v>45751</v>
      </c>
      <c r="T2321" t="s">
        <v>2798</v>
      </c>
      <c r="U2321" t="s">
        <v>8002</v>
      </c>
      <c r="V2321">
        <v>4</v>
      </c>
      <c r="W2321" t="s">
        <v>2677</v>
      </c>
      <c r="X2321">
        <v>0</v>
      </c>
      <c r="Y2321" t="s">
        <v>2760</v>
      </c>
      <c r="Z2321" t="s">
        <v>2834</v>
      </c>
      <c r="AA2321">
        <v>45146550802</v>
      </c>
      <c r="AB2321" t="s">
        <v>2008</v>
      </c>
      <c r="AC2321">
        <v>1</v>
      </c>
      <c r="AD2321">
        <v>11</v>
      </c>
      <c r="AE2321">
        <v>4514655080211</v>
      </c>
      <c r="AF2321" t="s">
        <v>8003</v>
      </c>
      <c r="AG2321">
        <v>0</v>
      </c>
      <c r="AH2321">
        <v>0</v>
      </c>
    </row>
    <row r="2322" spans="1:34">
      <c r="A2322">
        <v>2026</v>
      </c>
      <c r="B2322" s="1">
        <v>46082</v>
      </c>
      <c r="C2322" t="s">
        <v>2657</v>
      </c>
      <c r="D2322" t="s">
        <v>8004</v>
      </c>
      <c r="E2322" s="43">
        <v>46090.523694074072</v>
      </c>
      <c r="F2322" s="1">
        <v>46090</v>
      </c>
      <c r="G2322" s="43">
        <v>46092.520345949073</v>
      </c>
      <c r="H2322" t="s">
        <v>2668</v>
      </c>
      <c r="I2322" t="s">
        <v>2681</v>
      </c>
      <c r="J2322" t="s">
        <v>39</v>
      </c>
      <c r="L2322" t="s">
        <v>2362</v>
      </c>
      <c r="M2322">
        <v>45146550802</v>
      </c>
      <c r="N2322" t="s">
        <v>2746</v>
      </c>
      <c r="O2322" s="1">
        <v>45751</v>
      </c>
      <c r="T2322" t="s">
        <v>2662</v>
      </c>
      <c r="U2322" t="s">
        <v>8005</v>
      </c>
      <c r="V2322">
        <v>2</v>
      </c>
      <c r="W2322" t="s">
        <v>2677</v>
      </c>
      <c r="X2322">
        <v>1</v>
      </c>
      <c r="Y2322" t="s">
        <v>2678</v>
      </c>
      <c r="AA2322">
        <v>45146550802</v>
      </c>
      <c r="AB2322" t="s">
        <v>2008</v>
      </c>
      <c r="AC2322">
        <v>0</v>
      </c>
      <c r="AD2322">
        <v>11</v>
      </c>
      <c r="AE2322">
        <v>4514655080211</v>
      </c>
      <c r="AF2322" t="s">
        <v>8003</v>
      </c>
      <c r="AG2322">
        <v>1</v>
      </c>
      <c r="AH2322">
        <v>1</v>
      </c>
    </row>
    <row r="2323" spans="1:34">
      <c r="A2323">
        <v>2025</v>
      </c>
      <c r="B2323" s="1">
        <v>45992</v>
      </c>
      <c r="C2323" t="s">
        <v>2657</v>
      </c>
      <c r="D2323" t="s">
        <v>8006</v>
      </c>
      <c r="E2323" s="43">
        <v>46003.829970219907</v>
      </c>
      <c r="F2323" s="1">
        <v>46003</v>
      </c>
      <c r="G2323" s="43">
        <v>46006.675948506941</v>
      </c>
      <c r="H2323" t="s">
        <v>2686</v>
      </c>
      <c r="I2323" t="s">
        <v>2681</v>
      </c>
      <c r="J2323" t="s">
        <v>2735</v>
      </c>
      <c r="L2323" t="s">
        <v>2362</v>
      </c>
      <c r="M2323">
        <v>801134136002</v>
      </c>
      <c r="N2323" t="s">
        <v>2746</v>
      </c>
      <c r="O2323" s="1">
        <v>45994</v>
      </c>
      <c r="T2323" t="s">
        <v>2662</v>
      </c>
      <c r="U2323" t="s">
        <v>8007</v>
      </c>
      <c r="V2323">
        <v>1</v>
      </c>
      <c r="W2323" t="s">
        <v>2664</v>
      </c>
      <c r="X2323">
        <v>1</v>
      </c>
      <c r="Y2323" t="s">
        <v>2665</v>
      </c>
      <c r="AA2323">
        <v>801134136002</v>
      </c>
      <c r="AB2323" t="s">
        <v>2599</v>
      </c>
      <c r="AC2323">
        <v>0</v>
      </c>
      <c r="AD2323">
        <v>50</v>
      </c>
      <c r="AE2323">
        <v>80113413600250</v>
      </c>
      <c r="AF2323" t="s">
        <v>8008</v>
      </c>
      <c r="AG2323">
        <v>1</v>
      </c>
      <c r="AH2323">
        <v>1</v>
      </c>
    </row>
    <row r="2324" spans="1:34">
      <c r="A2324">
        <v>2025</v>
      </c>
      <c r="B2324" s="1">
        <v>45931</v>
      </c>
      <c r="C2324" t="s">
        <v>2657</v>
      </c>
      <c r="D2324" t="s">
        <v>8009</v>
      </c>
      <c r="E2324" s="43">
        <v>45944.864807858794</v>
      </c>
      <c r="F2324" s="1">
        <v>45944</v>
      </c>
      <c r="G2324" s="43">
        <v>45945.53708076389</v>
      </c>
      <c r="H2324" t="s">
        <v>2659</v>
      </c>
      <c r="I2324" t="s">
        <v>2681</v>
      </c>
      <c r="J2324" t="s">
        <v>2735</v>
      </c>
      <c r="L2324" t="s">
        <v>2408</v>
      </c>
      <c r="M2324">
        <v>160165983902</v>
      </c>
      <c r="N2324" t="s">
        <v>2746</v>
      </c>
      <c r="O2324" s="1">
        <v>45680</v>
      </c>
      <c r="T2324" t="s">
        <v>2662</v>
      </c>
      <c r="U2324" t="s">
        <v>8010</v>
      </c>
      <c r="V2324">
        <v>1</v>
      </c>
      <c r="W2324" t="s">
        <v>2704</v>
      </c>
      <c r="X2324">
        <v>1</v>
      </c>
      <c r="Y2324" t="s">
        <v>2744</v>
      </c>
      <c r="AA2324">
        <v>160165983902</v>
      </c>
      <c r="AB2324" t="s">
        <v>2221</v>
      </c>
      <c r="AC2324">
        <v>0</v>
      </c>
      <c r="AD2324">
        <v>42</v>
      </c>
      <c r="AE2324">
        <v>16016598390242</v>
      </c>
      <c r="AF2324" t="s">
        <v>8011</v>
      </c>
      <c r="AG2324">
        <v>1</v>
      </c>
      <c r="AH2324">
        <v>1</v>
      </c>
    </row>
    <row r="2325" spans="1:34">
      <c r="A2325">
        <v>2025</v>
      </c>
      <c r="B2325" s="1">
        <v>45992</v>
      </c>
      <c r="C2325" t="s">
        <v>2657</v>
      </c>
      <c r="D2325" t="s">
        <v>8012</v>
      </c>
      <c r="E2325" s="43">
        <v>45994.545530497686</v>
      </c>
      <c r="F2325" s="1">
        <v>45994</v>
      </c>
      <c r="G2325" s="43">
        <v>45995.546353981481</v>
      </c>
      <c r="H2325" t="s">
        <v>2686</v>
      </c>
      <c r="I2325" t="s">
        <v>2669</v>
      </c>
      <c r="J2325" t="s">
        <v>37</v>
      </c>
      <c r="L2325" t="s">
        <v>2344</v>
      </c>
      <c r="M2325">
        <v>963780507202</v>
      </c>
      <c r="N2325" t="s">
        <v>2661</v>
      </c>
      <c r="O2325" s="1">
        <v>45621</v>
      </c>
      <c r="T2325" t="s">
        <v>2662</v>
      </c>
      <c r="U2325" t="s">
        <v>8013</v>
      </c>
      <c r="V2325">
        <v>1</v>
      </c>
      <c r="W2325" t="s">
        <v>2671</v>
      </c>
      <c r="X2325">
        <v>1</v>
      </c>
      <c r="Y2325" t="s">
        <v>2672</v>
      </c>
      <c r="AA2325">
        <v>101837981602</v>
      </c>
      <c r="AB2325" t="s">
        <v>746</v>
      </c>
      <c r="AC2325">
        <v>0</v>
      </c>
      <c r="AD2325">
        <v>49</v>
      </c>
      <c r="AE2325">
        <v>10183798160249</v>
      </c>
      <c r="AF2325" t="s">
        <v>8014</v>
      </c>
      <c r="AG2325">
        <v>1</v>
      </c>
      <c r="AH2325">
        <v>1</v>
      </c>
    </row>
    <row r="2326" spans="1:34">
      <c r="A2326">
        <v>2025</v>
      </c>
      <c r="B2326" s="1">
        <v>45992</v>
      </c>
      <c r="C2326" t="s">
        <v>2657</v>
      </c>
      <c r="D2326" t="s">
        <v>8015</v>
      </c>
      <c r="E2326" s="43">
        <v>46003.741864988428</v>
      </c>
      <c r="F2326" s="1">
        <v>46003</v>
      </c>
      <c r="G2326" s="43">
        <v>46003.741864988428</v>
      </c>
      <c r="H2326" t="s">
        <v>2686</v>
      </c>
      <c r="I2326" t="s">
        <v>2681</v>
      </c>
      <c r="J2326" t="s">
        <v>37</v>
      </c>
      <c r="L2326" t="s">
        <v>2344</v>
      </c>
      <c r="M2326">
        <v>963780507202</v>
      </c>
      <c r="N2326" t="s">
        <v>2661</v>
      </c>
      <c r="O2326" s="1">
        <v>45621</v>
      </c>
      <c r="T2326" t="s">
        <v>2662</v>
      </c>
      <c r="U2326" t="s">
        <v>8016</v>
      </c>
      <c r="V2326">
        <v>0</v>
      </c>
      <c r="W2326" t="s">
        <v>2671</v>
      </c>
      <c r="X2326">
        <v>1</v>
      </c>
      <c r="Y2326" t="s">
        <v>3237</v>
      </c>
      <c r="AA2326">
        <v>101837981602</v>
      </c>
      <c r="AB2326" t="s">
        <v>746</v>
      </c>
      <c r="AC2326">
        <v>0</v>
      </c>
      <c r="AD2326">
        <v>50</v>
      </c>
      <c r="AE2326">
        <v>10183798160250</v>
      </c>
      <c r="AF2326" t="s">
        <v>8014</v>
      </c>
      <c r="AG2326">
        <v>0</v>
      </c>
      <c r="AH2326">
        <v>0</v>
      </c>
    </row>
    <row r="2327" spans="1:34">
      <c r="A2327">
        <v>2025</v>
      </c>
      <c r="B2327" s="1">
        <v>45992</v>
      </c>
      <c r="C2327" t="s">
        <v>2657</v>
      </c>
      <c r="D2327" t="s">
        <v>8017</v>
      </c>
      <c r="E2327" s="43">
        <v>46002.860786736113</v>
      </c>
      <c r="F2327" s="1">
        <v>46002</v>
      </c>
      <c r="G2327" s="43">
        <v>46002.860786736113</v>
      </c>
      <c r="H2327" t="s">
        <v>2686</v>
      </c>
      <c r="I2327" t="s">
        <v>2681</v>
      </c>
      <c r="J2327" t="s">
        <v>37</v>
      </c>
      <c r="L2327" t="s">
        <v>2344</v>
      </c>
      <c r="M2327">
        <v>963780507202</v>
      </c>
      <c r="N2327" t="s">
        <v>2661</v>
      </c>
      <c r="O2327" s="1">
        <v>45621</v>
      </c>
      <c r="T2327" t="s">
        <v>2662</v>
      </c>
      <c r="U2327" t="s">
        <v>8018</v>
      </c>
      <c r="V2327">
        <v>0</v>
      </c>
      <c r="W2327" t="s">
        <v>2664</v>
      </c>
      <c r="X2327">
        <v>1</v>
      </c>
      <c r="Y2327" t="s">
        <v>2695</v>
      </c>
      <c r="AA2327">
        <v>101837981602</v>
      </c>
      <c r="AB2327" t="s">
        <v>746</v>
      </c>
      <c r="AC2327">
        <v>0</v>
      </c>
      <c r="AD2327">
        <v>50</v>
      </c>
      <c r="AE2327">
        <v>10183798160250</v>
      </c>
      <c r="AF2327" t="s">
        <v>8014</v>
      </c>
      <c r="AG2327">
        <v>1</v>
      </c>
      <c r="AH2327">
        <v>0</v>
      </c>
    </row>
    <row r="2328" spans="1:34">
      <c r="A2328">
        <v>2025</v>
      </c>
      <c r="B2328" s="1">
        <v>45992</v>
      </c>
      <c r="C2328" t="s">
        <v>2657</v>
      </c>
      <c r="D2328" t="s">
        <v>8019</v>
      </c>
      <c r="E2328" s="43">
        <v>46006.823119155095</v>
      </c>
      <c r="F2328" s="1">
        <v>46006</v>
      </c>
      <c r="G2328" s="43">
        <v>46008.771931030089</v>
      </c>
      <c r="H2328" t="s">
        <v>2686</v>
      </c>
      <c r="I2328" t="s">
        <v>2719</v>
      </c>
      <c r="J2328" t="s">
        <v>37</v>
      </c>
      <c r="L2328" t="s">
        <v>2344</v>
      </c>
      <c r="M2328">
        <v>963780507202</v>
      </c>
      <c r="N2328" t="s">
        <v>2661</v>
      </c>
      <c r="O2328" s="1">
        <v>45621</v>
      </c>
      <c r="T2328" t="s">
        <v>2662</v>
      </c>
      <c r="U2328" t="s">
        <v>5968</v>
      </c>
      <c r="V2328">
        <v>2</v>
      </c>
      <c r="W2328" t="s">
        <v>2671</v>
      </c>
      <c r="X2328">
        <v>1</v>
      </c>
      <c r="Y2328" t="s">
        <v>2672</v>
      </c>
      <c r="AA2328">
        <v>101837981602</v>
      </c>
      <c r="AB2328" t="s">
        <v>746</v>
      </c>
      <c r="AC2328">
        <v>0</v>
      </c>
      <c r="AD2328">
        <v>51</v>
      </c>
      <c r="AE2328">
        <v>10183798160251</v>
      </c>
      <c r="AF2328" t="s">
        <v>8014</v>
      </c>
      <c r="AG2328">
        <v>1</v>
      </c>
      <c r="AH2328">
        <v>0</v>
      </c>
    </row>
    <row r="2329" spans="1:34">
      <c r="A2329">
        <v>2025</v>
      </c>
      <c r="B2329" s="1">
        <v>45992</v>
      </c>
      <c r="C2329" t="s">
        <v>2657</v>
      </c>
      <c r="D2329" t="s">
        <v>8020</v>
      </c>
      <c r="E2329" s="43">
        <v>46008.892844004629</v>
      </c>
      <c r="F2329" s="1">
        <v>46008</v>
      </c>
      <c r="G2329" s="43">
        <v>46020.802689259261</v>
      </c>
      <c r="H2329" t="s">
        <v>2686</v>
      </c>
      <c r="I2329" t="s">
        <v>2719</v>
      </c>
      <c r="J2329" t="s">
        <v>37</v>
      </c>
      <c r="L2329" t="s">
        <v>2344</v>
      </c>
      <c r="M2329">
        <v>963780507202</v>
      </c>
      <c r="N2329" t="s">
        <v>2661</v>
      </c>
      <c r="O2329" s="1">
        <v>45621</v>
      </c>
      <c r="T2329" t="s">
        <v>2662</v>
      </c>
      <c r="U2329" t="s">
        <v>5184</v>
      </c>
      <c r="V2329">
        <v>8</v>
      </c>
      <c r="W2329" t="s">
        <v>2671</v>
      </c>
      <c r="X2329">
        <v>1</v>
      </c>
      <c r="Y2329" t="s">
        <v>2807</v>
      </c>
      <c r="AA2329">
        <v>101837981602</v>
      </c>
      <c r="AB2329" t="s">
        <v>746</v>
      </c>
      <c r="AC2329">
        <v>0</v>
      </c>
      <c r="AD2329">
        <v>51</v>
      </c>
      <c r="AE2329">
        <v>10183798160251</v>
      </c>
      <c r="AF2329" t="s">
        <v>8014</v>
      </c>
      <c r="AG2329">
        <v>0</v>
      </c>
      <c r="AH2329">
        <v>0</v>
      </c>
    </row>
    <row r="2330" spans="1:34">
      <c r="A2330">
        <v>2025</v>
      </c>
      <c r="B2330" s="1">
        <v>45901</v>
      </c>
      <c r="C2330" t="s">
        <v>2657</v>
      </c>
      <c r="D2330" t="s">
        <v>8021</v>
      </c>
      <c r="E2330" s="43">
        <v>45917.541402604169</v>
      </c>
      <c r="F2330" s="1">
        <v>45917</v>
      </c>
      <c r="G2330" s="43">
        <v>45925.489916412036</v>
      </c>
      <c r="H2330" t="s">
        <v>2734</v>
      </c>
      <c r="I2330" t="s">
        <v>2719</v>
      </c>
      <c r="J2330" t="s">
        <v>2735</v>
      </c>
      <c r="L2330" t="s">
        <v>2351</v>
      </c>
      <c r="M2330">
        <v>736960318302</v>
      </c>
      <c r="N2330" t="s">
        <v>2746</v>
      </c>
      <c r="O2330" s="1">
        <v>45880</v>
      </c>
      <c r="T2330" t="s">
        <v>2662</v>
      </c>
      <c r="U2330" t="s">
        <v>8022</v>
      </c>
      <c r="V2330">
        <v>6</v>
      </c>
      <c r="W2330" t="s">
        <v>2677</v>
      </c>
      <c r="X2330">
        <v>1</v>
      </c>
      <c r="Y2330" t="s">
        <v>2678</v>
      </c>
      <c r="AA2330">
        <v>736960318302</v>
      </c>
      <c r="AB2330" t="s">
        <v>2596</v>
      </c>
      <c r="AC2330">
        <v>0</v>
      </c>
      <c r="AD2330">
        <v>38</v>
      </c>
      <c r="AE2330">
        <v>73696031830238</v>
      </c>
      <c r="AF2330" t="s">
        <v>8023</v>
      </c>
      <c r="AG2330">
        <v>1</v>
      </c>
      <c r="AH2330">
        <v>1</v>
      </c>
    </row>
    <row r="2331" spans="1:34">
      <c r="A2331">
        <v>2026</v>
      </c>
      <c r="B2331" s="1">
        <v>46023</v>
      </c>
      <c r="C2331" t="s">
        <v>2657</v>
      </c>
      <c r="D2331" t="s">
        <v>8024</v>
      </c>
      <c r="E2331" s="43">
        <v>46030.569579432871</v>
      </c>
      <c r="F2331" s="1">
        <v>46030</v>
      </c>
      <c r="G2331" s="43">
        <v>46030.569579432871</v>
      </c>
      <c r="H2331" t="s">
        <v>2701</v>
      </c>
      <c r="I2331" t="s">
        <v>2681</v>
      </c>
      <c r="J2331" t="s">
        <v>39</v>
      </c>
      <c r="L2331" t="s">
        <v>2336</v>
      </c>
      <c r="M2331">
        <v>669516273102</v>
      </c>
      <c r="N2331" t="s">
        <v>2702</v>
      </c>
      <c r="O2331" s="1">
        <v>45994</v>
      </c>
      <c r="T2331" t="s">
        <v>2662</v>
      </c>
      <c r="U2331" t="s">
        <v>8025</v>
      </c>
      <c r="V2331">
        <v>0</v>
      </c>
      <c r="W2331" t="s">
        <v>2743</v>
      </c>
      <c r="X2331">
        <v>1</v>
      </c>
      <c r="Y2331" t="s">
        <v>2721</v>
      </c>
      <c r="AA2331">
        <v>669516273102</v>
      </c>
      <c r="AB2331" t="s">
        <v>2615</v>
      </c>
      <c r="AC2331">
        <v>0</v>
      </c>
      <c r="AD2331">
        <v>2</v>
      </c>
      <c r="AE2331">
        <v>6695162731022</v>
      </c>
      <c r="AF2331" t="s">
        <v>8026</v>
      </c>
      <c r="AG2331">
        <v>1</v>
      </c>
      <c r="AH2331">
        <v>1</v>
      </c>
    </row>
    <row r="2332" spans="1:34">
      <c r="A2332">
        <v>2026</v>
      </c>
      <c r="B2332" s="1">
        <v>46023</v>
      </c>
      <c r="C2332" t="s">
        <v>2657</v>
      </c>
      <c r="D2332" t="s">
        <v>8027</v>
      </c>
      <c r="E2332" s="43">
        <v>46038.586723877313</v>
      </c>
      <c r="F2332" s="1">
        <v>46038</v>
      </c>
      <c r="G2332" s="43">
        <v>46038.800920081019</v>
      </c>
      <c r="H2332" t="s">
        <v>2701</v>
      </c>
      <c r="I2332" t="s">
        <v>2719</v>
      </c>
      <c r="J2332" t="s">
        <v>39</v>
      </c>
      <c r="L2332" t="s">
        <v>2336</v>
      </c>
      <c r="M2332">
        <v>669516273102</v>
      </c>
      <c r="N2332" t="s">
        <v>2702</v>
      </c>
      <c r="O2332" s="1">
        <v>45994</v>
      </c>
      <c r="T2332" t="s">
        <v>2662</v>
      </c>
      <c r="U2332" t="s">
        <v>8028</v>
      </c>
      <c r="V2332">
        <v>0</v>
      </c>
      <c r="W2332" t="s">
        <v>2671</v>
      </c>
      <c r="X2332">
        <v>1</v>
      </c>
      <c r="Y2332" t="s">
        <v>2721</v>
      </c>
      <c r="AA2332">
        <v>669516273102</v>
      </c>
      <c r="AB2332" t="s">
        <v>2615</v>
      </c>
      <c r="AC2332">
        <v>0</v>
      </c>
      <c r="AD2332">
        <v>3</v>
      </c>
      <c r="AE2332">
        <v>6695162731023</v>
      </c>
      <c r="AF2332" t="s">
        <v>8026</v>
      </c>
      <c r="AG2332">
        <v>0</v>
      </c>
      <c r="AH2332">
        <v>0</v>
      </c>
    </row>
    <row r="2333" spans="1:34">
      <c r="A2333">
        <v>2026</v>
      </c>
      <c r="B2333" s="1">
        <v>46023</v>
      </c>
      <c r="C2333" t="s">
        <v>2657</v>
      </c>
      <c r="D2333" t="s">
        <v>8029</v>
      </c>
      <c r="E2333" s="43">
        <v>46038.522019594908</v>
      </c>
      <c r="F2333" s="1">
        <v>46038</v>
      </c>
      <c r="G2333" s="43">
        <v>46038.605936203705</v>
      </c>
      <c r="H2333" t="s">
        <v>2701</v>
      </c>
      <c r="I2333" t="s">
        <v>2719</v>
      </c>
      <c r="J2333" t="s">
        <v>39</v>
      </c>
      <c r="L2333" t="s">
        <v>2336</v>
      </c>
      <c r="M2333">
        <v>669516273102</v>
      </c>
      <c r="N2333" t="s">
        <v>2702</v>
      </c>
      <c r="O2333" s="1">
        <v>45994</v>
      </c>
      <c r="T2333" t="s">
        <v>2662</v>
      </c>
      <c r="U2333" t="s">
        <v>8030</v>
      </c>
      <c r="V2333">
        <v>0</v>
      </c>
      <c r="X2333">
        <v>1</v>
      </c>
      <c r="AA2333">
        <v>669516273102</v>
      </c>
      <c r="AB2333" t="s">
        <v>2615</v>
      </c>
      <c r="AC2333">
        <v>0</v>
      </c>
      <c r="AD2333">
        <v>3</v>
      </c>
      <c r="AE2333">
        <v>6695162731023</v>
      </c>
      <c r="AF2333" t="s">
        <v>8026</v>
      </c>
      <c r="AG2333">
        <v>1</v>
      </c>
      <c r="AH2333">
        <v>0</v>
      </c>
    </row>
    <row r="2334" spans="1:34">
      <c r="A2334">
        <v>2026</v>
      </c>
      <c r="B2334" s="1">
        <v>46023</v>
      </c>
      <c r="C2334" t="s">
        <v>2657</v>
      </c>
      <c r="D2334" t="s">
        <v>8031</v>
      </c>
      <c r="E2334" s="43">
        <v>46041.86466240741</v>
      </c>
      <c r="F2334" s="1">
        <v>46041</v>
      </c>
      <c r="G2334" s="43">
        <v>46042.745146400463</v>
      </c>
      <c r="H2334" t="s">
        <v>2701</v>
      </c>
      <c r="I2334" t="s">
        <v>2719</v>
      </c>
      <c r="J2334" t="s">
        <v>39</v>
      </c>
      <c r="L2334" t="s">
        <v>2336</v>
      </c>
      <c r="M2334">
        <v>669516273102</v>
      </c>
      <c r="N2334" t="s">
        <v>2702</v>
      </c>
      <c r="O2334" s="1">
        <v>45994</v>
      </c>
      <c r="T2334" t="s">
        <v>2662</v>
      </c>
      <c r="U2334" t="s">
        <v>8032</v>
      </c>
      <c r="V2334">
        <v>1</v>
      </c>
      <c r="W2334" t="s">
        <v>2677</v>
      </c>
      <c r="X2334">
        <v>1</v>
      </c>
      <c r="Y2334" t="s">
        <v>3237</v>
      </c>
      <c r="AA2334">
        <v>669516273102</v>
      </c>
      <c r="AB2334" t="s">
        <v>2615</v>
      </c>
      <c r="AC2334">
        <v>0</v>
      </c>
      <c r="AD2334">
        <v>4</v>
      </c>
      <c r="AE2334">
        <v>6695162731024</v>
      </c>
      <c r="AF2334" t="s">
        <v>8026</v>
      </c>
      <c r="AG2334">
        <v>1</v>
      </c>
      <c r="AH2334">
        <v>0</v>
      </c>
    </row>
    <row r="2335" spans="1:34">
      <c r="A2335">
        <v>2026</v>
      </c>
      <c r="B2335" s="1">
        <v>46023</v>
      </c>
      <c r="C2335" t="s">
        <v>2657</v>
      </c>
      <c r="D2335" t="s">
        <v>8033</v>
      </c>
      <c r="E2335" s="43">
        <v>46042.562418784721</v>
      </c>
      <c r="F2335" s="1">
        <v>46042</v>
      </c>
      <c r="G2335" s="43">
        <v>46043.511250474534</v>
      </c>
      <c r="H2335" t="s">
        <v>2701</v>
      </c>
      <c r="I2335" t="s">
        <v>2719</v>
      </c>
      <c r="J2335" t="s">
        <v>39</v>
      </c>
      <c r="L2335" t="s">
        <v>2336</v>
      </c>
      <c r="M2335">
        <v>669516273102</v>
      </c>
      <c r="N2335" t="s">
        <v>2702</v>
      </c>
      <c r="O2335" s="1">
        <v>45994</v>
      </c>
      <c r="T2335" t="s">
        <v>2662</v>
      </c>
      <c r="U2335" t="s">
        <v>8034</v>
      </c>
      <c r="V2335">
        <v>1</v>
      </c>
      <c r="W2335" t="s">
        <v>2671</v>
      </c>
      <c r="X2335">
        <v>1</v>
      </c>
      <c r="Y2335" t="s">
        <v>2721</v>
      </c>
      <c r="AA2335">
        <v>669516273102</v>
      </c>
      <c r="AB2335" t="s">
        <v>2615</v>
      </c>
      <c r="AC2335">
        <v>0</v>
      </c>
      <c r="AD2335">
        <v>4</v>
      </c>
      <c r="AE2335">
        <v>6695162731024</v>
      </c>
      <c r="AF2335" t="s">
        <v>8026</v>
      </c>
      <c r="AG2335">
        <v>0</v>
      </c>
      <c r="AH2335">
        <v>0</v>
      </c>
    </row>
    <row r="2336" spans="1:34">
      <c r="A2336">
        <v>2026</v>
      </c>
      <c r="B2336" s="1">
        <v>46023</v>
      </c>
      <c r="C2336" t="s">
        <v>2657</v>
      </c>
      <c r="D2336" t="s">
        <v>8035</v>
      </c>
      <c r="E2336" s="43">
        <v>46042.588715254627</v>
      </c>
      <c r="F2336" s="1">
        <v>46042</v>
      </c>
      <c r="G2336" s="43">
        <v>46043.511096030095</v>
      </c>
      <c r="H2336" t="s">
        <v>2701</v>
      </c>
      <c r="I2336" t="s">
        <v>2719</v>
      </c>
      <c r="J2336" t="s">
        <v>39</v>
      </c>
      <c r="L2336" t="s">
        <v>2336</v>
      </c>
      <c r="M2336">
        <v>669516273102</v>
      </c>
      <c r="N2336" t="s">
        <v>2702</v>
      </c>
      <c r="O2336" s="1">
        <v>45994</v>
      </c>
      <c r="T2336" t="s">
        <v>2662</v>
      </c>
      <c r="U2336" t="s">
        <v>8036</v>
      </c>
      <c r="V2336">
        <v>1</v>
      </c>
      <c r="W2336" t="s">
        <v>2671</v>
      </c>
      <c r="X2336">
        <v>1</v>
      </c>
      <c r="Y2336" t="s">
        <v>2721</v>
      </c>
      <c r="AA2336">
        <v>669516273102</v>
      </c>
      <c r="AB2336" t="s">
        <v>2615</v>
      </c>
      <c r="AC2336">
        <v>0</v>
      </c>
      <c r="AD2336">
        <v>4</v>
      </c>
      <c r="AE2336">
        <v>6695162731024</v>
      </c>
      <c r="AF2336" t="s">
        <v>8026</v>
      </c>
      <c r="AG2336">
        <v>0</v>
      </c>
      <c r="AH2336">
        <v>0</v>
      </c>
    </row>
    <row r="2337" spans="1:35">
      <c r="A2337">
        <v>2026</v>
      </c>
      <c r="B2337" s="1">
        <v>46023</v>
      </c>
      <c r="C2337" t="s">
        <v>2657</v>
      </c>
      <c r="D2337" t="s">
        <v>8037</v>
      </c>
      <c r="E2337" s="43">
        <v>46045.792885578703</v>
      </c>
      <c r="F2337" s="1">
        <v>46045</v>
      </c>
      <c r="G2337" s="43">
        <v>46051.626829097222</v>
      </c>
      <c r="H2337" t="s">
        <v>2701</v>
      </c>
      <c r="I2337" t="s">
        <v>2660</v>
      </c>
      <c r="J2337" t="s">
        <v>39</v>
      </c>
      <c r="L2337" t="s">
        <v>2336</v>
      </c>
      <c r="M2337">
        <v>669516273102</v>
      </c>
      <c r="N2337" t="s">
        <v>2702</v>
      </c>
      <c r="O2337" s="1">
        <v>45994</v>
      </c>
      <c r="T2337" t="s">
        <v>2662</v>
      </c>
      <c r="U2337" t="s">
        <v>8038</v>
      </c>
      <c r="V2337">
        <v>4</v>
      </c>
      <c r="W2337" t="s">
        <v>2671</v>
      </c>
      <c r="X2337">
        <v>1</v>
      </c>
      <c r="Y2337" t="s">
        <v>2721</v>
      </c>
      <c r="AA2337">
        <v>669516273102</v>
      </c>
      <c r="AB2337" t="s">
        <v>2615</v>
      </c>
      <c r="AC2337">
        <v>0</v>
      </c>
      <c r="AD2337">
        <v>4</v>
      </c>
      <c r="AE2337">
        <v>6695162731024</v>
      </c>
      <c r="AF2337" t="s">
        <v>8026</v>
      </c>
      <c r="AG2337">
        <v>0</v>
      </c>
      <c r="AH2337">
        <v>0</v>
      </c>
    </row>
    <row r="2338" spans="1:35">
      <c r="A2338">
        <v>2026</v>
      </c>
      <c r="B2338" s="1">
        <v>46023</v>
      </c>
      <c r="C2338" t="s">
        <v>2657</v>
      </c>
      <c r="D2338" t="s">
        <v>8039</v>
      </c>
      <c r="E2338" s="43">
        <v>46050.676556851853</v>
      </c>
      <c r="F2338" s="1">
        <v>46050</v>
      </c>
      <c r="G2338" s="43">
        <v>46052.501308888888</v>
      </c>
      <c r="H2338" t="s">
        <v>2701</v>
      </c>
      <c r="I2338" t="s">
        <v>2660</v>
      </c>
      <c r="J2338" t="s">
        <v>39</v>
      </c>
      <c r="L2338" t="s">
        <v>2336</v>
      </c>
      <c r="M2338">
        <v>669516273102</v>
      </c>
      <c r="N2338" t="s">
        <v>2702</v>
      </c>
      <c r="O2338" s="1">
        <v>45994</v>
      </c>
      <c r="T2338" t="s">
        <v>2662</v>
      </c>
      <c r="U2338" t="s">
        <v>8040</v>
      </c>
      <c r="V2338">
        <v>2</v>
      </c>
      <c r="W2338" t="s">
        <v>2677</v>
      </c>
      <c r="X2338">
        <v>1</v>
      </c>
      <c r="Y2338" t="s">
        <v>3237</v>
      </c>
      <c r="Z2338" t="s">
        <v>2684</v>
      </c>
      <c r="AA2338">
        <v>669516273102</v>
      </c>
      <c r="AB2338" t="s">
        <v>2615</v>
      </c>
      <c r="AC2338">
        <v>0</v>
      </c>
      <c r="AD2338">
        <v>5</v>
      </c>
      <c r="AE2338">
        <v>6695162731025</v>
      </c>
      <c r="AF2338" t="s">
        <v>8026</v>
      </c>
      <c r="AG2338">
        <v>1</v>
      </c>
      <c r="AH2338">
        <v>0</v>
      </c>
    </row>
    <row r="2339" spans="1:35">
      <c r="A2339">
        <v>2026</v>
      </c>
      <c r="B2339" s="1">
        <v>46023</v>
      </c>
      <c r="C2339" t="s">
        <v>2657</v>
      </c>
      <c r="D2339" t="s">
        <v>8041</v>
      </c>
      <c r="E2339" s="43">
        <v>46051.565307210651</v>
      </c>
      <c r="F2339" s="1">
        <v>46051</v>
      </c>
      <c r="G2339" s="43">
        <v>46052.735732870373</v>
      </c>
      <c r="H2339" t="s">
        <v>2701</v>
      </c>
      <c r="I2339" t="s">
        <v>2697</v>
      </c>
      <c r="J2339" t="s">
        <v>39</v>
      </c>
      <c r="L2339" t="s">
        <v>2336</v>
      </c>
      <c r="M2339">
        <v>669516273102</v>
      </c>
      <c r="N2339" t="s">
        <v>2702</v>
      </c>
      <c r="O2339" s="1">
        <v>45994</v>
      </c>
      <c r="T2339" t="s">
        <v>2662</v>
      </c>
      <c r="U2339" t="s">
        <v>8042</v>
      </c>
      <c r="V2339">
        <v>1</v>
      </c>
      <c r="X2339">
        <v>1</v>
      </c>
      <c r="Y2339" t="s">
        <v>2721</v>
      </c>
      <c r="Z2339" t="s">
        <v>2684</v>
      </c>
      <c r="AA2339">
        <v>669516273102</v>
      </c>
      <c r="AB2339" t="s">
        <v>2615</v>
      </c>
      <c r="AC2339">
        <v>0</v>
      </c>
      <c r="AD2339">
        <v>5</v>
      </c>
      <c r="AE2339">
        <v>6695162731025</v>
      </c>
      <c r="AF2339" t="s">
        <v>8026</v>
      </c>
      <c r="AG2339">
        <v>0</v>
      </c>
      <c r="AH2339">
        <v>0</v>
      </c>
    </row>
    <row r="2340" spans="1:35">
      <c r="A2340">
        <v>2026</v>
      </c>
      <c r="B2340" s="1">
        <v>46054</v>
      </c>
      <c r="C2340" t="s">
        <v>2657</v>
      </c>
      <c r="D2340" t="s">
        <v>8043</v>
      </c>
      <c r="E2340" s="43">
        <v>46065.598998449073</v>
      </c>
      <c r="F2340" s="1">
        <v>46065</v>
      </c>
      <c r="G2340" s="43">
        <v>46084.910249421293</v>
      </c>
      <c r="H2340" t="s">
        <v>2725</v>
      </c>
      <c r="I2340" t="s">
        <v>2681</v>
      </c>
      <c r="J2340" t="s">
        <v>37</v>
      </c>
      <c r="L2340" t="s">
        <v>2364</v>
      </c>
      <c r="M2340">
        <v>24679550702</v>
      </c>
      <c r="N2340" t="s">
        <v>2661</v>
      </c>
      <c r="O2340" s="1">
        <v>45994</v>
      </c>
      <c r="T2340" t="s">
        <v>2662</v>
      </c>
      <c r="U2340" t="s">
        <v>8044</v>
      </c>
      <c r="V2340">
        <v>13</v>
      </c>
      <c r="W2340" t="s">
        <v>2677</v>
      </c>
      <c r="X2340">
        <v>1</v>
      </c>
      <c r="Y2340" t="s">
        <v>2767</v>
      </c>
      <c r="AA2340">
        <v>24679550702</v>
      </c>
      <c r="AB2340" t="s">
        <v>2389</v>
      </c>
      <c r="AC2340">
        <v>0</v>
      </c>
      <c r="AD2340">
        <v>7</v>
      </c>
      <c r="AE2340">
        <v>246795507027</v>
      </c>
      <c r="AF2340" t="s">
        <v>8045</v>
      </c>
      <c r="AG2340">
        <v>0</v>
      </c>
      <c r="AH2340">
        <v>0</v>
      </c>
    </row>
    <row r="2341" spans="1:35">
      <c r="A2341">
        <v>2026</v>
      </c>
      <c r="B2341" s="1">
        <v>46054</v>
      </c>
      <c r="C2341" t="s">
        <v>2657</v>
      </c>
      <c r="D2341" t="s">
        <v>8046</v>
      </c>
      <c r="E2341" s="43">
        <v>46064.518408298609</v>
      </c>
      <c r="F2341" s="1">
        <v>46064</v>
      </c>
      <c r="G2341" s="43">
        <v>46065.593078032405</v>
      </c>
      <c r="H2341" t="s">
        <v>2725</v>
      </c>
      <c r="I2341" t="s">
        <v>2681</v>
      </c>
      <c r="J2341" t="s">
        <v>37</v>
      </c>
      <c r="L2341" t="s">
        <v>2364</v>
      </c>
      <c r="M2341">
        <v>24679550702</v>
      </c>
      <c r="N2341" t="s">
        <v>2661</v>
      </c>
      <c r="O2341" s="1">
        <v>45994</v>
      </c>
      <c r="T2341" t="s">
        <v>2662</v>
      </c>
      <c r="U2341" t="s">
        <v>8047</v>
      </c>
      <c r="V2341">
        <v>1</v>
      </c>
      <c r="W2341" t="s">
        <v>2677</v>
      </c>
      <c r="X2341">
        <v>1</v>
      </c>
      <c r="Y2341" t="s">
        <v>2807</v>
      </c>
      <c r="AA2341">
        <v>24679550702</v>
      </c>
      <c r="AB2341" t="s">
        <v>2389</v>
      </c>
      <c r="AC2341">
        <v>0</v>
      </c>
      <c r="AD2341">
        <v>7</v>
      </c>
      <c r="AE2341">
        <v>246795507027</v>
      </c>
      <c r="AF2341" t="s">
        <v>8045</v>
      </c>
      <c r="AG2341">
        <v>0</v>
      </c>
      <c r="AH2341">
        <v>0</v>
      </c>
    </row>
    <row r="2342" spans="1:35">
      <c r="A2342">
        <v>2026</v>
      </c>
      <c r="B2342" s="1">
        <v>46054</v>
      </c>
      <c r="C2342" t="s">
        <v>2657</v>
      </c>
      <c r="D2342" t="s">
        <v>8048</v>
      </c>
      <c r="E2342" s="43">
        <v>46062.623465486111</v>
      </c>
      <c r="F2342" s="1">
        <v>46062</v>
      </c>
      <c r="G2342" s="43">
        <v>46093.823391157406</v>
      </c>
      <c r="H2342" t="s">
        <v>2725</v>
      </c>
      <c r="I2342" t="s">
        <v>2681</v>
      </c>
      <c r="J2342" t="s">
        <v>37</v>
      </c>
      <c r="L2342" t="s">
        <v>2364</v>
      </c>
      <c r="M2342">
        <v>24679550702</v>
      </c>
      <c r="N2342" t="s">
        <v>2661</v>
      </c>
      <c r="O2342" s="1">
        <v>45994</v>
      </c>
      <c r="T2342" t="s">
        <v>2662</v>
      </c>
      <c r="U2342" t="s">
        <v>8049</v>
      </c>
      <c r="V2342">
        <v>23</v>
      </c>
      <c r="W2342" t="s">
        <v>2671</v>
      </c>
      <c r="X2342">
        <v>1</v>
      </c>
      <c r="Y2342" t="s">
        <v>2727</v>
      </c>
      <c r="AA2342">
        <v>24679550702</v>
      </c>
      <c r="AB2342" t="s">
        <v>2389</v>
      </c>
      <c r="AC2342">
        <v>0</v>
      </c>
      <c r="AD2342">
        <v>7</v>
      </c>
      <c r="AE2342">
        <v>246795507027</v>
      </c>
      <c r="AF2342" t="s">
        <v>8045</v>
      </c>
      <c r="AG2342">
        <v>1</v>
      </c>
      <c r="AH2342">
        <v>1</v>
      </c>
    </row>
    <row r="2343" spans="1:35">
      <c r="A2343">
        <v>2026</v>
      </c>
      <c r="B2343" s="1">
        <v>46054</v>
      </c>
      <c r="C2343" t="s">
        <v>2657</v>
      </c>
      <c r="D2343" t="s">
        <v>8050</v>
      </c>
      <c r="E2343" s="43">
        <v>46062.8162537963</v>
      </c>
      <c r="F2343" s="1">
        <v>46062</v>
      </c>
      <c r="G2343" s="43">
        <v>46064.512452754629</v>
      </c>
      <c r="H2343" t="s">
        <v>2725</v>
      </c>
      <c r="I2343" t="s">
        <v>2681</v>
      </c>
      <c r="J2343" t="s">
        <v>37</v>
      </c>
      <c r="L2343" t="s">
        <v>2364</v>
      </c>
      <c r="M2343">
        <v>24679550702</v>
      </c>
      <c r="N2343" t="s">
        <v>2661</v>
      </c>
      <c r="O2343" s="1">
        <v>45994</v>
      </c>
      <c r="T2343" t="s">
        <v>2662</v>
      </c>
      <c r="U2343" t="s">
        <v>8051</v>
      </c>
      <c r="V2343">
        <v>2</v>
      </c>
      <c r="W2343" t="s">
        <v>2677</v>
      </c>
      <c r="X2343">
        <v>1</v>
      </c>
      <c r="Y2343" t="s">
        <v>2807</v>
      </c>
      <c r="AA2343">
        <v>24679550702</v>
      </c>
      <c r="AB2343" t="s">
        <v>2389</v>
      </c>
      <c r="AC2343">
        <v>0</v>
      </c>
      <c r="AD2343">
        <v>7</v>
      </c>
      <c r="AE2343">
        <v>246795507027</v>
      </c>
      <c r="AF2343" t="s">
        <v>8045</v>
      </c>
      <c r="AG2343">
        <v>0</v>
      </c>
      <c r="AH2343">
        <v>0</v>
      </c>
    </row>
    <row r="2344" spans="1:35">
      <c r="A2344">
        <v>2026</v>
      </c>
      <c r="B2344" s="1">
        <v>46054</v>
      </c>
      <c r="C2344" t="s">
        <v>2657</v>
      </c>
      <c r="D2344" t="s">
        <v>8052</v>
      </c>
      <c r="E2344" s="43">
        <v>46076.726186898151</v>
      </c>
      <c r="F2344" s="1">
        <v>46076</v>
      </c>
      <c r="G2344" s="43">
        <v>46078.602076145835</v>
      </c>
      <c r="H2344" t="s">
        <v>2725</v>
      </c>
      <c r="I2344" t="s">
        <v>2660</v>
      </c>
      <c r="J2344" t="s">
        <v>37</v>
      </c>
      <c r="L2344" t="s">
        <v>2364</v>
      </c>
      <c r="M2344">
        <v>24679550702</v>
      </c>
      <c r="N2344" t="s">
        <v>2661</v>
      </c>
      <c r="O2344" s="1">
        <v>45994</v>
      </c>
      <c r="T2344" t="s">
        <v>2662</v>
      </c>
      <c r="U2344" t="s">
        <v>8053</v>
      </c>
      <c r="V2344">
        <v>2</v>
      </c>
      <c r="W2344" t="s">
        <v>2677</v>
      </c>
      <c r="X2344">
        <v>1</v>
      </c>
      <c r="Y2344" t="s">
        <v>2985</v>
      </c>
      <c r="AA2344">
        <v>24679550702</v>
      </c>
      <c r="AB2344" t="s">
        <v>2389</v>
      </c>
      <c r="AC2344">
        <v>0</v>
      </c>
      <c r="AD2344">
        <v>9</v>
      </c>
      <c r="AE2344">
        <v>246795507029</v>
      </c>
      <c r="AF2344" t="s">
        <v>8045</v>
      </c>
      <c r="AG2344">
        <v>1</v>
      </c>
      <c r="AH2344">
        <v>0</v>
      </c>
    </row>
    <row r="2345" spans="1:35">
      <c r="A2345">
        <v>2026</v>
      </c>
      <c r="B2345" s="1">
        <v>46054</v>
      </c>
      <c r="C2345" t="s">
        <v>2657</v>
      </c>
      <c r="D2345" t="s">
        <v>8054</v>
      </c>
      <c r="E2345" s="43">
        <v>46055.754921446758</v>
      </c>
      <c r="F2345" s="1">
        <v>46055</v>
      </c>
      <c r="G2345" s="43">
        <v>46073.635751620372</v>
      </c>
      <c r="H2345" t="s">
        <v>2725</v>
      </c>
      <c r="I2345" t="s">
        <v>2669</v>
      </c>
      <c r="J2345" t="s">
        <v>36</v>
      </c>
      <c r="L2345" t="s">
        <v>2421</v>
      </c>
      <c r="M2345">
        <v>187533500102</v>
      </c>
      <c r="N2345" t="s">
        <v>2661</v>
      </c>
      <c r="O2345" s="1">
        <v>44830</v>
      </c>
      <c r="T2345" t="s">
        <v>2662</v>
      </c>
      <c r="U2345" t="s">
        <v>8055</v>
      </c>
      <c r="V2345">
        <v>14</v>
      </c>
      <c r="W2345" t="s">
        <v>2677</v>
      </c>
      <c r="X2345">
        <v>1</v>
      </c>
      <c r="Y2345" t="s">
        <v>2760</v>
      </c>
      <c r="Z2345" t="s">
        <v>2684</v>
      </c>
      <c r="AA2345">
        <v>187533500102</v>
      </c>
      <c r="AB2345" t="s">
        <v>1717</v>
      </c>
      <c r="AC2345">
        <v>0</v>
      </c>
      <c r="AD2345">
        <v>6</v>
      </c>
      <c r="AE2345">
        <v>1875335001026</v>
      </c>
      <c r="AF2345" t="s">
        <v>8056</v>
      </c>
      <c r="AG2345">
        <v>1</v>
      </c>
      <c r="AH2345">
        <v>1</v>
      </c>
      <c r="AI2345" t="s">
        <v>3001</v>
      </c>
    </row>
    <row r="2346" spans="1:35">
      <c r="A2346">
        <v>2026</v>
      </c>
      <c r="B2346" s="1">
        <v>46054</v>
      </c>
      <c r="C2346" t="s">
        <v>2657</v>
      </c>
      <c r="D2346" t="s">
        <v>8057</v>
      </c>
      <c r="E2346" s="43">
        <v>46077.559633032404</v>
      </c>
      <c r="F2346" s="1">
        <v>46077</v>
      </c>
      <c r="G2346" s="43">
        <v>46080.659030833333</v>
      </c>
      <c r="H2346" t="s">
        <v>2725</v>
      </c>
      <c r="I2346" t="s">
        <v>2660</v>
      </c>
      <c r="J2346" t="s">
        <v>36</v>
      </c>
      <c r="L2346" t="s">
        <v>2421</v>
      </c>
      <c r="M2346">
        <v>187533500102</v>
      </c>
      <c r="N2346" t="s">
        <v>2661</v>
      </c>
      <c r="O2346" s="1">
        <v>44830</v>
      </c>
      <c r="T2346" t="s">
        <v>2662</v>
      </c>
      <c r="U2346" t="s">
        <v>8058</v>
      </c>
      <c r="V2346">
        <v>3</v>
      </c>
      <c r="W2346" t="s">
        <v>2743</v>
      </c>
      <c r="X2346">
        <v>1</v>
      </c>
      <c r="Y2346" t="s">
        <v>2688</v>
      </c>
      <c r="AA2346">
        <v>187533500102</v>
      </c>
      <c r="AB2346" t="s">
        <v>1717</v>
      </c>
      <c r="AC2346">
        <v>0</v>
      </c>
      <c r="AD2346">
        <v>9</v>
      </c>
      <c r="AE2346">
        <v>1875335001029</v>
      </c>
      <c r="AF2346" t="s">
        <v>8056</v>
      </c>
      <c r="AG2346">
        <v>1</v>
      </c>
      <c r="AH2346">
        <v>0</v>
      </c>
    </row>
    <row r="2347" spans="1:35">
      <c r="A2347">
        <v>2026</v>
      </c>
      <c r="B2347" s="1">
        <v>46054</v>
      </c>
      <c r="C2347" t="s">
        <v>2657</v>
      </c>
      <c r="D2347" t="s">
        <v>8059</v>
      </c>
      <c r="E2347" s="43">
        <v>46057.687332314817</v>
      </c>
      <c r="F2347" s="1">
        <v>46057</v>
      </c>
      <c r="G2347" s="43">
        <v>46083.700805856482</v>
      </c>
      <c r="H2347" t="s">
        <v>2725</v>
      </c>
      <c r="I2347" t="s">
        <v>2669</v>
      </c>
      <c r="J2347" t="s">
        <v>36</v>
      </c>
      <c r="L2347" t="s">
        <v>2421</v>
      </c>
      <c r="M2347">
        <v>1044965067502</v>
      </c>
      <c r="N2347" t="s">
        <v>2661</v>
      </c>
      <c r="O2347" s="1">
        <v>45709</v>
      </c>
      <c r="T2347" t="s">
        <v>2662</v>
      </c>
      <c r="U2347" t="s">
        <v>8060</v>
      </c>
      <c r="V2347">
        <v>18</v>
      </c>
      <c r="W2347" t="s">
        <v>2677</v>
      </c>
      <c r="X2347">
        <v>1</v>
      </c>
      <c r="Y2347" t="s">
        <v>2772</v>
      </c>
      <c r="AA2347">
        <v>124090551902</v>
      </c>
      <c r="AB2347" t="s">
        <v>1956</v>
      </c>
      <c r="AC2347">
        <v>0</v>
      </c>
      <c r="AD2347">
        <v>6</v>
      </c>
      <c r="AE2347">
        <v>1240905519026</v>
      </c>
      <c r="AF2347" t="s">
        <v>8061</v>
      </c>
      <c r="AG2347">
        <v>1</v>
      </c>
      <c r="AH2347">
        <v>1</v>
      </c>
    </row>
    <row r="2348" spans="1:35">
      <c r="A2348">
        <v>2026</v>
      </c>
      <c r="B2348" s="1">
        <v>46054</v>
      </c>
      <c r="C2348" t="s">
        <v>2657</v>
      </c>
      <c r="D2348" t="s">
        <v>8062</v>
      </c>
      <c r="E2348" s="43">
        <v>46059.851694942132</v>
      </c>
      <c r="F2348" s="1">
        <v>46059</v>
      </c>
      <c r="G2348" s="43">
        <v>46080.514288402781</v>
      </c>
      <c r="H2348" t="s">
        <v>2725</v>
      </c>
      <c r="I2348" t="s">
        <v>2669</v>
      </c>
      <c r="J2348" t="s">
        <v>36</v>
      </c>
      <c r="L2348" t="s">
        <v>2421</v>
      </c>
      <c r="M2348">
        <v>1044965067502</v>
      </c>
      <c r="N2348" t="s">
        <v>2661</v>
      </c>
      <c r="O2348" s="1">
        <v>45709</v>
      </c>
      <c r="T2348" t="s">
        <v>2662</v>
      </c>
      <c r="U2348" t="s">
        <v>8063</v>
      </c>
      <c r="V2348">
        <v>15</v>
      </c>
      <c r="W2348" t="s">
        <v>2671</v>
      </c>
      <c r="X2348">
        <v>1</v>
      </c>
      <c r="Y2348" t="s">
        <v>2764</v>
      </c>
      <c r="AA2348">
        <v>124090551902</v>
      </c>
      <c r="AB2348" t="s">
        <v>1956</v>
      </c>
      <c r="AC2348">
        <v>0</v>
      </c>
      <c r="AD2348">
        <v>6</v>
      </c>
      <c r="AE2348">
        <v>1240905519026</v>
      </c>
      <c r="AF2348" t="s">
        <v>8061</v>
      </c>
      <c r="AG2348">
        <v>0</v>
      </c>
      <c r="AH2348">
        <v>0</v>
      </c>
    </row>
    <row r="2349" spans="1:35">
      <c r="A2349">
        <v>2026</v>
      </c>
      <c r="B2349" s="1">
        <v>46054</v>
      </c>
      <c r="C2349" t="s">
        <v>2657</v>
      </c>
      <c r="D2349" t="s">
        <v>8064</v>
      </c>
      <c r="E2349" s="43">
        <v>46058.785155821759</v>
      </c>
      <c r="F2349" s="1">
        <v>46058</v>
      </c>
      <c r="G2349" s="43">
        <v>46066.546991840281</v>
      </c>
      <c r="H2349" t="s">
        <v>2725</v>
      </c>
      <c r="I2349" t="s">
        <v>2669</v>
      </c>
      <c r="J2349" t="s">
        <v>36</v>
      </c>
      <c r="L2349" t="s">
        <v>2421</v>
      </c>
      <c r="M2349">
        <v>1146317442802</v>
      </c>
      <c r="N2349" t="s">
        <v>2661</v>
      </c>
      <c r="O2349" s="1">
        <v>46055</v>
      </c>
      <c r="T2349" t="s">
        <v>2662</v>
      </c>
      <c r="U2349" t="s">
        <v>8065</v>
      </c>
      <c r="V2349">
        <v>6</v>
      </c>
      <c r="W2349" t="s">
        <v>2677</v>
      </c>
      <c r="X2349">
        <v>1</v>
      </c>
      <c r="Y2349" t="s">
        <v>2779</v>
      </c>
      <c r="AA2349">
        <v>124090551902</v>
      </c>
      <c r="AB2349" t="s">
        <v>1956</v>
      </c>
      <c r="AC2349">
        <v>0</v>
      </c>
      <c r="AD2349">
        <v>6</v>
      </c>
      <c r="AE2349">
        <v>1240905519026</v>
      </c>
      <c r="AF2349" t="s">
        <v>8061</v>
      </c>
      <c r="AG2349">
        <v>0</v>
      </c>
      <c r="AH2349">
        <v>0</v>
      </c>
    </row>
    <row r="2350" spans="1:35">
      <c r="A2350">
        <v>2026</v>
      </c>
      <c r="B2350" s="1">
        <v>46054</v>
      </c>
      <c r="C2350" t="s">
        <v>2657</v>
      </c>
      <c r="D2350" t="s">
        <v>8066</v>
      </c>
      <c r="E2350" s="43">
        <v>46072.598117083333</v>
      </c>
      <c r="F2350" s="1">
        <v>46072</v>
      </c>
      <c r="G2350" s="43">
        <v>46086.543160069443</v>
      </c>
      <c r="H2350" t="s">
        <v>2725</v>
      </c>
      <c r="I2350" t="s">
        <v>2719</v>
      </c>
      <c r="J2350" t="s">
        <v>36</v>
      </c>
      <c r="L2350" t="s">
        <v>2421</v>
      </c>
      <c r="M2350">
        <v>1044965067502</v>
      </c>
      <c r="N2350" t="s">
        <v>2661</v>
      </c>
      <c r="O2350" s="1">
        <v>45709</v>
      </c>
      <c r="T2350" t="s">
        <v>2662</v>
      </c>
      <c r="U2350" t="s">
        <v>8067</v>
      </c>
      <c r="V2350">
        <v>10</v>
      </c>
      <c r="W2350" t="s">
        <v>2677</v>
      </c>
      <c r="X2350">
        <v>1</v>
      </c>
      <c r="Y2350" t="s">
        <v>2772</v>
      </c>
      <c r="AA2350">
        <v>124090551902</v>
      </c>
      <c r="AB2350" t="s">
        <v>1956</v>
      </c>
      <c r="AC2350">
        <v>0</v>
      </c>
      <c r="AD2350">
        <v>8</v>
      </c>
      <c r="AE2350">
        <v>1240905519028</v>
      </c>
      <c r="AF2350" t="s">
        <v>8061</v>
      </c>
      <c r="AG2350">
        <v>0</v>
      </c>
      <c r="AH2350">
        <v>0</v>
      </c>
    </row>
    <row r="2351" spans="1:35">
      <c r="A2351">
        <v>2026</v>
      </c>
      <c r="B2351" s="1">
        <v>46054</v>
      </c>
      <c r="C2351" t="s">
        <v>2657</v>
      </c>
      <c r="D2351" t="s">
        <v>8068</v>
      </c>
      <c r="E2351" s="43">
        <v>46072.588086018521</v>
      </c>
      <c r="F2351" s="1">
        <v>46072</v>
      </c>
      <c r="G2351" s="43">
        <v>46073.776824293978</v>
      </c>
      <c r="H2351" t="s">
        <v>2725</v>
      </c>
      <c r="I2351" t="s">
        <v>2719</v>
      </c>
      <c r="J2351" t="s">
        <v>36</v>
      </c>
      <c r="L2351" t="s">
        <v>2421</v>
      </c>
      <c r="M2351">
        <v>124090551902</v>
      </c>
      <c r="N2351" t="s">
        <v>2661</v>
      </c>
      <c r="O2351" s="1">
        <v>45541</v>
      </c>
      <c r="T2351" t="s">
        <v>2662</v>
      </c>
      <c r="U2351" t="s">
        <v>8069</v>
      </c>
      <c r="V2351">
        <v>1</v>
      </c>
      <c r="W2351" t="s">
        <v>2677</v>
      </c>
      <c r="X2351">
        <v>1</v>
      </c>
      <c r="Y2351" t="s">
        <v>2760</v>
      </c>
      <c r="AA2351">
        <v>124090551902</v>
      </c>
      <c r="AB2351" t="s">
        <v>1956</v>
      </c>
      <c r="AC2351">
        <v>0</v>
      </c>
      <c r="AD2351">
        <v>8</v>
      </c>
      <c r="AE2351">
        <v>1240905519028</v>
      </c>
      <c r="AF2351" t="s">
        <v>8061</v>
      </c>
      <c r="AG2351">
        <v>1</v>
      </c>
      <c r="AH2351">
        <v>0</v>
      </c>
    </row>
    <row r="2352" spans="1:35">
      <c r="A2352">
        <v>2025</v>
      </c>
      <c r="B2352" s="1">
        <v>45962</v>
      </c>
      <c r="C2352" t="s">
        <v>2657</v>
      </c>
      <c r="D2352" t="s">
        <v>8070</v>
      </c>
      <c r="E2352" s="43">
        <v>45974.817546770835</v>
      </c>
      <c r="F2352" s="1">
        <v>45974</v>
      </c>
      <c r="G2352" s="43">
        <v>45985.646292187499</v>
      </c>
      <c r="H2352" t="s">
        <v>2802</v>
      </c>
      <c r="I2352" t="s">
        <v>2681</v>
      </c>
      <c r="J2352" t="s">
        <v>100</v>
      </c>
      <c r="L2352" t="s">
        <v>2353</v>
      </c>
      <c r="M2352">
        <v>320035971002</v>
      </c>
      <c r="N2352" t="s">
        <v>2675</v>
      </c>
      <c r="O2352" s="1">
        <v>45669</v>
      </c>
      <c r="T2352" t="s">
        <v>2662</v>
      </c>
      <c r="U2352" t="s">
        <v>8071</v>
      </c>
      <c r="V2352">
        <v>7</v>
      </c>
      <c r="W2352" t="s">
        <v>2743</v>
      </c>
      <c r="X2352">
        <v>1</v>
      </c>
      <c r="Y2352" t="s">
        <v>2931</v>
      </c>
      <c r="Z2352" t="s">
        <v>2684</v>
      </c>
      <c r="AA2352">
        <v>320035971002</v>
      </c>
      <c r="AB2352" t="s">
        <v>208</v>
      </c>
      <c r="AC2352">
        <v>0</v>
      </c>
      <c r="AD2352">
        <v>46</v>
      </c>
      <c r="AE2352">
        <v>32003597100246</v>
      </c>
      <c r="AF2352" t="s">
        <v>8072</v>
      </c>
      <c r="AG2352">
        <v>1</v>
      </c>
      <c r="AH2352">
        <v>1</v>
      </c>
    </row>
    <row r="2353" spans="1:34">
      <c r="A2353">
        <v>2025</v>
      </c>
      <c r="B2353" s="1">
        <v>45962</v>
      </c>
      <c r="C2353" t="s">
        <v>2657</v>
      </c>
      <c r="D2353" t="s">
        <v>8073</v>
      </c>
      <c r="E2353" s="43">
        <v>45986.788301250002</v>
      </c>
      <c r="F2353" s="1">
        <v>45986</v>
      </c>
      <c r="G2353" s="43">
        <v>45993.810249745373</v>
      </c>
      <c r="H2353" t="s">
        <v>2802</v>
      </c>
      <c r="I2353" t="s">
        <v>2660</v>
      </c>
      <c r="J2353" t="s">
        <v>100</v>
      </c>
      <c r="L2353" t="s">
        <v>2353</v>
      </c>
      <c r="M2353">
        <v>320035971002</v>
      </c>
      <c r="N2353" t="s">
        <v>2675</v>
      </c>
      <c r="O2353" s="1">
        <v>45669</v>
      </c>
      <c r="T2353" t="s">
        <v>2662</v>
      </c>
      <c r="U2353" t="s">
        <v>8074</v>
      </c>
      <c r="V2353">
        <v>5</v>
      </c>
      <c r="W2353" t="s">
        <v>2985</v>
      </c>
      <c r="X2353">
        <v>1</v>
      </c>
      <c r="Y2353" t="s">
        <v>2985</v>
      </c>
      <c r="AA2353">
        <v>320035971002</v>
      </c>
      <c r="AB2353" t="s">
        <v>208</v>
      </c>
      <c r="AC2353">
        <v>0</v>
      </c>
      <c r="AD2353">
        <v>48</v>
      </c>
      <c r="AE2353">
        <v>32003597100248</v>
      </c>
      <c r="AF2353" t="s">
        <v>8072</v>
      </c>
      <c r="AG2353">
        <v>0</v>
      </c>
      <c r="AH2353">
        <v>0</v>
      </c>
    </row>
    <row r="2354" spans="1:34">
      <c r="A2354">
        <v>2025</v>
      </c>
      <c r="B2354" s="1">
        <v>45962</v>
      </c>
      <c r="C2354" t="s">
        <v>2657</v>
      </c>
      <c r="D2354" t="s">
        <v>8075</v>
      </c>
      <c r="E2354" s="43">
        <v>45986.769885196758</v>
      </c>
      <c r="F2354" s="1">
        <v>45986</v>
      </c>
      <c r="G2354" s="43">
        <v>45992.604217916669</v>
      </c>
      <c r="H2354" t="s">
        <v>2802</v>
      </c>
      <c r="I2354" t="s">
        <v>2660</v>
      </c>
      <c r="J2354" t="s">
        <v>100</v>
      </c>
      <c r="L2354" t="s">
        <v>2353</v>
      </c>
      <c r="M2354">
        <v>320035971002</v>
      </c>
      <c r="N2354" t="s">
        <v>2675</v>
      </c>
      <c r="O2354" s="1">
        <v>45669</v>
      </c>
      <c r="T2354" t="s">
        <v>2662</v>
      </c>
      <c r="U2354" t="s">
        <v>8076</v>
      </c>
      <c r="V2354">
        <v>4</v>
      </c>
      <c r="X2354">
        <v>1</v>
      </c>
      <c r="Y2354" t="s">
        <v>2779</v>
      </c>
      <c r="AA2354">
        <v>320035971002</v>
      </c>
      <c r="AB2354" t="s">
        <v>208</v>
      </c>
      <c r="AC2354">
        <v>0</v>
      </c>
      <c r="AD2354">
        <v>48</v>
      </c>
      <c r="AE2354">
        <v>32003597100248</v>
      </c>
      <c r="AF2354" t="s">
        <v>8072</v>
      </c>
      <c r="AG2354">
        <v>1</v>
      </c>
      <c r="AH2354">
        <v>0</v>
      </c>
    </row>
    <row r="2355" spans="1:34">
      <c r="A2355">
        <v>2025</v>
      </c>
      <c r="B2355" s="1">
        <v>45992</v>
      </c>
      <c r="C2355" t="s">
        <v>2657</v>
      </c>
      <c r="D2355" t="s">
        <v>8077</v>
      </c>
      <c r="E2355" s="43">
        <v>46008.816763240742</v>
      </c>
      <c r="F2355" s="1">
        <v>46008</v>
      </c>
      <c r="G2355" s="43">
        <v>46010.555820949077</v>
      </c>
      <c r="H2355" t="s">
        <v>2686</v>
      </c>
      <c r="I2355" t="s">
        <v>2719</v>
      </c>
      <c r="J2355" t="s">
        <v>2735</v>
      </c>
      <c r="L2355" t="s">
        <v>2336</v>
      </c>
      <c r="M2355">
        <v>161445746002</v>
      </c>
      <c r="N2355" t="s">
        <v>2746</v>
      </c>
      <c r="O2355" s="1">
        <v>45673</v>
      </c>
      <c r="T2355" t="s">
        <v>2662</v>
      </c>
      <c r="U2355" t="s">
        <v>8078</v>
      </c>
      <c r="V2355">
        <v>2</v>
      </c>
      <c r="W2355" t="s">
        <v>2671</v>
      </c>
      <c r="X2355">
        <v>1</v>
      </c>
      <c r="Y2355" t="s">
        <v>2764</v>
      </c>
      <c r="AA2355">
        <v>11103651302</v>
      </c>
      <c r="AB2355" t="s">
        <v>1482</v>
      </c>
      <c r="AC2355">
        <v>0</v>
      </c>
      <c r="AD2355">
        <v>51</v>
      </c>
      <c r="AE2355">
        <v>1110365130251</v>
      </c>
      <c r="AF2355" t="s">
        <v>8079</v>
      </c>
      <c r="AG2355">
        <v>0</v>
      </c>
      <c r="AH2355">
        <v>0</v>
      </c>
    </row>
    <row r="2356" spans="1:34">
      <c r="A2356">
        <v>2025</v>
      </c>
      <c r="B2356" s="1">
        <v>45992</v>
      </c>
      <c r="C2356" t="s">
        <v>2657</v>
      </c>
      <c r="D2356" t="s">
        <v>8080</v>
      </c>
      <c r="E2356" s="43">
        <v>46007.672128194441</v>
      </c>
      <c r="F2356" s="1">
        <v>46007</v>
      </c>
      <c r="G2356" s="43">
        <v>46008.940804560189</v>
      </c>
      <c r="H2356" t="s">
        <v>2686</v>
      </c>
      <c r="I2356" t="s">
        <v>2719</v>
      </c>
      <c r="J2356" t="s">
        <v>2735</v>
      </c>
      <c r="L2356" t="s">
        <v>2336</v>
      </c>
      <c r="M2356">
        <v>161445746002</v>
      </c>
      <c r="N2356" t="s">
        <v>2746</v>
      </c>
      <c r="O2356" s="1">
        <v>45673</v>
      </c>
      <c r="T2356" t="s">
        <v>2662</v>
      </c>
      <c r="U2356" t="s">
        <v>8081</v>
      </c>
      <c r="V2356">
        <v>1</v>
      </c>
      <c r="W2356" t="s">
        <v>2677</v>
      </c>
      <c r="X2356">
        <v>1</v>
      </c>
      <c r="Y2356" t="s">
        <v>2807</v>
      </c>
      <c r="AA2356">
        <v>11103651302</v>
      </c>
      <c r="AB2356" t="s">
        <v>1482</v>
      </c>
      <c r="AC2356">
        <v>0</v>
      </c>
      <c r="AD2356">
        <v>51</v>
      </c>
      <c r="AE2356">
        <v>1110365130251</v>
      </c>
      <c r="AF2356" t="s">
        <v>8079</v>
      </c>
      <c r="AG2356">
        <v>0</v>
      </c>
      <c r="AH2356">
        <v>0</v>
      </c>
    </row>
    <row r="2357" spans="1:34">
      <c r="A2357">
        <v>2025</v>
      </c>
      <c r="B2357" s="1">
        <v>45992</v>
      </c>
      <c r="C2357" t="s">
        <v>2657</v>
      </c>
      <c r="D2357" t="s">
        <v>8082</v>
      </c>
      <c r="E2357" s="43">
        <v>46006.811026689815</v>
      </c>
      <c r="F2357" s="1">
        <v>46006</v>
      </c>
      <c r="G2357" s="43">
        <v>46007.870956574072</v>
      </c>
      <c r="H2357" t="s">
        <v>2686</v>
      </c>
      <c r="I2357" t="s">
        <v>2719</v>
      </c>
      <c r="J2357" t="s">
        <v>2735</v>
      </c>
      <c r="L2357" t="s">
        <v>2336</v>
      </c>
      <c r="M2357">
        <v>161445746002</v>
      </c>
      <c r="N2357" t="s">
        <v>2746</v>
      </c>
      <c r="O2357" s="1">
        <v>45673</v>
      </c>
      <c r="T2357" t="s">
        <v>2662</v>
      </c>
      <c r="U2357" t="s">
        <v>8083</v>
      </c>
      <c r="V2357">
        <v>1</v>
      </c>
      <c r="W2357" t="s">
        <v>2671</v>
      </c>
      <c r="X2357">
        <v>1</v>
      </c>
      <c r="Y2357" t="s">
        <v>2764</v>
      </c>
      <c r="AA2357">
        <v>11103651302</v>
      </c>
      <c r="AB2357" t="s">
        <v>1482</v>
      </c>
      <c r="AC2357">
        <v>0</v>
      </c>
      <c r="AD2357">
        <v>51</v>
      </c>
      <c r="AE2357">
        <v>1110365130251</v>
      </c>
      <c r="AF2357" t="s">
        <v>8079</v>
      </c>
      <c r="AG2357">
        <v>0</v>
      </c>
      <c r="AH2357">
        <v>0</v>
      </c>
    </row>
    <row r="2358" spans="1:34">
      <c r="A2358">
        <v>2025</v>
      </c>
      <c r="B2358" s="1">
        <v>45992</v>
      </c>
      <c r="C2358" t="s">
        <v>2657</v>
      </c>
      <c r="D2358" t="s">
        <v>8084</v>
      </c>
      <c r="E2358" s="43">
        <v>46006.80625173611</v>
      </c>
      <c r="F2358" s="1">
        <v>46006</v>
      </c>
      <c r="G2358" s="43">
        <v>46008.828616435188</v>
      </c>
      <c r="H2358" t="s">
        <v>2686</v>
      </c>
      <c r="I2358" t="s">
        <v>2719</v>
      </c>
      <c r="J2358" t="s">
        <v>2735</v>
      </c>
      <c r="L2358" t="s">
        <v>2336</v>
      </c>
      <c r="M2358">
        <v>161445746002</v>
      </c>
      <c r="N2358" t="s">
        <v>2746</v>
      </c>
      <c r="O2358" s="1">
        <v>45673</v>
      </c>
      <c r="T2358" t="s">
        <v>2662</v>
      </c>
      <c r="U2358" t="s">
        <v>8085</v>
      </c>
      <c r="V2358">
        <v>2</v>
      </c>
      <c r="W2358" t="s">
        <v>2671</v>
      </c>
      <c r="X2358">
        <v>1</v>
      </c>
      <c r="Y2358" t="s">
        <v>2727</v>
      </c>
      <c r="AA2358">
        <v>11103651302</v>
      </c>
      <c r="AB2358" t="s">
        <v>1482</v>
      </c>
      <c r="AC2358">
        <v>0</v>
      </c>
      <c r="AD2358">
        <v>51</v>
      </c>
      <c r="AE2358">
        <v>1110365130251</v>
      </c>
      <c r="AF2358" t="s">
        <v>8079</v>
      </c>
      <c r="AG2358">
        <v>0</v>
      </c>
      <c r="AH2358">
        <v>0</v>
      </c>
    </row>
    <row r="2359" spans="1:34">
      <c r="A2359">
        <v>2025</v>
      </c>
      <c r="B2359" s="1">
        <v>45992</v>
      </c>
      <c r="C2359" t="s">
        <v>2657</v>
      </c>
      <c r="D2359" t="s">
        <v>8086</v>
      </c>
      <c r="E2359" s="43">
        <v>46006.567773425922</v>
      </c>
      <c r="F2359" s="1">
        <v>46006</v>
      </c>
      <c r="G2359" s="43">
        <v>46006.80968042824</v>
      </c>
      <c r="H2359" t="s">
        <v>2686</v>
      </c>
      <c r="I2359" t="s">
        <v>2719</v>
      </c>
      <c r="J2359" t="s">
        <v>2735</v>
      </c>
      <c r="L2359" t="s">
        <v>2336</v>
      </c>
      <c r="M2359">
        <v>161445746002</v>
      </c>
      <c r="N2359" t="s">
        <v>2746</v>
      </c>
      <c r="O2359" s="1">
        <v>45673</v>
      </c>
      <c r="T2359" t="s">
        <v>2662</v>
      </c>
      <c r="U2359" t="s">
        <v>8087</v>
      </c>
      <c r="V2359">
        <v>0</v>
      </c>
      <c r="W2359" t="s">
        <v>2743</v>
      </c>
      <c r="X2359">
        <v>1</v>
      </c>
      <c r="Y2359" t="s">
        <v>2985</v>
      </c>
      <c r="AA2359">
        <v>11103651302</v>
      </c>
      <c r="AB2359" t="s">
        <v>1482</v>
      </c>
      <c r="AC2359">
        <v>0</v>
      </c>
      <c r="AD2359">
        <v>51</v>
      </c>
      <c r="AE2359">
        <v>1110365130251</v>
      </c>
      <c r="AF2359" t="s">
        <v>8079</v>
      </c>
      <c r="AG2359">
        <v>1</v>
      </c>
      <c r="AH2359">
        <v>1</v>
      </c>
    </row>
    <row r="2360" spans="1:34">
      <c r="A2360">
        <v>2025</v>
      </c>
      <c r="B2360" s="1">
        <v>45962</v>
      </c>
      <c r="C2360" t="s">
        <v>2657</v>
      </c>
      <c r="D2360" t="s">
        <v>8088</v>
      </c>
      <c r="E2360" s="43">
        <v>45973.575926180558</v>
      </c>
      <c r="F2360" s="1">
        <v>45973</v>
      </c>
      <c r="G2360" s="43">
        <v>45973.575926180558</v>
      </c>
      <c r="H2360" t="s">
        <v>2802</v>
      </c>
      <c r="I2360" t="s">
        <v>2681</v>
      </c>
      <c r="J2360" t="s">
        <v>100</v>
      </c>
      <c r="L2360" t="s">
        <v>2353</v>
      </c>
      <c r="M2360">
        <v>155525090602</v>
      </c>
      <c r="N2360" t="s">
        <v>2675</v>
      </c>
      <c r="O2360" s="1">
        <v>45294</v>
      </c>
      <c r="T2360" t="s">
        <v>2662</v>
      </c>
      <c r="U2360" t="s">
        <v>4632</v>
      </c>
      <c r="V2360">
        <v>0</v>
      </c>
      <c r="W2360" t="s">
        <v>2671</v>
      </c>
      <c r="X2360">
        <v>1</v>
      </c>
      <c r="Y2360" t="s">
        <v>2717</v>
      </c>
      <c r="AA2360">
        <v>155525090602</v>
      </c>
      <c r="AB2360" t="s">
        <v>2212</v>
      </c>
      <c r="AC2360">
        <v>0</v>
      </c>
      <c r="AD2360">
        <v>46</v>
      </c>
      <c r="AE2360">
        <v>15552509060246</v>
      </c>
      <c r="AF2360" t="s">
        <v>8089</v>
      </c>
      <c r="AG2360">
        <v>1</v>
      </c>
      <c r="AH2360">
        <v>1</v>
      </c>
    </row>
    <row r="2361" spans="1:34">
      <c r="A2361">
        <v>2026</v>
      </c>
      <c r="B2361" s="1">
        <v>46082</v>
      </c>
      <c r="C2361" t="s">
        <v>2657</v>
      </c>
      <c r="D2361" t="s">
        <v>8090</v>
      </c>
      <c r="E2361" s="43">
        <v>46086.612189884261</v>
      </c>
      <c r="F2361" s="1">
        <v>46086</v>
      </c>
      <c r="G2361" s="43">
        <v>46090.586529953704</v>
      </c>
      <c r="H2361" t="s">
        <v>2668</v>
      </c>
      <c r="I2361" t="s">
        <v>2669</v>
      </c>
      <c r="J2361" t="s">
        <v>39</v>
      </c>
      <c r="L2361" t="s">
        <v>2336</v>
      </c>
      <c r="M2361">
        <v>40274588502</v>
      </c>
      <c r="N2361" t="s">
        <v>2746</v>
      </c>
      <c r="O2361" s="1">
        <v>45842</v>
      </c>
      <c r="T2361" t="s">
        <v>2798</v>
      </c>
      <c r="U2361" t="s">
        <v>8091</v>
      </c>
      <c r="V2361">
        <v>6</v>
      </c>
      <c r="W2361" t="s">
        <v>2664</v>
      </c>
      <c r="X2361">
        <v>0</v>
      </c>
      <c r="Z2361" t="s">
        <v>2834</v>
      </c>
      <c r="AA2361">
        <v>40274588502</v>
      </c>
      <c r="AB2361" t="s">
        <v>866</v>
      </c>
      <c r="AC2361">
        <v>1</v>
      </c>
      <c r="AD2361">
        <v>10</v>
      </c>
      <c r="AE2361">
        <v>4027458850210</v>
      </c>
      <c r="AF2361" t="s">
        <v>8092</v>
      </c>
      <c r="AG2361">
        <v>1</v>
      </c>
      <c r="AH2361">
        <v>1</v>
      </c>
    </row>
    <row r="2362" spans="1:34">
      <c r="A2362">
        <v>2025</v>
      </c>
      <c r="B2362" s="1">
        <v>45870</v>
      </c>
      <c r="C2362" t="s">
        <v>2657</v>
      </c>
      <c r="D2362" t="s">
        <v>8093</v>
      </c>
      <c r="E2362" s="43">
        <v>45873.758237013892</v>
      </c>
      <c r="F2362" s="1">
        <v>45873</v>
      </c>
      <c r="G2362" s="43">
        <v>45891.559071099538</v>
      </c>
      <c r="H2362" t="s">
        <v>3088</v>
      </c>
      <c r="I2362" t="s">
        <v>2669</v>
      </c>
      <c r="J2362" t="s">
        <v>38</v>
      </c>
      <c r="L2362" t="s">
        <v>2351</v>
      </c>
      <c r="M2362">
        <v>108483856702</v>
      </c>
      <c r="N2362" t="s">
        <v>2661</v>
      </c>
      <c r="O2362" s="1">
        <v>45457</v>
      </c>
      <c r="T2362" t="s">
        <v>2662</v>
      </c>
      <c r="U2362" t="s">
        <v>8094</v>
      </c>
      <c r="V2362">
        <v>14</v>
      </c>
      <c r="W2362" t="s">
        <v>2671</v>
      </c>
      <c r="X2362">
        <v>1</v>
      </c>
      <c r="Y2362" t="s">
        <v>2683</v>
      </c>
      <c r="Z2362" t="s">
        <v>2684</v>
      </c>
      <c r="AA2362">
        <v>108483856702</v>
      </c>
      <c r="AB2362" t="s">
        <v>1316</v>
      </c>
      <c r="AC2362">
        <v>0</v>
      </c>
      <c r="AD2362">
        <v>32</v>
      </c>
      <c r="AE2362">
        <v>10848385670232</v>
      </c>
      <c r="AF2362" t="s">
        <v>8095</v>
      </c>
      <c r="AG2362">
        <v>1</v>
      </c>
      <c r="AH2362">
        <v>1</v>
      </c>
    </row>
    <row r="2363" spans="1:34">
      <c r="A2363">
        <v>2025</v>
      </c>
      <c r="B2363" s="1">
        <v>45870</v>
      </c>
      <c r="C2363" t="s">
        <v>2657</v>
      </c>
      <c r="D2363" t="s">
        <v>8096</v>
      </c>
      <c r="E2363" s="43">
        <v>45877.870229652777</v>
      </c>
      <c r="F2363" s="1">
        <v>45877</v>
      </c>
      <c r="G2363" s="43">
        <v>45881.565158217592</v>
      </c>
      <c r="H2363" t="s">
        <v>3088</v>
      </c>
      <c r="I2363" t="s">
        <v>2681</v>
      </c>
      <c r="J2363" t="s">
        <v>38</v>
      </c>
      <c r="L2363" t="s">
        <v>2351</v>
      </c>
      <c r="M2363">
        <v>327981185502</v>
      </c>
      <c r="N2363" t="s">
        <v>2661</v>
      </c>
      <c r="O2363" s="1">
        <v>44894</v>
      </c>
      <c r="T2363" t="s">
        <v>2662</v>
      </c>
      <c r="U2363" t="s">
        <v>8097</v>
      </c>
      <c r="V2363">
        <v>2</v>
      </c>
      <c r="W2363" t="s">
        <v>2677</v>
      </c>
      <c r="X2363">
        <v>1</v>
      </c>
      <c r="Y2363" t="s">
        <v>2779</v>
      </c>
      <c r="AA2363">
        <v>108483856702</v>
      </c>
      <c r="AB2363" t="s">
        <v>1316</v>
      </c>
      <c r="AC2363">
        <v>0</v>
      </c>
      <c r="AD2363">
        <v>32</v>
      </c>
      <c r="AE2363">
        <v>10848385670232</v>
      </c>
      <c r="AF2363" t="s">
        <v>8095</v>
      </c>
      <c r="AG2363">
        <v>0</v>
      </c>
      <c r="AH2363">
        <v>0</v>
      </c>
    </row>
    <row r="2364" spans="1:34">
      <c r="A2364">
        <v>2025</v>
      </c>
      <c r="B2364" s="1">
        <v>45870</v>
      </c>
      <c r="C2364" t="s">
        <v>2657</v>
      </c>
      <c r="D2364" t="s">
        <v>8098</v>
      </c>
      <c r="E2364" s="43">
        <v>45877.865178703702</v>
      </c>
      <c r="F2364" s="1">
        <v>45877</v>
      </c>
      <c r="G2364" s="43">
        <v>45882.821630381943</v>
      </c>
      <c r="H2364" t="s">
        <v>3088</v>
      </c>
      <c r="I2364" t="s">
        <v>2681</v>
      </c>
      <c r="J2364" t="s">
        <v>38</v>
      </c>
      <c r="L2364" t="s">
        <v>2351</v>
      </c>
      <c r="M2364">
        <v>592383571202</v>
      </c>
      <c r="N2364" t="s">
        <v>2661</v>
      </c>
      <c r="O2364" s="1">
        <v>45457</v>
      </c>
      <c r="T2364" t="s">
        <v>2662</v>
      </c>
      <c r="U2364" t="s">
        <v>8099</v>
      </c>
      <c r="V2364">
        <v>3</v>
      </c>
      <c r="W2364" t="s">
        <v>2671</v>
      </c>
      <c r="X2364">
        <v>1</v>
      </c>
      <c r="Y2364" t="s">
        <v>2764</v>
      </c>
      <c r="AA2364">
        <v>108483856702</v>
      </c>
      <c r="AB2364" t="s">
        <v>1316</v>
      </c>
      <c r="AC2364">
        <v>0</v>
      </c>
      <c r="AD2364">
        <v>32</v>
      </c>
      <c r="AE2364">
        <v>10848385670232</v>
      </c>
      <c r="AF2364" t="s">
        <v>8095</v>
      </c>
      <c r="AG2364">
        <v>0</v>
      </c>
      <c r="AH2364">
        <v>0</v>
      </c>
    </row>
    <row r="2365" spans="1:34">
      <c r="A2365">
        <v>2025</v>
      </c>
      <c r="B2365" s="1">
        <v>45870</v>
      </c>
      <c r="C2365" t="s">
        <v>2657</v>
      </c>
      <c r="D2365" t="s">
        <v>8100</v>
      </c>
      <c r="E2365" s="43">
        <v>45883.732359247682</v>
      </c>
      <c r="F2365" s="1">
        <v>45883</v>
      </c>
      <c r="G2365" s="43">
        <v>45883.732359247682</v>
      </c>
      <c r="H2365" t="s">
        <v>3088</v>
      </c>
      <c r="I2365" t="s">
        <v>2681</v>
      </c>
      <c r="J2365" t="s">
        <v>38</v>
      </c>
      <c r="L2365" t="s">
        <v>2351</v>
      </c>
      <c r="M2365">
        <v>327981185502</v>
      </c>
      <c r="N2365" t="s">
        <v>2661</v>
      </c>
      <c r="O2365" s="1">
        <v>44894</v>
      </c>
      <c r="T2365" t="s">
        <v>2662</v>
      </c>
      <c r="U2365" t="s">
        <v>8101</v>
      </c>
      <c r="V2365">
        <v>0</v>
      </c>
      <c r="W2365" t="s">
        <v>2677</v>
      </c>
      <c r="X2365">
        <v>1</v>
      </c>
      <c r="Y2365" t="s">
        <v>2764</v>
      </c>
      <c r="AA2365">
        <v>108483856702</v>
      </c>
      <c r="AB2365" t="s">
        <v>1316</v>
      </c>
      <c r="AC2365">
        <v>0</v>
      </c>
      <c r="AD2365">
        <v>33</v>
      </c>
      <c r="AE2365">
        <v>10848385670233</v>
      </c>
      <c r="AF2365" t="s">
        <v>8095</v>
      </c>
      <c r="AG2365">
        <v>1</v>
      </c>
      <c r="AH2365">
        <v>0</v>
      </c>
    </row>
    <row r="2366" spans="1:34">
      <c r="A2366">
        <v>2025</v>
      </c>
      <c r="B2366" s="1">
        <v>45870</v>
      </c>
      <c r="C2366" t="s">
        <v>2657</v>
      </c>
      <c r="D2366" t="s">
        <v>8102</v>
      </c>
      <c r="E2366" s="43">
        <v>45883.734058437498</v>
      </c>
      <c r="F2366" s="1">
        <v>45883</v>
      </c>
      <c r="G2366" s="43">
        <v>45936.822501122682</v>
      </c>
      <c r="H2366" t="s">
        <v>3088</v>
      </c>
      <c r="I2366" t="s">
        <v>2681</v>
      </c>
      <c r="J2366" t="s">
        <v>38</v>
      </c>
      <c r="L2366" t="s">
        <v>2351</v>
      </c>
      <c r="M2366">
        <v>327981185502</v>
      </c>
      <c r="N2366" t="s">
        <v>2661</v>
      </c>
      <c r="O2366" s="1">
        <v>44894</v>
      </c>
      <c r="T2366" t="s">
        <v>2662</v>
      </c>
      <c r="U2366" t="s">
        <v>8103</v>
      </c>
      <c r="V2366">
        <v>37</v>
      </c>
      <c r="W2366" t="s">
        <v>2671</v>
      </c>
      <c r="X2366">
        <v>1</v>
      </c>
      <c r="Y2366" t="s">
        <v>2683</v>
      </c>
      <c r="AA2366">
        <v>108483856702</v>
      </c>
      <c r="AB2366" t="s">
        <v>1316</v>
      </c>
      <c r="AC2366">
        <v>0</v>
      </c>
      <c r="AD2366">
        <v>33</v>
      </c>
      <c r="AE2366">
        <v>10848385670233</v>
      </c>
      <c r="AF2366" t="s">
        <v>8095</v>
      </c>
      <c r="AG2366">
        <v>0</v>
      </c>
      <c r="AH2366">
        <v>0</v>
      </c>
    </row>
    <row r="2367" spans="1:34">
      <c r="A2367">
        <v>2025</v>
      </c>
      <c r="B2367" s="1">
        <v>45870</v>
      </c>
      <c r="C2367" t="s">
        <v>2657</v>
      </c>
      <c r="D2367" t="s">
        <v>8104</v>
      </c>
      <c r="E2367" s="43">
        <v>45890.786622453707</v>
      </c>
      <c r="F2367" s="1">
        <v>45890</v>
      </c>
      <c r="G2367" s="43">
        <v>45894.6041434375</v>
      </c>
      <c r="H2367" t="s">
        <v>3088</v>
      </c>
      <c r="I2367" t="s">
        <v>2719</v>
      </c>
      <c r="J2367" t="s">
        <v>38</v>
      </c>
      <c r="L2367" t="s">
        <v>2351</v>
      </c>
      <c r="M2367">
        <v>592383571202</v>
      </c>
      <c r="N2367" t="s">
        <v>2661</v>
      </c>
      <c r="O2367" s="1">
        <v>45457</v>
      </c>
      <c r="T2367" t="s">
        <v>2662</v>
      </c>
      <c r="U2367" t="s">
        <v>8105</v>
      </c>
      <c r="V2367">
        <v>2</v>
      </c>
      <c r="W2367" t="s">
        <v>2671</v>
      </c>
      <c r="X2367">
        <v>1</v>
      </c>
      <c r="Y2367" t="s">
        <v>2764</v>
      </c>
      <c r="AA2367">
        <v>108483856702</v>
      </c>
      <c r="AB2367" t="s">
        <v>1316</v>
      </c>
      <c r="AC2367">
        <v>0</v>
      </c>
      <c r="AD2367">
        <v>34</v>
      </c>
      <c r="AE2367">
        <v>10848385670234</v>
      </c>
      <c r="AF2367" t="s">
        <v>8095</v>
      </c>
      <c r="AG2367">
        <v>0</v>
      </c>
      <c r="AH2367">
        <v>0</v>
      </c>
    </row>
    <row r="2368" spans="1:34">
      <c r="A2368">
        <v>2025</v>
      </c>
      <c r="B2368" s="1">
        <v>45870</v>
      </c>
      <c r="C2368" t="s">
        <v>2657</v>
      </c>
      <c r="D2368" t="s">
        <v>8106</v>
      </c>
      <c r="E2368" s="43">
        <v>45890.768934039355</v>
      </c>
      <c r="F2368" s="1">
        <v>45890</v>
      </c>
      <c r="G2368" s="43">
        <v>45890.768934039355</v>
      </c>
      <c r="H2368" t="s">
        <v>3088</v>
      </c>
      <c r="I2368" t="s">
        <v>2719</v>
      </c>
      <c r="J2368" t="s">
        <v>38</v>
      </c>
      <c r="L2368" t="s">
        <v>2351</v>
      </c>
      <c r="M2368">
        <v>108483856702</v>
      </c>
      <c r="N2368" t="s">
        <v>2661</v>
      </c>
      <c r="O2368" s="1">
        <v>45457</v>
      </c>
      <c r="T2368" t="s">
        <v>2662</v>
      </c>
      <c r="U2368" t="s">
        <v>8107</v>
      </c>
      <c r="V2368">
        <v>0</v>
      </c>
      <c r="W2368" t="s">
        <v>2743</v>
      </c>
      <c r="X2368">
        <v>1</v>
      </c>
      <c r="Y2368" t="s">
        <v>2695</v>
      </c>
      <c r="AA2368">
        <v>108483856702</v>
      </c>
      <c r="AB2368" t="s">
        <v>1316</v>
      </c>
      <c r="AC2368">
        <v>0</v>
      </c>
      <c r="AD2368">
        <v>34</v>
      </c>
      <c r="AE2368">
        <v>10848385670234</v>
      </c>
      <c r="AF2368" t="s">
        <v>8095</v>
      </c>
      <c r="AG2368">
        <v>1</v>
      </c>
      <c r="AH2368">
        <v>0</v>
      </c>
    </row>
    <row r="2369" spans="1:34">
      <c r="A2369">
        <v>2025</v>
      </c>
      <c r="B2369" s="1">
        <v>45870</v>
      </c>
      <c r="C2369" t="s">
        <v>2657</v>
      </c>
      <c r="D2369" t="s">
        <v>8108</v>
      </c>
      <c r="E2369" s="43">
        <v>45891.641219803241</v>
      </c>
      <c r="F2369" s="1">
        <v>45891</v>
      </c>
      <c r="G2369" s="43">
        <v>45936.56211240741</v>
      </c>
      <c r="H2369" t="s">
        <v>3088</v>
      </c>
      <c r="I2369" t="s">
        <v>2660</v>
      </c>
      <c r="J2369" t="s">
        <v>38</v>
      </c>
      <c r="L2369" t="s">
        <v>2351</v>
      </c>
      <c r="M2369">
        <v>108483856702</v>
      </c>
      <c r="N2369" t="s">
        <v>2661</v>
      </c>
      <c r="O2369" s="1">
        <v>45457</v>
      </c>
      <c r="T2369" t="s">
        <v>2662</v>
      </c>
      <c r="U2369" t="s">
        <v>8109</v>
      </c>
      <c r="V2369">
        <v>31</v>
      </c>
      <c r="W2369" t="s">
        <v>2671</v>
      </c>
      <c r="X2369">
        <v>1</v>
      </c>
      <c r="Y2369" t="s">
        <v>2764</v>
      </c>
      <c r="AA2369">
        <v>108483856702</v>
      </c>
      <c r="AB2369" t="s">
        <v>1316</v>
      </c>
      <c r="AC2369">
        <v>0</v>
      </c>
      <c r="AD2369">
        <v>34</v>
      </c>
      <c r="AE2369">
        <v>10848385670234</v>
      </c>
      <c r="AF2369" t="s">
        <v>8095</v>
      </c>
      <c r="AG2369">
        <v>0</v>
      </c>
      <c r="AH2369">
        <v>0</v>
      </c>
    </row>
    <row r="2370" spans="1:34">
      <c r="A2370">
        <v>2025</v>
      </c>
      <c r="B2370" s="1">
        <v>45962</v>
      </c>
      <c r="C2370" t="s">
        <v>2657</v>
      </c>
      <c r="D2370" t="s">
        <v>8110</v>
      </c>
      <c r="E2370" s="43">
        <v>45968.774800486113</v>
      </c>
      <c r="F2370" s="1">
        <v>45968</v>
      </c>
      <c r="G2370" s="43">
        <v>45978.674159363429</v>
      </c>
      <c r="H2370" t="s">
        <v>2802</v>
      </c>
      <c r="I2370" t="s">
        <v>2669</v>
      </c>
      <c r="J2370" t="s">
        <v>37</v>
      </c>
      <c r="L2370" t="s">
        <v>2351</v>
      </c>
      <c r="M2370">
        <v>836748983002</v>
      </c>
      <c r="N2370" t="s">
        <v>2661</v>
      </c>
      <c r="O2370" s="1">
        <v>45457</v>
      </c>
      <c r="T2370" t="s">
        <v>2662</v>
      </c>
      <c r="U2370" t="s">
        <v>8111</v>
      </c>
      <c r="V2370">
        <v>6</v>
      </c>
      <c r="W2370" t="s">
        <v>2671</v>
      </c>
      <c r="X2370">
        <v>1</v>
      </c>
      <c r="Y2370" t="s">
        <v>2721</v>
      </c>
      <c r="AA2370">
        <v>108483856702</v>
      </c>
      <c r="AB2370" t="s">
        <v>1316</v>
      </c>
      <c r="AC2370">
        <v>0</v>
      </c>
      <c r="AD2370">
        <v>45</v>
      </c>
      <c r="AE2370">
        <v>10848385670245</v>
      </c>
      <c r="AF2370" t="s">
        <v>8112</v>
      </c>
      <c r="AG2370">
        <v>0</v>
      </c>
      <c r="AH2370">
        <v>0</v>
      </c>
    </row>
    <row r="2371" spans="1:34">
      <c r="A2371">
        <v>2025</v>
      </c>
      <c r="B2371" s="1">
        <v>45962</v>
      </c>
      <c r="C2371" t="s">
        <v>2657</v>
      </c>
      <c r="D2371" t="s">
        <v>8113</v>
      </c>
      <c r="E2371" s="43">
        <v>45967.602446307872</v>
      </c>
      <c r="F2371" s="1">
        <v>45967</v>
      </c>
      <c r="G2371" s="43">
        <v>45975.563585856478</v>
      </c>
      <c r="H2371" t="s">
        <v>2802</v>
      </c>
      <c r="I2371" t="s">
        <v>2669</v>
      </c>
      <c r="J2371" t="s">
        <v>37</v>
      </c>
      <c r="L2371" t="s">
        <v>2351</v>
      </c>
      <c r="M2371">
        <v>327981185502</v>
      </c>
      <c r="N2371" t="s">
        <v>2661</v>
      </c>
      <c r="O2371" s="1">
        <v>44894</v>
      </c>
      <c r="T2371" t="s">
        <v>2662</v>
      </c>
      <c r="U2371" t="s">
        <v>8114</v>
      </c>
      <c r="V2371">
        <v>6</v>
      </c>
      <c r="X2371">
        <v>1</v>
      </c>
      <c r="AA2371">
        <v>108483856702</v>
      </c>
      <c r="AB2371" t="s">
        <v>1316</v>
      </c>
      <c r="AC2371">
        <v>0</v>
      </c>
      <c r="AD2371">
        <v>45</v>
      </c>
      <c r="AE2371">
        <v>10848385670245</v>
      </c>
      <c r="AF2371" t="s">
        <v>8112</v>
      </c>
      <c r="AG2371">
        <v>0</v>
      </c>
      <c r="AH2371">
        <v>0</v>
      </c>
    </row>
    <row r="2372" spans="1:34">
      <c r="A2372">
        <v>2025</v>
      </c>
      <c r="B2372" s="1">
        <v>45962</v>
      </c>
      <c r="C2372" t="s">
        <v>2657</v>
      </c>
      <c r="D2372" t="s">
        <v>8115</v>
      </c>
      <c r="E2372" s="43">
        <v>45965.551536354164</v>
      </c>
      <c r="F2372" s="1">
        <v>45965</v>
      </c>
      <c r="G2372" s="43">
        <v>45999.522046874998</v>
      </c>
      <c r="H2372" t="s">
        <v>2802</v>
      </c>
      <c r="I2372" t="s">
        <v>2669</v>
      </c>
      <c r="J2372" t="s">
        <v>37</v>
      </c>
      <c r="L2372" t="s">
        <v>2351</v>
      </c>
      <c r="M2372">
        <v>327981185502</v>
      </c>
      <c r="N2372" t="s">
        <v>2661</v>
      </c>
      <c r="O2372" s="1">
        <v>44894</v>
      </c>
      <c r="T2372" t="s">
        <v>2662</v>
      </c>
      <c r="U2372" t="s">
        <v>8116</v>
      </c>
      <c r="V2372">
        <v>24</v>
      </c>
      <c r="W2372" t="s">
        <v>2677</v>
      </c>
      <c r="X2372">
        <v>1</v>
      </c>
      <c r="Y2372" t="s">
        <v>2807</v>
      </c>
      <c r="AA2372">
        <v>108483856702</v>
      </c>
      <c r="AB2372" t="s">
        <v>1316</v>
      </c>
      <c r="AC2372">
        <v>0</v>
      </c>
      <c r="AD2372">
        <v>45</v>
      </c>
      <c r="AE2372">
        <v>10848385670245</v>
      </c>
      <c r="AF2372" t="s">
        <v>8112</v>
      </c>
      <c r="AG2372">
        <v>1</v>
      </c>
      <c r="AH2372">
        <v>1</v>
      </c>
    </row>
    <row r="2373" spans="1:34">
      <c r="A2373">
        <v>2025</v>
      </c>
      <c r="B2373" s="1">
        <v>45962</v>
      </c>
      <c r="C2373" t="s">
        <v>2657</v>
      </c>
      <c r="D2373" t="s">
        <v>8117</v>
      </c>
      <c r="E2373" s="43">
        <v>45967.606947800923</v>
      </c>
      <c r="F2373" s="1">
        <v>45967</v>
      </c>
      <c r="G2373" s="43">
        <v>45988.864970115741</v>
      </c>
      <c r="H2373" t="s">
        <v>2802</v>
      </c>
      <c r="I2373" t="s">
        <v>2669</v>
      </c>
      <c r="J2373" t="s">
        <v>37</v>
      </c>
      <c r="L2373" t="s">
        <v>2351</v>
      </c>
      <c r="M2373">
        <v>327981185502</v>
      </c>
      <c r="N2373" t="s">
        <v>2661</v>
      </c>
      <c r="O2373" s="1">
        <v>44894</v>
      </c>
      <c r="T2373" t="s">
        <v>2662</v>
      </c>
      <c r="U2373" t="s">
        <v>8118</v>
      </c>
      <c r="V2373">
        <v>15</v>
      </c>
      <c r="W2373" t="s">
        <v>2743</v>
      </c>
      <c r="X2373">
        <v>1</v>
      </c>
      <c r="Y2373" t="s">
        <v>2717</v>
      </c>
      <c r="AA2373">
        <v>108483856702</v>
      </c>
      <c r="AB2373" t="s">
        <v>1316</v>
      </c>
      <c r="AC2373">
        <v>0</v>
      </c>
      <c r="AD2373">
        <v>45</v>
      </c>
      <c r="AE2373">
        <v>10848385670245</v>
      </c>
      <c r="AF2373" t="s">
        <v>8112</v>
      </c>
      <c r="AG2373">
        <v>0</v>
      </c>
      <c r="AH2373">
        <v>0</v>
      </c>
    </row>
    <row r="2374" spans="1:34">
      <c r="A2374">
        <v>2025</v>
      </c>
      <c r="B2374" s="1">
        <v>45962</v>
      </c>
      <c r="C2374" t="s">
        <v>2657</v>
      </c>
      <c r="D2374" t="s">
        <v>8119</v>
      </c>
      <c r="E2374" s="43">
        <v>45967.71825046296</v>
      </c>
      <c r="F2374" s="1">
        <v>45967</v>
      </c>
      <c r="G2374" s="43">
        <v>45989.817794340277</v>
      </c>
      <c r="H2374" t="s">
        <v>2802</v>
      </c>
      <c r="I2374" t="s">
        <v>2669</v>
      </c>
      <c r="J2374" t="s">
        <v>37</v>
      </c>
      <c r="L2374" t="s">
        <v>2351</v>
      </c>
      <c r="M2374">
        <v>108483856702</v>
      </c>
      <c r="N2374" t="s">
        <v>2661</v>
      </c>
      <c r="O2374" s="1">
        <v>45457</v>
      </c>
      <c r="T2374" t="s">
        <v>2662</v>
      </c>
      <c r="U2374" t="s">
        <v>8120</v>
      </c>
      <c r="V2374">
        <v>16</v>
      </c>
      <c r="W2374" t="s">
        <v>2671</v>
      </c>
      <c r="X2374">
        <v>1</v>
      </c>
      <c r="Y2374" t="s">
        <v>2721</v>
      </c>
      <c r="AA2374">
        <v>108483856702</v>
      </c>
      <c r="AB2374" t="s">
        <v>1316</v>
      </c>
      <c r="AC2374">
        <v>0</v>
      </c>
      <c r="AD2374">
        <v>45</v>
      </c>
      <c r="AE2374">
        <v>10848385670245</v>
      </c>
      <c r="AF2374" t="s">
        <v>8112</v>
      </c>
      <c r="AG2374">
        <v>0</v>
      </c>
      <c r="AH2374">
        <v>0</v>
      </c>
    </row>
    <row r="2375" spans="1:34">
      <c r="A2375">
        <v>2025</v>
      </c>
      <c r="B2375" s="1">
        <v>45962</v>
      </c>
      <c r="C2375" t="s">
        <v>2657</v>
      </c>
      <c r="D2375" t="s">
        <v>8121</v>
      </c>
      <c r="E2375" s="43">
        <v>45967.737195520836</v>
      </c>
      <c r="F2375" s="1">
        <v>45967</v>
      </c>
      <c r="G2375" s="43">
        <v>45967.737195520836</v>
      </c>
      <c r="H2375" t="s">
        <v>2802</v>
      </c>
      <c r="I2375" t="s">
        <v>2669</v>
      </c>
      <c r="J2375" t="s">
        <v>37</v>
      </c>
      <c r="L2375" t="s">
        <v>2351</v>
      </c>
      <c r="M2375">
        <v>108483856702</v>
      </c>
      <c r="N2375" t="s">
        <v>2661</v>
      </c>
      <c r="O2375" s="1">
        <v>45457</v>
      </c>
      <c r="T2375" t="s">
        <v>2662</v>
      </c>
      <c r="U2375" t="s">
        <v>8122</v>
      </c>
      <c r="V2375">
        <v>0</v>
      </c>
      <c r="W2375" t="s">
        <v>2671</v>
      </c>
      <c r="X2375">
        <v>1</v>
      </c>
      <c r="Y2375" t="s">
        <v>2695</v>
      </c>
      <c r="AA2375">
        <v>108483856702</v>
      </c>
      <c r="AB2375" t="s">
        <v>1316</v>
      </c>
      <c r="AC2375">
        <v>0</v>
      </c>
      <c r="AD2375">
        <v>45</v>
      </c>
      <c r="AE2375">
        <v>10848385670245</v>
      </c>
      <c r="AF2375" t="s">
        <v>8112</v>
      </c>
      <c r="AG2375">
        <v>0</v>
      </c>
      <c r="AH2375">
        <v>0</v>
      </c>
    </row>
    <row r="2376" spans="1:34">
      <c r="A2376">
        <v>2025</v>
      </c>
      <c r="B2376" s="1">
        <v>45962</v>
      </c>
      <c r="C2376" t="s">
        <v>2657</v>
      </c>
      <c r="D2376" t="s">
        <v>8123</v>
      </c>
      <c r="E2376" s="43">
        <v>45966.652097951388</v>
      </c>
      <c r="F2376" s="1">
        <v>45966</v>
      </c>
      <c r="G2376" s="43">
        <v>45966.81314150463</v>
      </c>
      <c r="H2376" t="s">
        <v>2802</v>
      </c>
      <c r="I2376" t="s">
        <v>2669</v>
      </c>
      <c r="J2376" t="s">
        <v>37</v>
      </c>
      <c r="L2376" t="s">
        <v>2351</v>
      </c>
      <c r="M2376">
        <v>368602630102</v>
      </c>
      <c r="N2376" t="s">
        <v>2661</v>
      </c>
      <c r="O2376" s="1">
        <v>45457</v>
      </c>
      <c r="T2376" t="s">
        <v>2662</v>
      </c>
      <c r="U2376" t="s">
        <v>8124</v>
      </c>
      <c r="V2376">
        <v>0</v>
      </c>
      <c r="W2376" t="s">
        <v>2671</v>
      </c>
      <c r="X2376">
        <v>1</v>
      </c>
      <c r="Y2376" t="s">
        <v>2695</v>
      </c>
      <c r="AA2376">
        <v>108483856702</v>
      </c>
      <c r="AB2376" t="s">
        <v>1316</v>
      </c>
      <c r="AC2376">
        <v>0</v>
      </c>
      <c r="AD2376">
        <v>45</v>
      </c>
      <c r="AE2376">
        <v>10848385670245</v>
      </c>
      <c r="AF2376" t="s">
        <v>8112</v>
      </c>
      <c r="AG2376">
        <v>0</v>
      </c>
      <c r="AH2376">
        <v>0</v>
      </c>
    </row>
    <row r="2377" spans="1:34">
      <c r="A2377">
        <v>2025</v>
      </c>
      <c r="B2377" s="1">
        <v>45962</v>
      </c>
      <c r="C2377" t="s">
        <v>2657</v>
      </c>
      <c r="D2377" t="s">
        <v>8125</v>
      </c>
      <c r="E2377" s="43">
        <v>45975.581325717591</v>
      </c>
      <c r="F2377" s="1">
        <v>45975</v>
      </c>
      <c r="G2377" s="43">
        <v>45978.753988657409</v>
      </c>
      <c r="H2377" t="s">
        <v>2802</v>
      </c>
      <c r="I2377" t="s">
        <v>2681</v>
      </c>
      <c r="J2377" t="s">
        <v>37</v>
      </c>
      <c r="L2377" t="s">
        <v>2351</v>
      </c>
      <c r="M2377">
        <v>592383571202</v>
      </c>
      <c r="N2377" t="s">
        <v>2661</v>
      </c>
      <c r="O2377" s="1">
        <v>45457</v>
      </c>
      <c r="T2377" t="s">
        <v>2662</v>
      </c>
      <c r="U2377" t="s">
        <v>8126</v>
      </c>
      <c r="V2377">
        <v>1</v>
      </c>
      <c r="W2377" t="s">
        <v>2743</v>
      </c>
      <c r="X2377">
        <v>1</v>
      </c>
      <c r="Y2377" t="s">
        <v>2688</v>
      </c>
      <c r="AA2377">
        <v>108483856702</v>
      </c>
      <c r="AB2377" t="s">
        <v>1316</v>
      </c>
      <c r="AC2377">
        <v>0</v>
      </c>
      <c r="AD2377">
        <v>46</v>
      </c>
      <c r="AE2377">
        <v>10848385670246</v>
      </c>
      <c r="AF2377" t="s">
        <v>8112</v>
      </c>
      <c r="AG2377">
        <v>0</v>
      </c>
      <c r="AH2377">
        <v>0</v>
      </c>
    </row>
    <row r="2378" spans="1:34">
      <c r="A2378">
        <v>2025</v>
      </c>
      <c r="B2378" s="1">
        <v>45962</v>
      </c>
      <c r="C2378" t="s">
        <v>2657</v>
      </c>
      <c r="D2378" t="s">
        <v>8127</v>
      </c>
      <c r="E2378" s="43">
        <v>45975.580259097223</v>
      </c>
      <c r="F2378" s="1">
        <v>45975</v>
      </c>
      <c r="G2378" s="43">
        <v>45978.75401902778</v>
      </c>
      <c r="H2378" t="s">
        <v>2802</v>
      </c>
      <c r="I2378" t="s">
        <v>2681</v>
      </c>
      <c r="J2378" t="s">
        <v>37</v>
      </c>
      <c r="L2378" t="s">
        <v>2351</v>
      </c>
      <c r="M2378">
        <v>108483856702</v>
      </c>
      <c r="N2378" t="s">
        <v>2661</v>
      </c>
      <c r="O2378" s="1">
        <v>45457</v>
      </c>
      <c r="T2378" t="s">
        <v>2662</v>
      </c>
      <c r="U2378" t="s">
        <v>8128</v>
      </c>
      <c r="V2378">
        <v>1</v>
      </c>
      <c r="W2378" t="s">
        <v>2743</v>
      </c>
      <c r="X2378">
        <v>1</v>
      </c>
      <c r="Y2378" t="s">
        <v>2688</v>
      </c>
      <c r="AA2378">
        <v>108483856702</v>
      </c>
      <c r="AB2378" t="s">
        <v>1316</v>
      </c>
      <c r="AC2378">
        <v>0</v>
      </c>
      <c r="AD2378">
        <v>46</v>
      </c>
      <c r="AE2378">
        <v>10848385670246</v>
      </c>
      <c r="AF2378" t="s">
        <v>8112</v>
      </c>
      <c r="AG2378">
        <v>1</v>
      </c>
      <c r="AH2378">
        <v>0</v>
      </c>
    </row>
    <row r="2379" spans="1:34">
      <c r="A2379">
        <v>2025</v>
      </c>
      <c r="B2379" s="1">
        <v>45962</v>
      </c>
      <c r="C2379" t="s">
        <v>2657</v>
      </c>
      <c r="D2379" t="s">
        <v>8129</v>
      </c>
      <c r="E2379" s="43">
        <v>45978.782143101853</v>
      </c>
      <c r="F2379" s="1">
        <v>45978</v>
      </c>
      <c r="G2379" s="43">
        <v>45992.793034201386</v>
      </c>
      <c r="H2379" t="s">
        <v>2802</v>
      </c>
      <c r="I2379" t="s">
        <v>2719</v>
      </c>
      <c r="J2379" t="s">
        <v>37</v>
      </c>
      <c r="L2379" t="s">
        <v>2351</v>
      </c>
      <c r="M2379">
        <v>327981185502</v>
      </c>
      <c r="N2379" t="s">
        <v>2661</v>
      </c>
      <c r="O2379" s="1">
        <v>44894</v>
      </c>
      <c r="T2379" t="s">
        <v>2662</v>
      </c>
      <c r="U2379" t="s">
        <v>8130</v>
      </c>
      <c r="V2379">
        <v>10</v>
      </c>
      <c r="W2379" t="s">
        <v>2671</v>
      </c>
      <c r="X2379">
        <v>1</v>
      </c>
      <c r="Y2379" t="s">
        <v>2683</v>
      </c>
      <c r="AA2379">
        <v>108483856702</v>
      </c>
      <c r="AB2379" t="s">
        <v>1316</v>
      </c>
      <c r="AC2379">
        <v>0</v>
      </c>
      <c r="AD2379">
        <v>47</v>
      </c>
      <c r="AE2379">
        <v>10848385670247</v>
      </c>
      <c r="AF2379" t="s">
        <v>8112</v>
      </c>
      <c r="AG2379">
        <v>1</v>
      </c>
      <c r="AH2379">
        <v>0</v>
      </c>
    </row>
    <row r="2380" spans="1:34">
      <c r="A2380">
        <v>2025</v>
      </c>
      <c r="B2380" s="1">
        <v>45962</v>
      </c>
      <c r="C2380" t="s">
        <v>2657</v>
      </c>
      <c r="D2380" t="s">
        <v>8131</v>
      </c>
      <c r="E2380" s="43">
        <v>45978.792832881947</v>
      </c>
      <c r="F2380" s="1">
        <v>45978</v>
      </c>
      <c r="G2380" s="43">
        <v>45992.496085254628</v>
      </c>
      <c r="H2380" t="s">
        <v>2802</v>
      </c>
      <c r="I2380" t="s">
        <v>2719</v>
      </c>
      <c r="J2380" t="s">
        <v>37</v>
      </c>
      <c r="L2380" t="s">
        <v>2351</v>
      </c>
      <c r="M2380">
        <v>327981185502</v>
      </c>
      <c r="N2380" t="s">
        <v>2661</v>
      </c>
      <c r="O2380" s="1">
        <v>44894</v>
      </c>
      <c r="T2380" t="s">
        <v>2662</v>
      </c>
      <c r="U2380" t="s">
        <v>3497</v>
      </c>
      <c r="V2380">
        <v>10</v>
      </c>
      <c r="W2380" t="s">
        <v>2743</v>
      </c>
      <c r="X2380">
        <v>1</v>
      </c>
      <c r="Y2380" t="s">
        <v>2807</v>
      </c>
      <c r="AA2380">
        <v>108483856702</v>
      </c>
      <c r="AB2380" t="s">
        <v>1316</v>
      </c>
      <c r="AC2380">
        <v>0</v>
      </c>
      <c r="AD2380">
        <v>47</v>
      </c>
      <c r="AE2380">
        <v>10848385670247</v>
      </c>
      <c r="AF2380" t="s">
        <v>8112</v>
      </c>
      <c r="AG2380">
        <v>0</v>
      </c>
      <c r="AH2380">
        <v>0</v>
      </c>
    </row>
    <row r="2381" spans="1:34">
      <c r="A2381">
        <v>2025</v>
      </c>
      <c r="B2381" s="1">
        <v>45962</v>
      </c>
      <c r="C2381" t="s">
        <v>2657</v>
      </c>
      <c r="D2381" t="s">
        <v>8132</v>
      </c>
      <c r="E2381" s="43">
        <v>45978.86551210648</v>
      </c>
      <c r="F2381" s="1">
        <v>45978</v>
      </c>
      <c r="G2381" s="43">
        <v>45989.820626793982</v>
      </c>
      <c r="H2381" t="s">
        <v>2802</v>
      </c>
      <c r="I2381" t="s">
        <v>2719</v>
      </c>
      <c r="J2381" t="s">
        <v>37</v>
      </c>
      <c r="L2381" t="s">
        <v>2351</v>
      </c>
      <c r="M2381">
        <v>592383571202</v>
      </c>
      <c r="N2381" t="s">
        <v>2661</v>
      </c>
      <c r="O2381" s="1">
        <v>45457</v>
      </c>
      <c r="T2381" t="s">
        <v>2662</v>
      </c>
      <c r="U2381" t="s">
        <v>8133</v>
      </c>
      <c r="V2381">
        <v>9</v>
      </c>
      <c r="W2381" t="s">
        <v>2671</v>
      </c>
      <c r="X2381">
        <v>1</v>
      </c>
      <c r="Y2381" t="s">
        <v>2717</v>
      </c>
      <c r="AA2381">
        <v>108483856702</v>
      </c>
      <c r="AB2381" t="s">
        <v>1316</v>
      </c>
      <c r="AC2381">
        <v>0</v>
      </c>
      <c r="AD2381">
        <v>47</v>
      </c>
      <c r="AE2381">
        <v>10848385670247</v>
      </c>
      <c r="AF2381" t="s">
        <v>8112</v>
      </c>
      <c r="AG2381">
        <v>0</v>
      </c>
      <c r="AH2381">
        <v>0</v>
      </c>
    </row>
    <row r="2382" spans="1:34">
      <c r="A2382">
        <v>2025</v>
      </c>
      <c r="B2382" s="1">
        <v>45962</v>
      </c>
      <c r="C2382" t="s">
        <v>2657</v>
      </c>
      <c r="D2382" t="s">
        <v>8134</v>
      </c>
      <c r="E2382" s="43">
        <v>45985.61341027778</v>
      </c>
      <c r="F2382" s="1">
        <v>45985</v>
      </c>
      <c r="G2382" s="43">
        <v>45993.569586400467</v>
      </c>
      <c r="H2382" t="s">
        <v>2802</v>
      </c>
      <c r="I2382" t="s">
        <v>2660</v>
      </c>
      <c r="J2382" t="s">
        <v>37</v>
      </c>
      <c r="L2382" t="s">
        <v>2351</v>
      </c>
      <c r="M2382">
        <v>108483856702</v>
      </c>
      <c r="N2382" t="s">
        <v>2661</v>
      </c>
      <c r="O2382" s="1">
        <v>45457</v>
      </c>
      <c r="T2382" t="s">
        <v>2662</v>
      </c>
      <c r="U2382" t="s">
        <v>8135</v>
      </c>
      <c r="V2382">
        <v>6</v>
      </c>
      <c r="W2382" t="s">
        <v>2671</v>
      </c>
      <c r="X2382">
        <v>1</v>
      </c>
      <c r="Y2382" t="s">
        <v>2683</v>
      </c>
      <c r="Z2382" t="s">
        <v>2684</v>
      </c>
      <c r="AA2382">
        <v>108483856702</v>
      </c>
      <c r="AB2382" t="s">
        <v>1316</v>
      </c>
      <c r="AC2382">
        <v>0</v>
      </c>
      <c r="AD2382">
        <v>48</v>
      </c>
      <c r="AE2382">
        <v>10848385670248</v>
      </c>
      <c r="AF2382" t="s">
        <v>8112</v>
      </c>
      <c r="AG2382">
        <v>1</v>
      </c>
      <c r="AH2382">
        <v>0</v>
      </c>
    </row>
    <row r="2383" spans="1:34">
      <c r="A2383">
        <v>2025</v>
      </c>
      <c r="B2383" s="1">
        <v>45962</v>
      </c>
      <c r="C2383" t="s">
        <v>2657</v>
      </c>
      <c r="D2383" t="s">
        <v>8136</v>
      </c>
      <c r="E2383" s="43">
        <v>45987.664677071756</v>
      </c>
      <c r="F2383" s="1">
        <v>45987</v>
      </c>
      <c r="G2383" s="43">
        <v>45989.817158761573</v>
      </c>
      <c r="H2383" t="s">
        <v>2802</v>
      </c>
      <c r="I2383" t="s">
        <v>2660</v>
      </c>
      <c r="J2383" t="s">
        <v>37</v>
      </c>
      <c r="L2383" t="s">
        <v>2351</v>
      </c>
      <c r="M2383">
        <v>368602630102</v>
      </c>
      <c r="N2383" t="s">
        <v>2661</v>
      </c>
      <c r="O2383" s="1">
        <v>45457</v>
      </c>
      <c r="T2383" t="s">
        <v>2662</v>
      </c>
      <c r="U2383" t="s">
        <v>8137</v>
      </c>
      <c r="V2383">
        <v>2</v>
      </c>
      <c r="W2383" t="s">
        <v>2664</v>
      </c>
      <c r="X2383">
        <v>1</v>
      </c>
      <c r="Y2383" t="s">
        <v>2672</v>
      </c>
      <c r="AA2383">
        <v>108483856702</v>
      </c>
      <c r="AB2383" t="s">
        <v>1316</v>
      </c>
      <c r="AC2383">
        <v>0</v>
      </c>
      <c r="AD2383">
        <v>48</v>
      </c>
      <c r="AE2383">
        <v>10848385670248</v>
      </c>
      <c r="AF2383" t="s">
        <v>8112</v>
      </c>
      <c r="AG2383">
        <v>0</v>
      </c>
      <c r="AH2383">
        <v>0</v>
      </c>
    </row>
    <row r="2384" spans="1:34">
      <c r="A2384">
        <v>2025</v>
      </c>
      <c r="B2384" s="1">
        <v>45962</v>
      </c>
      <c r="C2384" t="s">
        <v>2657</v>
      </c>
      <c r="D2384" t="s">
        <v>8138</v>
      </c>
      <c r="E2384" s="43">
        <v>45978.769854189813</v>
      </c>
      <c r="F2384" s="1">
        <v>45978</v>
      </c>
      <c r="G2384" s="43">
        <v>45993.634014594907</v>
      </c>
      <c r="H2384" t="s">
        <v>2802</v>
      </c>
      <c r="I2384" t="s">
        <v>2719</v>
      </c>
      <c r="J2384" t="s">
        <v>37</v>
      </c>
      <c r="L2384" t="s">
        <v>2364</v>
      </c>
      <c r="M2384">
        <v>687037975702</v>
      </c>
      <c r="N2384" t="s">
        <v>2661</v>
      </c>
      <c r="O2384" s="1">
        <v>45947</v>
      </c>
      <c r="T2384" t="s">
        <v>2662</v>
      </c>
      <c r="U2384" t="s">
        <v>8139</v>
      </c>
      <c r="V2384">
        <v>11</v>
      </c>
      <c r="W2384" t="s">
        <v>2671</v>
      </c>
      <c r="X2384">
        <v>1</v>
      </c>
      <c r="Y2384" t="s">
        <v>2760</v>
      </c>
      <c r="Z2384" t="s">
        <v>2684</v>
      </c>
      <c r="AA2384">
        <v>687037975702</v>
      </c>
      <c r="AB2384" t="s">
        <v>171</v>
      </c>
      <c r="AC2384">
        <v>0</v>
      </c>
      <c r="AD2384">
        <v>47</v>
      </c>
      <c r="AE2384">
        <v>68703797570247</v>
      </c>
      <c r="AF2384" t="s">
        <v>8140</v>
      </c>
      <c r="AG2384">
        <v>0</v>
      </c>
      <c r="AH2384">
        <v>0</v>
      </c>
    </row>
    <row r="2385" spans="1:34">
      <c r="A2385">
        <v>2025</v>
      </c>
      <c r="B2385" s="1">
        <v>45962</v>
      </c>
      <c r="C2385" t="s">
        <v>2657</v>
      </c>
      <c r="D2385" t="s">
        <v>8141</v>
      </c>
      <c r="E2385" s="43">
        <v>45978.761381400465</v>
      </c>
      <c r="F2385" s="1">
        <v>45978</v>
      </c>
      <c r="G2385" s="43">
        <v>45988.576515590277</v>
      </c>
      <c r="H2385" t="s">
        <v>2802</v>
      </c>
      <c r="I2385" t="s">
        <v>2719</v>
      </c>
      <c r="J2385" t="s">
        <v>37</v>
      </c>
      <c r="L2385" t="s">
        <v>2364</v>
      </c>
      <c r="M2385">
        <v>687037975702</v>
      </c>
      <c r="N2385" t="s">
        <v>2661</v>
      </c>
      <c r="O2385" s="1">
        <v>45947</v>
      </c>
      <c r="T2385" t="s">
        <v>2662</v>
      </c>
      <c r="U2385" t="s">
        <v>8142</v>
      </c>
      <c r="V2385">
        <v>8</v>
      </c>
      <c r="W2385" t="s">
        <v>2671</v>
      </c>
      <c r="X2385">
        <v>1</v>
      </c>
      <c r="Y2385" t="s">
        <v>2672</v>
      </c>
      <c r="AA2385">
        <v>687037975702</v>
      </c>
      <c r="AB2385" t="s">
        <v>171</v>
      </c>
      <c r="AC2385">
        <v>0</v>
      </c>
      <c r="AD2385">
        <v>47</v>
      </c>
      <c r="AE2385">
        <v>68703797570247</v>
      </c>
      <c r="AF2385" t="s">
        <v>8140</v>
      </c>
      <c r="AG2385">
        <v>1</v>
      </c>
      <c r="AH2385">
        <v>1</v>
      </c>
    </row>
    <row r="2386" spans="1:34">
      <c r="A2386">
        <v>2025</v>
      </c>
      <c r="B2386" s="1">
        <v>45962</v>
      </c>
      <c r="C2386" t="s">
        <v>2657</v>
      </c>
      <c r="D2386" t="s">
        <v>8143</v>
      </c>
      <c r="E2386" s="43">
        <v>45978.771793587963</v>
      </c>
      <c r="F2386" s="1">
        <v>45978</v>
      </c>
      <c r="G2386" s="43">
        <v>45995.530742951392</v>
      </c>
      <c r="H2386" t="s">
        <v>2802</v>
      </c>
      <c r="I2386" t="s">
        <v>2719</v>
      </c>
      <c r="J2386" t="s">
        <v>37</v>
      </c>
      <c r="L2386" t="s">
        <v>2364</v>
      </c>
      <c r="M2386">
        <v>687037975702</v>
      </c>
      <c r="N2386" t="s">
        <v>2661</v>
      </c>
      <c r="O2386" s="1">
        <v>45947</v>
      </c>
      <c r="T2386" t="s">
        <v>2662</v>
      </c>
      <c r="U2386" t="s">
        <v>8144</v>
      </c>
      <c r="V2386">
        <v>13</v>
      </c>
      <c r="W2386" t="s">
        <v>2671</v>
      </c>
      <c r="X2386">
        <v>1</v>
      </c>
      <c r="Y2386" t="s">
        <v>2779</v>
      </c>
      <c r="AA2386">
        <v>687037975702</v>
      </c>
      <c r="AB2386" t="s">
        <v>171</v>
      </c>
      <c r="AC2386">
        <v>0</v>
      </c>
      <c r="AD2386">
        <v>47</v>
      </c>
      <c r="AE2386">
        <v>68703797570247</v>
      </c>
      <c r="AF2386" t="s">
        <v>8140</v>
      </c>
      <c r="AG2386">
        <v>0</v>
      </c>
      <c r="AH2386">
        <v>0</v>
      </c>
    </row>
    <row r="2387" spans="1:34">
      <c r="A2387">
        <v>2025</v>
      </c>
      <c r="B2387" s="1">
        <v>45992</v>
      </c>
      <c r="C2387" t="s">
        <v>2657</v>
      </c>
      <c r="D2387" t="s">
        <v>8145</v>
      </c>
      <c r="E2387" s="43">
        <v>46008.892140509262</v>
      </c>
      <c r="F2387" s="1">
        <v>46008</v>
      </c>
      <c r="G2387" s="43">
        <v>46056.665368738424</v>
      </c>
      <c r="H2387" t="s">
        <v>2686</v>
      </c>
      <c r="I2387" t="s">
        <v>2719</v>
      </c>
      <c r="J2387" t="s">
        <v>37</v>
      </c>
      <c r="L2387" t="s">
        <v>2351</v>
      </c>
      <c r="M2387">
        <v>1045128782102</v>
      </c>
      <c r="N2387" t="s">
        <v>2661</v>
      </c>
      <c r="O2387" s="1">
        <v>45737</v>
      </c>
      <c r="T2387" t="s">
        <v>2662</v>
      </c>
      <c r="U2387" t="s">
        <v>8146</v>
      </c>
      <c r="V2387">
        <v>34</v>
      </c>
      <c r="W2387" t="s">
        <v>2671</v>
      </c>
      <c r="X2387">
        <v>1</v>
      </c>
      <c r="Y2387" t="s">
        <v>2779</v>
      </c>
      <c r="Z2387" t="s">
        <v>2684</v>
      </c>
      <c r="AA2387">
        <v>1045128782102</v>
      </c>
      <c r="AB2387" t="s">
        <v>474</v>
      </c>
      <c r="AC2387">
        <v>0</v>
      </c>
      <c r="AD2387">
        <v>51</v>
      </c>
      <c r="AE2387">
        <v>104512878210251</v>
      </c>
      <c r="AF2387" t="s">
        <v>8147</v>
      </c>
      <c r="AG2387">
        <v>1</v>
      </c>
      <c r="AH2387">
        <v>1</v>
      </c>
    </row>
    <row r="2388" spans="1:34">
      <c r="A2388">
        <v>2026</v>
      </c>
      <c r="B2388" s="1">
        <v>46054</v>
      </c>
      <c r="C2388" t="s">
        <v>2657</v>
      </c>
      <c r="D2388" t="s">
        <v>8148</v>
      </c>
      <c r="E2388" s="43">
        <v>46059.717454976853</v>
      </c>
      <c r="F2388" s="1">
        <v>46059</v>
      </c>
      <c r="G2388" s="43">
        <v>46062.871430914354</v>
      </c>
      <c r="H2388" t="s">
        <v>2725</v>
      </c>
      <c r="I2388" t="s">
        <v>2669</v>
      </c>
      <c r="J2388" t="s">
        <v>36</v>
      </c>
      <c r="L2388" t="s">
        <v>2378</v>
      </c>
      <c r="M2388">
        <v>1004366724902</v>
      </c>
      <c r="N2388" t="s">
        <v>2702</v>
      </c>
      <c r="O2388" s="1">
        <v>46043</v>
      </c>
      <c r="T2388" t="s">
        <v>2662</v>
      </c>
      <c r="U2388" t="s">
        <v>8149</v>
      </c>
      <c r="V2388">
        <v>1</v>
      </c>
      <c r="W2388" t="s">
        <v>2671</v>
      </c>
      <c r="X2388">
        <v>1</v>
      </c>
      <c r="Y2388" t="s">
        <v>3471</v>
      </c>
      <c r="AA2388">
        <v>1004366724902</v>
      </c>
      <c r="AB2388" t="s">
        <v>2386</v>
      </c>
      <c r="AC2388">
        <v>0</v>
      </c>
      <c r="AD2388">
        <v>6</v>
      </c>
      <c r="AE2388">
        <v>10043667249026</v>
      </c>
      <c r="AF2388" t="s">
        <v>8150</v>
      </c>
      <c r="AG2388">
        <v>0</v>
      </c>
      <c r="AH2388">
        <v>0</v>
      </c>
    </row>
    <row r="2389" spans="1:34">
      <c r="A2389">
        <v>2026</v>
      </c>
      <c r="B2389" s="1">
        <v>46054</v>
      </c>
      <c r="C2389" t="s">
        <v>2657</v>
      </c>
      <c r="D2389" t="s">
        <v>8151</v>
      </c>
      <c r="E2389" s="43">
        <v>46057.504234409724</v>
      </c>
      <c r="F2389" s="1">
        <v>46057</v>
      </c>
      <c r="G2389" s="43">
        <v>46057.504234409724</v>
      </c>
      <c r="H2389" t="s">
        <v>2725</v>
      </c>
      <c r="I2389" t="s">
        <v>2669</v>
      </c>
      <c r="J2389" t="s">
        <v>36</v>
      </c>
      <c r="L2389" t="s">
        <v>2378</v>
      </c>
      <c r="M2389">
        <v>1004366724902</v>
      </c>
      <c r="N2389" t="s">
        <v>2702</v>
      </c>
      <c r="O2389" s="1">
        <v>46043</v>
      </c>
      <c r="T2389" t="s">
        <v>2662</v>
      </c>
      <c r="U2389" t="s">
        <v>8152</v>
      </c>
      <c r="V2389">
        <v>0</v>
      </c>
      <c r="W2389" t="s">
        <v>2677</v>
      </c>
      <c r="X2389">
        <v>1</v>
      </c>
      <c r="Y2389" t="s">
        <v>2695</v>
      </c>
      <c r="AA2389">
        <v>1004366724902</v>
      </c>
      <c r="AB2389" t="s">
        <v>2386</v>
      </c>
      <c r="AC2389">
        <v>0</v>
      </c>
      <c r="AD2389">
        <v>6</v>
      </c>
      <c r="AE2389">
        <v>10043667249026</v>
      </c>
      <c r="AF2389" t="s">
        <v>8150</v>
      </c>
      <c r="AG2389">
        <v>1</v>
      </c>
      <c r="AH2389">
        <v>1</v>
      </c>
    </row>
    <row r="2390" spans="1:34">
      <c r="A2390">
        <v>2026</v>
      </c>
      <c r="B2390" s="1">
        <v>46054</v>
      </c>
      <c r="C2390" t="s">
        <v>2657</v>
      </c>
      <c r="D2390" t="s">
        <v>8153</v>
      </c>
      <c r="E2390" s="43">
        <v>46066.572899421299</v>
      </c>
      <c r="F2390" s="1">
        <v>46066</v>
      </c>
      <c r="G2390" s="43">
        <v>46093.578388657406</v>
      </c>
      <c r="H2390" t="s">
        <v>2725</v>
      </c>
      <c r="I2390" t="s">
        <v>2681</v>
      </c>
      <c r="J2390" t="s">
        <v>36</v>
      </c>
      <c r="L2390" t="s">
        <v>2378</v>
      </c>
      <c r="M2390">
        <v>1004366724902</v>
      </c>
      <c r="N2390" t="s">
        <v>2702</v>
      </c>
      <c r="O2390" s="1">
        <v>46043</v>
      </c>
      <c r="T2390" t="s">
        <v>2662</v>
      </c>
      <c r="U2390" t="s">
        <v>8154</v>
      </c>
      <c r="V2390">
        <v>19</v>
      </c>
      <c r="W2390" t="s">
        <v>2677</v>
      </c>
      <c r="X2390">
        <v>1</v>
      </c>
      <c r="Y2390" t="s">
        <v>2772</v>
      </c>
      <c r="AA2390">
        <v>1004366724902</v>
      </c>
      <c r="AB2390" t="s">
        <v>2386</v>
      </c>
      <c r="AC2390">
        <v>0</v>
      </c>
      <c r="AD2390">
        <v>7</v>
      </c>
      <c r="AE2390">
        <v>10043667249027</v>
      </c>
      <c r="AF2390" t="s">
        <v>8150</v>
      </c>
      <c r="AG2390">
        <v>1</v>
      </c>
      <c r="AH2390">
        <v>0</v>
      </c>
    </row>
    <row r="2391" spans="1:34">
      <c r="A2391">
        <v>2026</v>
      </c>
      <c r="B2391" s="1">
        <v>46082</v>
      </c>
      <c r="C2391" t="s">
        <v>2657</v>
      </c>
      <c r="D2391" t="s">
        <v>8155</v>
      </c>
      <c r="E2391" s="43">
        <v>46085.748813113423</v>
      </c>
      <c r="F2391" s="1">
        <v>46085</v>
      </c>
      <c r="G2391" s="43">
        <v>46086.564075567127</v>
      </c>
      <c r="H2391" t="s">
        <v>2668</v>
      </c>
      <c r="I2391" t="s">
        <v>2669</v>
      </c>
      <c r="J2391" t="s">
        <v>39</v>
      </c>
      <c r="L2391" t="s">
        <v>2336</v>
      </c>
      <c r="M2391">
        <v>1041281178802</v>
      </c>
      <c r="N2391" t="s">
        <v>2746</v>
      </c>
      <c r="O2391" s="1">
        <v>45937</v>
      </c>
      <c r="T2391" t="s">
        <v>2662</v>
      </c>
      <c r="U2391" t="s">
        <v>8156</v>
      </c>
      <c r="V2391">
        <v>1</v>
      </c>
      <c r="W2391" t="s">
        <v>2671</v>
      </c>
      <c r="X2391">
        <v>1</v>
      </c>
      <c r="Y2391" t="s">
        <v>2672</v>
      </c>
      <c r="AA2391">
        <v>1041281178802</v>
      </c>
      <c r="AB2391" t="s">
        <v>726</v>
      </c>
      <c r="AC2391">
        <v>1</v>
      </c>
      <c r="AD2391">
        <v>10</v>
      </c>
      <c r="AE2391">
        <v>104128117880210</v>
      </c>
      <c r="AF2391" t="s">
        <v>8157</v>
      </c>
      <c r="AG2391">
        <v>1</v>
      </c>
      <c r="AH2391">
        <v>1</v>
      </c>
    </row>
    <row r="2392" spans="1:34">
      <c r="A2392">
        <v>2025</v>
      </c>
      <c r="B2392" s="1">
        <v>45870</v>
      </c>
      <c r="C2392" t="s">
        <v>2657</v>
      </c>
      <c r="D2392" t="s">
        <v>8158</v>
      </c>
      <c r="E2392" s="43">
        <v>45877.801125949074</v>
      </c>
      <c r="F2392" s="1">
        <v>45877</v>
      </c>
      <c r="G2392" s="43">
        <v>45888.861741990739</v>
      </c>
      <c r="H2392" t="s">
        <v>3088</v>
      </c>
      <c r="I2392" t="s">
        <v>2681</v>
      </c>
      <c r="J2392" t="s">
        <v>2735</v>
      </c>
      <c r="L2392" t="s">
        <v>2336</v>
      </c>
      <c r="M2392">
        <v>449549597602</v>
      </c>
      <c r="N2392" t="s">
        <v>2702</v>
      </c>
      <c r="O2392" s="1">
        <v>45358</v>
      </c>
      <c r="T2392" t="s">
        <v>2662</v>
      </c>
      <c r="U2392" t="s">
        <v>8159</v>
      </c>
      <c r="V2392">
        <v>7</v>
      </c>
      <c r="W2392" t="s">
        <v>2677</v>
      </c>
      <c r="X2392">
        <v>1</v>
      </c>
      <c r="Y2392" t="s">
        <v>2807</v>
      </c>
      <c r="AA2392">
        <v>449549597602</v>
      </c>
      <c r="AB2392" t="s">
        <v>1726</v>
      </c>
      <c r="AC2392">
        <v>0</v>
      </c>
      <c r="AD2392">
        <v>32</v>
      </c>
      <c r="AE2392">
        <v>44954959760232</v>
      </c>
      <c r="AF2392" t="s">
        <v>8160</v>
      </c>
      <c r="AG2392">
        <v>0</v>
      </c>
      <c r="AH2392">
        <v>0</v>
      </c>
    </row>
    <row r="2393" spans="1:34">
      <c r="A2393">
        <v>2025</v>
      </c>
      <c r="B2393" s="1">
        <v>45870</v>
      </c>
      <c r="C2393" t="s">
        <v>2657</v>
      </c>
      <c r="D2393" t="s">
        <v>8161</v>
      </c>
      <c r="E2393" s="43">
        <v>45877.835113749999</v>
      </c>
      <c r="F2393" s="1">
        <v>45877</v>
      </c>
      <c r="G2393" s="43">
        <v>45881.827139699075</v>
      </c>
      <c r="H2393" t="s">
        <v>3088</v>
      </c>
      <c r="I2393" t="s">
        <v>2681</v>
      </c>
      <c r="J2393" t="s">
        <v>2735</v>
      </c>
      <c r="L2393" t="s">
        <v>2336</v>
      </c>
      <c r="M2393">
        <v>449549597602</v>
      </c>
      <c r="N2393" t="s">
        <v>2702</v>
      </c>
      <c r="O2393" s="1">
        <v>45358</v>
      </c>
      <c r="T2393" t="s">
        <v>2662</v>
      </c>
      <c r="U2393" t="s">
        <v>8162</v>
      </c>
      <c r="V2393">
        <v>2</v>
      </c>
      <c r="W2393" t="s">
        <v>2985</v>
      </c>
      <c r="X2393">
        <v>1</v>
      </c>
      <c r="Y2393" t="s">
        <v>2695</v>
      </c>
      <c r="AA2393">
        <v>449549597602</v>
      </c>
      <c r="AB2393" t="s">
        <v>1726</v>
      </c>
      <c r="AC2393">
        <v>0</v>
      </c>
      <c r="AD2393">
        <v>32</v>
      </c>
      <c r="AE2393">
        <v>44954959760232</v>
      </c>
      <c r="AF2393" t="s">
        <v>8160</v>
      </c>
      <c r="AG2393">
        <v>0</v>
      </c>
      <c r="AH2393">
        <v>0</v>
      </c>
    </row>
    <row r="2394" spans="1:34">
      <c r="A2394">
        <v>2025</v>
      </c>
      <c r="B2394" s="1">
        <v>45870</v>
      </c>
      <c r="C2394" t="s">
        <v>2657</v>
      </c>
      <c r="D2394" t="s">
        <v>8163</v>
      </c>
      <c r="E2394" s="43">
        <v>45877.787272256945</v>
      </c>
      <c r="F2394" s="1">
        <v>45877</v>
      </c>
      <c r="G2394" s="43">
        <v>45889.615074976849</v>
      </c>
      <c r="H2394" t="s">
        <v>3088</v>
      </c>
      <c r="I2394" t="s">
        <v>2681</v>
      </c>
      <c r="J2394" t="s">
        <v>2735</v>
      </c>
      <c r="L2394" t="s">
        <v>2336</v>
      </c>
      <c r="M2394">
        <v>449549597602</v>
      </c>
      <c r="N2394" t="s">
        <v>2702</v>
      </c>
      <c r="O2394" s="1">
        <v>45358</v>
      </c>
      <c r="T2394" t="s">
        <v>2662</v>
      </c>
      <c r="U2394" t="s">
        <v>8164</v>
      </c>
      <c r="V2394">
        <v>8</v>
      </c>
      <c r="W2394" t="s">
        <v>2985</v>
      </c>
      <c r="X2394">
        <v>1</v>
      </c>
      <c r="Y2394" t="s">
        <v>2695</v>
      </c>
      <c r="AA2394">
        <v>449549597602</v>
      </c>
      <c r="AB2394" t="s">
        <v>1726</v>
      </c>
      <c r="AC2394">
        <v>0</v>
      </c>
      <c r="AD2394">
        <v>32</v>
      </c>
      <c r="AE2394">
        <v>44954959760232</v>
      </c>
      <c r="AF2394" t="s">
        <v>8160</v>
      </c>
      <c r="AG2394">
        <v>1</v>
      </c>
      <c r="AH2394">
        <v>1</v>
      </c>
    </row>
    <row r="2395" spans="1:34">
      <c r="A2395">
        <v>2025</v>
      </c>
      <c r="B2395" s="1">
        <v>45870</v>
      </c>
      <c r="C2395" t="s">
        <v>2657</v>
      </c>
      <c r="D2395" t="s">
        <v>8165</v>
      </c>
      <c r="E2395" s="43">
        <v>45877.798049745368</v>
      </c>
      <c r="F2395" s="1">
        <v>45877</v>
      </c>
      <c r="G2395" s="43">
        <v>45881.827203078705</v>
      </c>
      <c r="H2395" t="s">
        <v>3088</v>
      </c>
      <c r="I2395" t="s">
        <v>2681</v>
      </c>
      <c r="J2395" t="s">
        <v>2735</v>
      </c>
      <c r="L2395" t="s">
        <v>2336</v>
      </c>
      <c r="M2395">
        <v>449549597602</v>
      </c>
      <c r="N2395" t="s">
        <v>2702</v>
      </c>
      <c r="O2395" s="1">
        <v>45358</v>
      </c>
      <c r="T2395" t="s">
        <v>2662</v>
      </c>
      <c r="U2395" t="s">
        <v>8166</v>
      </c>
      <c r="V2395">
        <v>2</v>
      </c>
      <c r="W2395" t="s">
        <v>2985</v>
      </c>
      <c r="X2395">
        <v>1</v>
      </c>
      <c r="Y2395" t="s">
        <v>2695</v>
      </c>
      <c r="AA2395">
        <v>449549597602</v>
      </c>
      <c r="AB2395" t="s">
        <v>1726</v>
      </c>
      <c r="AC2395">
        <v>0</v>
      </c>
      <c r="AD2395">
        <v>32</v>
      </c>
      <c r="AE2395">
        <v>44954959760232</v>
      </c>
      <c r="AF2395" t="s">
        <v>8160</v>
      </c>
      <c r="AG2395">
        <v>0</v>
      </c>
      <c r="AH2395">
        <v>0</v>
      </c>
    </row>
    <row r="2396" spans="1:34">
      <c r="A2396">
        <v>2025</v>
      </c>
      <c r="B2396" s="1">
        <v>45870</v>
      </c>
      <c r="C2396" t="s">
        <v>2657</v>
      </c>
      <c r="D2396" t="s">
        <v>8167</v>
      </c>
      <c r="E2396" s="43">
        <v>45877.835668287036</v>
      </c>
      <c r="F2396" s="1">
        <v>45877</v>
      </c>
      <c r="G2396" s="43">
        <v>45881.827274398151</v>
      </c>
      <c r="H2396" t="s">
        <v>3088</v>
      </c>
      <c r="I2396" t="s">
        <v>2681</v>
      </c>
      <c r="J2396" t="s">
        <v>2735</v>
      </c>
      <c r="L2396" t="s">
        <v>2336</v>
      </c>
      <c r="M2396">
        <v>449549597602</v>
      </c>
      <c r="N2396" t="s">
        <v>2702</v>
      </c>
      <c r="O2396" s="1">
        <v>45358</v>
      </c>
      <c r="T2396" t="s">
        <v>2662</v>
      </c>
      <c r="U2396" t="s">
        <v>8168</v>
      </c>
      <c r="V2396">
        <v>2</v>
      </c>
      <c r="W2396" t="s">
        <v>2985</v>
      </c>
      <c r="X2396">
        <v>1</v>
      </c>
      <c r="Y2396" t="s">
        <v>2695</v>
      </c>
      <c r="AA2396">
        <v>449549597602</v>
      </c>
      <c r="AB2396" t="s">
        <v>1726</v>
      </c>
      <c r="AC2396">
        <v>0</v>
      </c>
      <c r="AD2396">
        <v>32</v>
      </c>
      <c r="AE2396">
        <v>44954959760232</v>
      </c>
      <c r="AF2396" t="s">
        <v>8160</v>
      </c>
      <c r="AG2396">
        <v>0</v>
      </c>
      <c r="AH2396">
        <v>0</v>
      </c>
    </row>
    <row r="2397" spans="1:34">
      <c r="A2397">
        <v>2025</v>
      </c>
      <c r="B2397" s="1">
        <v>45870</v>
      </c>
      <c r="C2397" t="s">
        <v>2657</v>
      </c>
      <c r="D2397" t="s">
        <v>8169</v>
      </c>
      <c r="E2397" s="43">
        <v>45880.587287743052</v>
      </c>
      <c r="F2397" s="1">
        <v>45880</v>
      </c>
      <c r="G2397" s="43">
        <v>45880.587287743052</v>
      </c>
      <c r="H2397" t="s">
        <v>3088</v>
      </c>
      <c r="I2397" t="s">
        <v>2681</v>
      </c>
      <c r="J2397" t="s">
        <v>2735</v>
      </c>
      <c r="L2397" t="s">
        <v>2336</v>
      </c>
      <c r="M2397">
        <v>449549597602</v>
      </c>
      <c r="N2397" t="s">
        <v>2702</v>
      </c>
      <c r="O2397" s="1">
        <v>45358</v>
      </c>
      <c r="T2397" t="s">
        <v>2662</v>
      </c>
      <c r="U2397" t="s">
        <v>8170</v>
      </c>
      <c r="V2397">
        <v>0</v>
      </c>
      <c r="W2397" t="s">
        <v>2985</v>
      </c>
      <c r="X2397">
        <v>1</v>
      </c>
      <c r="Y2397" t="s">
        <v>2695</v>
      </c>
      <c r="AA2397">
        <v>449549597602</v>
      </c>
      <c r="AB2397" t="s">
        <v>1726</v>
      </c>
      <c r="AC2397">
        <v>0</v>
      </c>
      <c r="AD2397">
        <v>33</v>
      </c>
      <c r="AE2397">
        <v>44954959760233</v>
      </c>
      <c r="AF2397" t="s">
        <v>8160</v>
      </c>
      <c r="AG2397">
        <v>1</v>
      </c>
      <c r="AH2397">
        <v>0</v>
      </c>
    </row>
    <row r="2398" spans="1:34">
      <c r="A2398">
        <v>2025</v>
      </c>
      <c r="B2398" s="1">
        <v>45870</v>
      </c>
      <c r="C2398" t="s">
        <v>2657</v>
      </c>
      <c r="D2398" t="s">
        <v>8171</v>
      </c>
      <c r="E2398" s="43">
        <v>45882.576522418982</v>
      </c>
      <c r="F2398" s="1">
        <v>45882</v>
      </c>
      <c r="G2398" s="43">
        <v>45882.576522418982</v>
      </c>
      <c r="H2398" t="s">
        <v>3088</v>
      </c>
      <c r="I2398" t="s">
        <v>2681</v>
      </c>
      <c r="J2398" t="s">
        <v>2735</v>
      </c>
      <c r="L2398" t="s">
        <v>2336</v>
      </c>
      <c r="M2398">
        <v>449549597602</v>
      </c>
      <c r="N2398" t="s">
        <v>2702</v>
      </c>
      <c r="O2398" s="1">
        <v>45358</v>
      </c>
      <c r="T2398" t="s">
        <v>2662</v>
      </c>
      <c r="U2398" t="s">
        <v>8172</v>
      </c>
      <c r="V2398">
        <v>0</v>
      </c>
      <c r="W2398" t="s">
        <v>2985</v>
      </c>
      <c r="X2398">
        <v>1</v>
      </c>
      <c r="Y2398" t="s">
        <v>2695</v>
      </c>
      <c r="AA2398">
        <v>449549597602</v>
      </c>
      <c r="AB2398" t="s">
        <v>1726</v>
      </c>
      <c r="AC2398">
        <v>0</v>
      </c>
      <c r="AD2398">
        <v>33</v>
      </c>
      <c r="AE2398">
        <v>44954959760233</v>
      </c>
      <c r="AF2398" t="s">
        <v>8160</v>
      </c>
      <c r="AG2398">
        <v>0</v>
      </c>
      <c r="AH2398">
        <v>0</v>
      </c>
    </row>
    <row r="2399" spans="1:34">
      <c r="A2399">
        <v>2025</v>
      </c>
      <c r="B2399" s="1">
        <v>45870</v>
      </c>
      <c r="C2399" t="s">
        <v>2657</v>
      </c>
      <c r="D2399" t="s">
        <v>8173</v>
      </c>
      <c r="E2399" s="43">
        <v>45881.580490995373</v>
      </c>
      <c r="F2399" s="1">
        <v>45881</v>
      </c>
      <c r="G2399" s="43">
        <v>45894.657505370371</v>
      </c>
      <c r="H2399" t="s">
        <v>3088</v>
      </c>
      <c r="I2399" t="s">
        <v>2681</v>
      </c>
      <c r="J2399" t="s">
        <v>2735</v>
      </c>
      <c r="L2399" t="s">
        <v>2336</v>
      </c>
      <c r="M2399">
        <v>449549597602</v>
      </c>
      <c r="N2399" t="s">
        <v>2702</v>
      </c>
      <c r="O2399" s="1">
        <v>45358</v>
      </c>
      <c r="T2399" t="s">
        <v>2662</v>
      </c>
      <c r="U2399" t="s">
        <v>8174</v>
      </c>
      <c r="V2399">
        <v>9</v>
      </c>
      <c r="W2399" t="s">
        <v>2677</v>
      </c>
      <c r="X2399">
        <v>1</v>
      </c>
      <c r="Y2399" t="s">
        <v>2779</v>
      </c>
      <c r="Z2399" t="s">
        <v>2684</v>
      </c>
      <c r="AA2399">
        <v>449549597602</v>
      </c>
      <c r="AB2399" t="s">
        <v>1726</v>
      </c>
      <c r="AC2399">
        <v>0</v>
      </c>
      <c r="AD2399">
        <v>33</v>
      </c>
      <c r="AE2399">
        <v>44954959760233</v>
      </c>
      <c r="AF2399" t="s">
        <v>8160</v>
      </c>
      <c r="AG2399">
        <v>0</v>
      </c>
      <c r="AH2399">
        <v>0</v>
      </c>
    </row>
    <row r="2400" spans="1:34">
      <c r="A2400">
        <v>2025</v>
      </c>
      <c r="B2400" s="1">
        <v>45870</v>
      </c>
      <c r="C2400" t="s">
        <v>2657</v>
      </c>
      <c r="D2400" s="44" t="s">
        <v>8175</v>
      </c>
      <c r="E2400" s="43">
        <v>45881.6213746875</v>
      </c>
      <c r="F2400" s="1">
        <v>45881</v>
      </c>
      <c r="G2400" s="43">
        <v>45894.657618310186</v>
      </c>
      <c r="H2400" t="s">
        <v>3088</v>
      </c>
      <c r="I2400" t="s">
        <v>2681</v>
      </c>
      <c r="J2400" t="s">
        <v>2735</v>
      </c>
      <c r="L2400" t="s">
        <v>2336</v>
      </c>
      <c r="M2400">
        <v>449549597602</v>
      </c>
      <c r="N2400" t="s">
        <v>2702</v>
      </c>
      <c r="O2400" s="1">
        <v>45358</v>
      </c>
      <c r="T2400" t="s">
        <v>2662</v>
      </c>
      <c r="U2400" t="s">
        <v>8176</v>
      </c>
      <c r="V2400">
        <v>9</v>
      </c>
      <c r="W2400" t="s">
        <v>2677</v>
      </c>
      <c r="X2400">
        <v>1</v>
      </c>
      <c r="Y2400" t="s">
        <v>2695</v>
      </c>
      <c r="Z2400" t="s">
        <v>2684</v>
      </c>
      <c r="AA2400">
        <v>449549597602</v>
      </c>
      <c r="AB2400" t="s">
        <v>1726</v>
      </c>
      <c r="AC2400">
        <v>0</v>
      </c>
      <c r="AD2400">
        <v>33</v>
      </c>
      <c r="AE2400">
        <v>44954959760233</v>
      </c>
      <c r="AF2400" t="s">
        <v>8160</v>
      </c>
      <c r="AG2400">
        <v>0</v>
      </c>
      <c r="AH2400">
        <v>0</v>
      </c>
    </row>
    <row r="2401" spans="1:34">
      <c r="A2401">
        <v>2026</v>
      </c>
      <c r="B2401" s="1">
        <v>46054</v>
      </c>
      <c r="C2401" t="s">
        <v>2657</v>
      </c>
      <c r="D2401" t="s">
        <v>8177</v>
      </c>
      <c r="E2401" s="43">
        <v>46073.581825706016</v>
      </c>
      <c r="F2401" s="1">
        <v>46073</v>
      </c>
      <c r="G2401" s="43">
        <v>46076.668995243053</v>
      </c>
      <c r="H2401" t="s">
        <v>2725</v>
      </c>
      <c r="I2401" t="s">
        <v>2719</v>
      </c>
      <c r="J2401" t="s">
        <v>37</v>
      </c>
      <c r="L2401" t="s">
        <v>2364</v>
      </c>
      <c r="M2401">
        <v>610886576</v>
      </c>
      <c r="N2401" t="s">
        <v>2661</v>
      </c>
      <c r="O2401" s="1">
        <v>45994</v>
      </c>
      <c r="T2401" t="s">
        <v>2662</v>
      </c>
      <c r="U2401" t="s">
        <v>8178</v>
      </c>
      <c r="V2401">
        <v>1</v>
      </c>
      <c r="W2401" t="s">
        <v>2677</v>
      </c>
      <c r="X2401">
        <v>1</v>
      </c>
      <c r="Y2401" t="s">
        <v>2807</v>
      </c>
      <c r="AA2401">
        <v>610886576</v>
      </c>
      <c r="AB2401" t="s">
        <v>2595</v>
      </c>
      <c r="AC2401">
        <v>0</v>
      </c>
      <c r="AD2401">
        <v>8</v>
      </c>
      <c r="AE2401">
        <v>6108865768</v>
      </c>
      <c r="AF2401" t="s">
        <v>8179</v>
      </c>
      <c r="AG2401">
        <v>1</v>
      </c>
      <c r="AH2401">
        <v>1</v>
      </c>
    </row>
    <row r="2402" spans="1:34">
      <c r="A2402">
        <v>2026</v>
      </c>
      <c r="B2402" s="1">
        <v>46082</v>
      </c>
      <c r="C2402" t="s">
        <v>2657</v>
      </c>
      <c r="D2402" t="s">
        <v>8180</v>
      </c>
      <c r="E2402" s="43">
        <v>46084.586889537037</v>
      </c>
      <c r="F2402" s="1">
        <v>46084</v>
      </c>
      <c r="G2402" s="43">
        <v>46091.5320421875</v>
      </c>
      <c r="H2402" t="s">
        <v>2668</v>
      </c>
      <c r="I2402" t="s">
        <v>2669</v>
      </c>
      <c r="J2402" t="s">
        <v>36</v>
      </c>
      <c r="L2402" t="s">
        <v>2472</v>
      </c>
      <c r="M2402">
        <v>1087931314602</v>
      </c>
      <c r="N2402" t="s">
        <v>2702</v>
      </c>
      <c r="O2402" s="1">
        <v>46021</v>
      </c>
      <c r="T2402" t="s">
        <v>2662</v>
      </c>
      <c r="U2402" t="s">
        <v>8181</v>
      </c>
      <c r="V2402">
        <v>5</v>
      </c>
      <c r="W2402" t="s">
        <v>2671</v>
      </c>
      <c r="X2402">
        <v>1</v>
      </c>
      <c r="Y2402" t="s">
        <v>2672</v>
      </c>
      <c r="AA2402">
        <v>1087931314602</v>
      </c>
      <c r="AB2402" t="s">
        <v>2565</v>
      </c>
      <c r="AC2402">
        <v>0</v>
      </c>
      <c r="AD2402">
        <v>10</v>
      </c>
      <c r="AE2402">
        <v>108793131460210</v>
      </c>
      <c r="AF2402" t="s">
        <v>8182</v>
      </c>
      <c r="AG2402">
        <v>1</v>
      </c>
      <c r="AH2402">
        <v>1</v>
      </c>
    </row>
    <row r="2403" spans="1:34">
      <c r="A2403">
        <v>2026</v>
      </c>
      <c r="B2403" s="1">
        <v>46082</v>
      </c>
      <c r="C2403" t="s">
        <v>2657</v>
      </c>
      <c r="D2403" t="s">
        <v>8183</v>
      </c>
      <c r="E2403" s="43">
        <v>46092.656894432868</v>
      </c>
      <c r="F2403" s="1">
        <v>46092</v>
      </c>
      <c r="G2403" s="43">
        <v>46092.656894432868</v>
      </c>
      <c r="H2403" t="s">
        <v>2668</v>
      </c>
      <c r="I2403" t="s">
        <v>2681</v>
      </c>
      <c r="J2403" t="s">
        <v>36</v>
      </c>
      <c r="L2403" t="s">
        <v>2472</v>
      </c>
      <c r="M2403">
        <v>1087931314602</v>
      </c>
      <c r="N2403" t="s">
        <v>2702</v>
      </c>
      <c r="O2403" s="1">
        <v>46021</v>
      </c>
      <c r="T2403" t="s">
        <v>2798</v>
      </c>
      <c r="U2403" t="s">
        <v>8184</v>
      </c>
      <c r="V2403">
        <v>2</v>
      </c>
      <c r="W2403" t="s">
        <v>2671</v>
      </c>
      <c r="X2403">
        <v>0</v>
      </c>
      <c r="Y2403" t="s">
        <v>2672</v>
      </c>
      <c r="AA2403">
        <v>1087931314602</v>
      </c>
      <c r="AB2403" t="s">
        <v>2565</v>
      </c>
      <c r="AC2403">
        <v>1</v>
      </c>
      <c r="AD2403">
        <v>11</v>
      </c>
      <c r="AE2403">
        <v>108793131460211</v>
      </c>
      <c r="AF2403" t="s">
        <v>8182</v>
      </c>
      <c r="AG2403">
        <v>1</v>
      </c>
      <c r="AH2403">
        <v>0</v>
      </c>
    </row>
    <row r="2404" spans="1:34">
      <c r="A2404">
        <v>2025</v>
      </c>
      <c r="B2404" s="1">
        <v>45992</v>
      </c>
      <c r="C2404" t="s">
        <v>2657</v>
      </c>
      <c r="D2404" t="s">
        <v>8185</v>
      </c>
      <c r="E2404" s="43">
        <v>46003.739939664352</v>
      </c>
      <c r="F2404" s="1">
        <v>46003</v>
      </c>
      <c r="G2404" s="43">
        <v>46003.739939664352</v>
      </c>
      <c r="H2404" t="s">
        <v>2686</v>
      </c>
      <c r="I2404" t="s">
        <v>2681</v>
      </c>
      <c r="J2404" t="s">
        <v>37</v>
      </c>
      <c r="L2404" t="s">
        <v>2364</v>
      </c>
      <c r="M2404">
        <v>610886576</v>
      </c>
      <c r="N2404" t="s">
        <v>2661</v>
      </c>
      <c r="O2404" s="1">
        <v>45994</v>
      </c>
      <c r="T2404" t="s">
        <v>2662</v>
      </c>
      <c r="U2404" t="s">
        <v>8186</v>
      </c>
      <c r="V2404">
        <v>0</v>
      </c>
      <c r="W2404" t="s">
        <v>2677</v>
      </c>
      <c r="X2404">
        <v>1</v>
      </c>
      <c r="Y2404" t="s">
        <v>2807</v>
      </c>
      <c r="AA2404">
        <v>610886576</v>
      </c>
      <c r="AB2404" t="s">
        <v>2595</v>
      </c>
      <c r="AC2404">
        <v>0</v>
      </c>
      <c r="AD2404">
        <v>50</v>
      </c>
      <c r="AE2404">
        <v>61088657650</v>
      </c>
      <c r="AF2404" t="s">
        <v>8187</v>
      </c>
      <c r="AG2404">
        <v>0</v>
      </c>
      <c r="AH2404">
        <v>0</v>
      </c>
    </row>
    <row r="2405" spans="1:34">
      <c r="A2405">
        <v>2025</v>
      </c>
      <c r="B2405" s="1">
        <v>45992</v>
      </c>
      <c r="C2405" t="s">
        <v>2657</v>
      </c>
      <c r="D2405" t="s">
        <v>8188</v>
      </c>
      <c r="E2405" s="43">
        <v>46003.738842453706</v>
      </c>
      <c r="F2405" s="1">
        <v>46003</v>
      </c>
      <c r="G2405" s="43">
        <v>46010.505466886571</v>
      </c>
      <c r="H2405" t="s">
        <v>2686</v>
      </c>
      <c r="I2405" t="s">
        <v>2681</v>
      </c>
      <c r="J2405" t="s">
        <v>37</v>
      </c>
      <c r="L2405" t="s">
        <v>2364</v>
      </c>
      <c r="M2405">
        <v>610886576</v>
      </c>
      <c r="N2405" t="s">
        <v>2661</v>
      </c>
      <c r="O2405" s="1">
        <v>45994</v>
      </c>
      <c r="T2405" t="s">
        <v>2662</v>
      </c>
      <c r="U2405" t="s">
        <v>8189</v>
      </c>
      <c r="V2405">
        <v>5</v>
      </c>
      <c r="W2405" t="s">
        <v>2677</v>
      </c>
      <c r="X2405">
        <v>1</v>
      </c>
      <c r="Y2405" t="s">
        <v>2767</v>
      </c>
      <c r="AA2405">
        <v>610886576</v>
      </c>
      <c r="AB2405" t="s">
        <v>2595</v>
      </c>
      <c r="AC2405">
        <v>0</v>
      </c>
      <c r="AD2405">
        <v>50</v>
      </c>
      <c r="AE2405">
        <v>61088657650</v>
      </c>
      <c r="AF2405" t="s">
        <v>8187</v>
      </c>
      <c r="AG2405">
        <v>1</v>
      </c>
      <c r="AH2405">
        <v>1</v>
      </c>
    </row>
    <row r="2406" spans="1:34">
      <c r="A2406">
        <v>2025</v>
      </c>
      <c r="B2406" s="1">
        <v>45992</v>
      </c>
      <c r="C2406" t="s">
        <v>2657</v>
      </c>
      <c r="D2406" t="s">
        <v>8190</v>
      </c>
      <c r="E2406" s="43">
        <v>46006.824748877312</v>
      </c>
      <c r="F2406" s="1">
        <v>46006</v>
      </c>
      <c r="G2406" s="43">
        <v>46020.581871655093</v>
      </c>
      <c r="H2406" t="s">
        <v>2686</v>
      </c>
      <c r="I2406" t="s">
        <v>2719</v>
      </c>
      <c r="J2406" t="s">
        <v>37</v>
      </c>
      <c r="L2406" t="s">
        <v>2364</v>
      </c>
      <c r="M2406">
        <v>610886576</v>
      </c>
      <c r="N2406" t="s">
        <v>2661</v>
      </c>
      <c r="O2406" s="1">
        <v>45994</v>
      </c>
      <c r="T2406" t="s">
        <v>2662</v>
      </c>
      <c r="U2406" t="s">
        <v>7417</v>
      </c>
      <c r="V2406">
        <v>10</v>
      </c>
      <c r="W2406" t="s">
        <v>2671</v>
      </c>
      <c r="X2406">
        <v>1</v>
      </c>
      <c r="Y2406" t="s">
        <v>2760</v>
      </c>
      <c r="AA2406">
        <v>610886576</v>
      </c>
      <c r="AB2406" t="s">
        <v>2595</v>
      </c>
      <c r="AC2406">
        <v>0</v>
      </c>
      <c r="AD2406">
        <v>51</v>
      </c>
      <c r="AE2406">
        <v>61088657651</v>
      </c>
      <c r="AF2406" t="s">
        <v>8187</v>
      </c>
      <c r="AG2406">
        <v>1</v>
      </c>
      <c r="AH2406">
        <v>0</v>
      </c>
    </row>
    <row r="2407" spans="1:34">
      <c r="A2407">
        <v>2025</v>
      </c>
      <c r="B2407" s="1">
        <v>45992</v>
      </c>
      <c r="C2407" t="s">
        <v>2657</v>
      </c>
      <c r="D2407" t="s">
        <v>8191</v>
      </c>
      <c r="E2407" s="43">
        <v>46021.693032777781</v>
      </c>
      <c r="F2407" s="1">
        <v>46021</v>
      </c>
      <c r="G2407" s="43">
        <v>46021.693032777781</v>
      </c>
      <c r="H2407" t="s">
        <v>2686</v>
      </c>
      <c r="I2407" t="s">
        <v>2697</v>
      </c>
      <c r="J2407" t="s">
        <v>37</v>
      </c>
      <c r="L2407" t="s">
        <v>2364</v>
      </c>
      <c r="M2407">
        <v>610886576</v>
      </c>
      <c r="N2407" t="s">
        <v>2661</v>
      </c>
      <c r="O2407" s="1">
        <v>45994</v>
      </c>
      <c r="T2407" t="s">
        <v>2662</v>
      </c>
      <c r="U2407" t="s">
        <v>8192</v>
      </c>
      <c r="V2407">
        <v>0</v>
      </c>
      <c r="W2407" t="s">
        <v>2671</v>
      </c>
      <c r="X2407">
        <v>1</v>
      </c>
      <c r="Y2407" t="s">
        <v>2692</v>
      </c>
      <c r="AA2407">
        <v>610886576</v>
      </c>
      <c r="AB2407" t="s">
        <v>2595</v>
      </c>
      <c r="AC2407">
        <v>0</v>
      </c>
      <c r="AD2407">
        <v>1</v>
      </c>
      <c r="AE2407">
        <v>6108865761</v>
      </c>
      <c r="AF2407" t="s">
        <v>8187</v>
      </c>
      <c r="AG2407">
        <v>1</v>
      </c>
      <c r="AH2407">
        <v>0</v>
      </c>
    </row>
    <row r="2408" spans="1:34">
      <c r="A2408">
        <v>2025</v>
      </c>
      <c r="B2408" s="1">
        <v>45962</v>
      </c>
      <c r="C2408" t="s">
        <v>2657</v>
      </c>
      <c r="D2408" t="s">
        <v>8193</v>
      </c>
      <c r="E2408" s="43">
        <v>45964.823627685182</v>
      </c>
      <c r="F2408" s="1">
        <v>45964</v>
      </c>
      <c r="G2408" s="43">
        <v>45972.811610879631</v>
      </c>
      <c r="H2408" t="s">
        <v>2802</v>
      </c>
      <c r="I2408" t="s">
        <v>2669</v>
      </c>
      <c r="J2408" t="s">
        <v>37</v>
      </c>
      <c r="L2408" t="s">
        <v>2421</v>
      </c>
      <c r="M2408">
        <v>472181389102</v>
      </c>
      <c r="N2408" t="s">
        <v>2661</v>
      </c>
      <c r="O2408" s="1">
        <v>45294</v>
      </c>
      <c r="T2408" t="s">
        <v>2662</v>
      </c>
      <c r="U2408" t="s">
        <v>8194</v>
      </c>
      <c r="V2408">
        <v>6</v>
      </c>
      <c r="W2408" t="s">
        <v>2743</v>
      </c>
      <c r="X2408">
        <v>1</v>
      </c>
      <c r="Y2408" t="s">
        <v>2779</v>
      </c>
      <c r="AA2408">
        <v>472181389102</v>
      </c>
      <c r="AB2408" t="s">
        <v>1914</v>
      </c>
      <c r="AC2408">
        <v>0</v>
      </c>
      <c r="AD2408">
        <v>45</v>
      </c>
      <c r="AE2408">
        <v>47218138910245</v>
      </c>
      <c r="AF2408" t="s">
        <v>8195</v>
      </c>
      <c r="AG2408">
        <v>1</v>
      </c>
      <c r="AH2408">
        <v>1</v>
      </c>
    </row>
    <row r="2409" spans="1:34">
      <c r="A2409">
        <v>2026</v>
      </c>
      <c r="B2409" s="1">
        <v>46082</v>
      </c>
      <c r="C2409" t="s">
        <v>2657</v>
      </c>
      <c r="D2409" t="s">
        <v>8196</v>
      </c>
      <c r="E2409" s="43">
        <v>46085.863426585645</v>
      </c>
      <c r="F2409" s="1">
        <v>46085</v>
      </c>
      <c r="G2409" s="43">
        <v>46090.838555706017</v>
      </c>
      <c r="H2409" t="s">
        <v>2668</v>
      </c>
      <c r="I2409" t="s">
        <v>2669</v>
      </c>
      <c r="J2409" t="s">
        <v>37</v>
      </c>
      <c r="L2409" t="s">
        <v>2364</v>
      </c>
      <c r="M2409">
        <v>381567616102</v>
      </c>
      <c r="N2409" t="s">
        <v>2661</v>
      </c>
      <c r="O2409" s="1">
        <v>46048</v>
      </c>
      <c r="T2409" t="s">
        <v>2662</v>
      </c>
      <c r="U2409" t="s">
        <v>8197</v>
      </c>
      <c r="V2409">
        <v>3</v>
      </c>
      <c r="W2409" t="s">
        <v>2743</v>
      </c>
      <c r="X2409">
        <v>1</v>
      </c>
      <c r="AA2409">
        <v>381567616102</v>
      </c>
      <c r="AB2409" t="s">
        <v>2453</v>
      </c>
      <c r="AC2409">
        <v>1</v>
      </c>
      <c r="AD2409">
        <v>10</v>
      </c>
      <c r="AE2409">
        <v>38156761610210</v>
      </c>
      <c r="AF2409" t="s">
        <v>8198</v>
      </c>
      <c r="AG2409">
        <v>1</v>
      </c>
      <c r="AH2409">
        <v>1</v>
      </c>
    </row>
    <row r="2410" spans="1:34">
      <c r="A2410">
        <v>2026</v>
      </c>
      <c r="B2410" s="1">
        <v>46023</v>
      </c>
      <c r="C2410" t="s">
        <v>2657</v>
      </c>
      <c r="D2410" t="s">
        <v>8199</v>
      </c>
      <c r="E2410" s="43">
        <v>46035.834949571756</v>
      </c>
      <c r="F2410" s="1">
        <v>46035</v>
      </c>
      <c r="G2410" s="43">
        <v>46036.526992002313</v>
      </c>
      <c r="H2410" t="s">
        <v>2701</v>
      </c>
      <c r="I2410" t="s">
        <v>2681</v>
      </c>
      <c r="J2410" t="s">
        <v>39</v>
      </c>
      <c r="L2410" t="s">
        <v>2336</v>
      </c>
      <c r="M2410">
        <v>16116314302</v>
      </c>
      <c r="N2410" t="s">
        <v>2746</v>
      </c>
      <c r="O2410" s="1">
        <v>45358</v>
      </c>
      <c r="T2410" t="s">
        <v>2662</v>
      </c>
      <c r="U2410" t="s">
        <v>8200</v>
      </c>
      <c r="V2410">
        <v>1</v>
      </c>
      <c r="W2410" t="s">
        <v>2704</v>
      </c>
      <c r="X2410">
        <v>1</v>
      </c>
      <c r="Y2410" t="s">
        <v>2721</v>
      </c>
      <c r="AA2410">
        <v>16116314302</v>
      </c>
      <c r="AB2410" t="s">
        <v>1654</v>
      </c>
      <c r="AC2410">
        <v>0</v>
      </c>
      <c r="AD2410">
        <v>3</v>
      </c>
      <c r="AE2410">
        <v>161163143023</v>
      </c>
      <c r="AF2410" t="s">
        <v>8201</v>
      </c>
      <c r="AG2410">
        <v>1</v>
      </c>
      <c r="AH2410">
        <v>1</v>
      </c>
    </row>
    <row r="2411" spans="1:34">
      <c r="A2411">
        <v>2026</v>
      </c>
      <c r="B2411" s="1">
        <v>46023</v>
      </c>
      <c r="C2411" t="s">
        <v>2657</v>
      </c>
      <c r="D2411" t="s">
        <v>8202</v>
      </c>
      <c r="E2411" s="43">
        <v>46048.811419039353</v>
      </c>
      <c r="F2411" s="1">
        <v>46048</v>
      </c>
      <c r="G2411" s="43">
        <v>46093.575114756946</v>
      </c>
      <c r="H2411" t="s">
        <v>2701</v>
      </c>
      <c r="I2411" t="s">
        <v>2660</v>
      </c>
      <c r="J2411" t="s">
        <v>39</v>
      </c>
      <c r="L2411" t="s">
        <v>2336</v>
      </c>
      <c r="M2411">
        <v>16116314302</v>
      </c>
      <c r="N2411" t="s">
        <v>2746</v>
      </c>
      <c r="O2411" s="1">
        <v>45358</v>
      </c>
      <c r="T2411" t="s">
        <v>2662</v>
      </c>
      <c r="U2411" t="s">
        <v>8203</v>
      </c>
      <c r="V2411">
        <v>33</v>
      </c>
      <c r="W2411" t="s">
        <v>2704</v>
      </c>
      <c r="X2411">
        <v>1</v>
      </c>
      <c r="Z2411" t="s">
        <v>2834</v>
      </c>
      <c r="AA2411">
        <v>16116314302</v>
      </c>
      <c r="AB2411" t="s">
        <v>1654</v>
      </c>
      <c r="AC2411">
        <v>0</v>
      </c>
      <c r="AD2411">
        <v>5</v>
      </c>
      <c r="AE2411">
        <v>161163143025</v>
      </c>
      <c r="AF2411" t="s">
        <v>8201</v>
      </c>
      <c r="AG2411">
        <v>1</v>
      </c>
      <c r="AH2411">
        <v>0</v>
      </c>
    </row>
    <row r="2412" spans="1:34">
      <c r="A2412">
        <v>2025</v>
      </c>
      <c r="B2412" s="1">
        <v>45992</v>
      </c>
      <c r="C2412" t="s">
        <v>2657</v>
      </c>
      <c r="D2412" t="s">
        <v>8204</v>
      </c>
      <c r="E2412" s="43">
        <v>45994.72443559028</v>
      </c>
      <c r="F2412" s="1">
        <v>45994</v>
      </c>
      <c r="G2412" s="43">
        <v>46003.745500740741</v>
      </c>
      <c r="H2412" t="s">
        <v>2686</v>
      </c>
      <c r="I2412" t="s">
        <v>2669</v>
      </c>
      <c r="J2412" t="s">
        <v>38</v>
      </c>
      <c r="L2412" t="s">
        <v>2363</v>
      </c>
      <c r="M2412">
        <v>30887912302</v>
      </c>
      <c r="N2412" t="s">
        <v>2702</v>
      </c>
      <c r="O2412" s="1">
        <v>44952</v>
      </c>
      <c r="T2412" t="s">
        <v>2662</v>
      </c>
      <c r="U2412" t="s">
        <v>8205</v>
      </c>
      <c r="V2412">
        <v>7</v>
      </c>
      <c r="X2412">
        <v>1</v>
      </c>
      <c r="Y2412" t="s">
        <v>2931</v>
      </c>
      <c r="Z2412" t="s">
        <v>2684</v>
      </c>
      <c r="AA2412">
        <v>30887912302</v>
      </c>
      <c r="AB2412" t="s">
        <v>366</v>
      </c>
      <c r="AC2412">
        <v>0</v>
      </c>
      <c r="AD2412">
        <v>49</v>
      </c>
      <c r="AE2412">
        <v>3088791230249</v>
      </c>
      <c r="AF2412" t="s">
        <v>8206</v>
      </c>
      <c r="AG2412">
        <v>1</v>
      </c>
      <c r="AH2412">
        <v>1</v>
      </c>
    </row>
    <row r="2413" spans="1:34">
      <c r="A2413">
        <v>2025</v>
      </c>
      <c r="B2413" s="1">
        <v>45992</v>
      </c>
      <c r="C2413" t="s">
        <v>2657</v>
      </c>
      <c r="D2413" t="s">
        <v>8207</v>
      </c>
      <c r="E2413" s="43">
        <v>46014.628660057868</v>
      </c>
      <c r="F2413" s="1">
        <v>46014</v>
      </c>
      <c r="G2413" s="43">
        <v>46034.82810215278</v>
      </c>
      <c r="H2413" t="s">
        <v>2686</v>
      </c>
      <c r="I2413" t="s">
        <v>2660</v>
      </c>
      <c r="J2413" t="s">
        <v>38</v>
      </c>
      <c r="L2413" t="s">
        <v>2363</v>
      </c>
      <c r="M2413">
        <v>652627678202</v>
      </c>
      <c r="N2413" t="s">
        <v>2702</v>
      </c>
      <c r="O2413" s="1">
        <v>45448</v>
      </c>
      <c r="T2413" t="s">
        <v>2662</v>
      </c>
      <c r="U2413" t="s">
        <v>8208</v>
      </c>
      <c r="V2413">
        <v>14</v>
      </c>
      <c r="X2413">
        <v>1</v>
      </c>
      <c r="Y2413" t="s">
        <v>2721</v>
      </c>
      <c r="Z2413" t="s">
        <v>2684</v>
      </c>
      <c r="AA2413">
        <v>30887912302</v>
      </c>
      <c r="AB2413" t="s">
        <v>366</v>
      </c>
      <c r="AC2413">
        <v>0</v>
      </c>
      <c r="AD2413">
        <v>52</v>
      </c>
      <c r="AE2413">
        <v>3088791230252</v>
      </c>
      <c r="AF2413" t="s">
        <v>8206</v>
      </c>
      <c r="AG2413">
        <v>1</v>
      </c>
      <c r="AH2413">
        <v>0</v>
      </c>
    </row>
    <row r="2414" spans="1:34">
      <c r="A2414">
        <v>2025</v>
      </c>
      <c r="B2414" s="1">
        <v>45992</v>
      </c>
      <c r="C2414" t="s">
        <v>2657</v>
      </c>
      <c r="D2414" t="s">
        <v>8209</v>
      </c>
      <c r="E2414" s="43">
        <v>45993.560307812499</v>
      </c>
      <c r="F2414" s="1">
        <v>45993</v>
      </c>
      <c r="G2414" s="43">
        <v>45994.65808616898</v>
      </c>
      <c r="H2414" t="s">
        <v>2686</v>
      </c>
      <c r="I2414" t="s">
        <v>2669</v>
      </c>
      <c r="J2414" t="s">
        <v>37</v>
      </c>
      <c r="L2414" t="s">
        <v>2364</v>
      </c>
      <c r="M2414">
        <v>7763660815</v>
      </c>
      <c r="N2414" t="s">
        <v>2661</v>
      </c>
      <c r="O2414" s="1">
        <v>45661</v>
      </c>
      <c r="T2414" t="s">
        <v>2662</v>
      </c>
      <c r="U2414" t="s">
        <v>8210</v>
      </c>
      <c r="V2414">
        <v>1</v>
      </c>
      <c r="W2414" t="s">
        <v>2671</v>
      </c>
      <c r="X2414">
        <v>1</v>
      </c>
      <c r="Y2414" t="s">
        <v>2672</v>
      </c>
      <c r="Z2414" t="s">
        <v>2684</v>
      </c>
      <c r="AA2414">
        <v>7763660815</v>
      </c>
      <c r="AB2414" t="s">
        <v>895</v>
      </c>
      <c r="AC2414">
        <v>0</v>
      </c>
      <c r="AD2414">
        <v>49</v>
      </c>
      <c r="AE2414">
        <v>776366081549</v>
      </c>
      <c r="AF2414" t="s">
        <v>8211</v>
      </c>
      <c r="AG2414">
        <v>1</v>
      </c>
      <c r="AH2414">
        <v>1</v>
      </c>
    </row>
    <row r="2415" spans="1:34">
      <c r="A2415">
        <v>2025</v>
      </c>
      <c r="B2415" s="1">
        <v>45992</v>
      </c>
      <c r="C2415" t="s">
        <v>2657</v>
      </c>
      <c r="D2415" t="s">
        <v>8212</v>
      </c>
      <c r="E2415" s="43">
        <v>46001.603402337962</v>
      </c>
      <c r="F2415" s="1">
        <v>46001</v>
      </c>
      <c r="G2415" s="43">
        <v>46002.857543715276</v>
      </c>
      <c r="H2415" t="s">
        <v>2686</v>
      </c>
      <c r="I2415" t="s">
        <v>2681</v>
      </c>
      <c r="J2415" t="s">
        <v>37</v>
      </c>
      <c r="L2415" t="s">
        <v>2364</v>
      </c>
      <c r="M2415">
        <v>7763660815</v>
      </c>
      <c r="N2415" t="s">
        <v>2661</v>
      </c>
      <c r="O2415" s="1">
        <v>45661</v>
      </c>
      <c r="T2415" t="s">
        <v>2662</v>
      </c>
      <c r="U2415" t="s">
        <v>8213</v>
      </c>
      <c r="V2415">
        <v>1</v>
      </c>
      <c r="W2415" t="s">
        <v>2664</v>
      </c>
      <c r="X2415">
        <v>1</v>
      </c>
      <c r="Y2415" t="s">
        <v>2760</v>
      </c>
      <c r="AA2415">
        <v>7763660815</v>
      </c>
      <c r="AB2415" t="s">
        <v>895</v>
      </c>
      <c r="AC2415">
        <v>0</v>
      </c>
      <c r="AD2415">
        <v>50</v>
      </c>
      <c r="AE2415">
        <v>776366081550</v>
      </c>
      <c r="AF2415" t="s">
        <v>8211</v>
      </c>
      <c r="AG2415">
        <v>1</v>
      </c>
      <c r="AH2415">
        <v>0</v>
      </c>
    </row>
    <row r="2416" spans="1:34">
      <c r="A2416">
        <v>2025</v>
      </c>
      <c r="B2416" s="1">
        <v>45992</v>
      </c>
      <c r="C2416" t="s">
        <v>2657</v>
      </c>
      <c r="D2416" t="s">
        <v>8214</v>
      </c>
      <c r="E2416" s="43">
        <v>46006.825522094907</v>
      </c>
      <c r="F2416" s="1">
        <v>46006</v>
      </c>
      <c r="G2416" s="43">
        <v>46009.679460636573</v>
      </c>
      <c r="H2416" t="s">
        <v>2686</v>
      </c>
      <c r="I2416" t="s">
        <v>2719</v>
      </c>
      <c r="J2416" t="s">
        <v>37</v>
      </c>
      <c r="L2416" t="s">
        <v>2364</v>
      </c>
      <c r="M2416">
        <v>7763660815</v>
      </c>
      <c r="N2416" t="s">
        <v>2661</v>
      </c>
      <c r="O2416" s="1">
        <v>45661</v>
      </c>
      <c r="T2416" t="s">
        <v>2662</v>
      </c>
      <c r="U2416" t="s">
        <v>5968</v>
      </c>
      <c r="V2416">
        <v>3</v>
      </c>
      <c r="W2416" t="s">
        <v>2671</v>
      </c>
      <c r="X2416">
        <v>1</v>
      </c>
      <c r="Y2416" t="s">
        <v>2672</v>
      </c>
      <c r="AA2416">
        <v>7763660815</v>
      </c>
      <c r="AB2416" t="s">
        <v>895</v>
      </c>
      <c r="AC2416">
        <v>0</v>
      </c>
      <c r="AD2416">
        <v>51</v>
      </c>
      <c r="AE2416">
        <v>776366081551</v>
      </c>
      <c r="AF2416" t="s">
        <v>8211</v>
      </c>
      <c r="AG2416">
        <v>1</v>
      </c>
      <c r="AH2416">
        <v>0</v>
      </c>
    </row>
    <row r="2417" spans="1:34">
      <c r="A2417">
        <v>2025</v>
      </c>
      <c r="B2417" s="1">
        <v>45931</v>
      </c>
      <c r="C2417" t="s">
        <v>2657</v>
      </c>
      <c r="D2417" t="s">
        <v>8215</v>
      </c>
      <c r="E2417" s="43">
        <v>45943.618268935184</v>
      </c>
      <c r="F2417" s="1">
        <v>45943</v>
      </c>
      <c r="G2417" s="43">
        <v>45945.85585630787</v>
      </c>
      <c r="H2417" t="s">
        <v>2659</v>
      </c>
      <c r="I2417" t="s">
        <v>2681</v>
      </c>
      <c r="J2417" t="s">
        <v>37</v>
      </c>
      <c r="L2417" t="s">
        <v>2421</v>
      </c>
      <c r="M2417">
        <v>60769061802</v>
      </c>
      <c r="N2417" t="s">
        <v>2661</v>
      </c>
      <c r="O2417" s="1">
        <v>45299</v>
      </c>
      <c r="T2417" t="s">
        <v>2662</v>
      </c>
      <c r="U2417" t="s">
        <v>8216</v>
      </c>
      <c r="V2417">
        <v>2</v>
      </c>
      <c r="W2417" t="s">
        <v>2677</v>
      </c>
      <c r="X2417">
        <v>1</v>
      </c>
      <c r="Y2417" t="s">
        <v>3237</v>
      </c>
      <c r="Z2417" t="s">
        <v>2684</v>
      </c>
      <c r="AA2417">
        <v>60769061802</v>
      </c>
      <c r="AB2417" t="s">
        <v>2141</v>
      </c>
      <c r="AC2417">
        <v>0</v>
      </c>
      <c r="AD2417">
        <v>42</v>
      </c>
      <c r="AE2417">
        <v>6076906180242</v>
      </c>
      <c r="AF2417" t="s">
        <v>8217</v>
      </c>
      <c r="AG2417">
        <v>1</v>
      </c>
      <c r="AH2417">
        <v>1</v>
      </c>
    </row>
    <row r="2418" spans="1:34">
      <c r="A2418">
        <v>2025</v>
      </c>
      <c r="B2418" s="1">
        <v>45992</v>
      </c>
      <c r="C2418" t="s">
        <v>2657</v>
      </c>
      <c r="D2418" t="s">
        <v>8218</v>
      </c>
      <c r="E2418" s="43">
        <v>45993.568774791667</v>
      </c>
      <c r="F2418" s="1">
        <v>45993</v>
      </c>
      <c r="G2418" s="43">
        <v>45994.707784351849</v>
      </c>
      <c r="H2418" t="s">
        <v>2686</v>
      </c>
      <c r="I2418" t="s">
        <v>2669</v>
      </c>
      <c r="J2418" t="s">
        <v>2735</v>
      </c>
      <c r="L2418" t="s">
        <v>2336</v>
      </c>
      <c r="M2418">
        <v>1041281178802</v>
      </c>
      <c r="N2418" t="s">
        <v>2746</v>
      </c>
      <c r="O2418" s="1">
        <v>45937</v>
      </c>
      <c r="T2418" t="s">
        <v>2662</v>
      </c>
      <c r="U2418" t="s">
        <v>8219</v>
      </c>
      <c r="V2418">
        <v>1</v>
      </c>
      <c r="W2418" t="s">
        <v>2671</v>
      </c>
      <c r="X2418">
        <v>1</v>
      </c>
      <c r="Y2418" t="s">
        <v>2683</v>
      </c>
      <c r="AA2418">
        <v>1041281178802</v>
      </c>
      <c r="AB2418" t="s">
        <v>726</v>
      </c>
      <c r="AC2418">
        <v>0</v>
      </c>
      <c r="AD2418">
        <v>49</v>
      </c>
      <c r="AE2418">
        <v>104128117880249</v>
      </c>
      <c r="AF2418" t="s">
        <v>8220</v>
      </c>
      <c r="AG2418">
        <v>0</v>
      </c>
      <c r="AH2418">
        <v>0</v>
      </c>
    </row>
    <row r="2419" spans="1:34">
      <c r="A2419">
        <v>2025</v>
      </c>
      <c r="B2419" s="1">
        <v>45992</v>
      </c>
      <c r="C2419" t="s">
        <v>2657</v>
      </c>
      <c r="D2419" t="s">
        <v>8221</v>
      </c>
      <c r="E2419" s="43">
        <v>45992.503953171297</v>
      </c>
      <c r="F2419" s="1">
        <v>45992</v>
      </c>
      <c r="G2419" s="43">
        <v>45999.520918182869</v>
      </c>
      <c r="H2419" t="s">
        <v>2686</v>
      </c>
      <c r="I2419" t="s">
        <v>2669</v>
      </c>
      <c r="J2419" t="s">
        <v>2735</v>
      </c>
      <c r="L2419" t="s">
        <v>2336</v>
      </c>
      <c r="M2419">
        <v>1041281178802</v>
      </c>
      <c r="N2419" t="s">
        <v>2746</v>
      </c>
      <c r="O2419" s="1">
        <v>45937</v>
      </c>
      <c r="T2419" t="s">
        <v>2662</v>
      </c>
      <c r="U2419" t="s">
        <v>8222</v>
      </c>
      <c r="V2419">
        <v>5</v>
      </c>
      <c r="W2419" t="s">
        <v>2671</v>
      </c>
      <c r="X2419">
        <v>1</v>
      </c>
      <c r="Y2419" t="s">
        <v>2683</v>
      </c>
      <c r="AA2419">
        <v>1041281178802</v>
      </c>
      <c r="AB2419" t="s">
        <v>726</v>
      </c>
      <c r="AC2419">
        <v>0</v>
      </c>
      <c r="AD2419">
        <v>49</v>
      </c>
      <c r="AE2419">
        <v>104128117880249</v>
      </c>
      <c r="AF2419" t="s">
        <v>8220</v>
      </c>
      <c r="AG2419">
        <v>1</v>
      </c>
      <c r="AH2419">
        <v>1</v>
      </c>
    </row>
    <row r="2420" spans="1:34">
      <c r="A2420">
        <v>2025</v>
      </c>
      <c r="B2420" s="1">
        <v>45992</v>
      </c>
      <c r="C2420" t="s">
        <v>2657</v>
      </c>
      <c r="D2420" t="s">
        <v>8223</v>
      </c>
      <c r="E2420" s="43">
        <v>46002.743936342595</v>
      </c>
      <c r="F2420" s="1">
        <v>46002</v>
      </c>
      <c r="G2420" s="43">
        <v>46003.581321990743</v>
      </c>
      <c r="H2420" t="s">
        <v>2686</v>
      </c>
      <c r="I2420" t="s">
        <v>2681</v>
      </c>
      <c r="J2420" t="s">
        <v>2735</v>
      </c>
      <c r="L2420" t="s">
        <v>2336</v>
      </c>
      <c r="M2420">
        <v>1106270355002</v>
      </c>
      <c r="N2420" t="s">
        <v>2746</v>
      </c>
      <c r="O2420" s="1">
        <v>45937</v>
      </c>
      <c r="T2420" t="s">
        <v>2662</v>
      </c>
      <c r="U2420" t="s">
        <v>8224</v>
      </c>
      <c r="V2420">
        <v>1</v>
      </c>
      <c r="W2420" t="s">
        <v>2671</v>
      </c>
      <c r="X2420">
        <v>1</v>
      </c>
      <c r="Y2420" t="s">
        <v>2764</v>
      </c>
      <c r="AA2420">
        <v>1041281178802</v>
      </c>
      <c r="AB2420" t="s">
        <v>726</v>
      </c>
      <c r="AC2420">
        <v>0</v>
      </c>
      <c r="AD2420">
        <v>50</v>
      </c>
      <c r="AE2420">
        <v>104128117880250</v>
      </c>
      <c r="AF2420" t="s">
        <v>8220</v>
      </c>
      <c r="AG2420">
        <v>1</v>
      </c>
      <c r="AH2420">
        <v>0</v>
      </c>
    </row>
    <row r="2421" spans="1:34">
      <c r="A2421">
        <v>2025</v>
      </c>
      <c r="B2421" s="1">
        <v>45992</v>
      </c>
      <c r="C2421" t="s">
        <v>2657</v>
      </c>
      <c r="D2421" t="s">
        <v>8225</v>
      </c>
      <c r="E2421" s="43">
        <v>46003.538735810187</v>
      </c>
      <c r="F2421" s="1">
        <v>46003</v>
      </c>
      <c r="G2421" s="43">
        <v>46003.781773807874</v>
      </c>
      <c r="H2421" t="s">
        <v>2686</v>
      </c>
      <c r="I2421" t="s">
        <v>2681</v>
      </c>
      <c r="J2421" t="s">
        <v>2735</v>
      </c>
      <c r="L2421" t="s">
        <v>2336</v>
      </c>
      <c r="M2421">
        <v>1106270355002</v>
      </c>
      <c r="N2421" t="s">
        <v>2746</v>
      </c>
      <c r="O2421" s="1">
        <v>45937</v>
      </c>
      <c r="T2421" t="s">
        <v>2662</v>
      </c>
      <c r="U2421" t="s">
        <v>8226</v>
      </c>
      <c r="V2421">
        <v>0</v>
      </c>
      <c r="W2421" t="s">
        <v>2677</v>
      </c>
      <c r="X2421">
        <v>1</v>
      </c>
      <c r="Y2421" t="s">
        <v>2807</v>
      </c>
      <c r="AA2421">
        <v>1041281178802</v>
      </c>
      <c r="AB2421" t="s">
        <v>726</v>
      </c>
      <c r="AC2421">
        <v>0</v>
      </c>
      <c r="AD2421">
        <v>50</v>
      </c>
      <c r="AE2421">
        <v>104128117880250</v>
      </c>
      <c r="AF2421" t="s">
        <v>8220</v>
      </c>
      <c r="AG2421">
        <v>0</v>
      </c>
      <c r="AH2421">
        <v>0</v>
      </c>
    </row>
    <row r="2422" spans="1:34">
      <c r="A2422">
        <v>2025</v>
      </c>
      <c r="B2422" s="1">
        <v>45992</v>
      </c>
      <c r="C2422" t="s">
        <v>2657</v>
      </c>
      <c r="D2422" t="s">
        <v>8227</v>
      </c>
      <c r="E2422" s="43">
        <v>46008.517018113424</v>
      </c>
      <c r="F2422" s="1">
        <v>46008</v>
      </c>
      <c r="G2422" s="43">
        <v>46008.940146435183</v>
      </c>
      <c r="H2422" t="s">
        <v>2686</v>
      </c>
      <c r="I2422" t="s">
        <v>2719</v>
      </c>
      <c r="J2422" t="s">
        <v>2735</v>
      </c>
      <c r="L2422" t="s">
        <v>2336</v>
      </c>
      <c r="M2422">
        <v>1106270355002</v>
      </c>
      <c r="N2422" t="s">
        <v>2746</v>
      </c>
      <c r="O2422" s="1">
        <v>45937</v>
      </c>
      <c r="T2422" t="s">
        <v>2662</v>
      </c>
      <c r="U2422" t="s">
        <v>8228</v>
      </c>
      <c r="V2422">
        <v>0</v>
      </c>
      <c r="W2422" t="s">
        <v>2671</v>
      </c>
      <c r="X2422">
        <v>1</v>
      </c>
      <c r="Y2422" t="s">
        <v>2672</v>
      </c>
      <c r="AA2422">
        <v>1041281178802</v>
      </c>
      <c r="AB2422" t="s">
        <v>726</v>
      </c>
      <c r="AC2422">
        <v>0</v>
      </c>
      <c r="AD2422">
        <v>51</v>
      </c>
      <c r="AE2422">
        <v>104128117880251</v>
      </c>
      <c r="AF2422" t="s">
        <v>8220</v>
      </c>
      <c r="AG2422">
        <v>0</v>
      </c>
      <c r="AH2422">
        <v>0</v>
      </c>
    </row>
    <row r="2423" spans="1:34">
      <c r="A2423">
        <v>2025</v>
      </c>
      <c r="B2423" s="1">
        <v>45992</v>
      </c>
      <c r="C2423" t="s">
        <v>2657</v>
      </c>
      <c r="D2423" t="s">
        <v>8229</v>
      </c>
      <c r="E2423" s="43">
        <v>46007.811484386577</v>
      </c>
      <c r="F2423" s="1">
        <v>46007</v>
      </c>
      <c r="G2423" s="43">
        <v>46010.563439699072</v>
      </c>
      <c r="H2423" t="s">
        <v>2686</v>
      </c>
      <c r="I2423" t="s">
        <v>2719</v>
      </c>
      <c r="J2423" t="s">
        <v>2735</v>
      </c>
      <c r="L2423" t="s">
        <v>2336</v>
      </c>
      <c r="M2423">
        <v>506559759302</v>
      </c>
      <c r="N2423" t="s">
        <v>2746</v>
      </c>
      <c r="O2423" s="1">
        <v>45324</v>
      </c>
      <c r="T2423" t="s">
        <v>2662</v>
      </c>
      <c r="U2423" t="s">
        <v>8230</v>
      </c>
      <c r="V2423">
        <v>3</v>
      </c>
      <c r="W2423" t="s">
        <v>2664</v>
      </c>
      <c r="X2423">
        <v>1</v>
      </c>
      <c r="Y2423" t="s">
        <v>2757</v>
      </c>
      <c r="AA2423">
        <v>1041281178802</v>
      </c>
      <c r="AB2423" t="s">
        <v>726</v>
      </c>
      <c r="AC2423">
        <v>0</v>
      </c>
      <c r="AD2423">
        <v>51</v>
      </c>
      <c r="AE2423">
        <v>104128117880251</v>
      </c>
      <c r="AF2423" t="s">
        <v>8220</v>
      </c>
      <c r="AG2423">
        <v>1</v>
      </c>
      <c r="AH2423">
        <v>0</v>
      </c>
    </row>
    <row r="2424" spans="1:34">
      <c r="A2424">
        <v>2025</v>
      </c>
      <c r="B2424" s="1">
        <v>45901</v>
      </c>
      <c r="C2424" t="s">
        <v>2657</v>
      </c>
      <c r="D2424" t="s">
        <v>8231</v>
      </c>
      <c r="E2424" s="43">
        <v>45915.875751782405</v>
      </c>
      <c r="F2424" s="1">
        <v>45915</v>
      </c>
      <c r="G2424" s="43">
        <v>45916.821021840275</v>
      </c>
      <c r="H2424" t="s">
        <v>2734</v>
      </c>
      <c r="I2424" t="s">
        <v>2719</v>
      </c>
      <c r="J2424" t="s">
        <v>38</v>
      </c>
      <c r="L2424" t="s">
        <v>2347</v>
      </c>
      <c r="M2424">
        <v>601998582602</v>
      </c>
      <c r="N2424" t="s">
        <v>2675</v>
      </c>
      <c r="O2424" s="1">
        <v>45661</v>
      </c>
      <c r="T2424" t="s">
        <v>2662</v>
      </c>
      <c r="U2424" t="s">
        <v>8232</v>
      </c>
      <c r="V2424">
        <v>1</v>
      </c>
      <c r="W2424" t="s">
        <v>2671</v>
      </c>
      <c r="X2424">
        <v>1</v>
      </c>
      <c r="Y2424" t="s">
        <v>2764</v>
      </c>
      <c r="AA2424">
        <v>601998582602</v>
      </c>
      <c r="AB2424" t="s">
        <v>234</v>
      </c>
      <c r="AC2424">
        <v>0</v>
      </c>
      <c r="AD2424">
        <v>38</v>
      </c>
      <c r="AE2424">
        <v>60199858260238</v>
      </c>
      <c r="AF2424" t="s">
        <v>8233</v>
      </c>
      <c r="AG2424">
        <v>1</v>
      </c>
      <c r="AH2424">
        <v>1</v>
      </c>
    </row>
    <row r="2425" spans="1:34">
      <c r="A2425">
        <v>2025</v>
      </c>
      <c r="B2425" s="1">
        <v>45901</v>
      </c>
      <c r="C2425" t="s">
        <v>2657</v>
      </c>
      <c r="D2425" s="44" t="s">
        <v>8234</v>
      </c>
      <c r="E2425" s="43">
        <v>45922.865463541668</v>
      </c>
      <c r="F2425" s="1">
        <v>45922</v>
      </c>
      <c r="G2425" s="43">
        <v>45924.764407465278</v>
      </c>
      <c r="H2425" t="s">
        <v>2734</v>
      </c>
      <c r="I2425" t="s">
        <v>2660</v>
      </c>
      <c r="J2425" t="s">
        <v>38</v>
      </c>
      <c r="L2425" t="s">
        <v>2347</v>
      </c>
      <c r="M2425">
        <v>601998582602</v>
      </c>
      <c r="N2425" t="s">
        <v>2675</v>
      </c>
      <c r="O2425" s="1">
        <v>45661</v>
      </c>
      <c r="T2425" t="s">
        <v>2662</v>
      </c>
      <c r="U2425" t="s">
        <v>8235</v>
      </c>
      <c r="V2425">
        <v>2</v>
      </c>
      <c r="W2425" t="s">
        <v>2671</v>
      </c>
      <c r="X2425">
        <v>1</v>
      </c>
      <c r="Y2425" t="s">
        <v>2721</v>
      </c>
      <c r="AA2425">
        <v>601998582602</v>
      </c>
      <c r="AB2425" t="s">
        <v>234</v>
      </c>
      <c r="AC2425">
        <v>0</v>
      </c>
      <c r="AD2425">
        <v>39</v>
      </c>
      <c r="AE2425">
        <v>60199858260239</v>
      </c>
      <c r="AF2425" t="s">
        <v>8233</v>
      </c>
      <c r="AG2425">
        <v>1</v>
      </c>
      <c r="AH2425">
        <v>0</v>
      </c>
    </row>
    <row r="2426" spans="1:34">
      <c r="A2426">
        <v>2025</v>
      </c>
      <c r="B2426" s="1">
        <v>45901</v>
      </c>
      <c r="C2426" t="s">
        <v>2657</v>
      </c>
      <c r="D2426" t="s">
        <v>8236</v>
      </c>
      <c r="E2426" s="43">
        <v>45926.843146423613</v>
      </c>
      <c r="F2426" s="1">
        <v>45926</v>
      </c>
      <c r="G2426" s="43">
        <v>45932.555989039349</v>
      </c>
      <c r="H2426" t="s">
        <v>2734</v>
      </c>
      <c r="I2426" t="s">
        <v>2660</v>
      </c>
      <c r="J2426" t="s">
        <v>38</v>
      </c>
      <c r="L2426" t="s">
        <v>2347</v>
      </c>
      <c r="M2426">
        <v>601998582602</v>
      </c>
      <c r="N2426" t="s">
        <v>2675</v>
      </c>
      <c r="O2426" s="1">
        <v>45661</v>
      </c>
      <c r="T2426" t="s">
        <v>2662</v>
      </c>
      <c r="U2426" t="s">
        <v>8237</v>
      </c>
      <c r="V2426">
        <v>4</v>
      </c>
      <c r="W2426" t="s">
        <v>2671</v>
      </c>
      <c r="X2426">
        <v>1</v>
      </c>
      <c r="Y2426" t="s">
        <v>2683</v>
      </c>
      <c r="Z2426" t="s">
        <v>2684</v>
      </c>
      <c r="AA2426">
        <v>601998582602</v>
      </c>
      <c r="AB2426" t="s">
        <v>234</v>
      </c>
      <c r="AC2426">
        <v>0</v>
      </c>
      <c r="AD2426">
        <v>39</v>
      </c>
      <c r="AE2426">
        <v>60199858260239</v>
      </c>
      <c r="AF2426" t="s">
        <v>8233</v>
      </c>
      <c r="AG2426">
        <v>0</v>
      </c>
      <c r="AH2426">
        <v>0</v>
      </c>
    </row>
    <row r="2427" spans="1:34">
      <c r="A2427">
        <v>2025</v>
      </c>
      <c r="B2427" s="1">
        <v>45901</v>
      </c>
      <c r="C2427" t="s">
        <v>2657</v>
      </c>
      <c r="D2427" t="s">
        <v>8238</v>
      </c>
      <c r="E2427" s="43">
        <v>45926.841621319443</v>
      </c>
      <c r="F2427" s="1">
        <v>45926</v>
      </c>
      <c r="G2427" s="43">
        <v>45951.769552951388</v>
      </c>
      <c r="H2427" t="s">
        <v>2734</v>
      </c>
      <c r="I2427" t="s">
        <v>2660</v>
      </c>
      <c r="J2427" t="s">
        <v>38</v>
      </c>
      <c r="L2427" t="s">
        <v>2347</v>
      </c>
      <c r="M2427">
        <v>601998582602</v>
      </c>
      <c r="N2427" t="s">
        <v>2675</v>
      </c>
      <c r="O2427" s="1">
        <v>45661</v>
      </c>
      <c r="T2427" t="s">
        <v>2662</v>
      </c>
      <c r="U2427" t="s">
        <v>8239</v>
      </c>
      <c r="V2427">
        <v>17</v>
      </c>
      <c r="W2427" t="s">
        <v>2671</v>
      </c>
      <c r="X2427">
        <v>1</v>
      </c>
      <c r="Y2427" t="s">
        <v>2727</v>
      </c>
      <c r="AA2427">
        <v>601998582602</v>
      </c>
      <c r="AB2427" t="s">
        <v>234</v>
      </c>
      <c r="AC2427">
        <v>0</v>
      </c>
      <c r="AD2427">
        <v>39</v>
      </c>
      <c r="AE2427">
        <v>60199858260239</v>
      </c>
      <c r="AF2427" t="s">
        <v>8233</v>
      </c>
      <c r="AG2427">
        <v>0</v>
      </c>
      <c r="AH2427">
        <v>0</v>
      </c>
    </row>
    <row r="2428" spans="1:34">
      <c r="A2428">
        <v>2025</v>
      </c>
      <c r="B2428" s="1">
        <v>45901</v>
      </c>
      <c r="C2428" t="s">
        <v>2657</v>
      </c>
      <c r="D2428" t="s">
        <v>8240</v>
      </c>
      <c r="E2428" s="43">
        <v>45930.686620868059</v>
      </c>
      <c r="F2428" s="1">
        <v>45930</v>
      </c>
      <c r="G2428" s="43">
        <v>45930.686620868059</v>
      </c>
      <c r="H2428" t="s">
        <v>2734</v>
      </c>
      <c r="I2428" t="s">
        <v>2697</v>
      </c>
      <c r="J2428" t="s">
        <v>38</v>
      </c>
      <c r="L2428" t="s">
        <v>2347</v>
      </c>
      <c r="M2428">
        <v>601998582602</v>
      </c>
      <c r="N2428" t="s">
        <v>2675</v>
      </c>
      <c r="O2428" s="1">
        <v>45661</v>
      </c>
      <c r="T2428" t="s">
        <v>2662</v>
      </c>
      <c r="U2428" t="s">
        <v>8241</v>
      </c>
      <c r="V2428">
        <v>0</v>
      </c>
      <c r="W2428" t="s">
        <v>2671</v>
      </c>
      <c r="X2428">
        <v>1</v>
      </c>
      <c r="Y2428" t="s">
        <v>2721</v>
      </c>
      <c r="AA2428">
        <v>601998582602</v>
      </c>
      <c r="AB2428" t="s">
        <v>234</v>
      </c>
      <c r="AC2428">
        <v>0</v>
      </c>
      <c r="AD2428">
        <v>40</v>
      </c>
      <c r="AE2428">
        <v>60199858260240</v>
      </c>
      <c r="AF2428" t="s">
        <v>8233</v>
      </c>
      <c r="AG2428">
        <v>1</v>
      </c>
      <c r="AH2428">
        <v>0</v>
      </c>
    </row>
    <row r="2429" spans="1:34">
      <c r="A2429">
        <v>2026</v>
      </c>
      <c r="B2429" s="1">
        <v>46054</v>
      </c>
      <c r="C2429" t="s">
        <v>2657</v>
      </c>
      <c r="D2429" t="s">
        <v>8242</v>
      </c>
      <c r="E2429" s="43">
        <v>46058.712160740739</v>
      </c>
      <c r="F2429" s="1">
        <v>46058</v>
      </c>
      <c r="G2429" s="43">
        <v>46059.52880428241</v>
      </c>
      <c r="H2429" t="s">
        <v>2725</v>
      </c>
      <c r="I2429" t="s">
        <v>2669</v>
      </c>
      <c r="J2429" t="s">
        <v>38</v>
      </c>
      <c r="L2429" t="s">
        <v>2355</v>
      </c>
      <c r="M2429">
        <v>60238888002</v>
      </c>
      <c r="N2429" t="s">
        <v>2702</v>
      </c>
      <c r="O2429" s="1">
        <v>45324</v>
      </c>
      <c r="T2429" t="s">
        <v>2662</v>
      </c>
      <c r="U2429" t="s">
        <v>8243</v>
      </c>
      <c r="V2429">
        <v>1</v>
      </c>
      <c r="X2429">
        <v>1</v>
      </c>
      <c r="Y2429" t="s">
        <v>2710</v>
      </c>
      <c r="AA2429">
        <v>60238888002</v>
      </c>
      <c r="AB2429" t="s">
        <v>1024</v>
      </c>
      <c r="AC2429">
        <v>0</v>
      </c>
      <c r="AD2429">
        <v>6</v>
      </c>
      <c r="AE2429">
        <v>602388880026</v>
      </c>
      <c r="AF2429" t="s">
        <v>8244</v>
      </c>
      <c r="AG2429">
        <v>0</v>
      </c>
      <c r="AH2429">
        <v>0</v>
      </c>
    </row>
    <row r="2430" spans="1:34">
      <c r="A2430">
        <v>2026</v>
      </c>
      <c r="B2430" s="1">
        <v>46054</v>
      </c>
      <c r="C2430" t="s">
        <v>2657</v>
      </c>
      <c r="D2430" t="s">
        <v>8245</v>
      </c>
      <c r="E2430" s="43">
        <v>46057.805805775461</v>
      </c>
      <c r="F2430" s="1">
        <v>46057</v>
      </c>
      <c r="G2430" s="43">
        <v>46057.805805775461</v>
      </c>
      <c r="H2430" t="s">
        <v>2725</v>
      </c>
      <c r="I2430" t="s">
        <v>2669</v>
      </c>
      <c r="J2430" t="s">
        <v>38</v>
      </c>
      <c r="L2430" t="s">
        <v>2355</v>
      </c>
      <c r="M2430">
        <v>60238888002</v>
      </c>
      <c r="N2430" t="s">
        <v>2702</v>
      </c>
      <c r="O2430" s="1">
        <v>45324</v>
      </c>
      <c r="T2430" t="s">
        <v>2662</v>
      </c>
      <c r="U2430" t="s">
        <v>8246</v>
      </c>
      <c r="V2430">
        <v>0</v>
      </c>
      <c r="X2430">
        <v>1</v>
      </c>
      <c r="Y2430" t="s">
        <v>2710</v>
      </c>
      <c r="AA2430">
        <v>60238888002</v>
      </c>
      <c r="AB2430" t="s">
        <v>1024</v>
      </c>
      <c r="AC2430">
        <v>0</v>
      </c>
      <c r="AD2430">
        <v>6</v>
      </c>
      <c r="AE2430">
        <v>602388880026</v>
      </c>
      <c r="AF2430" t="s">
        <v>8244</v>
      </c>
      <c r="AG2430">
        <v>1</v>
      </c>
      <c r="AH2430">
        <v>1</v>
      </c>
    </row>
    <row r="2431" spans="1:34">
      <c r="A2431">
        <v>2026</v>
      </c>
      <c r="B2431" s="1">
        <v>46054</v>
      </c>
      <c r="C2431" t="s">
        <v>2657</v>
      </c>
      <c r="D2431" t="s">
        <v>8247</v>
      </c>
      <c r="E2431" s="43">
        <v>46063.904339953704</v>
      </c>
      <c r="F2431" s="1">
        <v>46063</v>
      </c>
      <c r="G2431" s="43">
        <v>46064.578665879628</v>
      </c>
      <c r="H2431" t="s">
        <v>2725</v>
      </c>
      <c r="I2431" t="s">
        <v>2681</v>
      </c>
      <c r="J2431" t="s">
        <v>38</v>
      </c>
      <c r="L2431" t="s">
        <v>2355</v>
      </c>
      <c r="M2431">
        <v>60238888002</v>
      </c>
      <c r="N2431" t="s">
        <v>2702</v>
      </c>
      <c r="O2431" s="1">
        <v>45324</v>
      </c>
      <c r="T2431" t="s">
        <v>2662</v>
      </c>
      <c r="U2431" t="s">
        <v>8248</v>
      </c>
      <c r="V2431">
        <v>1</v>
      </c>
      <c r="W2431" t="s">
        <v>2704</v>
      </c>
      <c r="X2431">
        <v>1</v>
      </c>
      <c r="Y2431" t="s">
        <v>2760</v>
      </c>
      <c r="AA2431">
        <v>60238888002</v>
      </c>
      <c r="AB2431" t="s">
        <v>1024</v>
      </c>
      <c r="AC2431">
        <v>0</v>
      </c>
      <c r="AD2431">
        <v>7</v>
      </c>
      <c r="AE2431">
        <v>602388880027</v>
      </c>
      <c r="AF2431" t="s">
        <v>8244</v>
      </c>
      <c r="AG2431">
        <v>0</v>
      </c>
      <c r="AH2431">
        <v>0</v>
      </c>
    </row>
    <row r="2432" spans="1:34">
      <c r="A2432">
        <v>2026</v>
      </c>
      <c r="B2432" s="1">
        <v>46054</v>
      </c>
      <c r="C2432" t="s">
        <v>2657</v>
      </c>
      <c r="D2432" t="s">
        <v>8249</v>
      </c>
      <c r="E2432" s="43">
        <v>46064.574285497685</v>
      </c>
      <c r="F2432" s="1">
        <v>46064</v>
      </c>
      <c r="G2432" s="43">
        <v>46064.578247314814</v>
      </c>
      <c r="H2432" t="s">
        <v>2725</v>
      </c>
      <c r="I2432" t="s">
        <v>2681</v>
      </c>
      <c r="J2432" t="s">
        <v>38</v>
      </c>
      <c r="L2432" t="s">
        <v>2355</v>
      </c>
      <c r="M2432">
        <v>60238888002</v>
      </c>
      <c r="N2432" t="s">
        <v>2702</v>
      </c>
      <c r="O2432" s="1">
        <v>45324</v>
      </c>
      <c r="T2432" t="s">
        <v>2662</v>
      </c>
      <c r="U2432" t="s">
        <v>8250</v>
      </c>
      <c r="V2432">
        <v>0</v>
      </c>
      <c r="W2432" t="s">
        <v>2704</v>
      </c>
      <c r="X2432">
        <v>1</v>
      </c>
      <c r="Y2432" t="s">
        <v>2760</v>
      </c>
      <c r="AA2432">
        <v>60238888002</v>
      </c>
      <c r="AB2432" t="s">
        <v>1024</v>
      </c>
      <c r="AC2432">
        <v>0</v>
      </c>
      <c r="AD2432">
        <v>7</v>
      </c>
      <c r="AE2432">
        <v>602388880027</v>
      </c>
      <c r="AF2432" t="s">
        <v>8244</v>
      </c>
      <c r="AG2432">
        <v>0</v>
      </c>
      <c r="AH2432">
        <v>0</v>
      </c>
    </row>
    <row r="2433" spans="1:34">
      <c r="A2433">
        <v>2026</v>
      </c>
      <c r="B2433" s="1">
        <v>46054</v>
      </c>
      <c r="C2433" t="s">
        <v>2657</v>
      </c>
      <c r="D2433" t="s">
        <v>8251</v>
      </c>
      <c r="E2433" s="43">
        <v>46063.903562407409</v>
      </c>
      <c r="F2433" s="1">
        <v>46063</v>
      </c>
      <c r="G2433" s="43">
        <v>46072.625161400465</v>
      </c>
      <c r="H2433" t="s">
        <v>2725</v>
      </c>
      <c r="I2433" t="s">
        <v>2681</v>
      </c>
      <c r="J2433" t="s">
        <v>38</v>
      </c>
      <c r="L2433" t="s">
        <v>2355</v>
      </c>
      <c r="M2433">
        <v>60238888002</v>
      </c>
      <c r="N2433" t="s">
        <v>2702</v>
      </c>
      <c r="O2433" s="1">
        <v>45324</v>
      </c>
      <c r="T2433" t="s">
        <v>2662</v>
      </c>
      <c r="U2433" t="s">
        <v>8252</v>
      </c>
      <c r="V2433">
        <v>7</v>
      </c>
      <c r="W2433" t="s">
        <v>2704</v>
      </c>
      <c r="X2433">
        <v>1</v>
      </c>
      <c r="Y2433" t="s">
        <v>2760</v>
      </c>
      <c r="AA2433">
        <v>60238888002</v>
      </c>
      <c r="AB2433" t="s">
        <v>1024</v>
      </c>
      <c r="AC2433">
        <v>0</v>
      </c>
      <c r="AD2433">
        <v>7</v>
      </c>
      <c r="AE2433">
        <v>602388880027</v>
      </c>
      <c r="AF2433" t="s">
        <v>8244</v>
      </c>
      <c r="AG2433">
        <v>1</v>
      </c>
      <c r="AH2433">
        <v>0</v>
      </c>
    </row>
    <row r="2434" spans="1:34">
      <c r="A2434">
        <v>2026</v>
      </c>
      <c r="B2434" s="1">
        <v>46054</v>
      </c>
      <c r="C2434" t="s">
        <v>2657</v>
      </c>
      <c r="D2434" t="s">
        <v>8253</v>
      </c>
      <c r="E2434" s="43">
        <v>46064.573400173613</v>
      </c>
      <c r="F2434" s="1">
        <v>46064</v>
      </c>
      <c r="G2434" s="43">
        <v>46064.578273009261</v>
      </c>
      <c r="H2434" t="s">
        <v>2725</v>
      </c>
      <c r="I2434" t="s">
        <v>2681</v>
      </c>
      <c r="J2434" t="s">
        <v>38</v>
      </c>
      <c r="L2434" t="s">
        <v>2355</v>
      </c>
      <c r="M2434">
        <v>60238888002</v>
      </c>
      <c r="N2434" t="s">
        <v>2702</v>
      </c>
      <c r="O2434" s="1">
        <v>45324</v>
      </c>
      <c r="T2434" t="s">
        <v>2662</v>
      </c>
      <c r="U2434" t="s">
        <v>8254</v>
      </c>
      <c r="V2434">
        <v>0</v>
      </c>
      <c r="W2434" t="s">
        <v>2704</v>
      </c>
      <c r="X2434">
        <v>1</v>
      </c>
      <c r="Y2434" t="s">
        <v>2760</v>
      </c>
      <c r="AA2434">
        <v>60238888002</v>
      </c>
      <c r="AB2434" t="s">
        <v>1024</v>
      </c>
      <c r="AC2434">
        <v>0</v>
      </c>
      <c r="AD2434">
        <v>7</v>
      </c>
      <c r="AE2434">
        <v>602388880027</v>
      </c>
      <c r="AF2434" t="s">
        <v>8244</v>
      </c>
      <c r="AG2434">
        <v>0</v>
      </c>
      <c r="AH2434">
        <v>0</v>
      </c>
    </row>
    <row r="2435" spans="1:34">
      <c r="A2435">
        <v>2026</v>
      </c>
      <c r="B2435" s="1">
        <v>46054</v>
      </c>
      <c r="C2435" t="s">
        <v>2657</v>
      </c>
      <c r="D2435" t="s">
        <v>8255</v>
      </c>
      <c r="E2435" s="43">
        <v>46072.626014050926</v>
      </c>
      <c r="F2435" s="1">
        <v>46072</v>
      </c>
      <c r="G2435" s="43">
        <v>46079.801471458333</v>
      </c>
      <c r="H2435" t="s">
        <v>2725</v>
      </c>
      <c r="I2435" t="s">
        <v>2719</v>
      </c>
      <c r="J2435" t="s">
        <v>38</v>
      </c>
      <c r="L2435" t="s">
        <v>2355</v>
      </c>
      <c r="M2435">
        <v>60238888002</v>
      </c>
      <c r="N2435" t="s">
        <v>2702</v>
      </c>
      <c r="O2435" s="1">
        <v>45324</v>
      </c>
      <c r="T2435" t="s">
        <v>2662</v>
      </c>
      <c r="U2435" t="s">
        <v>8256</v>
      </c>
      <c r="V2435">
        <v>5</v>
      </c>
      <c r="W2435" t="s">
        <v>2704</v>
      </c>
      <c r="X2435">
        <v>1</v>
      </c>
      <c r="Y2435" t="s">
        <v>2760</v>
      </c>
      <c r="AA2435">
        <v>60238888002</v>
      </c>
      <c r="AB2435" t="s">
        <v>1024</v>
      </c>
      <c r="AC2435">
        <v>0</v>
      </c>
      <c r="AD2435">
        <v>8</v>
      </c>
      <c r="AE2435">
        <v>602388880028</v>
      </c>
      <c r="AF2435" t="s">
        <v>8244</v>
      </c>
      <c r="AG2435">
        <v>1</v>
      </c>
      <c r="AH2435">
        <v>0</v>
      </c>
    </row>
    <row r="2436" spans="1:34">
      <c r="A2436">
        <v>2026</v>
      </c>
      <c r="B2436" s="1">
        <v>46054</v>
      </c>
      <c r="C2436" t="s">
        <v>2657</v>
      </c>
      <c r="D2436" t="s">
        <v>8257</v>
      </c>
      <c r="E2436" s="43">
        <v>46079.593661006948</v>
      </c>
      <c r="F2436" s="1">
        <v>46079</v>
      </c>
      <c r="G2436" s="43">
        <v>46091.836126886577</v>
      </c>
      <c r="H2436" t="s">
        <v>2725</v>
      </c>
      <c r="I2436" t="s">
        <v>2660</v>
      </c>
      <c r="J2436" t="s">
        <v>38</v>
      </c>
      <c r="L2436" t="s">
        <v>2355</v>
      </c>
      <c r="M2436">
        <v>60238888002</v>
      </c>
      <c r="N2436" t="s">
        <v>2702</v>
      </c>
      <c r="O2436" s="1">
        <v>45324</v>
      </c>
      <c r="T2436" t="s">
        <v>2798</v>
      </c>
      <c r="U2436" t="s">
        <v>8258</v>
      </c>
      <c r="V2436">
        <v>11</v>
      </c>
      <c r="W2436" t="s">
        <v>2985</v>
      </c>
      <c r="X2436">
        <v>0</v>
      </c>
      <c r="Y2436" t="s">
        <v>2985</v>
      </c>
      <c r="AA2436">
        <v>60238888002</v>
      </c>
      <c r="AB2436" t="s">
        <v>1024</v>
      </c>
      <c r="AC2436">
        <v>0</v>
      </c>
      <c r="AD2436">
        <v>9</v>
      </c>
      <c r="AE2436">
        <v>602388880029</v>
      </c>
      <c r="AF2436" t="s">
        <v>8244</v>
      </c>
      <c r="AG2436">
        <v>0</v>
      </c>
      <c r="AH2436">
        <v>0</v>
      </c>
    </row>
    <row r="2437" spans="1:34">
      <c r="A2437">
        <v>2026</v>
      </c>
      <c r="B2437" s="1">
        <v>46054</v>
      </c>
      <c r="C2437" t="s">
        <v>2657</v>
      </c>
      <c r="D2437" t="s">
        <v>8259</v>
      </c>
      <c r="E2437" s="43">
        <v>46078.837374664348</v>
      </c>
      <c r="F2437" s="1">
        <v>46078</v>
      </c>
      <c r="G2437" s="43">
        <v>46079.80301797454</v>
      </c>
      <c r="H2437" t="s">
        <v>2725</v>
      </c>
      <c r="I2437" t="s">
        <v>2660</v>
      </c>
      <c r="J2437" t="s">
        <v>38</v>
      </c>
      <c r="L2437" t="s">
        <v>2355</v>
      </c>
      <c r="M2437">
        <v>60238888002</v>
      </c>
      <c r="N2437" t="s">
        <v>2702</v>
      </c>
      <c r="O2437" s="1">
        <v>45324</v>
      </c>
      <c r="T2437" t="s">
        <v>2662</v>
      </c>
      <c r="U2437" t="s">
        <v>8260</v>
      </c>
      <c r="V2437">
        <v>1</v>
      </c>
      <c r="W2437" t="s">
        <v>2704</v>
      </c>
      <c r="X2437">
        <v>1</v>
      </c>
      <c r="Y2437" t="s">
        <v>2710</v>
      </c>
      <c r="AA2437">
        <v>60238888002</v>
      </c>
      <c r="AB2437" t="s">
        <v>1024</v>
      </c>
      <c r="AC2437">
        <v>0</v>
      </c>
      <c r="AD2437">
        <v>9</v>
      </c>
      <c r="AE2437">
        <v>602388880029</v>
      </c>
      <c r="AF2437" t="s">
        <v>8244</v>
      </c>
      <c r="AG2437">
        <v>1</v>
      </c>
      <c r="AH2437">
        <v>0</v>
      </c>
    </row>
    <row r="2438" spans="1:34">
      <c r="A2438">
        <v>2026</v>
      </c>
      <c r="B2438" s="1">
        <v>46023</v>
      </c>
      <c r="C2438" t="s">
        <v>2657</v>
      </c>
      <c r="D2438" t="s">
        <v>8261</v>
      </c>
      <c r="E2438" s="43">
        <v>46042.613602384263</v>
      </c>
      <c r="F2438" s="1">
        <v>46042</v>
      </c>
      <c r="G2438" s="43">
        <v>46049.56000135417</v>
      </c>
      <c r="H2438" t="s">
        <v>2701</v>
      </c>
      <c r="I2438" t="s">
        <v>2719</v>
      </c>
      <c r="J2438" t="s">
        <v>100</v>
      </c>
      <c r="L2438" t="s">
        <v>2363</v>
      </c>
      <c r="M2438">
        <v>652627678202</v>
      </c>
      <c r="N2438" t="s">
        <v>2702</v>
      </c>
      <c r="O2438" s="1">
        <v>45448</v>
      </c>
      <c r="T2438" t="s">
        <v>2662</v>
      </c>
      <c r="U2438" t="s">
        <v>8262</v>
      </c>
      <c r="V2438">
        <v>5</v>
      </c>
      <c r="X2438">
        <v>1</v>
      </c>
      <c r="Y2438" t="s">
        <v>2717</v>
      </c>
      <c r="AA2438">
        <v>30887912302</v>
      </c>
      <c r="AB2438" t="s">
        <v>366</v>
      </c>
      <c r="AC2438">
        <v>1</v>
      </c>
      <c r="AD2438">
        <v>4</v>
      </c>
      <c r="AE2438">
        <v>308879123024</v>
      </c>
      <c r="AF2438" t="s">
        <v>8263</v>
      </c>
      <c r="AG2438">
        <v>1</v>
      </c>
      <c r="AH2438">
        <v>1</v>
      </c>
    </row>
    <row r="2439" spans="1:34">
      <c r="A2439">
        <v>2025</v>
      </c>
      <c r="B2439" s="1">
        <v>45992</v>
      </c>
      <c r="C2439" t="s">
        <v>2657</v>
      </c>
      <c r="D2439" t="s">
        <v>8264</v>
      </c>
      <c r="E2439" s="43">
        <v>46002.86472824074</v>
      </c>
      <c r="F2439" s="1">
        <v>46002</v>
      </c>
      <c r="G2439" s="43">
        <v>46006.564965833335</v>
      </c>
      <c r="H2439" t="s">
        <v>2686</v>
      </c>
      <c r="I2439" t="s">
        <v>2681</v>
      </c>
      <c r="J2439" t="s">
        <v>37</v>
      </c>
      <c r="L2439" t="s">
        <v>2351</v>
      </c>
      <c r="M2439">
        <v>1030040901202</v>
      </c>
      <c r="N2439" t="s">
        <v>2661</v>
      </c>
      <c r="O2439" s="1">
        <v>45702</v>
      </c>
      <c r="T2439" t="s">
        <v>2662</v>
      </c>
      <c r="U2439" t="s">
        <v>8265</v>
      </c>
      <c r="V2439">
        <v>2</v>
      </c>
      <c r="W2439" t="s">
        <v>2664</v>
      </c>
      <c r="X2439">
        <v>1</v>
      </c>
      <c r="Y2439" t="s">
        <v>2665</v>
      </c>
      <c r="AA2439">
        <v>1030040901202</v>
      </c>
      <c r="AB2439" t="s">
        <v>810</v>
      </c>
      <c r="AC2439">
        <v>0</v>
      </c>
      <c r="AD2439">
        <v>50</v>
      </c>
      <c r="AE2439">
        <v>103004090120250</v>
      </c>
      <c r="AF2439" t="s">
        <v>8266</v>
      </c>
      <c r="AG2439">
        <v>1</v>
      </c>
      <c r="AH2439">
        <v>1</v>
      </c>
    </row>
    <row r="2440" spans="1:34">
      <c r="A2440">
        <v>2026</v>
      </c>
      <c r="B2440" s="1">
        <v>46082</v>
      </c>
      <c r="C2440" t="s">
        <v>2657</v>
      </c>
      <c r="D2440" t="s">
        <v>8267</v>
      </c>
      <c r="E2440" s="43">
        <v>46083.723110590276</v>
      </c>
      <c r="F2440" s="1">
        <v>46083</v>
      </c>
      <c r="G2440" s="43">
        <v>46094.549818726853</v>
      </c>
      <c r="H2440" t="s">
        <v>2668</v>
      </c>
      <c r="I2440" t="s">
        <v>2669</v>
      </c>
      <c r="J2440" t="s">
        <v>39</v>
      </c>
      <c r="L2440" t="s">
        <v>2362</v>
      </c>
      <c r="M2440">
        <v>801134136002</v>
      </c>
      <c r="N2440" t="s">
        <v>2746</v>
      </c>
      <c r="O2440" s="1">
        <v>45994</v>
      </c>
      <c r="T2440" t="s">
        <v>2798</v>
      </c>
      <c r="U2440" t="s">
        <v>8268</v>
      </c>
      <c r="V2440">
        <v>9</v>
      </c>
      <c r="W2440" t="s">
        <v>2677</v>
      </c>
      <c r="X2440">
        <v>0</v>
      </c>
      <c r="Y2440" t="s">
        <v>2767</v>
      </c>
      <c r="Z2440" t="s">
        <v>2834</v>
      </c>
      <c r="AA2440">
        <v>801134136002</v>
      </c>
      <c r="AB2440" t="s">
        <v>2599</v>
      </c>
      <c r="AC2440">
        <v>0</v>
      </c>
      <c r="AD2440">
        <v>10</v>
      </c>
      <c r="AE2440">
        <v>80113413600210</v>
      </c>
      <c r="AF2440" t="s">
        <v>8269</v>
      </c>
      <c r="AG2440">
        <v>1</v>
      </c>
      <c r="AH2440">
        <v>1</v>
      </c>
    </row>
    <row r="2441" spans="1:34">
      <c r="A2441">
        <v>2026</v>
      </c>
      <c r="B2441" s="1">
        <v>46082</v>
      </c>
      <c r="C2441" t="s">
        <v>2657</v>
      </c>
      <c r="D2441" t="s">
        <v>8270</v>
      </c>
      <c r="E2441" s="43">
        <v>46090.641934293984</v>
      </c>
      <c r="F2441" s="1">
        <v>46090</v>
      </c>
      <c r="G2441" s="43">
        <v>46090.720603402777</v>
      </c>
      <c r="H2441" t="s">
        <v>2668</v>
      </c>
      <c r="I2441" t="s">
        <v>2681</v>
      </c>
      <c r="J2441" t="s">
        <v>39</v>
      </c>
      <c r="L2441" t="s">
        <v>2362</v>
      </c>
      <c r="M2441">
        <v>801134136002</v>
      </c>
      <c r="N2441" t="s">
        <v>2746</v>
      </c>
      <c r="O2441" s="1">
        <v>45994</v>
      </c>
      <c r="T2441" t="s">
        <v>2662</v>
      </c>
      <c r="U2441" t="s">
        <v>8271</v>
      </c>
      <c r="V2441">
        <v>0</v>
      </c>
      <c r="W2441" t="s">
        <v>2677</v>
      </c>
      <c r="X2441">
        <v>1</v>
      </c>
      <c r="Y2441" t="s">
        <v>2678</v>
      </c>
      <c r="AA2441">
        <v>801134136002</v>
      </c>
      <c r="AB2441" t="s">
        <v>2599</v>
      </c>
      <c r="AC2441">
        <v>1</v>
      </c>
      <c r="AD2441">
        <v>11</v>
      </c>
      <c r="AE2441">
        <v>80113413600211</v>
      </c>
      <c r="AF2441" t="s">
        <v>8269</v>
      </c>
      <c r="AG2441">
        <v>1</v>
      </c>
      <c r="AH2441">
        <v>0</v>
      </c>
    </row>
    <row r="2442" spans="1:34">
      <c r="A2442">
        <v>2025</v>
      </c>
      <c r="B2442" s="1">
        <v>45931</v>
      </c>
      <c r="C2442" t="s">
        <v>2657</v>
      </c>
      <c r="D2442" t="s">
        <v>8272</v>
      </c>
      <c r="E2442" s="43">
        <v>45957.846389629631</v>
      </c>
      <c r="F2442" s="1">
        <v>45957</v>
      </c>
      <c r="G2442" s="43">
        <v>45971.661187939811</v>
      </c>
      <c r="H2442" t="s">
        <v>2659</v>
      </c>
      <c r="I2442" t="s">
        <v>2660</v>
      </c>
      <c r="J2442" t="s">
        <v>36</v>
      </c>
      <c r="L2442" t="s">
        <v>2355</v>
      </c>
      <c r="M2442">
        <v>94015899402</v>
      </c>
      <c r="N2442" t="s">
        <v>2702</v>
      </c>
      <c r="O2442" s="1">
        <v>45362</v>
      </c>
      <c r="T2442" t="s">
        <v>2662</v>
      </c>
      <c r="U2442" t="s">
        <v>8273</v>
      </c>
      <c r="V2442">
        <v>10</v>
      </c>
      <c r="X2442">
        <v>1</v>
      </c>
      <c r="Y2442" t="s">
        <v>2699</v>
      </c>
      <c r="AA2442">
        <v>94015899402</v>
      </c>
      <c r="AB2442" t="s">
        <v>2469</v>
      </c>
      <c r="AC2442">
        <v>0</v>
      </c>
      <c r="AD2442">
        <v>44</v>
      </c>
      <c r="AE2442">
        <v>9401589940244</v>
      </c>
      <c r="AF2442" t="s">
        <v>8274</v>
      </c>
      <c r="AG2442">
        <v>1</v>
      </c>
      <c r="AH2442">
        <v>1</v>
      </c>
    </row>
    <row r="2443" spans="1:34">
      <c r="A2443">
        <v>2026</v>
      </c>
      <c r="B2443" s="1">
        <v>46054</v>
      </c>
      <c r="C2443" t="s">
        <v>2657</v>
      </c>
      <c r="D2443" t="s">
        <v>8275</v>
      </c>
      <c r="E2443" s="43">
        <v>46064.550281643518</v>
      </c>
      <c r="F2443" s="1">
        <v>46064</v>
      </c>
      <c r="G2443" s="43">
        <v>46064.550281643518</v>
      </c>
      <c r="H2443" t="s">
        <v>2725</v>
      </c>
      <c r="I2443" t="s">
        <v>2681</v>
      </c>
      <c r="J2443" t="s">
        <v>36</v>
      </c>
      <c r="L2443" t="s">
        <v>2355</v>
      </c>
      <c r="M2443">
        <v>94015899402</v>
      </c>
      <c r="N2443" t="s">
        <v>2702</v>
      </c>
      <c r="O2443" s="1">
        <v>45362</v>
      </c>
      <c r="T2443" t="s">
        <v>2662</v>
      </c>
      <c r="U2443" t="s">
        <v>8276</v>
      </c>
      <c r="V2443">
        <v>0</v>
      </c>
      <c r="W2443" t="s">
        <v>2704</v>
      </c>
      <c r="X2443">
        <v>1</v>
      </c>
      <c r="Y2443" t="s">
        <v>2710</v>
      </c>
      <c r="AA2443">
        <v>94015899402</v>
      </c>
      <c r="AB2443" t="s">
        <v>2469</v>
      </c>
      <c r="AC2443">
        <v>0</v>
      </c>
      <c r="AD2443">
        <v>7</v>
      </c>
      <c r="AE2443">
        <v>940158994027</v>
      </c>
      <c r="AF2443" t="s">
        <v>8277</v>
      </c>
      <c r="AG2443">
        <v>1</v>
      </c>
      <c r="AH2443">
        <v>1</v>
      </c>
    </row>
    <row r="2444" spans="1:34">
      <c r="A2444">
        <v>2026</v>
      </c>
      <c r="B2444" s="1">
        <v>46054</v>
      </c>
      <c r="C2444" t="s">
        <v>2657</v>
      </c>
      <c r="D2444" t="s">
        <v>8278</v>
      </c>
      <c r="E2444" s="43">
        <v>46080.520224375003</v>
      </c>
      <c r="F2444" s="1">
        <v>46080</v>
      </c>
      <c r="G2444" s="43">
        <v>46083.750857604166</v>
      </c>
      <c r="H2444" t="s">
        <v>2725</v>
      </c>
      <c r="I2444" t="s">
        <v>2660</v>
      </c>
      <c r="J2444" t="s">
        <v>36</v>
      </c>
      <c r="L2444" t="s">
        <v>2355</v>
      </c>
      <c r="M2444">
        <v>94015899402</v>
      </c>
      <c r="N2444" t="s">
        <v>2702</v>
      </c>
      <c r="O2444" s="1">
        <v>45362</v>
      </c>
      <c r="T2444" t="s">
        <v>2662</v>
      </c>
      <c r="U2444" t="s">
        <v>8279</v>
      </c>
      <c r="V2444">
        <v>1</v>
      </c>
      <c r="X2444">
        <v>1</v>
      </c>
      <c r="Y2444" t="s">
        <v>2721</v>
      </c>
      <c r="AA2444">
        <v>94015899402</v>
      </c>
      <c r="AB2444" t="s">
        <v>2469</v>
      </c>
      <c r="AC2444">
        <v>1</v>
      </c>
      <c r="AD2444">
        <v>9</v>
      </c>
      <c r="AE2444">
        <v>940158994029</v>
      </c>
      <c r="AF2444" t="s">
        <v>8277</v>
      </c>
      <c r="AG2444">
        <v>1</v>
      </c>
      <c r="AH2444">
        <v>0</v>
      </c>
    </row>
    <row r="2445" spans="1:34">
      <c r="A2445">
        <v>2026</v>
      </c>
      <c r="B2445" s="1">
        <v>46023</v>
      </c>
      <c r="C2445" t="s">
        <v>2657</v>
      </c>
      <c r="D2445" t="s">
        <v>8280</v>
      </c>
      <c r="E2445" s="43">
        <v>46042.583639930555</v>
      </c>
      <c r="F2445" s="1">
        <v>46042</v>
      </c>
      <c r="G2445" s="43">
        <v>46042.583639930555</v>
      </c>
      <c r="H2445" t="s">
        <v>2701</v>
      </c>
      <c r="I2445" t="s">
        <v>2719</v>
      </c>
      <c r="J2445" t="s">
        <v>39</v>
      </c>
      <c r="L2445" t="s">
        <v>2362</v>
      </c>
      <c r="M2445">
        <v>45146550802</v>
      </c>
      <c r="N2445" t="s">
        <v>2746</v>
      </c>
      <c r="O2445" s="1">
        <v>45751</v>
      </c>
      <c r="T2445" t="s">
        <v>2662</v>
      </c>
      <c r="U2445" t="s">
        <v>8281</v>
      </c>
      <c r="V2445">
        <v>0</v>
      </c>
      <c r="W2445" t="s">
        <v>2704</v>
      </c>
      <c r="X2445">
        <v>1</v>
      </c>
      <c r="Y2445" t="s">
        <v>2695</v>
      </c>
      <c r="AA2445">
        <v>45146550802</v>
      </c>
      <c r="AB2445" t="s">
        <v>2008</v>
      </c>
      <c r="AC2445">
        <v>0</v>
      </c>
      <c r="AD2445">
        <v>4</v>
      </c>
      <c r="AE2445">
        <v>451465508024</v>
      </c>
      <c r="AF2445" t="s">
        <v>8282</v>
      </c>
      <c r="AG2445">
        <v>1</v>
      </c>
      <c r="AH2445">
        <v>1</v>
      </c>
    </row>
    <row r="2446" spans="1:34">
      <c r="A2446">
        <v>2026</v>
      </c>
      <c r="B2446" s="1">
        <v>46023</v>
      </c>
      <c r="C2446" t="s">
        <v>2657</v>
      </c>
      <c r="D2446" t="s">
        <v>8283</v>
      </c>
      <c r="E2446" s="43">
        <v>46050.645150555552</v>
      </c>
      <c r="F2446" s="1">
        <v>46050</v>
      </c>
      <c r="G2446" s="43">
        <v>46073.699990046298</v>
      </c>
      <c r="H2446" t="s">
        <v>2701</v>
      </c>
      <c r="I2446" t="s">
        <v>2660</v>
      </c>
      <c r="J2446" t="s">
        <v>39</v>
      </c>
      <c r="L2446" t="s">
        <v>2362</v>
      </c>
      <c r="M2446">
        <v>45146550802</v>
      </c>
      <c r="N2446" t="s">
        <v>2746</v>
      </c>
      <c r="O2446" s="1">
        <v>45751</v>
      </c>
      <c r="T2446" t="s">
        <v>2662</v>
      </c>
      <c r="U2446" t="s">
        <v>8284</v>
      </c>
      <c r="V2446">
        <v>17</v>
      </c>
      <c r="W2446" t="s">
        <v>2704</v>
      </c>
      <c r="X2446">
        <v>1</v>
      </c>
      <c r="Y2446" t="s">
        <v>2717</v>
      </c>
      <c r="AA2446">
        <v>45146550802</v>
      </c>
      <c r="AB2446" t="s">
        <v>2008</v>
      </c>
      <c r="AC2446">
        <v>0</v>
      </c>
      <c r="AD2446">
        <v>5</v>
      </c>
      <c r="AE2446">
        <v>451465508025</v>
      </c>
      <c r="AF2446" t="s">
        <v>8282</v>
      </c>
      <c r="AG2446">
        <v>0</v>
      </c>
      <c r="AH2446">
        <v>0</v>
      </c>
    </row>
    <row r="2447" spans="1:34">
      <c r="A2447">
        <v>2026</v>
      </c>
      <c r="B2447" s="1">
        <v>46023</v>
      </c>
      <c r="C2447" t="s">
        <v>2657</v>
      </c>
      <c r="D2447" t="s">
        <v>8285</v>
      </c>
      <c r="E2447" s="43">
        <v>46050.50102462963</v>
      </c>
      <c r="F2447" s="1">
        <v>46050</v>
      </c>
      <c r="G2447" s="43">
        <v>46050.644407615742</v>
      </c>
      <c r="H2447" t="s">
        <v>2701</v>
      </c>
      <c r="I2447" t="s">
        <v>2660</v>
      </c>
      <c r="J2447" t="s">
        <v>39</v>
      </c>
      <c r="L2447" t="s">
        <v>2362</v>
      </c>
      <c r="M2447">
        <v>45146550802</v>
      </c>
      <c r="N2447" t="s">
        <v>2746</v>
      </c>
      <c r="O2447" s="1">
        <v>45751</v>
      </c>
      <c r="T2447" t="s">
        <v>2662</v>
      </c>
      <c r="U2447" t="s">
        <v>8286</v>
      </c>
      <c r="V2447">
        <v>0</v>
      </c>
      <c r="W2447" t="s">
        <v>2704</v>
      </c>
      <c r="X2447">
        <v>1</v>
      </c>
      <c r="Y2447" t="s">
        <v>2931</v>
      </c>
      <c r="AA2447">
        <v>45146550802</v>
      </c>
      <c r="AB2447" t="s">
        <v>2008</v>
      </c>
      <c r="AC2447">
        <v>0</v>
      </c>
      <c r="AD2447">
        <v>5</v>
      </c>
      <c r="AE2447">
        <v>451465508025</v>
      </c>
      <c r="AF2447" t="s">
        <v>8282</v>
      </c>
      <c r="AG2447">
        <v>1</v>
      </c>
      <c r="AH2447">
        <v>0</v>
      </c>
    </row>
    <row r="2448" spans="1:34">
      <c r="A2448">
        <v>2026</v>
      </c>
      <c r="B2448" s="1">
        <v>46023</v>
      </c>
      <c r="C2448" t="s">
        <v>2657</v>
      </c>
      <c r="D2448" s="44" t="s">
        <v>8287</v>
      </c>
      <c r="E2448" s="43">
        <v>46045.743246192127</v>
      </c>
      <c r="F2448" s="1">
        <v>46045</v>
      </c>
      <c r="G2448" s="43">
        <v>46049.632237418984</v>
      </c>
      <c r="H2448" t="s">
        <v>2701</v>
      </c>
      <c r="I2448" t="s">
        <v>2660</v>
      </c>
      <c r="J2448" t="s">
        <v>39</v>
      </c>
      <c r="L2448" t="s">
        <v>2362</v>
      </c>
      <c r="M2448">
        <v>45146550802</v>
      </c>
      <c r="N2448" t="s">
        <v>2746</v>
      </c>
      <c r="O2448" s="1">
        <v>45751</v>
      </c>
      <c r="T2448" t="s">
        <v>2662</v>
      </c>
      <c r="U2448" t="s">
        <v>8288</v>
      </c>
      <c r="V2448">
        <v>2</v>
      </c>
      <c r="W2448" t="s">
        <v>2677</v>
      </c>
      <c r="X2448">
        <v>1</v>
      </c>
      <c r="Y2448" t="s">
        <v>2779</v>
      </c>
      <c r="AA2448">
        <v>45146550802</v>
      </c>
      <c r="AB2448" t="s">
        <v>2008</v>
      </c>
      <c r="AC2448">
        <v>0</v>
      </c>
      <c r="AD2448">
        <v>4</v>
      </c>
      <c r="AE2448">
        <v>451465508024</v>
      </c>
      <c r="AF2448" t="s">
        <v>8282</v>
      </c>
      <c r="AG2448">
        <v>0</v>
      </c>
      <c r="AH2448">
        <v>0</v>
      </c>
    </row>
    <row r="2449" spans="1:34">
      <c r="A2449">
        <v>2026</v>
      </c>
      <c r="B2449" s="1">
        <v>46054</v>
      </c>
      <c r="C2449" t="s">
        <v>2657</v>
      </c>
      <c r="D2449" t="s">
        <v>8289</v>
      </c>
      <c r="E2449" s="43">
        <v>46077.81091753472</v>
      </c>
      <c r="F2449" s="1">
        <v>46077</v>
      </c>
      <c r="G2449" s="43">
        <v>46078.833990312502</v>
      </c>
      <c r="H2449" t="s">
        <v>2725</v>
      </c>
      <c r="I2449" t="s">
        <v>2660</v>
      </c>
      <c r="J2449" t="s">
        <v>100</v>
      </c>
      <c r="L2449" t="s">
        <v>2353</v>
      </c>
      <c r="M2449">
        <v>597004571302</v>
      </c>
      <c r="N2449" t="s">
        <v>2675</v>
      </c>
      <c r="O2449" s="1">
        <v>45294</v>
      </c>
      <c r="T2449" t="s">
        <v>2798</v>
      </c>
      <c r="U2449" t="s">
        <v>8290</v>
      </c>
      <c r="V2449">
        <v>13</v>
      </c>
      <c r="W2449" t="s">
        <v>2677</v>
      </c>
      <c r="X2449">
        <v>0</v>
      </c>
      <c r="Y2449" t="s">
        <v>2807</v>
      </c>
      <c r="AA2449">
        <v>597004571302</v>
      </c>
      <c r="AB2449" t="s">
        <v>2203</v>
      </c>
      <c r="AC2449">
        <v>0</v>
      </c>
      <c r="AD2449">
        <v>9</v>
      </c>
      <c r="AE2449">
        <v>5970045713029</v>
      </c>
      <c r="AF2449" t="s">
        <v>8291</v>
      </c>
      <c r="AG2449">
        <v>1</v>
      </c>
      <c r="AH2449">
        <v>1</v>
      </c>
    </row>
    <row r="2450" spans="1:34">
      <c r="A2450">
        <v>2025</v>
      </c>
      <c r="B2450" s="1">
        <v>45962</v>
      </c>
      <c r="C2450" t="s">
        <v>2657</v>
      </c>
      <c r="D2450" t="s">
        <v>8292</v>
      </c>
      <c r="E2450" s="43">
        <v>45964.570190833336</v>
      </c>
      <c r="F2450" s="1">
        <v>45964</v>
      </c>
      <c r="G2450" s="43">
        <v>45965.723775787039</v>
      </c>
      <c r="H2450" t="s">
        <v>2802</v>
      </c>
      <c r="I2450" t="s">
        <v>2669</v>
      </c>
      <c r="J2450" t="s">
        <v>38</v>
      </c>
      <c r="L2450" t="s">
        <v>2342</v>
      </c>
      <c r="M2450">
        <v>28945506502</v>
      </c>
      <c r="N2450" t="s">
        <v>2702</v>
      </c>
      <c r="O2450" s="1">
        <v>45349</v>
      </c>
      <c r="T2450" t="s">
        <v>2662</v>
      </c>
      <c r="U2450" t="s">
        <v>8293</v>
      </c>
      <c r="V2450">
        <v>1</v>
      </c>
      <c r="W2450" t="s">
        <v>2985</v>
      </c>
      <c r="X2450">
        <v>1</v>
      </c>
      <c r="Y2450" t="s">
        <v>2985</v>
      </c>
      <c r="AA2450">
        <v>28945506502</v>
      </c>
      <c r="AB2450" t="s">
        <v>820</v>
      </c>
      <c r="AC2450">
        <v>0</v>
      </c>
      <c r="AD2450">
        <v>45</v>
      </c>
      <c r="AE2450">
        <v>2894550650245</v>
      </c>
      <c r="AF2450" t="s">
        <v>8294</v>
      </c>
      <c r="AG2450">
        <v>1</v>
      </c>
      <c r="AH2450">
        <v>1</v>
      </c>
    </row>
    <row r="2451" spans="1:34">
      <c r="A2451">
        <v>2026</v>
      </c>
      <c r="B2451" s="1">
        <v>46082</v>
      </c>
      <c r="C2451" t="s">
        <v>2657</v>
      </c>
      <c r="D2451" t="s">
        <v>8295</v>
      </c>
      <c r="E2451" s="43">
        <v>46092.798765613428</v>
      </c>
      <c r="F2451" s="1">
        <v>46092</v>
      </c>
      <c r="G2451" s="43">
        <v>46092.798765613428</v>
      </c>
      <c r="H2451" t="s">
        <v>2668</v>
      </c>
      <c r="I2451" t="s">
        <v>2681</v>
      </c>
      <c r="J2451" t="s">
        <v>37</v>
      </c>
      <c r="L2451" t="s">
        <v>2364</v>
      </c>
      <c r="M2451">
        <v>625725137302</v>
      </c>
      <c r="N2451" t="s">
        <v>2661</v>
      </c>
      <c r="O2451" s="1">
        <v>45294</v>
      </c>
      <c r="T2451" t="s">
        <v>2798</v>
      </c>
      <c r="U2451" t="s">
        <v>8296</v>
      </c>
      <c r="V2451">
        <v>2</v>
      </c>
      <c r="W2451" t="s">
        <v>2664</v>
      </c>
      <c r="X2451">
        <v>0</v>
      </c>
      <c r="Y2451" t="s">
        <v>2779</v>
      </c>
      <c r="AA2451">
        <v>625725137302</v>
      </c>
      <c r="AB2451" t="s">
        <v>1537</v>
      </c>
      <c r="AC2451">
        <v>1</v>
      </c>
      <c r="AD2451">
        <v>11</v>
      </c>
      <c r="AE2451">
        <v>62572513730211</v>
      </c>
      <c r="AF2451" t="s">
        <v>8297</v>
      </c>
      <c r="AG2451">
        <v>1</v>
      </c>
      <c r="AH2451">
        <v>1</v>
      </c>
    </row>
    <row r="2452" spans="1:34">
      <c r="A2452">
        <v>2026</v>
      </c>
      <c r="B2452" s="1">
        <v>46054</v>
      </c>
      <c r="C2452" t="s">
        <v>2657</v>
      </c>
      <c r="D2452" t="s">
        <v>8298</v>
      </c>
      <c r="E2452" s="43">
        <v>46057.588985023147</v>
      </c>
      <c r="F2452" s="1">
        <v>46057</v>
      </c>
      <c r="G2452" s="43">
        <v>46073.766128831019</v>
      </c>
      <c r="H2452" t="s">
        <v>2725</v>
      </c>
      <c r="I2452" t="s">
        <v>2669</v>
      </c>
      <c r="J2452" t="s">
        <v>39</v>
      </c>
      <c r="L2452" t="s">
        <v>2408</v>
      </c>
      <c r="M2452">
        <v>438747217402</v>
      </c>
      <c r="N2452" t="s">
        <v>2746</v>
      </c>
      <c r="O2452" s="1">
        <v>45294</v>
      </c>
      <c r="T2452" t="s">
        <v>2662</v>
      </c>
      <c r="U2452" t="s">
        <v>8299</v>
      </c>
      <c r="V2452">
        <v>12</v>
      </c>
      <c r="W2452" t="s">
        <v>2677</v>
      </c>
      <c r="X2452">
        <v>1</v>
      </c>
      <c r="Y2452" t="s">
        <v>2760</v>
      </c>
      <c r="Z2452" t="s">
        <v>2684</v>
      </c>
      <c r="AA2452">
        <v>438747217402</v>
      </c>
      <c r="AB2452" t="s">
        <v>1377</v>
      </c>
      <c r="AC2452">
        <v>0</v>
      </c>
      <c r="AD2452">
        <v>6</v>
      </c>
      <c r="AE2452">
        <v>4387472174026</v>
      </c>
      <c r="AF2452" t="s">
        <v>8300</v>
      </c>
      <c r="AG2452">
        <v>1</v>
      </c>
      <c r="AH2452">
        <v>1</v>
      </c>
    </row>
    <row r="2453" spans="1:34">
      <c r="A2453">
        <v>2026</v>
      </c>
      <c r="B2453" s="1">
        <v>46054</v>
      </c>
      <c r="C2453" t="s">
        <v>2657</v>
      </c>
      <c r="D2453" t="s">
        <v>8301</v>
      </c>
      <c r="E2453" s="43">
        <v>46064.520609178238</v>
      </c>
      <c r="F2453" s="1">
        <v>46064</v>
      </c>
      <c r="G2453" s="43">
        <v>46064.889190069443</v>
      </c>
      <c r="H2453" t="s">
        <v>2725</v>
      </c>
      <c r="I2453" t="s">
        <v>2681</v>
      </c>
      <c r="J2453" t="s">
        <v>39</v>
      </c>
      <c r="L2453" t="s">
        <v>2408</v>
      </c>
      <c r="M2453">
        <v>933459575402</v>
      </c>
      <c r="N2453" t="s">
        <v>2746</v>
      </c>
      <c r="O2453" s="1">
        <v>45595</v>
      </c>
      <c r="T2453" t="s">
        <v>2662</v>
      </c>
      <c r="U2453" t="s">
        <v>8302</v>
      </c>
      <c r="V2453">
        <v>0</v>
      </c>
      <c r="W2453" t="s">
        <v>2671</v>
      </c>
      <c r="X2453">
        <v>1</v>
      </c>
      <c r="Y2453" t="s">
        <v>2764</v>
      </c>
      <c r="AA2453">
        <v>438747217402</v>
      </c>
      <c r="AB2453" t="s">
        <v>1377</v>
      </c>
      <c r="AC2453">
        <v>0</v>
      </c>
      <c r="AD2453">
        <v>7</v>
      </c>
      <c r="AE2453">
        <v>4387472174027</v>
      </c>
      <c r="AF2453" t="s">
        <v>8300</v>
      </c>
      <c r="AG2453">
        <v>0</v>
      </c>
      <c r="AH2453">
        <v>0</v>
      </c>
    </row>
    <row r="2454" spans="1:34">
      <c r="A2454">
        <v>2026</v>
      </c>
      <c r="B2454" s="1">
        <v>46054</v>
      </c>
      <c r="C2454" t="s">
        <v>2657</v>
      </c>
      <c r="D2454" t="s">
        <v>8303</v>
      </c>
      <c r="E2454" s="43">
        <v>46063.827200370368</v>
      </c>
      <c r="F2454" s="1">
        <v>46063</v>
      </c>
      <c r="G2454" s="43">
        <v>46064.882947777776</v>
      </c>
      <c r="H2454" t="s">
        <v>2725</v>
      </c>
      <c r="I2454" t="s">
        <v>2681</v>
      </c>
      <c r="J2454" t="s">
        <v>39</v>
      </c>
      <c r="L2454" t="s">
        <v>2408</v>
      </c>
      <c r="M2454">
        <v>933459575402</v>
      </c>
      <c r="N2454" t="s">
        <v>2746</v>
      </c>
      <c r="O2454" s="1">
        <v>45595</v>
      </c>
      <c r="T2454" t="s">
        <v>2662</v>
      </c>
      <c r="U2454" t="s">
        <v>8304</v>
      </c>
      <c r="V2454">
        <v>1</v>
      </c>
      <c r="W2454" t="s">
        <v>2671</v>
      </c>
      <c r="X2454">
        <v>1</v>
      </c>
      <c r="Y2454" t="s">
        <v>2672</v>
      </c>
      <c r="AA2454">
        <v>438747217402</v>
      </c>
      <c r="AB2454" t="s">
        <v>1377</v>
      </c>
      <c r="AC2454">
        <v>0</v>
      </c>
      <c r="AD2454">
        <v>7</v>
      </c>
      <c r="AE2454">
        <v>4387472174027</v>
      </c>
      <c r="AF2454" t="s">
        <v>8300</v>
      </c>
      <c r="AG2454">
        <v>1</v>
      </c>
      <c r="AH2454">
        <v>0</v>
      </c>
    </row>
    <row r="2455" spans="1:34">
      <c r="A2455">
        <v>2026</v>
      </c>
      <c r="B2455" s="1">
        <v>46054</v>
      </c>
      <c r="C2455" t="s">
        <v>2657</v>
      </c>
      <c r="D2455" t="s">
        <v>8305</v>
      </c>
      <c r="E2455" s="43">
        <v>46065.578275081018</v>
      </c>
      <c r="F2455" s="1">
        <v>46065</v>
      </c>
      <c r="G2455" s="43">
        <v>46071.78517841435</v>
      </c>
      <c r="H2455" t="s">
        <v>2725</v>
      </c>
      <c r="I2455" t="s">
        <v>2681</v>
      </c>
      <c r="J2455" t="s">
        <v>39</v>
      </c>
      <c r="L2455" t="s">
        <v>2408</v>
      </c>
      <c r="M2455">
        <v>933459575402</v>
      </c>
      <c r="N2455" t="s">
        <v>2746</v>
      </c>
      <c r="O2455" s="1">
        <v>45595</v>
      </c>
      <c r="T2455" t="s">
        <v>2662</v>
      </c>
      <c r="U2455" t="s">
        <v>8306</v>
      </c>
      <c r="V2455">
        <v>4</v>
      </c>
      <c r="W2455" t="s">
        <v>2671</v>
      </c>
      <c r="X2455">
        <v>1</v>
      </c>
      <c r="Y2455" t="s">
        <v>2721</v>
      </c>
      <c r="AA2455">
        <v>438747217402</v>
      </c>
      <c r="AB2455" t="s">
        <v>1377</v>
      </c>
      <c r="AC2455">
        <v>1</v>
      </c>
      <c r="AD2455">
        <v>7</v>
      </c>
      <c r="AE2455">
        <v>4387472174027</v>
      </c>
      <c r="AF2455" t="s">
        <v>8300</v>
      </c>
      <c r="AG2455">
        <v>0</v>
      </c>
      <c r="AH2455">
        <v>0</v>
      </c>
    </row>
    <row r="2456" spans="1:34">
      <c r="A2456">
        <v>2026</v>
      </c>
      <c r="B2456" s="1">
        <v>46054</v>
      </c>
      <c r="C2456" t="s">
        <v>2657</v>
      </c>
      <c r="D2456" t="s">
        <v>8307</v>
      </c>
      <c r="E2456" s="43">
        <v>46057.669754930554</v>
      </c>
      <c r="F2456" s="1">
        <v>46057</v>
      </c>
      <c r="G2456" s="43">
        <v>46065.586346435186</v>
      </c>
      <c r="H2456" t="s">
        <v>2725</v>
      </c>
      <c r="I2456" t="s">
        <v>2669</v>
      </c>
      <c r="J2456" t="s">
        <v>37</v>
      </c>
      <c r="L2456" t="s">
        <v>2351</v>
      </c>
      <c r="M2456">
        <v>327981185502</v>
      </c>
      <c r="N2456" t="s">
        <v>2661</v>
      </c>
      <c r="O2456" s="1">
        <v>44894</v>
      </c>
      <c r="T2456" t="s">
        <v>2662</v>
      </c>
      <c r="U2456" t="s">
        <v>8308</v>
      </c>
      <c r="V2456">
        <v>6</v>
      </c>
      <c r="W2456" t="s">
        <v>2677</v>
      </c>
      <c r="X2456">
        <v>1</v>
      </c>
      <c r="Y2456" t="s">
        <v>2760</v>
      </c>
      <c r="AA2456">
        <v>108483856702</v>
      </c>
      <c r="AB2456" t="s">
        <v>1316</v>
      </c>
      <c r="AC2456">
        <v>0</v>
      </c>
      <c r="AD2456">
        <v>6</v>
      </c>
      <c r="AE2456">
        <v>1084838567026</v>
      </c>
      <c r="AF2456" t="s">
        <v>8309</v>
      </c>
      <c r="AG2456">
        <v>0</v>
      </c>
      <c r="AH2456">
        <v>0</v>
      </c>
    </row>
    <row r="2457" spans="1:34">
      <c r="A2457">
        <v>2026</v>
      </c>
      <c r="B2457" s="1">
        <v>46054</v>
      </c>
      <c r="C2457" t="s">
        <v>2657</v>
      </c>
      <c r="D2457" t="s">
        <v>8310</v>
      </c>
      <c r="E2457" s="43">
        <v>46058.577877777781</v>
      </c>
      <c r="F2457" s="1">
        <v>46058</v>
      </c>
      <c r="G2457" s="43">
        <v>46059.747990185184</v>
      </c>
      <c r="H2457" t="s">
        <v>2725</v>
      </c>
      <c r="I2457" t="s">
        <v>2669</v>
      </c>
      <c r="J2457" t="s">
        <v>37</v>
      </c>
      <c r="L2457" t="s">
        <v>2351</v>
      </c>
      <c r="M2457">
        <v>108483856702</v>
      </c>
      <c r="N2457" t="s">
        <v>2661</v>
      </c>
      <c r="O2457" s="1">
        <v>45457</v>
      </c>
      <c r="T2457" t="s">
        <v>2662</v>
      </c>
      <c r="U2457" t="s">
        <v>8311</v>
      </c>
      <c r="V2457">
        <v>1</v>
      </c>
      <c r="X2457">
        <v>1</v>
      </c>
      <c r="Y2457" t="s">
        <v>2717</v>
      </c>
      <c r="AA2457">
        <v>108483856702</v>
      </c>
      <c r="AB2457" t="s">
        <v>1316</v>
      </c>
      <c r="AC2457">
        <v>0</v>
      </c>
      <c r="AD2457">
        <v>6</v>
      </c>
      <c r="AE2457">
        <v>1084838567026</v>
      </c>
      <c r="AF2457" t="s">
        <v>8309</v>
      </c>
      <c r="AG2457">
        <v>0</v>
      </c>
      <c r="AH2457">
        <v>0</v>
      </c>
    </row>
    <row r="2458" spans="1:34">
      <c r="A2458">
        <v>2026</v>
      </c>
      <c r="B2458" s="1">
        <v>46054</v>
      </c>
      <c r="C2458" t="s">
        <v>2657</v>
      </c>
      <c r="D2458" t="s">
        <v>8312</v>
      </c>
      <c r="E2458" s="43">
        <v>46055.788682743056</v>
      </c>
      <c r="F2458" s="1">
        <v>46055</v>
      </c>
      <c r="G2458" s="43">
        <v>46055.788682743056</v>
      </c>
      <c r="H2458" t="s">
        <v>2725</v>
      </c>
      <c r="I2458" t="s">
        <v>2669</v>
      </c>
      <c r="J2458" t="s">
        <v>37</v>
      </c>
      <c r="L2458" t="s">
        <v>2351</v>
      </c>
      <c r="M2458">
        <v>368602630102</v>
      </c>
      <c r="N2458" t="s">
        <v>2661</v>
      </c>
      <c r="O2458" s="1">
        <v>45457</v>
      </c>
      <c r="T2458" t="s">
        <v>2662</v>
      </c>
      <c r="U2458" t="s">
        <v>8313</v>
      </c>
      <c r="V2458">
        <v>0</v>
      </c>
      <c r="W2458" t="s">
        <v>2671</v>
      </c>
      <c r="X2458">
        <v>1</v>
      </c>
      <c r="Y2458" t="s">
        <v>2764</v>
      </c>
      <c r="AA2458">
        <v>108483856702</v>
      </c>
      <c r="AB2458" t="s">
        <v>1316</v>
      </c>
      <c r="AC2458">
        <v>0</v>
      </c>
      <c r="AD2458">
        <v>6</v>
      </c>
      <c r="AE2458">
        <v>1084838567026</v>
      </c>
      <c r="AF2458" t="s">
        <v>8309</v>
      </c>
      <c r="AG2458">
        <v>1</v>
      </c>
      <c r="AH2458">
        <v>1</v>
      </c>
    </row>
    <row r="2459" spans="1:34">
      <c r="A2459">
        <v>2026</v>
      </c>
      <c r="B2459" s="1">
        <v>46054</v>
      </c>
      <c r="C2459" t="s">
        <v>2657</v>
      </c>
      <c r="D2459" t="s">
        <v>8314</v>
      </c>
      <c r="E2459" s="43">
        <v>46062.820350648151</v>
      </c>
      <c r="F2459" s="1">
        <v>46062</v>
      </c>
      <c r="G2459" s="43">
        <v>46062.820350648151</v>
      </c>
      <c r="H2459" t="s">
        <v>2725</v>
      </c>
      <c r="I2459" t="s">
        <v>2681</v>
      </c>
      <c r="J2459" t="s">
        <v>37</v>
      </c>
      <c r="L2459" t="s">
        <v>2351</v>
      </c>
      <c r="M2459">
        <v>836748983002</v>
      </c>
      <c r="N2459" t="s">
        <v>2661</v>
      </c>
      <c r="O2459" s="1">
        <v>45457</v>
      </c>
      <c r="T2459" t="s">
        <v>2662</v>
      </c>
      <c r="U2459" t="s">
        <v>8315</v>
      </c>
      <c r="V2459">
        <v>0</v>
      </c>
      <c r="W2459" t="s">
        <v>2677</v>
      </c>
      <c r="X2459">
        <v>1</v>
      </c>
      <c r="Y2459" t="s">
        <v>2695</v>
      </c>
      <c r="AA2459">
        <v>108483856702</v>
      </c>
      <c r="AB2459" t="s">
        <v>1316</v>
      </c>
      <c r="AC2459">
        <v>0</v>
      </c>
      <c r="AD2459">
        <v>7</v>
      </c>
      <c r="AE2459">
        <v>1084838567027</v>
      </c>
      <c r="AF2459" t="s">
        <v>8309</v>
      </c>
      <c r="AG2459">
        <v>1</v>
      </c>
      <c r="AH2459">
        <v>0</v>
      </c>
    </row>
    <row r="2460" spans="1:34">
      <c r="A2460">
        <v>2026</v>
      </c>
      <c r="B2460" s="1">
        <v>46054</v>
      </c>
      <c r="C2460" t="s">
        <v>2657</v>
      </c>
      <c r="D2460" t="s">
        <v>8316</v>
      </c>
      <c r="E2460" s="43">
        <v>46076.75493304398</v>
      </c>
      <c r="F2460" s="1">
        <v>46076</v>
      </c>
      <c r="G2460" s="43">
        <v>46078.601762743056</v>
      </c>
      <c r="H2460" t="s">
        <v>2725</v>
      </c>
      <c r="I2460" t="s">
        <v>2660</v>
      </c>
      <c r="J2460" t="s">
        <v>37</v>
      </c>
      <c r="L2460" t="s">
        <v>2351</v>
      </c>
      <c r="M2460">
        <v>836748983002</v>
      </c>
      <c r="N2460" t="s">
        <v>2661</v>
      </c>
      <c r="O2460" s="1">
        <v>45457</v>
      </c>
      <c r="T2460" t="s">
        <v>2662</v>
      </c>
      <c r="U2460" t="s">
        <v>8317</v>
      </c>
      <c r="V2460">
        <v>2</v>
      </c>
      <c r="W2460" t="s">
        <v>2677</v>
      </c>
      <c r="X2460">
        <v>1</v>
      </c>
      <c r="Y2460" t="s">
        <v>2807</v>
      </c>
      <c r="AA2460">
        <v>108483856702</v>
      </c>
      <c r="AB2460" t="s">
        <v>1316</v>
      </c>
      <c r="AC2460">
        <v>0</v>
      </c>
      <c r="AD2460">
        <v>9</v>
      </c>
      <c r="AE2460">
        <v>1084838567029</v>
      </c>
      <c r="AF2460" t="s">
        <v>8309</v>
      </c>
      <c r="AG2460">
        <v>1</v>
      </c>
      <c r="AH2460">
        <v>0</v>
      </c>
    </row>
    <row r="2461" spans="1:34">
      <c r="A2461">
        <v>2026</v>
      </c>
      <c r="B2461" s="1">
        <v>46054</v>
      </c>
      <c r="C2461" t="s">
        <v>2657</v>
      </c>
      <c r="D2461" t="s">
        <v>8318</v>
      </c>
      <c r="E2461" s="43">
        <v>46077.823940625</v>
      </c>
      <c r="F2461" s="1">
        <v>46077</v>
      </c>
      <c r="G2461" s="43">
        <v>46078.602361574071</v>
      </c>
      <c r="H2461" t="s">
        <v>2725</v>
      </c>
      <c r="I2461" t="s">
        <v>2660</v>
      </c>
      <c r="J2461" t="s">
        <v>37</v>
      </c>
      <c r="L2461" t="s">
        <v>2351</v>
      </c>
      <c r="M2461">
        <v>592383571202</v>
      </c>
      <c r="N2461" t="s">
        <v>2661</v>
      </c>
      <c r="O2461" s="1">
        <v>45457</v>
      </c>
      <c r="T2461" t="s">
        <v>2662</v>
      </c>
      <c r="U2461" t="s">
        <v>8319</v>
      </c>
      <c r="V2461">
        <v>1</v>
      </c>
      <c r="W2461" t="s">
        <v>2677</v>
      </c>
      <c r="X2461">
        <v>1</v>
      </c>
      <c r="Y2461" t="s">
        <v>3237</v>
      </c>
      <c r="AA2461">
        <v>108483856702</v>
      </c>
      <c r="AB2461" t="s">
        <v>1316</v>
      </c>
      <c r="AC2461">
        <v>0</v>
      </c>
      <c r="AD2461">
        <v>9</v>
      </c>
      <c r="AE2461">
        <v>1084838567029</v>
      </c>
      <c r="AF2461" t="s">
        <v>8309</v>
      </c>
      <c r="AG2461">
        <v>0</v>
      </c>
      <c r="AH2461">
        <v>0</v>
      </c>
    </row>
    <row r="2462" spans="1:34">
      <c r="A2462">
        <v>2025</v>
      </c>
      <c r="B2462" s="1">
        <v>45962</v>
      </c>
      <c r="C2462" t="s">
        <v>2657</v>
      </c>
      <c r="D2462" t="s">
        <v>8320</v>
      </c>
      <c r="E2462" s="43">
        <v>45967.618935752318</v>
      </c>
      <c r="F2462" s="1">
        <v>45967</v>
      </c>
      <c r="G2462" s="43">
        <v>45968.779001990741</v>
      </c>
      <c r="H2462" t="s">
        <v>2802</v>
      </c>
      <c r="I2462" t="s">
        <v>2669</v>
      </c>
      <c r="J2462" t="s">
        <v>36</v>
      </c>
      <c r="L2462" t="s">
        <v>2352</v>
      </c>
      <c r="M2462">
        <v>642633814402</v>
      </c>
      <c r="N2462" t="s">
        <v>2702</v>
      </c>
      <c r="O2462" s="1">
        <v>45669</v>
      </c>
      <c r="T2462" t="s">
        <v>2662</v>
      </c>
      <c r="U2462" t="s">
        <v>8321</v>
      </c>
      <c r="V2462">
        <v>1</v>
      </c>
      <c r="W2462" t="s">
        <v>2743</v>
      </c>
      <c r="X2462">
        <v>1</v>
      </c>
      <c r="Y2462" t="s">
        <v>2688</v>
      </c>
      <c r="AA2462">
        <v>93900917902</v>
      </c>
      <c r="AB2462" t="s">
        <v>2018</v>
      </c>
      <c r="AC2462">
        <v>0</v>
      </c>
      <c r="AD2462">
        <v>45</v>
      </c>
      <c r="AE2462">
        <v>9390091790245</v>
      </c>
      <c r="AF2462" t="s">
        <v>8322</v>
      </c>
      <c r="AG2462">
        <v>1</v>
      </c>
      <c r="AH2462">
        <v>1</v>
      </c>
    </row>
    <row r="2463" spans="1:34">
      <c r="A2463">
        <v>2025</v>
      </c>
      <c r="B2463" s="1">
        <v>45962</v>
      </c>
      <c r="C2463" t="s">
        <v>2657</v>
      </c>
      <c r="D2463" t="s">
        <v>8323</v>
      </c>
      <c r="E2463" s="43">
        <v>45974.552525694446</v>
      </c>
      <c r="F2463" s="1">
        <v>45974</v>
      </c>
      <c r="G2463" s="43">
        <v>45986.841954201387</v>
      </c>
      <c r="H2463" t="s">
        <v>2802</v>
      </c>
      <c r="I2463" t="s">
        <v>2681</v>
      </c>
      <c r="J2463" t="s">
        <v>36</v>
      </c>
      <c r="L2463" t="s">
        <v>2352</v>
      </c>
      <c r="M2463">
        <v>642633814402</v>
      </c>
      <c r="N2463" t="s">
        <v>2702</v>
      </c>
      <c r="O2463" s="1">
        <v>45669</v>
      </c>
      <c r="T2463" t="s">
        <v>2662</v>
      </c>
      <c r="U2463" t="s">
        <v>8324</v>
      </c>
      <c r="V2463">
        <v>8</v>
      </c>
      <c r="W2463" t="s">
        <v>2671</v>
      </c>
      <c r="X2463">
        <v>1</v>
      </c>
      <c r="Y2463" t="s">
        <v>2683</v>
      </c>
      <c r="AA2463">
        <v>93900917902</v>
      </c>
      <c r="AB2463" t="s">
        <v>2018</v>
      </c>
      <c r="AC2463">
        <v>0</v>
      </c>
      <c r="AD2463">
        <v>46</v>
      </c>
      <c r="AE2463">
        <v>9390091790246</v>
      </c>
      <c r="AF2463" t="s">
        <v>8322</v>
      </c>
      <c r="AG2463">
        <v>1</v>
      </c>
      <c r="AH2463">
        <v>0</v>
      </c>
    </row>
    <row r="2464" spans="1:34">
      <c r="A2464">
        <v>2025</v>
      </c>
      <c r="B2464" s="1">
        <v>45962</v>
      </c>
      <c r="C2464" t="s">
        <v>2657</v>
      </c>
      <c r="D2464" t="s">
        <v>8325</v>
      </c>
      <c r="E2464" s="43">
        <v>45988.523247175923</v>
      </c>
      <c r="F2464" s="1">
        <v>45988</v>
      </c>
      <c r="G2464" s="43">
        <v>45988.974708263886</v>
      </c>
      <c r="H2464" t="s">
        <v>2802</v>
      </c>
      <c r="I2464" t="s">
        <v>2660</v>
      </c>
      <c r="J2464" t="s">
        <v>36</v>
      </c>
      <c r="L2464" t="s">
        <v>2352</v>
      </c>
      <c r="M2464">
        <v>642633814402</v>
      </c>
      <c r="N2464" t="s">
        <v>2702</v>
      </c>
      <c r="O2464" s="1">
        <v>45669</v>
      </c>
      <c r="T2464" t="s">
        <v>2662</v>
      </c>
      <c r="U2464" t="s">
        <v>8326</v>
      </c>
      <c r="V2464">
        <v>0</v>
      </c>
      <c r="W2464" t="s">
        <v>2677</v>
      </c>
      <c r="X2464">
        <v>1</v>
      </c>
      <c r="Y2464" t="s">
        <v>2760</v>
      </c>
      <c r="AA2464">
        <v>93900917902</v>
      </c>
      <c r="AB2464" t="s">
        <v>2018</v>
      </c>
      <c r="AC2464">
        <v>0</v>
      </c>
      <c r="AD2464">
        <v>48</v>
      </c>
      <c r="AE2464">
        <v>9390091790248</v>
      </c>
      <c r="AF2464" t="s">
        <v>8322</v>
      </c>
      <c r="AG2464">
        <v>1</v>
      </c>
      <c r="AH2464">
        <v>0</v>
      </c>
    </row>
  </sheetData>
  <autoFilter ref="A1:AI186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B44DE26424EC48A9B8A6C2D16B14E2" ma:contentTypeVersion="0" ma:contentTypeDescription="Create a new document." ma:contentTypeScope="" ma:versionID="e3befdddcaf5affc824804f5af080253">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A3F23FE-477D-4F68-BC90-41D975BDA6BC}"/>
</file>

<file path=customXml/itemProps2.xml><?xml version="1.0" encoding="utf-8"?>
<ds:datastoreItem xmlns:ds="http://schemas.openxmlformats.org/officeDocument/2006/customXml" ds:itemID="{DE39E3AA-F544-459F-8126-E23883E940D8}"/>
</file>

<file path=customXml/itemProps3.xml><?xml version="1.0" encoding="utf-8"?>
<ds:datastoreItem xmlns:ds="http://schemas.openxmlformats.org/officeDocument/2006/customXml" ds:itemID="{5873281D-815A-4F08-9A55-07D2FEC10872}"/>
</file>

<file path=docProps/app.xml><?xml version="1.0" encoding="utf-8"?>
<Properties xmlns="http://schemas.openxmlformats.org/officeDocument/2006/extended-properties" xmlns:vt="http://schemas.openxmlformats.org/officeDocument/2006/docPropsVTypes">
  <Application>Microsoft Excel Web App</Application>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Curi, Vinicius</dc:creator>
  <cp:lastModifiedBy>spuser</cp:lastModifiedBy>
  <dcterms:created xsi:type="dcterms:W3CDTF">2026-01-14T12:32:24Z</dcterms:created>
  <dcterms:modified xsi:type="dcterms:W3CDTF">2026-03-15T12:53:55Z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2026-01-14T17:51:35Z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c14ea4c2-bcd8-42e6-8fb7-32c1443004c1</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y fmtid="{D5CDD505-2E9C-101B-9397-08002B2CF9AE}" pid="10" name="ContentTypeId">
    <vt:lpwstr>0x01010048B44DE26424EC48A9B8A6C2D16B14E2</vt:lpwstr>
  </property>
</Properties>
</file>